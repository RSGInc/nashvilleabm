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SACOG\Tasks\calibration\daysim_summaries\output\"/>
    </mc:Choice>
  </mc:AlternateContent>
  <bookViews>
    <workbookView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</workbook>
</file>

<file path=xl/calcChain.xml><?xml version="1.0" encoding="utf-8"?>
<calcChain xmlns="http://schemas.openxmlformats.org/spreadsheetml/2006/main">
  <c i="6" l="1" r="C54"/>
  <c i="6" r="C55"/>
  <c i="6" r="C56"/>
  <c i="6" r="C57"/>
  <c i="6" r="C58"/>
  <c i="6" r="C59"/>
  <c i="6" r="C60"/>
  <c i="6" r="C61"/>
  <c i="6" r="C62"/>
  <c i="6" r="C63"/>
  <c i="6" r="C64"/>
  <c i="6" r="C65"/>
  <c i="6" r="C66"/>
  <c i="6" r="C67"/>
  <c i="6" r="C68"/>
  <c i="6" r="C69"/>
  <c i="6" r="C70"/>
  <c i="6" r="C71"/>
  <c i="6" r="C72"/>
  <c i="6" r="C73"/>
  <c i="6" r="C74"/>
  <c i="6" r="C75"/>
  <c i="6" r="C76"/>
  <c i="6" r="C77"/>
  <c i="6" r="C78"/>
  <c i="6" r="C79"/>
  <c i="6" r="C80"/>
  <c i="6" r="C81"/>
  <c i="6" r="C82"/>
  <c i="6" r="C83"/>
  <c i="6" r="C84"/>
  <c i="6" r="C85"/>
  <c i="6" r="C86"/>
  <c i="6" r="C87"/>
  <c i="6" r="C88"/>
  <c i="6" r="C89"/>
  <c i="6" r="C90"/>
  <c i="6" r="C91"/>
  <c i="6" r="C92"/>
  <c i="6" r="C93"/>
  <c i="6" r="C94"/>
  <c i="6" r="C95"/>
  <c i="6" r="C96"/>
  <c i="6" r="C97"/>
  <c i="6" r="C98"/>
  <c i="6" r="C99"/>
  <c i="6" r="C100"/>
  <c i="6" r="C101"/>
  <c i="6" r="C102"/>
  <c i="6" r="C103"/>
  <c i="6" r="C104"/>
  <c i="6" r="C105"/>
  <c i="6" r="C106"/>
  <c i="6" r="C107"/>
  <c i="6" r="C108"/>
  <c i="6" r="C109"/>
  <c i="6" r="C110"/>
  <c i="6" r="C111"/>
  <c i="6" r="C112"/>
  <c i="6" r="C113"/>
  <c i="6" r="C114"/>
  <c i="6" r="C115"/>
  <c i="6" r="C116"/>
  <c i="6" r="C117"/>
  <c i="6" r="C118"/>
  <c i="6" r="C119"/>
  <c i="6" r="C120"/>
  <c i="6" r="C121"/>
  <c i="6" r="C122"/>
  <c i="6" r="C123"/>
  <c i="6" r="C124"/>
  <c i="6" r="C125"/>
  <c i="6" r="C126"/>
  <c i="6" r="C127"/>
  <c i="6" r="C128"/>
  <c i="6" r="C129"/>
  <c i="6" r="C130"/>
  <c i="6" r="C131"/>
  <c i="6" r="C132"/>
  <c i="6" r="C133"/>
  <c i="6" r="C134"/>
  <c i="6" r="C135"/>
  <c i="6" r="C136"/>
  <c i="6" r="C137"/>
  <c i="6" r="C138"/>
  <c i="6" r="C139"/>
  <c i="6" r="C140"/>
  <c i="6" r="C141"/>
  <c i="6" r="C142"/>
  <c i="6" r="C53"/>
  <c i="6" r="A54"/>
  <c i="6" r="A55"/>
  <c i="6" r="A56"/>
  <c i="6" r="B56" s="1"/>
  <c i="6" r="A57"/>
  <c i="6" r="B57" s="1"/>
  <c i="6" r="A58"/>
  <c i="6" r="B58" s="1"/>
  <c i="6" r="A59"/>
  <c i="6" r="B59" s="1"/>
  <c i="6" r="A60"/>
  <c i="6" r="B60" s="1"/>
  <c i="6" r="A61"/>
  <c i="6" r="B61" s="1"/>
  <c i="6" r="A62"/>
  <c i="6" r="B62" s="1"/>
  <c i="6" r="A63"/>
  <c i="6" r="B63" s="1"/>
  <c i="6" r="A64"/>
  <c i="6" r="B64" s="1"/>
  <c i="6" r="A65"/>
  <c i="6" r="B65" s="1"/>
  <c i="6" r="A66"/>
  <c i="6" r="A67"/>
  <c i="6" r="A68"/>
  <c i="6" r="A69"/>
  <c i="6" r="A70"/>
  <c i="6" r="A71"/>
  <c i="6" r="A72"/>
  <c i="6" r="B72" s="1"/>
  <c i="6" r="A73"/>
  <c i="6" r="B73" s="1"/>
  <c i="6" r="A74"/>
  <c i="6" r="B74" s="1"/>
  <c i="6" r="A75"/>
  <c i="6" r="B75" s="1"/>
  <c i="6" r="A76"/>
  <c i="6" r="B76" s="1"/>
  <c i="6" r="A77"/>
  <c i="6" r="B77" s="1"/>
  <c i="6" r="A78"/>
  <c i="6" r="B78" s="1"/>
  <c i="6" r="A79"/>
  <c i="6" r="B79" s="1"/>
  <c i="6" r="A80"/>
  <c i="6" r="B80" s="1"/>
  <c i="6" r="A81"/>
  <c i="6" r="B81" s="1"/>
  <c i="6" r="A82"/>
  <c i="6" r="B82" s="1"/>
  <c i="6" r="A83"/>
  <c i="6" r="B83" s="1"/>
  <c i="6" r="A84"/>
  <c i="6" r="A85"/>
  <c i="6" r="A86"/>
  <c i="6" r="B86" s="1"/>
  <c i="6" r="A87"/>
  <c i="6" r="B87" s="1"/>
  <c i="6" r="A88"/>
  <c i="6" r="B88" s="1"/>
  <c i="6" r="A89"/>
  <c i="6" r="B89" s="1"/>
  <c i="6" r="A90"/>
  <c i="6" r="A91"/>
  <c i="6" r="A92"/>
  <c i="6" r="B92" s="1"/>
  <c i="6" r="A93"/>
  <c i="6" r="A94"/>
  <c i="6" r="B94" s="1"/>
  <c i="6" r="A95"/>
  <c i="6" r="A96"/>
  <c i="6" r="B96" s="1"/>
  <c i="6" r="A97"/>
  <c i="6" r="B97" s="1"/>
  <c i="6" r="A98"/>
  <c i="6" r="B98" s="1"/>
  <c i="6" r="A99"/>
  <c i="6" r="B99" s="1"/>
  <c i="6" r="A100"/>
  <c i="6" r="B100" s="1"/>
  <c i="6" r="A101"/>
  <c i="6" r="B101" s="1"/>
  <c i="6" r="A102"/>
  <c i="6" r="B102" s="1"/>
  <c i="6" r="A103"/>
  <c i="6" r="B103" s="1"/>
  <c i="6" r="A104"/>
  <c i="6" r="B104" s="1"/>
  <c i="6" r="A105"/>
  <c i="6" r="B105" s="1"/>
  <c i="6" r="A106"/>
  <c i="6" r="B106" s="1"/>
  <c i="6" r="A107"/>
  <c i="6" r="B107" s="1"/>
  <c i="6" r="A108"/>
  <c i="6" r="B108" s="1"/>
  <c i="6" r="A109"/>
  <c i="6" r="B109" s="1"/>
  <c i="6" r="A110"/>
  <c i="6" r="B110" s="1"/>
  <c i="6" r="A111"/>
  <c i="6" r="B111" s="1"/>
  <c i="6" r="A112"/>
  <c i="6" r="B112" s="1"/>
  <c i="6" r="A113"/>
  <c i="6" r="B113" s="1"/>
  <c i="6" r="A114"/>
  <c i="6" r="A115"/>
  <c i="6" r="B115" s="1"/>
  <c i="6" r="A116"/>
  <c i="6" r="B116" s="1"/>
  <c i="6" r="A117"/>
  <c i="6" r="B117" s="1"/>
  <c i="6" r="A118"/>
  <c i="6" r="A119"/>
  <c i="6" r="A120"/>
  <c i="6" r="A121"/>
  <c i="6" r="B121" s="1"/>
  <c i="6" r="A122"/>
  <c i="6" r="B122" s="1"/>
  <c i="6" r="A123"/>
  <c i="6" r="B123" s="1"/>
  <c i="6" r="A124"/>
  <c i="6" r="B124" s="1"/>
  <c i="6" r="A125"/>
  <c i="6" r="B125" s="1"/>
  <c i="6" r="A126"/>
  <c i="6" r="A127"/>
  <c i="6" r="B127" s="1"/>
  <c i="6" r="A128"/>
  <c i="6" r="B128" s="1"/>
  <c i="6" r="A129"/>
  <c i="6" r="B129" s="1"/>
  <c i="6" r="A130"/>
  <c i="6" r="B130" s="1"/>
  <c i="6" r="A131"/>
  <c i="6" r="B131" s="1"/>
  <c i="6" r="A132"/>
  <c i="6" r="B132" s="1"/>
  <c i="6" r="A133"/>
  <c i="6" r="B133" s="1"/>
  <c i="6" r="A134"/>
  <c i="6" r="B134" s="1"/>
  <c i="6" r="A135"/>
  <c i="6" r="B135" s="1"/>
  <c i="6" r="A136"/>
  <c i="6" r="B136" s="1"/>
  <c i="6" r="A137"/>
  <c i="6" r="B137" s="1"/>
  <c i="6" r="A138"/>
  <c i="6" r="A139"/>
  <c i="6" r="A140"/>
  <c i="6" r="B140" s="1"/>
  <c i="6" r="A141"/>
  <c i="6" r="B141" s="1"/>
  <c i="6" r="A142"/>
  <c i="6" r="B142" s="1"/>
  <c i="6" r="A53"/>
  <c i="6" r="B119"/>
  <c i="6" r="B95"/>
  <c i="6" r="B71"/>
  <c i="6" r="B139"/>
  <c i="6" r="B138"/>
  <c i="6" r="B126"/>
  <c i="6" r="B120"/>
  <c i="6" r="B118"/>
  <c i="6" r="B114"/>
  <c i="6" r="B93"/>
  <c i="6" r="B91"/>
  <c i="6" r="B90"/>
  <c i="6" r="B85"/>
  <c i="6" r="B84"/>
  <c i="6" r="B70"/>
  <c i="6" r="B69"/>
  <c i="6" r="B68"/>
  <c i="6" r="B67"/>
  <c i="6" r="B66"/>
  <c i="6" r="B55"/>
  <c i="6" r="B54"/>
  <c i="6" r="B53"/>
  <c i="6" l="1" r="P103"/>
  <c i="6" r="O103"/>
  <c i="6" r="N103"/>
  <c i="6" r="M103" s="1"/>
  <c i="6" r="P102"/>
  <c i="6" r="O102"/>
  <c i="6" r="N102"/>
  <c i="6" r="M102" s="1"/>
  <c i="6" r="P101"/>
  <c i="6" r="O101"/>
  <c i="6" r="N101"/>
  <c i="6" r="M101" s="1"/>
  <c i="6" r="P100"/>
  <c i="6" r="O100"/>
  <c i="6" r="N100"/>
  <c i="6" r="M100" s="1"/>
  <c i="6" r="P99"/>
  <c i="6" r="O99"/>
  <c i="6" r="N99"/>
  <c i="6" r="M99" s="1"/>
  <c i="6" r="P98"/>
  <c i="6" r="O98"/>
  <c i="6" r="N98"/>
  <c i="6" r="M98" s="1"/>
  <c i="6" r="P97"/>
  <c i="6" r="O97"/>
  <c i="6" r="N97"/>
  <c i="6" r="M97" s="1"/>
  <c i="6" r="P96"/>
  <c i="6" r="O96"/>
  <c i="6" r="N96"/>
  <c i="6" r="M96" s="1"/>
  <c i="6" r="P95"/>
  <c i="6" r="O95"/>
  <c i="6" r="N95"/>
  <c i="6" r="M95" s="1"/>
  <c i="6" r="P94"/>
  <c i="6" r="O94"/>
  <c i="6" r="N94"/>
  <c i="6" r="M94" s="1"/>
  <c i="6" r="P93"/>
  <c i="6" r="O93"/>
  <c i="6" r="N93"/>
  <c i="6" r="P92"/>
  <c i="6" r="O92"/>
  <c i="6" r="N92"/>
  <c i="6" r="M92" s="1"/>
  <c i="6" r="P91"/>
  <c i="6" r="O91"/>
  <c i="6" r="N91"/>
  <c i="6" r="M91" s="1"/>
  <c i="6" r="P90"/>
  <c i="6" r="O90"/>
  <c i="6" r="N90"/>
  <c i="6" r="M90" s="1"/>
  <c i="6" r="P89"/>
  <c i="6" r="O89"/>
  <c i="6" r="N89"/>
  <c i="6" r="M89" s="1"/>
  <c i="6" r="P88"/>
  <c i="6" r="O88"/>
  <c i="6" r="N88"/>
  <c i="6" r="M88" s="1"/>
  <c i="6" r="P87"/>
  <c i="6" r="O87"/>
  <c i="6" r="N87"/>
  <c i="6" r="M87" s="1"/>
  <c i="6" r="P86"/>
  <c i="6" r="O86"/>
  <c i="6" r="N86"/>
  <c i="6" r="M86" s="1"/>
  <c i="6" r="P85"/>
  <c i="6" r="O85"/>
  <c i="6" r="N85"/>
  <c i="6" r="P84"/>
  <c i="6" r="O84"/>
  <c i="6" r="N84"/>
  <c i="6" r="M84" s="1"/>
  <c i="6" r="P83"/>
  <c i="6" r="O83"/>
  <c i="6" r="N83"/>
  <c i="6" r="P82"/>
  <c i="6" r="O82"/>
  <c i="6" r="N82"/>
  <c i="6" r="M82" s="1"/>
  <c i="6" r="P81"/>
  <c i="6" r="O81"/>
  <c i="6" r="N81"/>
  <c i="6" r="M81" s="1"/>
  <c i="6" r="P80"/>
  <c i="6" r="O80"/>
  <c i="6" r="N80"/>
  <c i="6" r="M80" s="1"/>
  <c i="6" r="P79"/>
  <c i="6" r="O79"/>
  <c i="6" r="N79"/>
  <c i="6" r="M79" s="1"/>
  <c i="6" r="P78"/>
  <c i="6" r="O78"/>
  <c i="6" r="N78"/>
  <c i="6" r="M78" s="1"/>
  <c i="6" r="P77"/>
  <c i="6" r="O77"/>
  <c i="6" r="N77"/>
  <c i="6" r="M77" s="1"/>
  <c i="6" r="P76"/>
  <c i="6" r="O76"/>
  <c i="6" r="N76"/>
  <c i="6" r="M76" s="1"/>
  <c i="6" r="P75"/>
  <c i="6" r="O75"/>
  <c i="6" r="N75"/>
  <c i="6" r="M75" s="1"/>
  <c i="6" r="P74"/>
  <c i="6" r="O74"/>
  <c i="6" r="N74"/>
  <c i="6" r="M74" s="1"/>
  <c i="6" r="P73"/>
  <c i="6" r="O73"/>
  <c i="6" r="N73"/>
  <c i="6" r="M73" s="1"/>
  <c i="6" r="P72"/>
  <c i="6" r="O72"/>
  <c i="6" r="N72"/>
  <c i="6" r="M72" s="1"/>
  <c i="6" r="P71"/>
  <c i="6" r="O71"/>
  <c i="6" r="N71"/>
  <c i="6" r="M71" s="1"/>
  <c i="6" r="P70"/>
  <c i="6" r="O70"/>
  <c i="6" r="N70"/>
  <c i="6" r="M70" s="1"/>
  <c i="6" r="P69"/>
  <c i="6" r="O69"/>
  <c i="6" r="N69"/>
  <c i="6" r="M69" s="1"/>
  <c i="6" r="P68"/>
  <c i="6" r="O68"/>
  <c i="6" r="N68"/>
  <c i="6" r="M68" s="1"/>
  <c i="6" r="P67"/>
  <c i="6" r="O67"/>
  <c i="6" r="N67"/>
  <c i="6" r="M67" s="1"/>
  <c i="6" r="P66"/>
  <c i="6" r="O66"/>
  <c i="6" r="N66"/>
  <c i="6" r="M66" s="1"/>
  <c i="6" r="P65"/>
  <c i="6" r="O65"/>
  <c i="6" r="N65"/>
  <c i="6" r="M65" s="1"/>
  <c i="6" r="P64"/>
  <c i="6" r="O64"/>
  <c i="6" r="N64"/>
  <c i="6" r="M64" s="1"/>
  <c i="6" r="P63"/>
  <c i="6" r="O63"/>
  <c i="6" r="N63"/>
  <c i="6" r="M63" s="1"/>
  <c i="6" r="P62"/>
  <c i="6" r="O62"/>
  <c i="6" r="N62"/>
  <c i="6" r="M62" s="1"/>
  <c i="6" r="P61"/>
  <c i="6" r="O61"/>
  <c i="6" r="N61"/>
  <c i="6" r="M61" s="1"/>
  <c i="6" r="P60"/>
  <c i="6" r="O60"/>
  <c i="6" r="N60"/>
  <c i="6" r="M60" s="1"/>
  <c i="6" r="P59"/>
  <c i="6" r="O59"/>
  <c i="6" r="N59"/>
  <c i="6" r="M59" s="1"/>
  <c i="6" r="P58"/>
  <c i="6" r="O58"/>
  <c i="6" r="N58"/>
  <c i="6" r="M58" s="1"/>
  <c i="6" r="P57"/>
  <c i="6" r="O57"/>
  <c i="6" r="N57"/>
  <c i="6" r="M57" s="1"/>
  <c i="6" r="P56"/>
  <c i="6" r="O56"/>
  <c i="6" r="N56"/>
  <c i="6" r="M56" s="1"/>
  <c i="6" r="P55"/>
  <c i="6" r="O55"/>
  <c i="6" r="N55"/>
  <c i="6" r="P54"/>
  <c i="6" r="O54"/>
  <c i="6" r="N54"/>
  <c i="6" r="M54" s="1"/>
  <c i="6" r="P53"/>
  <c i="6" r="O53"/>
  <c i="6" r="N53"/>
  <c i="6" r="P52"/>
  <c i="6" r="O52"/>
  <c i="6" r="N52"/>
  <c i="6" r="M52" s="1"/>
  <c i="6" r="P51"/>
  <c i="6" r="O51"/>
  <c i="6" r="N51"/>
  <c i="6" r="M51" s="1"/>
  <c i="6" r="P50"/>
  <c i="6" r="O50"/>
  <c i="6" r="N50"/>
  <c i="6" r="M50" s="1"/>
  <c i="6" r="P49"/>
  <c i="6" r="O49"/>
  <c i="6" r="N49"/>
  <c i="6" r="M49" s="1"/>
  <c i="6" r="P48"/>
  <c i="6" r="O48"/>
  <c i="6" r="N48"/>
  <c i="6" r="M48" s="1"/>
  <c i="6" r="P47"/>
  <c i="6" r="O47"/>
  <c i="6" r="N47"/>
  <c i="6" r="P46"/>
  <c i="6" r="O46"/>
  <c i="6" r="N46"/>
  <c i="6" r="P45"/>
  <c i="6" r="O45"/>
  <c i="6" r="N45"/>
  <c i="6" r="M45" s="1"/>
  <c i="6" r="P44"/>
  <c i="6" r="O44"/>
  <c i="6" r="N44"/>
  <c i="6" r="M44" s="1"/>
  <c i="6" r="P43"/>
  <c i="6" r="O43"/>
  <c i="6" r="N43"/>
  <c i="6" r="M43" s="1"/>
  <c i="6" r="P42"/>
  <c i="6" r="O42"/>
  <c i="6" r="N42"/>
  <c i="6" r="M42" s="1"/>
  <c i="6" r="P41"/>
  <c i="6" r="O41"/>
  <c i="6" r="N41"/>
  <c i="6" r="M41" s="1"/>
  <c i="6" r="P40"/>
  <c i="6" r="O40"/>
  <c i="6" r="N40"/>
  <c i="6" r="R40" s="1"/>
  <c i="6" r="P39"/>
  <c i="6" r="O39"/>
  <c i="6" r="N39"/>
  <c i="6" r="M39" s="1"/>
  <c i="6" r="P38"/>
  <c i="6" r="O38"/>
  <c i="6" r="N38"/>
  <c i="6" r="M38" s="1"/>
  <c i="6" r="P37"/>
  <c i="6" r="O37"/>
  <c i="6" r="N37"/>
  <c i="6" r="M37" s="1"/>
  <c i="6" r="P36"/>
  <c i="6" r="O36"/>
  <c i="6" r="N36"/>
  <c i="6" r="M36" s="1"/>
  <c i="6" r="P35"/>
  <c i="6" r="O35"/>
  <c i="6" r="N35"/>
  <c i="6" r="P34"/>
  <c i="6" r="O34"/>
  <c i="6" r="N34"/>
  <c i="6" r="M34" s="1"/>
  <c i="6" r="P33"/>
  <c i="6" r="O33"/>
  <c i="6" r="N33"/>
  <c i="6" r="M33" s="1"/>
  <c i="6" r="P32"/>
  <c i="6" r="O32"/>
  <c i="6" r="N32"/>
  <c i="6" r="M32" s="1"/>
  <c i="6" r="P31"/>
  <c i="6" r="O31"/>
  <c i="6" r="N31"/>
  <c i="6" r="P30"/>
  <c i="6" r="O30"/>
  <c i="6" r="N30"/>
  <c i="6" r="M30" s="1"/>
  <c i="6" r="P29"/>
  <c i="6" r="O29"/>
  <c i="6" r="N29"/>
  <c i="6" r="M29" s="1"/>
  <c i="6" r="P28"/>
  <c i="6" r="O28"/>
  <c i="6" r="N28"/>
  <c i="6" r="P27"/>
  <c i="6" r="O27"/>
  <c i="6" r="N27"/>
  <c i="6" r="M27" s="1"/>
  <c i="6" r="P26"/>
  <c i="6" r="O26"/>
  <c i="6" r="N26"/>
  <c i="6" r="M26" s="1"/>
  <c i="6" r="P25"/>
  <c i="6" r="O25"/>
  <c i="6" r="N25"/>
  <c i="6" r="M25" s="1"/>
  <c i="6" r="P24"/>
  <c i="6" r="O24"/>
  <c i="6" r="N24"/>
  <c i="6" r="M24" s="1"/>
  <c i="6" r="P23"/>
  <c i="6" r="O23"/>
  <c i="6" r="N23"/>
  <c i="6" r="P22"/>
  <c i="6" r="O22"/>
  <c i="6" r="N22"/>
  <c i="6" r="M22" s="1"/>
  <c i="6" r="P21"/>
  <c i="6" r="O21"/>
  <c i="6" r="N21"/>
  <c i="6" r="P20"/>
  <c i="6" r="O20"/>
  <c i="6" r="N20"/>
  <c i="6" r="M20" s="1"/>
  <c i="6" r="P19"/>
  <c i="6" r="O19"/>
  <c i="6" r="N19"/>
  <c i="6" r="M19" s="1"/>
  <c i="6" r="P18"/>
  <c i="6" r="O18"/>
  <c i="6" r="N18"/>
  <c i="6" r="M18" s="1"/>
  <c i="6" r="P17"/>
  <c i="6" r="O17"/>
  <c i="6" r="N17"/>
  <c i="6" r="M17" s="1"/>
  <c i="6" r="P16"/>
  <c i="6" r="O16"/>
  <c i="6" r="N16"/>
  <c i="6" r="M16" s="1"/>
  <c i="6" r="P15"/>
  <c i="6" r="O15"/>
  <c i="6" r="N15"/>
  <c i="6" r="M15" s="1"/>
  <c i="6" r="P14"/>
  <c i="6" r="O14"/>
  <c i="6" r="N14"/>
  <c i="6" r="M14" s="1"/>
  <c i="6" r="P13"/>
  <c i="6" r="O13"/>
  <c i="6" r="N13"/>
  <c i="6" r="M13" s="1"/>
  <c i="6" r="P12"/>
  <c i="6" r="O12"/>
  <c i="6" r="N12"/>
  <c i="6" r="M12" s="1"/>
  <c i="6" r="P11"/>
  <c i="6" r="O11"/>
  <c i="6" r="N11"/>
  <c i="6" r="M11" s="1"/>
  <c i="6" r="P10"/>
  <c i="6" r="O10"/>
  <c i="6" r="N10"/>
  <c i="6" r="P9"/>
  <c i="6" r="O9"/>
  <c i="6" r="N9"/>
  <c i="6" r="M9" s="1"/>
  <c i="6" r="P8"/>
  <c i="6" r="O8"/>
  <c i="6" r="N8"/>
  <c i="6" r="M8" s="1"/>
  <c i="6" r="P7"/>
  <c i="6" r="O7"/>
  <c i="6" r="N7"/>
  <c i="6" r="M7" s="1"/>
  <c i="6" r="P6"/>
  <c i="6" r="O6"/>
  <c i="6" r="N6"/>
  <c i="6" r="M6" s="1"/>
  <c i="6" r="P5"/>
  <c i="6" r="O5"/>
  <c i="6" r="N5"/>
  <c i="6" r="P4"/>
  <c i="6" r="O4"/>
  <c i="6" r="N4"/>
  <c i="6" r="M4" s="1"/>
  <c i="6" r="P3"/>
  <c i="6" r="O3"/>
  <c i="6" r="N3"/>
  <c i="6" r="B36"/>
  <c i="6" r="B46" s="1"/>
  <c i="6" r="B35"/>
  <c i="6" r="B45" s="1"/>
  <c i="6" r="B34"/>
  <c i="6" r="B44" s="1"/>
  <c i="6" r="B33"/>
  <c i="6" r="B43" s="1"/>
  <c i="6" l="1" r="D24"/>
  <c i="6" r="D23"/>
  <c i="6" r="Q75"/>
  <c i="6" r="Q36"/>
  <c i="6" r="D25"/>
  <c i="6" r="D26"/>
  <c i="6" r="M40"/>
  <c i="6" r="Q33"/>
  <c i="6" r="R39"/>
  <c i="6" r="R41"/>
  <c i="6" r="R42"/>
  <c i="6" r="Q25"/>
  <c i="6" r="Q5"/>
  <c i="6" r="Q78"/>
  <c i="6" r="Q79"/>
  <c i="6" r="Q77"/>
  <c i="6" r="Q83"/>
  <c i="6" r="Q99"/>
  <c i="6" r="Q21"/>
  <c i="6" r="Q80"/>
  <c i="6" r="Q35"/>
  <c i="6" r="Q37"/>
  <c i="6" r="Q20"/>
  <c i="6" r="Q89"/>
  <c i="6" r="Q27"/>
  <c i="6" r="Q88"/>
  <c i="6" r="Q85"/>
  <c i="6" r="Q70"/>
  <c i="6" r="Q93"/>
  <c i="6" r="Q82"/>
  <c i="6" r="Q95"/>
  <c i="6" r="Q29"/>
  <c i="6" r="Q96"/>
  <c i="6" r="Q23"/>
  <c i="6" r="Q28"/>
  <c i="6" r="Q50"/>
  <c i="6" r="Q16"/>
  <c i="6" r="Q15"/>
  <c i="6" r="Q102"/>
  <c i="6" r="Q51"/>
  <c i="6" r="Q58"/>
  <c i="6" r="Q26"/>
  <c i="6" r="Q49"/>
  <c i="6" r="Q60"/>
  <c i="6" r="Q67"/>
  <c i="6" r="Q103"/>
  <c i="6" r="Q87"/>
  <c i="6" r="Q44"/>
  <c i="6" r="Q101"/>
  <c i="6" r="Q9"/>
  <c i="6" r="Q68"/>
  <c i="6" r="Q31"/>
  <c i="6" r="Q97"/>
  <c i="6" r="Q11"/>
  <c i="6" r="Q3"/>
  <c i="6" r="Q10"/>
  <c i="6" r="Q38"/>
  <c i="6" r="Q59"/>
  <c i="6" r="Q6"/>
  <c i="6" r="Q69"/>
  <c i="6" r="Q12"/>
  <c i="6" r="Q71"/>
  <c i="6" r="Q45"/>
  <c i="6" r="Q61"/>
  <c i="6" r="Q86"/>
  <c i="6" r="Q94"/>
  <c i="6" r="Q7"/>
  <c i="6" r="Q13"/>
  <c i="6" r="Q72"/>
  <c i="6" r="Q46"/>
  <c i="6" r="Q34"/>
  <c i="6" r="Q43"/>
  <c i="6" r="Q62"/>
  <c i="6" r="Q66"/>
  <c i="6" r="Q17"/>
  <c i="6" r="Q73"/>
  <c i="6" r="Q81"/>
  <c i="6" r="Q22"/>
  <c i="6" r="Q18"/>
  <c i="6" r="Q4"/>
  <c i="6" r="Q84"/>
  <c i="6" r="Q90"/>
  <c i="6" r="Q8"/>
  <c i="6" r="Q63"/>
  <c i="6" r="Q74"/>
  <c i="6" r="Q19"/>
  <c i="6" r="Q47"/>
  <c i="6" r="M21"/>
  <c i="6" r="M46"/>
  <c i="6" r="M85"/>
  <c i="6" r="Q98"/>
  <c i="6" r="M3"/>
  <c i="6" r="M28"/>
  <c i="6" r="M47"/>
  <c i="6" r="M93"/>
  <c i="6" r="M10"/>
  <c i="6" r="M35"/>
  <c i="6" r="Q14"/>
  <c i="6" r="M23"/>
  <c i="6" r="M5"/>
  <c i="6" r="M31"/>
  <c i="6" r="Q91"/>
  <c i="6" r="Q30"/>
  <c i="6" r="Q64"/>
  <c i="6" r="Q92"/>
  <c i="6" r="Q32"/>
  <c i="6" r="Q65"/>
  <c i="6" r="Q57"/>
  <c i="6" r="M53"/>
  <c i="6" r="M83"/>
  <c i="6" r="M55"/>
  <c i="6" r="Q48"/>
  <c i="6" r="Q76"/>
  <c i="6" r="Q100"/>
  <c i="6" r="Q24"/>
  <c i="1" r="M26"/>
  <c i="1" r="N26"/>
  <c i="1" r="O26"/>
  <c i="1" r="P26"/>
  <c i="1" r="Q26"/>
  <c i="1" r="R26"/>
  <c i="1" r="S26"/>
  <c i="1" r="S20"/>
  <c i="1" r="S21"/>
  <c i="1" r="S22"/>
  <c i="1" r="S23"/>
  <c i="1" r="S24"/>
  <c i="1" r="S25"/>
  <c i="6" l="1" r="G7"/>
  <c i="6" r="D7"/>
  <c i="6" r="G6"/>
  <c i="6" r="D6"/>
  <c i="6" r="G5"/>
  <c i="6" r="D5"/>
  <c i="6" r="G4"/>
  <c i="6" r="D4"/>
  <c i="6" l="1" r="G8"/>
  <c i="6" r="G15" s="1"/>
  <c i="6" r="D8"/>
  <c i="6" r="D14" s="1"/>
  <c i="1" r="U13"/>
  <c i="1" r="S15"/>
  <c i="1" r="H15"/>
  <c i="1" r="J13"/>
  <c i="1" l="1" r="F26"/>
  <c i="1" r="C26"/>
  <c i="1" r="E26"/>
  <c i="1" r="H26"/>
  <c i="1" r="B26"/>
  <c i="1" r="D26"/>
  <c i="1" r="G26"/>
  <c i="6" r="G12"/>
  <c i="6" r="G16"/>
  <c i="6" r="G13"/>
  <c i="6" r="D16"/>
  <c i="6" r="D12"/>
  <c i="6" r="D13"/>
  <c i="6" r="I13" s="1"/>
  <c i="6" r="J13" s="1"/>
  <c i="6" r="G14"/>
  <c i="6" r="I14" s="1"/>
  <c i="6" r="J14" s="1"/>
  <c i="6" r="D15"/>
  <c i="6" r="I15" s="1"/>
  <c i="6" r="J15" s="1"/>
  <c i="1" r="S28"/>
  <c i="1" r="U26"/>
  <c i="1" r="W39"/>
  <c i="1" r="L39"/>
  <c i="1" r="A39"/>
  <c i="1" r="A26"/>
  <c i="1" r="L26"/>
  <c i="1" r="L13"/>
  <c i="1" r="AD32"/>
  <c i="1" r="S32"/>
  <c i="1" r="H32"/>
  <c i="1" r="H19"/>
  <c i="1" r="S19"/>
  <c i="1" r="S6"/>
  <c i="1" r="H6"/>
  <c i="6" l="1" r="I12"/>
  <c i="6" r="J12" s="1"/>
  <c i="6" r="K12" s="1"/>
  <c i="6" r="D33" s="1"/>
  <c i="6" r="D43" s="1"/>
  <c i="6" r="Q39" s="1"/>
  <c i="6" r="K14"/>
  <c i="6" r="D35" s="1"/>
  <c i="6" r="D45" s="1"/>
  <c i="6" r="Q41" s="1"/>
  <c i="6" r="K13"/>
  <c i="6" r="D34" s="1"/>
  <c i="6" r="D44" s="1"/>
  <c i="6" r="Q40" s="1"/>
  <c i="6" r="K15"/>
  <c i="6" r="D36" s="1"/>
  <c i="6" r="D46" s="1"/>
  <c i="6" r="Q42" s="1"/>
  <c i="6" r="Q54"/>
  <c i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6" l="1" r="Q55"/>
  <c i="6" r="Q56"/>
  <c i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4"/>
  <c i="1" r="H25"/>
  <c i="1" r="H23"/>
  <c i="1" r="G25"/>
  <c i="1" r="G23"/>
  <c i="1" r="G24"/>
  <c i="1" r="U25"/>
  <c i="1" r="R25"/>
  <c i="1" r="Q25"/>
  <c i="1" r="P25"/>
  <c i="1" r="O25"/>
  <c i="1" r="N25"/>
  <c i="1" r="M25"/>
  <c i="1" r="F25"/>
  <c i="1" r="E25"/>
  <c i="1" r="D25"/>
  <c i="1" r="C25"/>
  <c i="1" r="B25"/>
  <c i="1" r="U24"/>
  <c i="1" r="R24"/>
  <c i="1" r="Q24"/>
  <c i="1" r="P24"/>
  <c i="1" r="O24"/>
  <c i="1" r="N24"/>
  <c i="1" r="M24"/>
  <c i="1" r="F24"/>
  <c i="1" r="E24"/>
  <c i="1" r="D24"/>
  <c i="1" r="C24"/>
  <c i="1" r="B24"/>
  <c i="1" r="U23"/>
  <c i="1" r="R23"/>
  <c i="1" r="Q23"/>
  <c i="1" r="P23"/>
  <c i="1" r="O23"/>
  <c i="1" r="N23"/>
  <c i="1" r="M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T28" s="1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4" r="F102"/>
  <c i="4" r="G101" s="1"/>
  <c i="4" r="B102"/>
  <c i="4" r="C102" s="1"/>
  <c i="3" r="F102"/>
  <c i="3" r="G102" s="1"/>
  <c i="3" r="B102"/>
  <c i="3" r="C13" s="1"/>
  <c i="1" l="1" r="H20"/>
  <c i="1" r="H21"/>
  <c i="1" r="H22"/>
  <c i="1" r="J23"/>
  <c i="1" r="J25"/>
  <c i="1" r="H28"/>
  <c i="1" r="F21"/>
  <c i="1" r="J24"/>
  <c i="1" r="E21"/>
  <c i="1" r="D21"/>
  <c i="1" r="U20"/>
  <c i="1" r="U22"/>
  <c i="1" r="G22"/>
  <c i="1" r="U21"/>
  <c i="1" r="G21"/>
  <c i="1" r="B21"/>
  <c i="1" r="C21"/>
  <c i="1" r="J15"/>
  <c i="1" r="E20"/>
  <c i="1" r="U15"/>
  <c i="1" r="U28" s="1"/>
  <c i="1" r="F22"/>
  <c i="1" r="D20"/>
  <c i="1" r="F20"/>
  <c i="1" r="C22"/>
  <c i="1" r="C20"/>
  <c i="1" r="G20"/>
  <c i="1" r="E22"/>
  <c i="1" r="B20"/>
  <c i="1" r="B22"/>
  <c i="1" r="D22"/>
  <c i="4" r="C43"/>
  <c i="4" r="C13"/>
  <c i="4" r="C23"/>
  <c i="4" r="C39"/>
  <c i="4" r="C51"/>
  <c i="4" r="C81"/>
  <c i="4" r="C19"/>
  <c i="4" r="C31"/>
  <c i="4" r="C63"/>
  <c i="4" r="C11"/>
  <c i="4" r="C21"/>
  <c i="4" r="C33"/>
  <c i="4" r="C49"/>
  <c i="4" r="C71"/>
  <c i="4" r="C15"/>
  <c i="4" r="C27"/>
  <c i="4" r="C41"/>
  <c i="4" r="C59"/>
  <c i="4" r="C83"/>
  <c i="4" r="C91"/>
  <c i="4" r="C73"/>
  <c i="4" r="C95"/>
  <c i="4" r="C55"/>
  <c i="4" r="C65"/>
  <c i="4" r="C75"/>
  <c i="4" r="C87"/>
  <c i="4" r="C97"/>
  <c i="4" r="C17"/>
  <c i="4" r="C25"/>
  <c i="4" r="C35"/>
  <c i="4" r="C47"/>
  <c i="4" r="C57"/>
  <c i="4" r="C67"/>
  <c i="4" r="C79"/>
  <c i="4" r="C89"/>
  <c i="4" r="C99"/>
  <c i="4" r="G18"/>
  <c i="4" r="C29"/>
  <c i="4" r="C37"/>
  <c i="4" r="C45"/>
  <c i="4" r="C53"/>
  <c i="4" r="C61"/>
  <c i="4" r="C69"/>
  <c i="4" r="C77"/>
  <c i="4" r="C85"/>
  <c i="4" r="C93"/>
  <c i="4" r="C101"/>
  <c i="4" r="G34"/>
  <c i="4" r="G66"/>
  <c i="4" r="G12"/>
  <c i="4" r="G20"/>
  <c i="4" r="G28"/>
  <c i="4" r="G36"/>
  <c i="4" r="G44"/>
  <c i="4" r="G52"/>
  <c i="4" r="G60"/>
  <c i="4" r="G68"/>
  <c i="4" r="G82"/>
  <c i="4" r="G98"/>
  <c i="4" r="G26"/>
  <c i="4" r="G42"/>
  <c i="4" r="G50"/>
  <c i="4" r="G58"/>
  <c i="4" r="G78"/>
  <c i="4" r="G94"/>
  <c i="4" r="G16"/>
  <c i="4" r="G24"/>
  <c i="4" r="G32"/>
  <c i="4" r="G40"/>
  <c i="4" r="G48"/>
  <c i="4" r="G56"/>
  <c i="4" r="G64"/>
  <c i="4" r="G74"/>
  <c i="4" r="G90"/>
  <c i="4" r="G14"/>
  <c i="4" r="G22"/>
  <c i="4" r="G30"/>
  <c i="4" r="G38"/>
  <c i="4" r="G46"/>
  <c i="4" r="G54"/>
  <c i="4" r="G62"/>
  <c i="4" r="G70"/>
  <c i="4" r="G86"/>
  <c i="4" r="G102"/>
  <c i="4" r="G72"/>
  <c i="4" r="G76"/>
  <c i="4" r="G80"/>
  <c i="4" r="G84"/>
  <c i="4" r="G88"/>
  <c i="4" r="G92"/>
  <c i="4" r="G96"/>
  <c i="4" r="G100"/>
  <c i="3" r="G13"/>
  <c i="3" r="G17"/>
  <c i="3" r="G21"/>
  <c i="3" r="G25"/>
  <c i="3" r="G29"/>
  <c i="3" r="G33"/>
  <c i="3" r="G37"/>
  <c i="3" r="G41"/>
  <c i="3" r="G45"/>
  <c i="3" r="G49"/>
  <c i="3" r="G53"/>
  <c i="3" r="G57"/>
  <c i="3" r="G61"/>
  <c i="3" r="G65"/>
  <c i="3" r="G69"/>
  <c i="3" r="G73"/>
  <c i="3" r="G77"/>
  <c i="3" r="G81"/>
  <c i="3" r="G85"/>
  <c i="3" r="G89"/>
  <c i="3" r="G93"/>
  <c i="3" r="G97"/>
  <c i="3" r="G101"/>
  <c i="3" r="G11"/>
  <c i="3" r="G15"/>
  <c i="3" r="G19"/>
  <c i="3" r="G23"/>
  <c i="3" r="G27"/>
  <c i="3" r="G31"/>
  <c i="3" r="G35"/>
  <c i="3" r="G39"/>
  <c i="3" r="G43"/>
  <c i="3" r="G47"/>
  <c i="3" r="G51"/>
  <c i="3" r="G55"/>
  <c i="3" r="G59"/>
  <c i="3" r="G63"/>
  <c i="3" r="G67"/>
  <c i="3" r="G71"/>
  <c i="3" r="G75"/>
  <c i="3" r="G79"/>
  <c i="3" r="G83"/>
  <c i="3" r="G87"/>
  <c i="3" r="G91"/>
  <c i="3" r="G95"/>
  <c i="3" r="G99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C102"/>
  <c i="3" r="C98"/>
  <c i="3" r="C94"/>
  <c i="3" r="C92"/>
  <c i="3" r="C88"/>
  <c i="3" r="C84"/>
  <c i="3" r="C78"/>
  <c i="3" r="C74"/>
  <c i="3" r="C66"/>
  <c i="3" r="C34"/>
  <c i="3" r="C11"/>
  <c i="3" r="C100"/>
  <c i="3" r="C96"/>
  <c i="3" r="C90"/>
  <c i="3" r="C86"/>
  <c i="3" r="C82"/>
  <c i="3" r="C80"/>
  <c i="3" r="C76"/>
  <c i="3" r="C72"/>
  <c i="3" r="C70"/>
  <c i="3" r="C68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2"/>
  <c i="3" r="C30"/>
  <c i="3" r="C28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6" l="1" r="D54"/>
  <c i="6" r="E54" s="1"/>
  <c i="6" r="D78"/>
  <c i="6" r="E78" s="1"/>
  <c i="6" r="D102"/>
  <c i="6" r="E102" s="1"/>
  <c i="6" r="D126"/>
  <c i="6" r="E126" s="1"/>
  <c i="6" r="D55"/>
  <c i="6" r="E55" s="1"/>
  <c i="6" r="D79"/>
  <c i="6" r="E79" s="1"/>
  <c i="6" r="D103"/>
  <c i="6" r="E103" s="1"/>
  <c i="6" r="D127"/>
  <c i="6" r="E127" s="1"/>
  <c i="6" r="D56"/>
  <c i="6" r="E56" s="1"/>
  <c i="6" r="D80"/>
  <c i="6" r="E80" s="1"/>
  <c i="6" r="D104"/>
  <c i="6" r="E104" s="1"/>
  <c i="6" r="D128"/>
  <c i="6" r="E128" s="1"/>
  <c i="6" r="D57"/>
  <c i="6" r="E57" s="1"/>
  <c i="6" r="D81"/>
  <c i="6" r="E81" s="1"/>
  <c i="6" r="D105"/>
  <c i="6" r="E105" s="1"/>
  <c i="6" r="D129"/>
  <c i="6" r="E129" s="1"/>
  <c i="6" r="D58"/>
  <c i="6" r="E58" s="1"/>
  <c i="6" r="D82"/>
  <c i="6" r="E82" s="1"/>
  <c i="6" r="D106"/>
  <c i="6" r="E106" s="1"/>
  <c i="6" r="D130"/>
  <c i="6" r="E130" s="1"/>
  <c i="6" r="D125"/>
  <c i="6" r="E125" s="1"/>
  <c i="6" r="D59"/>
  <c i="6" r="E59" s="1"/>
  <c i="6" r="D83"/>
  <c i="6" r="E83" s="1"/>
  <c i="6" r="D107"/>
  <c i="6" r="E107" s="1"/>
  <c i="6" r="D131"/>
  <c i="6" r="E131" s="1"/>
  <c i="6" r="D60"/>
  <c i="6" r="E60" s="1"/>
  <c i="6" r="D84"/>
  <c i="6" r="E84" s="1"/>
  <c i="6" r="D108"/>
  <c i="6" r="E108" s="1"/>
  <c i="6" r="D132"/>
  <c i="6" r="E132" s="1"/>
  <c i="6" r="D61"/>
  <c i="6" r="E61" s="1"/>
  <c i="6" r="D85"/>
  <c i="6" r="E85" s="1"/>
  <c i="6" r="D109"/>
  <c i="6" r="E109" s="1"/>
  <c i="6" r="D133"/>
  <c i="6" r="E133" s="1"/>
  <c i="6" r="D62"/>
  <c i="6" r="E62" s="1"/>
  <c i="6" r="D86"/>
  <c i="6" r="E86" s="1"/>
  <c i="6" r="D110"/>
  <c i="6" r="E110" s="1"/>
  <c i="6" r="D134"/>
  <c i="6" r="E134" s="1"/>
  <c i="6" r="D63"/>
  <c i="6" r="E63" s="1"/>
  <c i="6" r="D87"/>
  <c i="6" r="E87" s="1"/>
  <c i="6" r="D111"/>
  <c i="6" r="E111" s="1"/>
  <c i="6" r="D135"/>
  <c i="6" r="E135" s="1"/>
  <c i="6" r="D64"/>
  <c i="6" r="E64" s="1"/>
  <c i="6" r="D88"/>
  <c i="6" r="E88" s="1"/>
  <c i="6" r="D112"/>
  <c i="6" r="E112" s="1"/>
  <c i="6" r="D136"/>
  <c i="6" r="E136" s="1"/>
  <c i="6" r="D53"/>
  <c i="6" r="E53" s="1"/>
  <c i="6" r="D77"/>
  <c i="6" r="E77" s="1"/>
  <c i="6" r="D65"/>
  <c i="6" r="E65" s="1"/>
  <c i="6" r="D89"/>
  <c i="6" r="E89" s="1"/>
  <c i="6" r="D113"/>
  <c i="6" r="E113" s="1"/>
  <c i="6" r="D137"/>
  <c i="6" r="E137" s="1"/>
  <c i="6" r="D66"/>
  <c i="6" r="E66" s="1"/>
  <c i="6" r="D90"/>
  <c i="6" r="E90" s="1"/>
  <c i="6" r="D114"/>
  <c i="6" r="E114" s="1"/>
  <c i="6" r="D138"/>
  <c i="6" r="E138" s="1"/>
  <c i="6" r="D67"/>
  <c i="6" r="E67" s="1"/>
  <c i="6" r="D91"/>
  <c i="6" r="E91" s="1"/>
  <c i="6" r="D115"/>
  <c i="6" r="E115" s="1"/>
  <c i="6" r="D139"/>
  <c i="6" r="E139" s="1"/>
  <c i="6" r="D68"/>
  <c i="6" r="E68" s="1"/>
  <c i="6" r="D92"/>
  <c i="6" r="E92" s="1"/>
  <c i="6" r="D116"/>
  <c i="6" r="E116" s="1"/>
  <c i="6" r="D140"/>
  <c i="6" r="E140" s="1"/>
  <c i="6" r="D69"/>
  <c i="6" r="E69" s="1"/>
  <c i="6" r="D93"/>
  <c i="6" r="E93" s="1"/>
  <c i="6" r="D117"/>
  <c i="6" r="E117" s="1"/>
  <c i="6" r="D141"/>
  <c i="6" r="E141" s="1"/>
  <c i="6" r="D70"/>
  <c i="6" r="E70" s="1"/>
  <c i="6" r="D94"/>
  <c i="6" r="E94" s="1"/>
  <c i="6" r="D118"/>
  <c i="6" r="E118" s="1"/>
  <c i="6" r="D142"/>
  <c i="6" r="E142" s="1"/>
  <c i="6" r="D71"/>
  <c i="6" r="E71" s="1"/>
  <c i="6" r="D95"/>
  <c i="6" r="E95" s="1"/>
  <c i="6" r="D119"/>
  <c i="6" r="E119" s="1"/>
  <c i="6" r="D72"/>
  <c i="6" r="E72" s="1"/>
  <c i="6" r="D96"/>
  <c i="6" r="E96" s="1"/>
  <c i="6" r="D120"/>
  <c i="6" r="E120" s="1"/>
  <c i="6" r="D73"/>
  <c i="6" r="E73" s="1"/>
  <c i="6" r="D97"/>
  <c i="6" r="E97" s="1"/>
  <c i="6" r="D121"/>
  <c i="6" r="E121" s="1"/>
  <c i="6" r="D101"/>
  <c i="6" r="E101" s="1"/>
  <c i="6" r="D74"/>
  <c i="6" r="E74" s="1"/>
  <c i="6" r="D98"/>
  <c i="6" r="E98" s="1"/>
  <c i="6" r="D122"/>
  <c i="6" r="E122" s="1"/>
  <c i="6" r="D75"/>
  <c i="6" r="E75" s="1"/>
  <c i="6" r="D99"/>
  <c i="6" r="E99" s="1"/>
  <c i="6" r="D123"/>
  <c i="6" r="E123" s="1"/>
  <c i="6" r="D76"/>
  <c i="6" r="E76" s="1"/>
  <c i="6" r="D100"/>
  <c i="6" r="E100" s="1"/>
  <c i="6" r="D124"/>
  <c i="6" r="E124" s="1"/>
  <c i="1" r="S35"/>
  <c i="1" r="S36"/>
  <c i="1" r="S38"/>
  <c i="1" r="S37"/>
  <c i="1" r="S39"/>
  <c i="1" r="S34"/>
  <c i="1" r="R39"/>
  <c i="1" r="N39"/>
  <c i="1" r="S33"/>
  <c i="1" r="Q39"/>
  <c i="1" r="P39"/>
  <c i="1" r="O39"/>
  <c i="1" r="M39"/>
  <c i="1" r="F28"/>
  <c i="1" r="G28"/>
  <c i="1" r="U39"/>
  <c i="1" r="S41"/>
  <c i="1" r="J27"/>
  <c i="1" r="U35"/>
  <c i="1" r="Q41"/>
  <c i="1" r="R41"/>
  <c i="1" r="I28"/>
  <c i="1" r="J21"/>
  <c i="1" r="Q38"/>
  <c i="1" r="N41"/>
  <c i="1" r="Q34"/>
  <c i="1" r="O34"/>
  <c i="1" r="M34"/>
  <c i="1" r="P33"/>
  <c i="1" r="O33"/>
  <c i="1" r="Q33"/>
  <c i="1" r="U34"/>
  <c i="1" r="J22"/>
  <c i="1" r="D28"/>
  <c i="1" r="M37"/>
  <c i="1" r="U41"/>
  <c i="1" r="T41"/>
  <c i="1" r="U37"/>
  <c i="1" r="P37"/>
  <c i="1" r="N37"/>
  <c i="1" r="R37"/>
  <c i="1" r="R35"/>
  <c i="1" r="N35"/>
  <c i="1" r="M35"/>
  <c i="1" r="O37"/>
  <c i="1" r="O35"/>
  <c i="1" r="Q37"/>
  <c i="1" r="U38"/>
  <c i="1" r="Q35"/>
  <c i="1" r="O38"/>
  <c i="1" r="P35"/>
  <c i="1" r="N38"/>
  <c i="1" r="M38"/>
  <c i="1" r="R34"/>
  <c i="1" r="E28"/>
  <c i="1" r="N33"/>
  <c i="1" r="B28"/>
  <c i="1" r="J20"/>
  <c i="1" r="O36"/>
  <c i="1" r="P34"/>
  <c i="1" r="R38"/>
  <c i="1" r="C28"/>
  <c i="1" r="U33"/>
  <c i="1" r="N34"/>
  <c i="1" r="U36"/>
  <c i="1" r="M33"/>
  <c i="1" r="N36"/>
  <c i="1" r="M36"/>
  <c i="1" r="P41"/>
  <c i="1" r="O41"/>
  <c i="1" r="Q36"/>
  <c i="1" r="P38"/>
  <c i="1" r="R33"/>
  <c i="1" r="M41"/>
  <c i="1" r="R36"/>
  <c i="1" r="P36"/>
  <c i="1" l="1" r="J28"/>
  <c i="1" l="1" r="G39"/>
  <c i="1" r="AC39" s="1"/>
  <c i="1" r="D39"/>
  <c i="1" r="Z39" s="1"/>
  <c i="1" r="B39"/>
  <c i="1" r="X39" s="1"/>
  <c i="1" r="H39"/>
  <c i="1" r="AD39" s="1"/>
  <c i="1" r="E39"/>
  <c i="1" r="AA39" s="1"/>
  <c i="1" r="C39"/>
  <c i="1" r="Y39" s="1"/>
  <c i="1" r="F39"/>
  <c i="1" r="AB39" s="1"/>
  <c i="1" r="H33"/>
  <c i="1" r="AD33" s="1"/>
  <c i="1" r="H36"/>
  <c i="1" r="AD36" s="1"/>
  <c i="1" r="H38"/>
  <c i="1" r="AD38" s="1"/>
  <c i="1" r="H37"/>
  <c i="1" r="AD37" s="1"/>
  <c i="1" r="H35"/>
  <c i="1" r="AD35" s="1"/>
  <c i="1" r="H34"/>
  <c i="1" r="AD34" s="1"/>
  <c i="1" r="J40"/>
  <c i="1" r="G38"/>
  <c i="1" r="J39"/>
  <c i="1" r="AF39" s="1"/>
  <c i="1" r="G37"/>
  <c i="1" r="AC37" s="1"/>
  <c i="1" r="G35"/>
  <c i="1" r="AC35" s="1"/>
  <c i="1" r="G34"/>
  <c i="1" r="AC34" s="1"/>
  <c i="1" r="G36"/>
  <c i="1" r="AC36" s="1"/>
  <c i="1" r="H41"/>
  <c i="1" r="AD41" s="1"/>
  <c i="1" r="J35"/>
  <c i="1" r="AF35" s="1"/>
  <c i="1" r="G41"/>
  <c i="1" r="AC41" s="1"/>
  <c i="1" r="F41"/>
  <c i="1" r="AB41" s="1"/>
  <c i="1" r="B41"/>
  <c i="1" r="X41" s="1"/>
  <c i="1" r="C41"/>
  <c i="1" r="Y41" s="1"/>
  <c i="1" r="D37"/>
  <c i="1" r="Z37" s="1"/>
  <c i="1" r="C38"/>
  <c i="1" r="Y38" s="1"/>
  <c i="1" r="C36"/>
  <c i="1" r="Y36" s="1"/>
  <c i="1" r="F37"/>
  <c i="1" r="AB37" s="1"/>
  <c i="1" r="E37"/>
  <c i="1" r="AA37" s="1"/>
  <c i="1" r="D36"/>
  <c i="1" r="Z36" s="1"/>
  <c i="1" r="C37"/>
  <c i="1" r="Y37" s="1"/>
  <c i="1" r="J41"/>
  <c i="1" r="AF41" s="1"/>
  <c i="1" r="F36"/>
  <c i="1" r="AB36" s="1"/>
  <c i="1" r="C34"/>
  <c i="1" r="Y34" s="1"/>
  <c i="1" r="D38"/>
  <c i="1" r="Z38" s="1"/>
  <c i="1" r="F38"/>
  <c i="1" r="AB38" s="1"/>
  <c i="1" r="B38"/>
  <c i="1" r="X38" s="1"/>
  <c i="1" r="J38"/>
  <c i="1" r="AF38" s="1"/>
  <c i="1" r="E38"/>
  <c i="1" r="AA38" s="1"/>
  <c i="1" r="J36"/>
  <c i="1" r="AF36" s="1"/>
  <c i="1" r="E34"/>
  <c i="1" r="AA34" s="1"/>
  <c i="1" r="D34"/>
  <c i="1" r="Z34" s="1"/>
  <c i="1" r="AC38"/>
  <c i="1" r="I41"/>
  <c i="1" r="AE41" s="1"/>
  <c i="1" r="B37"/>
  <c i="1" r="X37" s="1"/>
  <c i="1" r="B36"/>
  <c i="1" r="X36" s="1"/>
  <c i="1" r="J37"/>
  <c i="1" r="AF37" s="1"/>
  <c i="1" r="E36"/>
  <c i="1" r="AA36" s="1"/>
  <c i="1" r="F34"/>
  <c i="1" r="AB34" s="1"/>
  <c i="1" r="B34"/>
  <c i="1" r="X34" s="1"/>
  <c i="1" r="J34"/>
  <c i="1" r="AF34" s="1"/>
  <c i="1" r="B35"/>
  <c i="1" r="X35" s="1"/>
  <c i="1" r="B33"/>
  <c i="1" r="X33" s="1"/>
  <c i="1" r="G33"/>
  <c i="1" r="AC33" s="1"/>
  <c i="1" r="D35"/>
  <c i="1" r="Z35" s="1"/>
  <c i="1" r="C35"/>
  <c i="1" r="Y35" s="1"/>
  <c i="1" r="E35"/>
  <c i="1" r="AA35" s="1"/>
  <c i="1" r="F33"/>
  <c i="1" r="AB33" s="1"/>
  <c i="1" r="F35"/>
  <c i="1" r="AB35" s="1"/>
  <c i="1" r="E33"/>
  <c i="1" r="AA33" s="1"/>
  <c i="1" r="D33"/>
  <c i="1" r="Z33" s="1"/>
  <c i="1" r="C33"/>
  <c i="1" r="Y33" s="1"/>
  <c i="1" r="J33"/>
  <c i="1" r="AF33" s="1"/>
  <c i="1" r="E41"/>
  <c i="1" r="AA41" s="1"/>
  <c i="1" r="D41"/>
  <c i="1" r="Z41" s="1"/>
  <c i="6" l="1" r="Q52"/>
  <c i="6" r="Q53"/>
</calcChain>
</file>

<file path=xl/sharedStrings.xml><?xml version="1.0" encoding="utf-8"?>
<sst xmlns="http://schemas.openxmlformats.org/spreadsheetml/2006/main" count="722" uniqueCount="349">
  <si>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</si>
  <si>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</si>
  <si>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</si>
  <si>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</si>
  <si>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</si>
  <si>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</si>
  <si>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</si>
  <si>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</si>
  <si>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</si>
  <si>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</si>
  <si>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</si>
  <si>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</si>
  <si>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</si>
  <si>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</si>
  <si>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</si>
  <si>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</si>
  <si>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</si>
  <si>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</si>
  <si>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</si>
  <si>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</si>
  <si>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</si>
  <si>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</si>
  <si>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</si>
  <si>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</si>
  <si>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</si>
  <si>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</si>
  <si>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</si>
  <si>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</si>
  <si>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</si>
  <si>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</si>
  <si>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</si>
  <si>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</si>
  <si>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</si>
  <si>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ShoppingTour Flows by County: DaySim</t>
  </si>
  <si>
    <t>Table X. Estimated Shopping Tour Flows by County: DaySim</t>
  </si>
  <si>
    <t>Table X. Observed Trip Durations: Survey</t>
  </si>
  <si>
    <t>Survey</t>
  </si>
  <si>
    <t>Table X. Observed Trip Lengths: Survey</t>
  </si>
  <si>
    <t>Table X. Observed Shopping Tour Flows by County: Survey</t>
  </si>
  <si>
    <t>Table X. Adjusted Observed Shopping Tour Flows by County: Survey</t>
  </si>
  <si>
    <t>Table X. Adjusted Shopping Business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</si>
  <si>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</si>
  <si>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</si>
  <si>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</si>
  <si>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</si>
  <si>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</si>
  <si>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</si>
  <si>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</si>
  <si>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</si>
  <si>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</si>
  <si>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</si>
  <si>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</si>
  <si>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</si>
  <si>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</si>
  <si>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</si>
  <si>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</si>
  <si>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</si>
  <si>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</si>
  <si>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</si>
  <si>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</si>
  <si>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</si>
  <si>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</si>
  <si>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</si>
  <si>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</si>
  <si>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</si>
  <si>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</si>
  <si>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</si>
  <si>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</si>
  <si>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</si>
  <si>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</si>
  <si>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</si>
  <si>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</si>
  <si>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</si>
  <si>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</si>
  <si>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</si>
  <si>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</si>
  <si>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</si>
  <si>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</si>
  <si>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</si>
  <si>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</si>
  <si>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</si>
  <si>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</si>
  <si>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</si>
  <si>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</si>
  <si>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</si>
  <si>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</si>
  <si>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</si>
  <si>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</si>
  <si>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</si>
  <si>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</si>
  <si>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</si>
  <si>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</si>
  <si>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</si>
  <si>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</si>
  <si>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</si>
  <si>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</si>
  <si>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</si>
  <si>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</si>
  <si>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</si>
  <si>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</si>
  <si>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</si>
  <si>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</si>
  <si>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</si>
  <si>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</si>
  <si>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</si>
  <si>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</si>
  <si>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</si>
  <si>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</si>
  <si>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</si>
  <si>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</si>
  <si>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</si>
  <si>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</si>
  <si>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</si>
  <si>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</si>
  <si>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</si>
  <si>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</si>
  <si>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</si>
  <si>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</si>
  <si>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</si>
  <si>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</si>
  <si>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</si>
  <si>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</si>
  <si>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</si>
  <si>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</si>
  <si>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</si>
  <si>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</si>
  <si>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</si>
  <si>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</si>
  <si>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</si>
  <si>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</si>
  <si>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</si>
  <si>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</si>
  <si>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</si>
  <si>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</si>
  <si>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</si>
  <si>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</si>
  <si>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</si>
  <si>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</si>
  <si>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</si>
  <si>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</si>
  <si>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</si>
  <si>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</si>
  <si>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</si>
  <si>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</si>
  <si>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</si>
  <si>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</si>
  <si>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</si>
  <si>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</si>
  <si>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</si>
  <si>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</si>
  <si>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</si>
  <si>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</si>
  <si>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</si>
  <si>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</si>
  <si>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</si>
  <si>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</si>
  <si>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</si>
  <si>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</si>
  <si>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</si>
  <si>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</si>
  <si>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</si>
  <si>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</si>
  <si>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</si>
  <si>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</si>
  <si>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</si>
  <si>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</si>
  <si>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</si>
  <si>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</si>
  <si>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</si>
  <si>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</si>
  <si>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</si>
  <si>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</si>
  <si>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</si>
  <si>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</si>
  <si>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</si>
  <si>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</si>
  <si>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</si>
  <si>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</si>
  <si>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</si>
  <si>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</si>
  <si>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</si>
  <si>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</si>
  <si>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</si>
  <si>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</si>
  <si>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</si>
  <si>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</si>
  <si>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</si>
  <si>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</si>
  <si>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</si>
  <si>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</si>
  <si>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</si>
  <si>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</si>
  <si>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</si>
  <si>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</si>
  <si>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</si>
  <si>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</si>
  <si>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</si>
  <si>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</si>
  <si>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</si>
  <si>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</si>
  <si>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</si>
  <si>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</si>
  <si>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</si>
  <si>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</si>
  <si>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</si>
  <si>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</si>
  <si>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</si>
  <si>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</si>
  <si>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</si>
  <si>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</si>
  <si>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</si>
  <si>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</si>
  <si>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</si>
  <si>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</si>
  <si>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</si>
  <si>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</si>
  <si>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</si>
  <si>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</si>
  <si>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</si>
  <si>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</si>
  <si>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</si>
  <si>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</si>
  <si>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</si>
  <si>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</si>
  <si>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</si>
  <si>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</si>
  <si>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</si>
  <si>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</si>
  <si>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</si>
  <si>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</si>
  <si>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</si>
  <si>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</si>
  <si>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</si>
  <si>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</si>
  <si>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</si>
  <si>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</si>
  <si>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</si>
  <si>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</si>
  <si>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</si>
  <si>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</si>
  <si>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</si>
  <si>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</si>
  <si>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</si>
  <si>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</si>
  <si>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</si>
  <si>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</si>
  <si>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</si>
  <si>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</si>
  <si>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</si>
  <si>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</si>
  <si>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</si>
  <si>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</si>
  <si>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</si>
  <si>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</si>
  <si>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</si>
  <si>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Index</t>
  </si>
  <si>
    <t>CALIBRATION</t>
  </si>
  <si>
    <t>RATIO</t>
  </si>
  <si>
    <t>LN(RATIO)</t>
  </si>
  <si>
    <t>ADJ</t>
  </si>
  <si>
    <t>Damp</t>
  </si>
  <si>
    <t>OtherTourDestinationModel.F12</t>
  </si>
  <si>
    <t>Tag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</si>
  <si>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</si>
  <si>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</si>
  <si>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</si>
  <si>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</si>
  <si>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</si>
  <si>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</si>
  <si>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</si>
  <si>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</si>
  <si>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</si>
  <si>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</si>
  <si>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</si>
  <si>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</si>
  <si>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</si>
  <si>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</si>
  <si>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</si>
  <si>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Description</t>
  </si>
  <si>
    <t>ALL</t>
  </si>
  <si>
    <t>Beta00118</t>
  </si>
  <si>
    <t>Open "OtherTourDestinationModel.F12" in Notepad+</t>
  </si>
  <si>
    <t>svn</t>
  </si>
  <si>
    <t>v1799,</t>
  </si>
  <si>
    <t>alo</t>
  </si>
  <si>
    <t>v0601)</t>
  </si>
  <si>
    <t>Dec</t>
  </si>
  <si>
    <t>Beta000001</t>
  </si>
  <si>
    <t>Beta000002</t>
  </si>
  <si>
    <t>Beta000003</t>
  </si>
  <si>
    <t>Beta000004</t>
  </si>
  <si>
    <t>Beta000005</t>
  </si>
  <si>
    <t>Beta000006</t>
  </si>
  <si>
    <t>Beta000007</t>
  </si>
  <si>
    <t>Beta000008</t>
  </si>
  <si>
    <t>Beta000009</t>
  </si>
  <si>
    <t>Beta000010</t>
  </si>
  <si>
    <t>Beta000011</t>
  </si>
  <si>
    <t>Beta000012</t>
  </si>
  <si>
    <t>Beta000013</t>
  </si>
  <si>
    <t>Beta000014</t>
  </si>
  <si>
    <t>Beta000015</t>
  </si>
  <si>
    <t>Beta000016</t>
  </si>
  <si>
    <t>Beta000017</t>
  </si>
  <si>
    <t>Beta000018</t>
  </si>
  <si>
    <t>Beta000019</t>
  </si>
  <si>
    <t>Beta000020</t>
  </si>
  <si>
    <t>Beta000021</t>
  </si>
  <si>
    <t>Beta000022</t>
  </si>
  <si>
    <t>Beta000023</t>
  </si>
  <si>
    <t>Beta000024</t>
  </si>
  <si>
    <t>Beta000025</t>
  </si>
  <si>
    <t>Beta000026</t>
  </si>
  <si>
    <t>Beta000027</t>
  </si>
  <si>
    <t>Beta000028</t>
  </si>
  <si>
    <t>Beta000029</t>
  </si>
  <si>
    <t>Beta000030</t>
  </si>
  <si>
    <t>Beta000031</t>
  </si>
  <si>
    <t>Beta000032</t>
  </si>
  <si>
    <t>Beta000033</t>
  </si>
  <si>
    <t>Beta000034</t>
  </si>
  <si>
    <t>Beta000035</t>
  </si>
  <si>
    <t>Beta000036</t>
  </si>
  <si>
    <t>Beta000037</t>
  </si>
  <si>
    <t>Beta000038</t>
  </si>
  <si>
    <t>Beta000039</t>
  </si>
  <si>
    <t>Beta000040</t>
  </si>
  <si>
    <t>Beta000041</t>
  </si>
  <si>
    <t>Beta000042</t>
  </si>
  <si>
    <t>Beta000043</t>
  </si>
  <si>
    <t>Beta000044</t>
  </si>
  <si>
    <t>Beta000045</t>
  </si>
  <si>
    <t>Beta000046</t>
  </si>
  <si>
    <t>Beta000047</t>
  </si>
  <si>
    <t>Beta000048</t>
  </si>
  <si>
    <t>Beta000049</t>
  </si>
  <si>
    <t>Beta000050</t>
  </si>
  <si>
    <t>Beta000051</t>
  </si>
  <si>
    <t>Beta000052</t>
  </si>
  <si>
    <t>Beta000053</t>
  </si>
  <si>
    <t>Beta000054</t>
  </si>
  <si>
    <t>Beta000055</t>
  </si>
  <si>
    <t>Beta000056</t>
  </si>
  <si>
    <t>Beta000057</t>
  </si>
  <si>
    <t>022:02:22</t>
  </si>
  <si>
    <t>Adjust</t>
  </si>
  <si>
    <t>Distance</t>
  </si>
  <si>
    <t>LN(Distance)</t>
  </si>
  <si>
    <t>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</si>
</sst>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  <numFmt numFmtId="172" formatCode="0.00000000"/>
    <numFmt numFmtId="173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391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ill="1" applyFont="1" applyNumberFormat="1" borderId="0" fillId="5" fontId="0" numFmtId="171" xfId="0">
      <alignment horizontal="right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ont="1" borderId="0" fillId="0" fontId="8" numFmtId="0" xfId="0"/>
    <xf applyBorder="1" applyFill="1" applyFont="1" borderId="6" fillId="6" fontId="5" numFmtId="0" xfId="0"/>
    <xf applyBorder="1" applyFill="1" applyFont="1" borderId="7" fillId="6" fontId="7" numFmtId="0" xfId="0"/>
    <xf applyBorder="1" applyFill="1" applyFont="1" borderId="8" fillId="6" fontId="7" numFmtId="0" xfId="0"/>
    <xf applyBorder="1" applyFill="1" applyFont="1" borderId="9" fillId="6" fontId="7" numFmtId="0" xfId="0"/>
    <xf applyBorder="1" applyFill="1" applyFont="1" borderId="0" fillId="6" fontId="7" numFmtId="0" xfId="0"/>
    <xf applyBorder="1" applyFill="1" applyFont="1" borderId="10" fillId="6" fontId="7" numFmtId="0" xfId="0"/>
    <xf applyBorder="1" applyFill="1" applyFont="1" borderId="11" fillId="6" fontId="7" numFmtId="0" xfId="0"/>
    <xf applyBorder="1" applyFill="1" applyFont="1" borderId="3" fillId="6" fontId="7" numFmtId="0" xfId="0"/>
    <xf applyBorder="1" applyFill="1" applyFont="1" borderId="12" fillId="6" fontId="7" numFmtId="0" xfId="0"/>
    <xf applyFill="1" applyFont="1" applyNumberFormat="1" borderId="0" fillId="0" fontId="0" numFmtId="166" xfId="0"/>
    <xf applyAlignment="1" applyFill="1" applyFont="1" applyNumberFormat="1" borderId="0" fillId="7" fontId="7" numFmtId="166" xfId="0">
      <alignment horizontal="right"/>
    </xf>
    <xf applyAlignment="1" applyBorder="1" applyFill="1" applyFont="1" applyNumberFormat="1" borderId="1" fillId="7" fontId="7" numFmtId="166" xfId="0">
      <alignment horizontal="right"/>
    </xf>
    <xf applyAlignment="1" applyBorder="1" applyFont="1" applyNumberFormat="1" borderId="7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Border="1" borderId="3" fillId="0" fontId="0" numFmtId="0" xfId="0"/>
    <xf applyAlignment="1" applyBorder="1" borderId="3" fillId="0" fontId="0" numFmtId="0" xfId="0">
      <alignment horizontal="center" vertical="top"/>
    </xf>
    <xf applyNumberFormat="1" borderId="0" fillId="0" fontId="0" numFmtId="173" xfId="0"/>
    <xf applyFont="1" borderId="0" fillId="0" fontId="0" numFmtId="9" xfId="9"/>
    <xf applyBorder="1" applyFont="1" borderId="0" fillId="0" fontId="0" numFmtId="0" xfId="0"/>
    <xf applyAlignment="1" applyBorder="1" applyFont="1" applyNumberFormat="1" borderId="0" fillId="0" fontId="0" numFmtId="1" xfId="0">
      <alignment horizontal="right"/>
    </xf>
    <xf applyAlignment="1" applyBorder="1" borderId="0" fillId="0" fontId="0" numFmtId="0" xfId="0">
      <alignment horizontal="center" vertical="top"/>
    </xf>
    <xf applyAlignment="1" applyBorder="1" borderId="0" fillId="0" fontId="0" numFmtId="0" xfId="0">
      <alignment horizontal="center"/>
    </xf>
    <xf applyBorder="1" applyFont="1" borderId="0" fillId="0" fontId="0" numFmtId="9" xfId="9"/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haredStrings.xml" Type="http://schemas.openxmlformats.org/officeDocument/2006/relationships/sharedStrings"/>
<Relationship Id="rId11" Target="calcChain.xml" Type="http://schemas.openxmlformats.org/officeDocument/2006/relationships/calcChain"/>
<Relationship Id="rId12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theme/theme1.xml" Type="http://schemas.openxmlformats.org/officeDocument/2006/relationships/theme"/>
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Shopping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0.20537558436890072</c:v>
                </c:pt>
                <c:pt idx="1">
                  <c:v>0.18275924172713642</c:v>
                </c:pt>
                <c:pt idx="2">
                  <c:v>0.13066785795283159</c:v>
                </c:pt>
                <c:pt idx="3">
                  <c:v>0.13122582416953446</c:v>
                </c:pt>
                <c:pt idx="4">
                  <c:v>6.2545757378655156E-2</c:v>
                </c:pt>
                <c:pt idx="5">
                  <c:v>5.4886256731657042E-2</c:v>
                </c:pt>
                <c:pt idx="6">
                  <c:v>4.6111755551511716E-2</c:v>
                </c:pt>
                <c:pt idx="7">
                  <c:v>2.5906786976567765E-2</c:v>
                </c:pt>
                <c:pt idx="8">
                  <c:v>2.7143271068123167E-2</c:v>
                </c:pt>
                <c:pt idx="9">
                  <c:v>2.2144361416909474E-2</c:v>
                </c:pt>
                <c:pt idx="10">
                  <c:v>1.1220564567833454E-2</c:v>
                </c:pt>
                <c:pt idx="11">
                  <c:v>1.532144586831851E-2</c:v>
                </c:pt>
                <c:pt idx="12">
                  <c:v>1.6901464866370283E-2</c:v>
                </c:pt>
                <c:pt idx="13">
                  <c:v>5.2920227430139598E-3</c:v>
                </c:pt>
                <c:pt idx="14">
                  <c:v>1.2627631015369418E-2</c:v>
                </c:pt>
                <c:pt idx="15">
                  <c:v>1.1154429211487193E-2</c:v>
                </c:pt>
                <c:pt idx="16">
                  <c:v>2.0270304653809659E-3</c:v>
                </c:pt>
                <c:pt idx="17">
                  <c:v>7.2175332430542702E-3</c:v>
                </c:pt>
                <c:pt idx="18">
                  <c:v>1.1907049574486324E-3</c:v>
                </c:pt>
                <c:pt idx="19">
                  <c:v>1.4723501721389961E-3</c:v>
                </c:pt>
                <c:pt idx="20">
                  <c:v>2.4657487024274663E-3</c:v>
                </c:pt>
                <c:pt idx="21">
                  <c:v>1.1802485249092316E-2</c:v>
                </c:pt>
                <c:pt idx="22">
                  <c:v>1.3160690217897561E-4</c:v>
                </c:pt>
                <c:pt idx="23">
                  <c:v>2.2594146593858129E-4</c:v>
                </c:pt>
                <c:pt idx="24">
                  <c:v>1.3152789319181548E-4</c:v>
                </c:pt>
                <c:pt idx="25">
                  <c:v>0</c:v>
                </c:pt>
                <c:pt idx="26">
                  <c:v>2.7000560823681593E-3</c:v>
                </c:pt>
                <c:pt idx="27">
                  <c:v>0</c:v>
                </c:pt>
                <c:pt idx="28">
                  <c:v>4.5807018186700095E-5</c:v>
                </c:pt>
                <c:pt idx="29">
                  <c:v>1.1987665811821411E-5</c:v>
                </c:pt>
                <c:pt idx="30">
                  <c:v>6.9843279168234647E-5</c:v>
                </c:pt>
                <c:pt idx="31">
                  <c:v>0</c:v>
                </c:pt>
                <c:pt idx="32">
                  <c:v>0</c:v>
                </c:pt>
                <c:pt idx="33">
                  <c:v>7.6832118984312568E-5</c:v>
                </c:pt>
                <c:pt idx="34">
                  <c:v>4.2651945962264943E-3</c:v>
                </c:pt>
                <c:pt idx="35">
                  <c:v>0</c:v>
                </c:pt>
                <c:pt idx="36">
                  <c:v>1.7209010472868017E-4</c:v>
                </c:pt>
                <c:pt idx="37">
                  <c:v>3.4700864435359771E-4</c:v>
                </c:pt>
                <c:pt idx="38">
                  <c:v>1.5884030189181309E-3</c:v>
                </c:pt>
                <c:pt idx="39">
                  <c:v>0</c:v>
                </c:pt>
                <c:pt idx="40">
                  <c:v>0</c:v>
                </c:pt>
                <c:pt idx="41">
                  <c:v>2.6928717967525453E-3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8.07210094294261E-5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A-445B-8E41-C9F7C4E75D3F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0.10757262407873074</c:v>
                </c:pt>
                <c:pt idx="1">
                  <c:v>0.2080324448013593</c:v>
                </c:pt>
                <c:pt idx="2">
                  <c:v>0.1847840578946226</c:v>
                </c:pt>
                <c:pt idx="3">
                  <c:v>0.12043706223237845</c:v>
                </c:pt>
                <c:pt idx="4">
                  <c:v>8.4990868698394187E-2</c:v>
                </c:pt>
                <c:pt idx="5">
                  <c:v>6.5953112549105936E-2</c:v>
                </c:pt>
                <c:pt idx="6">
                  <c:v>4.8121494370839367E-2</c:v>
                </c:pt>
                <c:pt idx="7">
                  <c:v>3.4230753727710478E-2</c:v>
                </c:pt>
                <c:pt idx="8">
                  <c:v>2.6786184914283587E-2</c:v>
                </c:pt>
                <c:pt idx="9">
                  <c:v>1.8470344198910443E-2</c:v>
                </c:pt>
                <c:pt idx="10">
                  <c:v>1.5103079837651969E-2</c:v>
                </c:pt>
                <c:pt idx="11">
                  <c:v>1.2771419801126763E-2</c:v>
                </c:pt>
                <c:pt idx="12">
                  <c:v>1.0613394022640667E-2</c:v>
                </c:pt>
                <c:pt idx="13">
                  <c:v>9.3731493223613016E-3</c:v>
                </c:pt>
                <c:pt idx="14">
                  <c:v>7.6585110242250792E-3</c:v>
                </c:pt>
                <c:pt idx="15">
                  <c:v>6.6477115934973968E-3</c:v>
                </c:pt>
                <c:pt idx="16">
                  <c:v>5.5035858574896826E-3</c:v>
                </c:pt>
                <c:pt idx="17">
                  <c:v>4.2292344279526353E-3</c:v>
                </c:pt>
                <c:pt idx="18">
                  <c:v>3.6401181953199368E-3</c:v>
                </c:pt>
                <c:pt idx="19">
                  <c:v>3.3610631377570797E-3</c:v>
                </c:pt>
                <c:pt idx="20">
                  <c:v>2.6944316113569206E-3</c:v>
                </c:pt>
                <c:pt idx="21">
                  <c:v>2.6944316113569206E-3</c:v>
                </c:pt>
                <c:pt idx="22">
                  <c:v>2.1425227197326034E-3</c:v>
                </c:pt>
                <c:pt idx="23">
                  <c:v>1.8045560389064763E-3</c:v>
                </c:pt>
                <c:pt idx="24">
                  <c:v>1.7580468626460001E-3</c:v>
                </c:pt>
                <c:pt idx="25">
                  <c:v>1.6185193338645715E-3</c:v>
                </c:pt>
                <c:pt idx="26">
                  <c:v>1.1844336887667937E-3</c:v>
                </c:pt>
                <c:pt idx="27">
                  <c:v>1.0635098304895556E-3</c:v>
                </c:pt>
                <c:pt idx="28">
                  <c:v>8.9917740770253972E-4</c:v>
                </c:pt>
                <c:pt idx="29">
                  <c:v>9.2398230170812696E-4</c:v>
                </c:pt>
                <c:pt idx="30">
                  <c:v>8.309639491871746E-4</c:v>
                </c:pt>
                <c:pt idx="31">
                  <c:v>4.8679604485965083E-4</c:v>
                </c:pt>
                <c:pt idx="32">
                  <c:v>4.5578992735266667E-4</c:v>
                </c:pt>
                <c:pt idx="33">
                  <c:v>4.4648809210057146E-4</c:v>
                </c:pt>
                <c:pt idx="34">
                  <c:v>3.7827463358520638E-4</c:v>
                </c:pt>
                <c:pt idx="35">
                  <c:v>2.5114955180657145E-4</c:v>
                </c:pt>
                <c:pt idx="36">
                  <c:v>2.8215566931355556E-4</c:v>
                </c:pt>
                <c:pt idx="37">
                  <c:v>2.1704282254888889E-4</c:v>
                </c:pt>
                <c:pt idx="38">
                  <c:v>2.1704282254888889E-4</c:v>
                </c:pt>
                <c:pt idx="39">
                  <c:v>1.6433242278701587E-4</c:v>
                </c:pt>
                <c:pt idx="40">
                  <c:v>1.5503058753492063E-4</c:v>
                </c:pt>
                <c:pt idx="41">
                  <c:v>1.2092385827723809E-4</c:v>
                </c:pt>
                <c:pt idx="42">
                  <c:v>1.2712508177863493E-4</c:v>
                </c:pt>
                <c:pt idx="43">
                  <c:v>9.6118964271650799E-5</c:v>
                </c:pt>
                <c:pt idx="44">
                  <c:v>7.1314070266063491E-5</c:v>
                </c:pt>
                <c:pt idx="45">
                  <c:v>5.8911623263269844E-5</c:v>
                </c:pt>
                <c:pt idx="46">
                  <c:v>2.1704282254888889E-5</c:v>
                </c:pt>
                <c:pt idx="47">
                  <c:v>4.3408564509777778E-5</c:v>
                </c:pt>
                <c:pt idx="48">
                  <c:v>4.650917626047619E-5</c:v>
                </c:pt>
                <c:pt idx="49">
                  <c:v>2.4804894005587301E-5</c:v>
                </c:pt>
                <c:pt idx="50">
                  <c:v>3.4106729257682543E-5</c:v>
                </c:pt>
                <c:pt idx="51">
                  <c:v>3.1006117506984131E-5</c:v>
                </c:pt>
                <c:pt idx="52">
                  <c:v>2.7905505756285716E-5</c:v>
                </c:pt>
                <c:pt idx="53">
                  <c:v>9.3018352520952387E-6</c:v>
                </c:pt>
                <c:pt idx="54">
                  <c:v>9.301835252095238E-5</c:v>
                </c:pt>
                <c:pt idx="55">
                  <c:v>5.8911623263269844E-5</c:v>
                </c:pt>
                <c:pt idx="56">
                  <c:v>4.650917626047619E-5</c:v>
                </c:pt>
                <c:pt idx="57">
                  <c:v>6.2012235013968252E-6</c:v>
                </c:pt>
                <c:pt idx="58">
                  <c:v>0</c:v>
                </c:pt>
                <c:pt idx="59">
                  <c:v>9.3018352520952387E-6</c:v>
                </c:pt>
                <c:pt idx="60">
                  <c:v>3.1006117506984126E-6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CA-445B-8E41-C9F7C4E75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109504"/>
        <c:axId val="163233792"/>
      </c:lineChart>
      <c:catAx>
        <c:axId val="209109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layout/>
          <c:overlay val="0"/>
        </c:title>
        <c:majorTickMark val="none"/>
        <c:minorTickMark val="none"/>
        <c:tickLblPos val="nextTo"/>
        <c:crossAx val="163233792"/>
        <c:crosses val="autoZero"/>
        <c:auto val="1"/>
        <c:lblAlgn val="ctr"/>
        <c:lblOffset val="100"/>
        <c:tickLblSkip val="10"/>
        <c:noMultiLvlLbl val="0"/>
      </c:catAx>
      <c:valAx>
        <c:axId val="16323379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 Share (%)</a:t>
                </a:r>
              </a:p>
            </c:rich>
          </c:tx>
          <c:layout/>
          <c:overlay val="0"/>
        </c:title>
        <c:numFmt formatCode="0%" sourceLinked="0"/>
        <c:majorTickMark val="none"/>
        <c:minorTickMark val="none"/>
        <c:tickLblPos val="nextTo"/>
        <c:crossAx val="209109504"/>
        <c:crosses val="autoZero"/>
        <c:crossBetween val="between"/>
        <c:majorUnit val="0.05"/>
        <c:minorUnit val="0.05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3.2979544946263484E-2</c:v>
                </c:pt>
                <c:pt idx="1">
                  <c:v>0.10820860282751557</c:v>
                </c:pt>
                <c:pt idx="2">
                  <c:v>0.10601462774395852</c:v>
                </c:pt>
                <c:pt idx="3">
                  <c:v>7.4205244396662456E-2</c:v>
                </c:pt>
                <c:pt idx="4">
                  <c:v>9.8531899038111243E-2</c:v>
                </c:pt>
                <c:pt idx="5">
                  <c:v>6.237634445044183E-2</c:v>
                </c:pt>
                <c:pt idx="6">
                  <c:v>7.4109874334352635E-2</c:v>
                </c:pt>
                <c:pt idx="7">
                  <c:v>9.255491002798201E-2</c:v>
                </c:pt>
                <c:pt idx="8">
                  <c:v>3.9575924726614066E-2</c:v>
                </c:pt>
                <c:pt idx="9">
                  <c:v>2.8442148884554298E-2</c:v>
                </c:pt>
                <c:pt idx="10">
                  <c:v>4.0882813291533843E-2</c:v>
                </c:pt>
                <c:pt idx="11">
                  <c:v>3.0743284104411735E-2</c:v>
                </c:pt>
                <c:pt idx="12">
                  <c:v>2.9700517163509854E-2</c:v>
                </c:pt>
                <c:pt idx="13">
                  <c:v>2.2244537373706914E-2</c:v>
                </c:pt>
                <c:pt idx="14">
                  <c:v>1.8865572139371917E-2</c:v>
                </c:pt>
                <c:pt idx="15">
                  <c:v>1.7642521814604139E-2</c:v>
                </c:pt>
                <c:pt idx="16">
                  <c:v>7.99178824015386E-3</c:v>
                </c:pt>
                <c:pt idx="17">
                  <c:v>1.4538004663961889E-2</c:v>
                </c:pt>
                <c:pt idx="18">
                  <c:v>1.0134293178676012E-2</c:v>
                </c:pt>
                <c:pt idx="19">
                  <c:v>3.8616766736558894E-3</c:v>
                </c:pt>
                <c:pt idx="20">
                  <c:v>4.7851456771059279E-3</c:v>
                </c:pt>
                <c:pt idx="21">
                  <c:v>7.3158856158647831E-3</c:v>
                </c:pt>
                <c:pt idx="22">
                  <c:v>3.9040478106025181E-4</c:v>
                </c:pt>
                <c:pt idx="23">
                  <c:v>3.3702463245992675E-3</c:v>
                </c:pt>
                <c:pt idx="24">
                  <c:v>5.1627752805194086E-3</c:v>
                </c:pt>
                <c:pt idx="25">
                  <c:v>1.4535300098954927E-2</c:v>
                </c:pt>
                <c:pt idx="26">
                  <c:v>7.8832033445701798E-3</c:v>
                </c:pt>
                <c:pt idx="27">
                  <c:v>1.1281390669903178E-3</c:v>
                </c:pt>
                <c:pt idx="28">
                  <c:v>1.02815079044215E-2</c:v>
                </c:pt>
                <c:pt idx="29">
                  <c:v>9.1966716419765743E-3</c:v>
                </c:pt>
                <c:pt idx="30">
                  <c:v>2.1034263475722017E-3</c:v>
                </c:pt>
                <c:pt idx="31">
                  <c:v>3.3247168809468976E-3</c:v>
                </c:pt>
                <c:pt idx="32">
                  <c:v>6.0702557788949289E-5</c:v>
                </c:pt>
                <c:pt idx="33">
                  <c:v>0</c:v>
                </c:pt>
                <c:pt idx="34">
                  <c:v>6.9133517040545983E-3</c:v>
                </c:pt>
                <c:pt idx="35">
                  <c:v>4.327880768171387E-5</c:v>
                </c:pt>
                <c:pt idx="36">
                  <c:v>0</c:v>
                </c:pt>
                <c:pt idx="37">
                  <c:v>1.1987665811821411E-5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2.7571639582412723E-4</c:v>
                </c:pt>
                <c:pt idx="42">
                  <c:v>3.4448157663492194E-4</c:v>
                </c:pt>
                <c:pt idx="43">
                  <c:v>0</c:v>
                </c:pt>
                <c:pt idx="44">
                  <c:v>0</c:v>
                </c:pt>
                <c:pt idx="45">
                  <c:v>7.6832118984312568E-5</c:v>
                </c:pt>
                <c:pt idx="46">
                  <c:v>0</c:v>
                </c:pt>
                <c:pt idx="47">
                  <c:v>1.2342354835026875E-5</c:v>
                </c:pt>
                <c:pt idx="48">
                  <c:v>3.4700864435359771E-4</c:v>
                </c:pt>
                <c:pt idx="49">
                  <c:v>0</c:v>
                </c:pt>
                <c:pt idx="50">
                  <c:v>2.6928717967525453E-3</c:v>
                </c:pt>
                <c:pt idx="51">
                  <c:v>1.7481507688117844E-3</c:v>
                </c:pt>
                <c:pt idx="52">
                  <c:v>4.2440834816547066E-3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6.6918132758487877E-5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0-4CFB-A8A7-E3AB5DF27A3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1.5810019316811207E-2</c:v>
                </c:pt>
                <c:pt idx="1">
                  <c:v>4.7433158562184316E-2</c:v>
                </c:pt>
                <c:pt idx="2">
                  <c:v>7.4895276838120167E-2</c:v>
                </c:pt>
                <c:pt idx="3">
                  <c:v>0.10208144066824384</c:v>
                </c:pt>
                <c:pt idx="4">
                  <c:v>0.11117863554479299</c:v>
                </c:pt>
                <c:pt idx="5">
                  <c:v>9.7483233441958098E-2</c:v>
                </c:pt>
                <c:pt idx="6">
                  <c:v>8.1431366408592415E-2</c:v>
                </c:pt>
                <c:pt idx="7">
                  <c:v>6.6015124784119902E-2</c:v>
                </c:pt>
                <c:pt idx="8">
                  <c:v>5.3439043523287141E-2</c:v>
                </c:pt>
                <c:pt idx="9">
                  <c:v>4.8164902935349148E-2</c:v>
                </c:pt>
                <c:pt idx="10">
                  <c:v>4.1910969034190448E-2</c:v>
                </c:pt>
                <c:pt idx="11">
                  <c:v>3.6615124163997557E-2</c:v>
                </c:pt>
                <c:pt idx="12">
                  <c:v>3.0668150826158001E-2</c:v>
                </c:pt>
                <c:pt idx="13">
                  <c:v>2.7344295029409302E-2</c:v>
                </c:pt>
                <c:pt idx="14">
                  <c:v>2.2405020510546731E-2</c:v>
                </c:pt>
                <c:pt idx="15">
                  <c:v>1.8504450928168128E-2</c:v>
                </c:pt>
                <c:pt idx="16">
                  <c:v>1.4653491133800699E-2</c:v>
                </c:pt>
                <c:pt idx="17">
                  <c:v>1.2591584319586254E-2</c:v>
                </c:pt>
                <c:pt idx="18">
                  <c:v>1.0132799201282412E-2</c:v>
                </c:pt>
                <c:pt idx="19">
                  <c:v>8.9700697947705087E-3</c:v>
                </c:pt>
                <c:pt idx="20">
                  <c:v>7.8972581290288578E-3</c:v>
                </c:pt>
                <c:pt idx="21">
                  <c:v>6.8554525807941911E-3</c:v>
                </c:pt>
                <c:pt idx="22">
                  <c:v>6.2353302306545084E-3</c:v>
                </c:pt>
                <c:pt idx="23">
                  <c:v>6.4399706062006033E-3</c:v>
                </c:pt>
                <c:pt idx="24">
                  <c:v>5.2865430349407936E-3</c:v>
                </c:pt>
                <c:pt idx="25">
                  <c:v>4.5578992735266664E-3</c:v>
                </c:pt>
                <c:pt idx="26">
                  <c:v>4.0618013934149207E-3</c:v>
                </c:pt>
                <c:pt idx="27">
                  <c:v>3.9129720293813973E-3</c:v>
                </c:pt>
                <c:pt idx="28">
                  <c:v>3.3269564084993969E-3</c:v>
                </c:pt>
                <c:pt idx="29">
                  <c:v>3.1502215387095873E-3</c:v>
                </c:pt>
                <c:pt idx="30">
                  <c:v>2.6510230468471431E-3</c:v>
                </c:pt>
                <c:pt idx="31">
                  <c:v>2.2386416840042538E-3</c:v>
                </c:pt>
                <c:pt idx="32">
                  <c:v>2.1084159904749206E-3</c:v>
                </c:pt>
                <c:pt idx="33">
                  <c:v>1.9998945792004761E-3</c:v>
                </c:pt>
                <c:pt idx="34">
                  <c:v>1.7735499213994922E-3</c:v>
                </c:pt>
                <c:pt idx="35">
                  <c:v>1.531702204845016E-3</c:v>
                </c:pt>
                <c:pt idx="36">
                  <c:v>1.351866723304508E-3</c:v>
                </c:pt>
                <c:pt idx="37">
                  <c:v>1.3766716173100953E-3</c:v>
                </c:pt>
                <c:pt idx="38">
                  <c:v>1.3208606057975238E-3</c:v>
                </c:pt>
                <c:pt idx="39">
                  <c:v>1.1534275712598095E-3</c:v>
                </c:pt>
                <c:pt idx="40">
                  <c:v>9.4568658396301591E-4</c:v>
                </c:pt>
                <c:pt idx="41">
                  <c:v>9.3638474871092069E-4</c:v>
                </c:pt>
                <c:pt idx="42">
                  <c:v>8.2786333743647619E-4</c:v>
                </c:pt>
                <c:pt idx="43">
                  <c:v>6.1702173838898411E-4</c:v>
                </c:pt>
                <c:pt idx="44">
                  <c:v>5.7981439738060314E-4</c:v>
                </c:pt>
                <c:pt idx="45">
                  <c:v>5.3020460936942855E-4</c:v>
                </c:pt>
                <c:pt idx="46">
                  <c:v>4.5268931560196827E-4</c:v>
                </c:pt>
                <c:pt idx="47">
                  <c:v>3.7827463358520638E-4</c:v>
                </c:pt>
                <c:pt idx="48">
                  <c:v>3.596709630810159E-4</c:v>
                </c:pt>
                <c:pt idx="49">
                  <c:v>3.875764688373016E-4</c:v>
                </c:pt>
                <c:pt idx="50">
                  <c:v>3.3796668082612701E-4</c:v>
                </c:pt>
                <c:pt idx="51">
                  <c:v>3.0385995156844445E-4</c:v>
                </c:pt>
                <c:pt idx="52">
                  <c:v>2.3874710480377778E-4</c:v>
                </c:pt>
                <c:pt idx="53">
                  <c:v>2.6355199880936507E-4</c:v>
                </c:pt>
                <c:pt idx="54">
                  <c:v>1.5503058753492063E-4</c:v>
                </c:pt>
                <c:pt idx="55">
                  <c:v>1.3332630528003174E-4</c:v>
                </c:pt>
                <c:pt idx="56">
                  <c:v>1.5813119928561906E-4</c:v>
                </c:pt>
                <c:pt idx="57">
                  <c:v>1.674330345377143E-4</c:v>
                </c:pt>
                <c:pt idx="58">
                  <c:v>9.6118964271650799E-5</c:v>
                </c:pt>
                <c:pt idx="59">
                  <c:v>8.6817129019555557E-5</c:v>
                </c:pt>
                <c:pt idx="60">
                  <c:v>6.2012235013968262E-5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40-4CFB-A8A7-E3AB5DF27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586432"/>
        <c:axId val="163235520"/>
      </c:lineChart>
      <c:catAx>
        <c:axId val="189586432"/>
        <c:scaling>
          <c:orientation val="minMax"/>
        </c:scaling>
        <c:delete val="0"/>
        <c:axPos val="b"/>
        <c:majorTickMark val="none"/>
        <c:minorTickMark val="none"/>
        <c:tickLblPos val="nextTo"/>
        <c:crossAx val="163235520"/>
        <c:crosses val="autoZero"/>
        <c:auto val="1"/>
        <c:lblAlgn val="ctr"/>
        <c:lblOffset val="100"/>
        <c:tickLblSkip val="10"/>
        <c:noMultiLvlLbl val="0"/>
      </c:catAx>
      <c:valAx>
        <c:axId val="163235520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8958643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8</xdr:col>
      <xdr:colOff>152400</xdr:colOff>
      <xdr:row>13</xdr:row>
      <xdr:rowOff>38100</xdr:rowOff>
    </xdr:from>
    <xdr:to>
      <xdr:col>16</xdr:col>
      <xdr:colOff>247650</xdr:colOff>
      <xdr:row>27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tabSelected="1" workbookViewId="0">
      <selection activeCell="L11" sqref="L11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6" max="6" bestFit="true" customWidth="true" width="10.5703125" collapsed="true"/>
    <col min="12" max="12" bestFit="true" customWidth="true" width="15.7109375" collapsed="true"/>
  </cols>
  <sheetData>
    <row r="1" spans="1:12" x14ac:dyDescent="0.25">
      <c r="A1" t="s">
        <v>1</v>
      </c>
    </row>
    <row r="2" spans="1:12" x14ac:dyDescent="0.25">
      <c r="A2" t="s">
        <v>244</v>
      </c>
    </row>
    <row r="3" spans="1:12" x14ac:dyDescent="0.25">
      <c r="A3" t="s">
        <v>245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37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341" t="n">
        <v>11673.500390895673</v>
      </c>
      <c r="C11" s="11">
        <f>B11/B$102</f>
        <v>0.20537558436890072</v>
      </c>
      <c r="E11" s="19">
        <v>0</v>
      </c>
      <c r="F11" s="343" t="n">
        <v>14199.0</v>
      </c>
      <c r="G11" s="11">
        <f>F11/F$102</f>
        <v>0.10757262407873074</v>
      </c>
      <c r="K11" s="8" t="n">
        <v>5.143530867336452</v>
      </c>
      <c r="L11" s="8" t="n">
        <v>5.274769723075606</v>
      </c>
    </row>
    <row r="12" spans="1:12" x14ac:dyDescent="0.25">
      <c r="A12">
        <v>1</v>
      </c>
      <c r="B12" s="341" t="n">
        <v>34338.318445392215</v>
      </c>
      <c r="C12" s="11">
        <f>B12/B$102</f>
        <v>0.18275924172713642</v>
      </c>
      <c r="E12" s="20">
        <v>1</v>
      </c>
      <c r="F12" s="343" t="n">
        <v>21432.0</v>
      </c>
      <c r="G12" s="11">
        <f>F12/F$102</f>
        <v>0.2080324448013593</v>
      </c>
      <c r="K12" s="8"/>
      <c r="L12" s="289"/>
    </row>
    <row r="13" spans="1:12" x14ac:dyDescent="0.25">
      <c r="A13">
        <v>2</v>
      </c>
      <c r="B13" s="341" t="n">
        <v>28104.62498874803</v>
      </c>
      <c r="C13" s="11">
        <f ref="C13:C76" si="0" t="shared">B13/B$102</f>
        <v>0.13066785795283159</v>
      </c>
      <c r="E13" s="21">
        <v>2</v>
      </c>
      <c r="F13" s="343" t="n">
        <v>23129.0</v>
      </c>
      <c r="G13" s="11">
        <f ref="G13:G76" si="1" t="shared">F13/F$102</f>
        <v>0.1847840578946226</v>
      </c>
    </row>
    <row r="14" spans="1:12" x14ac:dyDescent="0.25">
      <c r="A14">
        <v>3</v>
      </c>
      <c r="B14" s="341" t="n">
        <v>21733.71399559619</v>
      </c>
      <c r="C14" s="11">
        <f si="0" t="shared"/>
        <v>0.13122582416953446</v>
      </c>
      <c r="E14" s="22">
        <v>3</v>
      </c>
      <c r="F14" s="343" t="n">
        <v>22194.0</v>
      </c>
      <c r="G14" s="11">
        <f si="1" t="shared"/>
        <v>0.12043706223237845</v>
      </c>
    </row>
    <row r="15" spans="1:12" x14ac:dyDescent="0.25">
      <c r="A15">
        <v>4</v>
      </c>
      <c r="B15" s="341" t="n">
        <v>18461.133565468474</v>
      </c>
      <c r="C15" s="11">
        <f si="0" t="shared"/>
        <v>6.2545757378655156E-2</v>
      </c>
      <c r="E15" s="23">
        <v>4</v>
      </c>
      <c r="F15" s="343" t="n">
        <v>16737.0</v>
      </c>
      <c r="G15" s="11">
        <f si="1" t="shared"/>
        <v>8.4990868698394187E-2</v>
      </c>
    </row>
    <row r="16" spans="1:12" x14ac:dyDescent="0.25">
      <c r="A16">
        <v>5</v>
      </c>
      <c r="B16" s="341" t="n">
        <v>13033.991839534205</v>
      </c>
      <c r="C16" s="11">
        <f si="0" t="shared"/>
        <v>5.4886256731657042E-2</v>
      </c>
      <c r="E16" s="24">
        <v>5</v>
      </c>
      <c r="F16" s="343" t="n">
        <v>12624.0</v>
      </c>
      <c r="G16" s="11">
        <f si="1" t="shared"/>
        <v>6.5953112549105936E-2</v>
      </c>
    </row>
    <row r="17" spans="1:7" x14ac:dyDescent="0.25">
      <c r="A17">
        <v>6</v>
      </c>
      <c r="B17" s="341" t="n">
        <v>8115.5938344373735</v>
      </c>
      <c r="C17" s="11">
        <f si="0" t="shared"/>
        <v>4.6111755551511716E-2</v>
      </c>
      <c r="E17" s="25">
        <v>6</v>
      </c>
      <c r="F17" s="343" t="n">
        <v>8957.0</v>
      </c>
      <c r="G17" s="11">
        <f si="1" t="shared"/>
        <v>4.8121494370839367E-2</v>
      </c>
    </row>
    <row r="18" spans="1:7" x14ac:dyDescent="0.25">
      <c r="A18">
        <v>7</v>
      </c>
      <c r="B18" s="341" t="n">
        <v>7739.313958298236</v>
      </c>
      <c r="C18" s="11">
        <f si="0" t="shared"/>
        <v>2.5906786976567765E-2</v>
      </c>
      <c r="E18" s="26">
        <v>7</v>
      </c>
      <c r="F18" s="343" t="n">
        <v>6366.0</v>
      </c>
      <c r="G18" s="11">
        <f si="1" t="shared"/>
        <v>3.4230753727710478E-2</v>
      </c>
    </row>
    <row r="19" spans="1:7" x14ac:dyDescent="0.25">
      <c r="A19">
        <v>8</v>
      </c>
      <c r="B19" s="341" t="n">
        <v>5036.491015517588</v>
      </c>
      <c r="C19" s="11">
        <f si="0" t="shared"/>
        <v>2.7143271068123167E-2</v>
      </c>
      <c r="E19" s="27">
        <v>8</v>
      </c>
      <c r="F19" s="343" t="n">
        <v>4457.0</v>
      </c>
      <c r="G19" s="11">
        <f si="1" t="shared"/>
        <v>2.6786184914283587E-2</v>
      </c>
    </row>
    <row r="20" spans="1:7" x14ac:dyDescent="0.25">
      <c r="A20">
        <v>9</v>
      </c>
      <c r="B20" s="341" t="n">
        <v>2500.5124675243314</v>
      </c>
      <c r="C20" s="11">
        <f si="0" t="shared"/>
        <v>2.2144361416909474E-2</v>
      </c>
      <c r="E20" s="28">
        <v>9</v>
      </c>
      <c r="F20" s="343" t="n">
        <v>3414.0</v>
      </c>
      <c r="G20" s="11">
        <f si="1" t="shared"/>
        <v>1.8470344198910443E-2</v>
      </c>
    </row>
    <row r="21" spans="1:7" x14ac:dyDescent="0.25">
      <c r="A21">
        <v>10</v>
      </c>
      <c r="B21" s="341" t="n">
        <v>3490.708188311558</v>
      </c>
      <c r="C21" s="11">
        <f si="0" t="shared"/>
        <v>1.1220564567833454E-2</v>
      </c>
      <c r="E21" s="29">
        <v>10</v>
      </c>
      <c r="F21" s="343" t="n">
        <v>2566.0</v>
      </c>
      <c r="G21" s="11">
        <f si="1" t="shared"/>
        <v>1.5103079837651969E-2</v>
      </c>
    </row>
    <row r="22" spans="1:7" x14ac:dyDescent="0.25">
      <c r="A22">
        <v>11</v>
      </c>
      <c r="B22" s="341" t="n">
        <v>4467.696502677362</v>
      </c>
      <c r="C22" s="11">
        <f si="0" t="shared"/>
        <v>1.532144586831851E-2</v>
      </c>
      <c r="E22" s="30">
        <v>11</v>
      </c>
      <c r="F22" s="343" t="n">
        <v>2260.0</v>
      </c>
      <c r="G22" s="11">
        <f si="1" t="shared"/>
        <v>1.2771419801126763E-2</v>
      </c>
    </row>
    <row r="23" spans="1:7" x14ac:dyDescent="0.25">
      <c r="A23">
        <v>12</v>
      </c>
      <c r="B23" s="341" t="n">
        <v>2598.4061006733195</v>
      </c>
      <c r="C23" s="11">
        <f si="0" t="shared"/>
        <v>1.6901464866370283E-2</v>
      </c>
      <c r="E23" s="31">
        <v>12</v>
      </c>
      <c r="F23" s="343" t="n">
        <v>2076.0</v>
      </c>
      <c r="G23" s="11">
        <f si="1" t="shared"/>
        <v>1.0613394022640667E-2</v>
      </c>
    </row>
    <row r="24" spans="1:7" x14ac:dyDescent="0.25">
      <c r="A24">
        <v>13</v>
      </c>
      <c r="B24" s="341" t="n">
        <v>1967.1964095365586</v>
      </c>
      <c r="C24" s="11">
        <f si="0" t="shared"/>
        <v>5.2920227430139598E-3</v>
      </c>
      <c r="E24" s="32">
        <v>13</v>
      </c>
      <c r="F24" s="343" t="n">
        <v>1442.0</v>
      </c>
      <c r="G24" s="11">
        <f si="1" t="shared"/>
        <v>9.3731493223613016E-3</v>
      </c>
    </row>
    <row r="25" spans="1:7" x14ac:dyDescent="0.25">
      <c r="A25">
        <v>14</v>
      </c>
      <c r="B25" s="341" t="n">
        <v>1938.3613689906874</v>
      </c>
      <c r="C25" s="11">
        <f si="0" t="shared"/>
        <v>1.2627631015369418E-2</v>
      </c>
      <c r="E25" s="33">
        <v>14</v>
      </c>
      <c r="F25" s="343" t="n">
        <v>1195.0</v>
      </c>
      <c r="G25" s="11">
        <f si="1" t="shared"/>
        <v>7.6585110242250792E-3</v>
      </c>
    </row>
    <row r="26" spans="1:7" x14ac:dyDescent="0.25">
      <c r="A26">
        <v>15</v>
      </c>
      <c r="B26" s="341" t="n">
        <v>734.2137875514081</v>
      </c>
      <c r="C26" s="11">
        <f si="0" t="shared"/>
        <v>1.1154429211487193E-2</v>
      </c>
      <c r="E26" s="34">
        <v>15</v>
      </c>
      <c r="F26" s="343" t="n">
        <v>924.0</v>
      </c>
      <c r="G26" s="11">
        <f si="1" t="shared"/>
        <v>6.6477115934973968E-3</v>
      </c>
    </row>
    <row r="27" spans="1:7" x14ac:dyDescent="0.25">
      <c r="A27">
        <v>16</v>
      </c>
      <c r="B27" s="341" t="n">
        <v>1764.2782645209165</v>
      </c>
      <c r="C27" s="11">
        <f si="0" t="shared"/>
        <v>2.0270304653809659E-3</v>
      </c>
      <c r="E27" s="35">
        <v>16</v>
      </c>
      <c r="F27" s="343" t="n">
        <v>868.0</v>
      </c>
      <c r="G27" s="11">
        <f si="1" t="shared"/>
        <v>5.5035858574896826E-3</v>
      </c>
    </row>
    <row r="28" spans="1:7" x14ac:dyDescent="0.25">
      <c r="A28">
        <v>17</v>
      </c>
      <c r="B28" s="341" t="n">
        <v>372.06800371882844</v>
      </c>
      <c r="C28" s="11">
        <f si="0" t="shared"/>
        <v>7.2175332430542702E-3</v>
      </c>
      <c r="E28" s="36">
        <v>17</v>
      </c>
      <c r="F28" s="343" t="n">
        <v>608.0</v>
      </c>
      <c r="G28" s="11">
        <f si="1" t="shared"/>
        <v>4.2292344279526353E-3</v>
      </c>
    </row>
    <row r="29" spans="1:7" x14ac:dyDescent="0.25">
      <c r="A29">
        <v>18</v>
      </c>
      <c r="B29" s="341" t="n">
        <v>984.2140858489466</v>
      </c>
      <c r="C29" s="11">
        <f si="0" t="shared"/>
        <v>1.1907049574486324E-3</v>
      </c>
      <c r="E29" s="37">
        <v>18</v>
      </c>
      <c r="F29" s="343" t="n">
        <v>509.0</v>
      </c>
      <c r="G29" s="11">
        <f si="1" t="shared"/>
        <v>3.6401181953199368E-3</v>
      </c>
    </row>
    <row r="30" spans="1:7" x14ac:dyDescent="0.25">
      <c r="A30">
        <v>19</v>
      </c>
      <c r="B30" s="341" t="n">
        <v>331.1102266082792</v>
      </c>
      <c r="C30" s="11">
        <f si="0" t="shared"/>
        <v>1.4723501721389961E-3</v>
      </c>
      <c r="E30" s="38">
        <v>19</v>
      </c>
      <c r="F30" s="343" t="n">
        <v>448.0</v>
      </c>
      <c r="G30" s="11">
        <f si="1" t="shared"/>
        <v>3.3610631377570797E-3</v>
      </c>
    </row>
    <row r="31" spans="1:7" x14ac:dyDescent="0.25">
      <c r="A31">
        <v>20</v>
      </c>
      <c r="B31" s="341" t="n">
        <v>0.0</v>
      </c>
      <c r="C31" s="11">
        <f si="0" t="shared"/>
        <v>2.4657487024274663E-3</v>
      </c>
      <c r="E31" s="39">
        <v>20</v>
      </c>
      <c r="F31" s="343" t="n">
        <v>378.0</v>
      </c>
      <c r="G31" s="11">
        <f si="1" t="shared"/>
        <v>2.6944316113569206E-3</v>
      </c>
    </row>
    <row r="32" spans="1:7" x14ac:dyDescent="0.25">
      <c r="A32">
        <v>21</v>
      </c>
      <c r="B32" s="341" t="n">
        <v>1561.0843663346648</v>
      </c>
      <c r="C32" s="11">
        <f si="0" t="shared"/>
        <v>1.1802485249092316E-2</v>
      </c>
      <c r="E32" s="40">
        <v>21</v>
      </c>
      <c r="F32" s="343" t="n">
        <v>403.0</v>
      </c>
      <c r="G32" s="11">
        <f si="1" t="shared"/>
        <v>2.6944316113569206E-3</v>
      </c>
    </row>
    <row r="33" spans="1:7" x14ac:dyDescent="0.25">
      <c r="A33">
        <v>22</v>
      </c>
      <c r="B33" s="341" t="n">
        <v>92.9402843210037</v>
      </c>
      <c r="C33" s="11">
        <f si="0" t="shared"/>
        <v>1.3160690217897561E-4</v>
      </c>
      <c r="E33" s="41">
        <v>22</v>
      </c>
      <c r="F33" s="343" t="n">
        <v>312.0</v>
      </c>
      <c r="G33" s="11">
        <f si="1" t="shared"/>
        <v>2.1425227197326034E-3</v>
      </c>
    </row>
    <row r="34" spans="1:7" x14ac:dyDescent="0.25">
      <c r="A34">
        <v>23</v>
      </c>
      <c r="B34" s="341" t="n">
        <v>839.397441222819</v>
      </c>
      <c r="C34" s="11">
        <f si="0" t="shared"/>
        <v>2.2594146593858129E-4</v>
      </c>
      <c r="E34" s="42">
        <v>23</v>
      </c>
      <c r="F34" s="343" t="n">
        <v>309.0</v>
      </c>
      <c r="G34" s="11">
        <f si="1" t="shared"/>
        <v>1.8045560389064763E-3</v>
      </c>
    </row>
    <row r="35" spans="1:7" x14ac:dyDescent="0.25">
      <c r="A35">
        <v>24</v>
      </c>
      <c r="B35" s="341" t="n">
        <v>323.7164191689095</v>
      </c>
      <c r="C35" s="11">
        <f si="0" t="shared"/>
        <v>1.3152789319181548E-4</v>
      </c>
      <c r="E35" s="43">
        <v>24</v>
      </c>
      <c r="F35" s="343" t="n">
        <v>250.0</v>
      </c>
      <c r="G35" s="11">
        <f si="1" t="shared"/>
        <v>1.7580468626460001E-3</v>
      </c>
    </row>
    <row r="36" spans="1:7" x14ac:dyDescent="0.25">
      <c r="A36">
        <v>25</v>
      </c>
      <c r="B36" s="341" t="n">
        <v>0.0</v>
      </c>
      <c r="C36" s="11">
        <f si="0" t="shared"/>
        <v>0</v>
      </c>
      <c r="E36" s="44">
        <v>25</v>
      </c>
      <c r="F36" s="343" t="n">
        <v>236.0</v>
      </c>
      <c r="G36" s="11">
        <f si="1" t="shared"/>
        <v>1.6185193338645715E-3</v>
      </c>
    </row>
    <row r="37" spans="1:7" x14ac:dyDescent="0.25">
      <c r="A37">
        <v>26</v>
      </c>
      <c r="B37" s="341" t="n">
        <v>22.8699173794201</v>
      </c>
      <c r="C37" s="11">
        <f si="0" t="shared"/>
        <v>2.7000560823681593E-3</v>
      </c>
      <c r="E37" s="45">
        <v>26</v>
      </c>
      <c r="F37" s="343" t="n">
        <v>161.0</v>
      </c>
      <c r="G37" s="11">
        <f si="1" t="shared"/>
        <v>1.1844336887667937E-3</v>
      </c>
    </row>
    <row r="38" spans="1:7" x14ac:dyDescent="0.25">
      <c r="A38">
        <v>27</v>
      </c>
      <c r="B38" s="341" t="n">
        <v>367.175796910603</v>
      </c>
      <c r="C38" s="11">
        <f si="0" t="shared"/>
        <v>0</v>
      </c>
      <c r="E38" s="46">
        <v>27</v>
      </c>
      <c r="F38" s="343" t="n">
        <v>158.0</v>
      </c>
      <c r="G38" s="11">
        <f si="1" t="shared"/>
        <v>1.0635098304895556E-3</v>
      </c>
    </row>
    <row r="39" spans="1:7" x14ac:dyDescent="0.25">
      <c r="A39">
        <v>28</v>
      </c>
      <c r="B39" s="341" t="n">
        <v>145.614349367465</v>
      </c>
      <c r="C39" s="11">
        <f si="0" t="shared"/>
        <v>4.5807018186700095E-5</v>
      </c>
      <c r="E39" s="47">
        <v>28</v>
      </c>
      <c r="F39" s="343" t="n">
        <v>159.0</v>
      </c>
      <c r="G39" s="11">
        <f si="1" t="shared"/>
        <v>8.9917740770253972E-4</v>
      </c>
    </row>
    <row r="40" spans="1:7" x14ac:dyDescent="0.25">
      <c r="A40">
        <v>29</v>
      </c>
      <c r="B40" s="341" t="n">
        <v>129.0175391824056</v>
      </c>
      <c r="C40" s="11">
        <f si="0" t="shared"/>
        <v>1.1987665811821411E-5</v>
      </c>
      <c r="E40" s="48">
        <v>29</v>
      </c>
      <c r="F40" s="343" t="n">
        <v>183.0</v>
      </c>
      <c r="G40" s="11">
        <f si="1" t="shared"/>
        <v>9.2398230170812696E-4</v>
      </c>
    </row>
    <row r="41" spans="1:7" x14ac:dyDescent="0.25">
      <c r="A41">
        <v>30</v>
      </c>
      <c r="B41" s="341" t="n">
        <v>614.347682999807</v>
      </c>
      <c r="C41" s="11">
        <f si="0" t="shared"/>
        <v>6.9843279168234647E-5</v>
      </c>
      <c r="E41" s="49">
        <v>30</v>
      </c>
      <c r="F41" s="343" t="n">
        <v>100.0</v>
      </c>
      <c r="G41" s="11">
        <f si="1" t="shared"/>
        <v>8.309639491871746E-4</v>
      </c>
    </row>
    <row r="42" spans="1:7" x14ac:dyDescent="0.25">
      <c r="A42">
        <v>31</v>
      </c>
      <c r="B42" s="341" t="n">
        <v>125.8409522097713</v>
      </c>
      <c r="C42" s="11">
        <f si="0" t="shared"/>
        <v>0</v>
      </c>
      <c r="E42" s="50">
        <v>31</v>
      </c>
      <c r="F42" s="343" t="n">
        <v>113.0</v>
      </c>
      <c r="G42" s="11">
        <f si="1" t="shared"/>
        <v>4.8679604485965083E-4</v>
      </c>
    </row>
    <row r="43" spans="1:7" x14ac:dyDescent="0.25">
      <c r="A43">
        <v>32</v>
      </c>
      <c r="B43" s="341" t="n">
        <v>0.0</v>
      </c>
      <c r="C43" s="11">
        <f si="0" t="shared"/>
        <v>0</v>
      </c>
      <c r="E43" s="51">
        <v>32</v>
      </c>
      <c r="F43" s="343" t="n">
        <v>60.0</v>
      </c>
      <c r="G43" s="11">
        <f si="1" t="shared"/>
        <v>4.5578992735266667E-4</v>
      </c>
    </row>
    <row r="44" spans="1:7" x14ac:dyDescent="0.25">
      <c r="A44">
        <v>33</v>
      </c>
      <c r="B44" s="341" t="n">
        <v>117.8419918230697</v>
      </c>
      <c r="C44" s="11">
        <f si="0" t="shared"/>
        <v>7.6832118984312568E-5</v>
      </c>
      <c r="E44" s="52">
        <v>33</v>
      </c>
      <c r="F44" s="343" t="n">
        <v>39.0</v>
      </c>
      <c r="G44" s="11">
        <f si="1" t="shared"/>
        <v>4.4648809210057146E-4</v>
      </c>
    </row>
    <row r="45" spans="1:7" x14ac:dyDescent="0.25">
      <c r="A45">
        <v>34</v>
      </c>
      <c r="B45" s="341" t="n">
        <v>26.5857646477065</v>
      </c>
      <c r="C45" s="11">
        <f si="0" t="shared"/>
        <v>4.2651945962264943E-3</v>
      </c>
      <c r="E45" s="53">
        <v>34</v>
      </c>
      <c r="F45" s="343" t="n">
        <v>75.0</v>
      </c>
      <c r="G45" s="11">
        <f si="1" t="shared"/>
        <v>3.7827463358520638E-4</v>
      </c>
    </row>
    <row r="46" spans="1:7" x14ac:dyDescent="0.25">
      <c r="A46">
        <v>35</v>
      </c>
      <c r="B46" s="341" t="n">
        <v>0.0</v>
      </c>
      <c r="C46" s="11">
        <f si="0" t="shared"/>
        <v>0</v>
      </c>
      <c r="E46" s="54">
        <v>35</v>
      </c>
      <c r="F46" s="343" t="n">
        <v>132.0</v>
      </c>
      <c r="G46" s="11">
        <f si="1" t="shared"/>
        <v>2.5114955180657145E-4</v>
      </c>
    </row>
    <row r="47" spans="1:7" x14ac:dyDescent="0.25">
      <c r="A47">
        <v>36</v>
      </c>
      <c r="B47" s="341" t="n">
        <v>0.0</v>
      </c>
      <c r="C47" s="11">
        <f si="0" t="shared"/>
        <v>1.7209010472868017E-4</v>
      </c>
      <c r="E47" s="55">
        <v>36</v>
      </c>
      <c r="F47" s="343" t="n">
        <v>36.0</v>
      </c>
      <c r="G47" s="11">
        <f si="1" t="shared"/>
        <v>2.8215566931355556E-4</v>
      </c>
    </row>
    <row r="48" spans="1:7" x14ac:dyDescent="0.25">
      <c r="A48">
        <v>37</v>
      </c>
      <c r="B48" s="341" t="n">
        <v>0.0</v>
      </c>
      <c r="C48" s="11">
        <f si="0" t="shared"/>
        <v>3.4700864435359771E-4</v>
      </c>
      <c r="E48" s="56">
        <v>37</v>
      </c>
      <c r="F48" s="343" t="n">
        <v>43.0</v>
      </c>
      <c r="G48" s="11">
        <f si="1" t="shared"/>
        <v>2.1704282254888889E-4</v>
      </c>
    </row>
    <row r="49" spans="1:7" x14ac:dyDescent="0.25">
      <c r="A49">
        <v>38</v>
      </c>
      <c r="B49" s="341" t="n">
        <v>0.0</v>
      </c>
      <c r="C49" s="11">
        <f si="0" t="shared"/>
        <v>1.5884030189181309E-3</v>
      </c>
      <c r="E49" s="57">
        <v>38</v>
      </c>
      <c r="F49" s="343" t="n">
        <v>56.0</v>
      </c>
      <c r="G49" s="11">
        <f si="1" t="shared"/>
        <v>2.1704282254888889E-4</v>
      </c>
    </row>
    <row r="50" spans="1:7" x14ac:dyDescent="0.25">
      <c r="A50">
        <v>39</v>
      </c>
      <c r="B50" s="341" t="n">
        <v>0.0</v>
      </c>
      <c r="C50" s="11">
        <f si="0" t="shared"/>
        <v>0</v>
      </c>
      <c r="E50" s="58">
        <v>39</v>
      </c>
      <c r="F50" s="343" t="n">
        <v>23.0</v>
      </c>
      <c r="G50" s="11">
        <f si="1" t="shared"/>
        <v>1.6433242278701587E-4</v>
      </c>
    </row>
    <row r="51" spans="1:7" x14ac:dyDescent="0.25">
      <c r="A51">
        <v>40</v>
      </c>
      <c r="B51" s="341" t="n">
        <v>0.0</v>
      </c>
      <c r="C51" s="11">
        <f si="0" t="shared"/>
        <v>0</v>
      </c>
      <c r="E51" s="59">
        <v>40</v>
      </c>
      <c r="F51" s="343" t="n">
        <v>29.0</v>
      </c>
      <c r="G51" s="11">
        <f si="1" t="shared"/>
        <v>1.5503058753492063E-4</v>
      </c>
    </row>
    <row r="52" spans="1:7" x14ac:dyDescent="0.25">
      <c r="A52">
        <v>41</v>
      </c>
      <c r="B52" s="341" t="n">
        <v>0.0</v>
      </c>
      <c r="C52" s="11">
        <f si="0" t="shared"/>
        <v>2.6928717967525453E-3</v>
      </c>
      <c r="E52" s="60">
        <v>41</v>
      </c>
      <c r="F52" s="343" t="n">
        <v>68.0</v>
      </c>
      <c r="G52" s="11">
        <f si="1" t="shared"/>
        <v>1.2092385827723809E-4</v>
      </c>
    </row>
    <row r="53" spans="1:7" x14ac:dyDescent="0.25">
      <c r="A53">
        <v>42</v>
      </c>
      <c r="B53" s="341" t="n">
        <v>0.0</v>
      </c>
      <c r="C53" s="11">
        <f si="0" t="shared"/>
        <v>0</v>
      </c>
      <c r="E53" s="61">
        <v>42</v>
      </c>
      <c r="F53" s="343" t="n">
        <v>15.0</v>
      </c>
      <c r="G53" s="11">
        <f si="1" t="shared"/>
        <v>1.2712508177863493E-4</v>
      </c>
    </row>
    <row r="54" spans="1:7" x14ac:dyDescent="0.25">
      <c r="A54">
        <v>43</v>
      </c>
      <c r="B54" s="341" t="n">
        <v>0.0</v>
      </c>
      <c r="C54" s="11">
        <f si="0" t="shared"/>
        <v>0</v>
      </c>
      <c r="E54" s="62">
        <v>43</v>
      </c>
      <c r="F54" s="343" t="n">
        <v>12.0</v>
      </c>
      <c r="G54" s="11">
        <f si="1" t="shared"/>
        <v>9.6118964271650799E-5</v>
      </c>
    </row>
    <row r="55" spans="1:7" x14ac:dyDescent="0.25">
      <c r="A55">
        <v>44</v>
      </c>
      <c r="B55" s="341" t="n">
        <v>0.0</v>
      </c>
      <c r="C55" s="11">
        <f si="0" t="shared"/>
        <v>0</v>
      </c>
      <c r="E55" s="63">
        <v>44</v>
      </c>
      <c r="F55" s="343" t="n">
        <v>20.0</v>
      </c>
      <c r="G55" s="11">
        <f si="1" t="shared"/>
        <v>7.1314070266063491E-5</v>
      </c>
    </row>
    <row r="56" spans="1:7" x14ac:dyDescent="0.25">
      <c r="A56">
        <v>45</v>
      </c>
      <c r="B56" s="341" t="n">
        <v>0.0</v>
      </c>
      <c r="C56" s="11">
        <f si="0" t="shared"/>
        <v>0</v>
      </c>
      <c r="E56" s="64">
        <v>45</v>
      </c>
      <c r="F56" s="343" t="n">
        <v>20.0</v>
      </c>
      <c r="G56" s="11">
        <f si="1" t="shared"/>
        <v>5.8911623263269844E-5</v>
      </c>
    </row>
    <row r="57" spans="1:7" x14ac:dyDescent="0.25">
      <c r="A57">
        <v>46</v>
      </c>
      <c r="B57" s="341" t="n">
        <v>0.0</v>
      </c>
      <c r="C57" s="11">
        <f si="0" t="shared"/>
        <v>0</v>
      </c>
      <c r="E57" s="65">
        <v>46</v>
      </c>
      <c r="F57" s="343" t="n">
        <v>50.0</v>
      </c>
      <c r="G57" s="11">
        <f si="1" t="shared"/>
        <v>2.1704282254888889E-5</v>
      </c>
    </row>
    <row r="58" spans="1:7" x14ac:dyDescent="0.25">
      <c r="A58">
        <v>47</v>
      </c>
      <c r="B58" s="341" t="n">
        <v>0.0</v>
      </c>
      <c r="C58" s="11">
        <f si="0" t="shared"/>
        <v>0</v>
      </c>
      <c r="E58" s="66">
        <v>47</v>
      </c>
      <c r="F58" s="343" t="n">
        <v>10.0</v>
      </c>
      <c r="G58" s="11">
        <f si="1" t="shared"/>
        <v>4.3408564509777778E-5</v>
      </c>
    </row>
    <row r="59" spans="1:7" x14ac:dyDescent="0.25">
      <c r="A59">
        <v>48</v>
      </c>
      <c r="B59" s="341" t="n">
        <v>0.0</v>
      </c>
      <c r="C59" s="11">
        <f si="0" t="shared"/>
        <v>0</v>
      </c>
      <c r="E59" s="67">
        <v>48</v>
      </c>
      <c r="F59" s="343" t="n">
        <v>5.0</v>
      </c>
      <c r="G59" s="11">
        <f si="1" t="shared"/>
        <v>4.650917626047619E-5</v>
      </c>
    </row>
    <row r="60" spans="1:7" x14ac:dyDescent="0.25">
      <c r="A60">
        <v>49</v>
      </c>
      <c r="B60" s="341" t="n">
        <v>0.0</v>
      </c>
      <c r="C60" s="11">
        <f si="0" t="shared"/>
        <v>0</v>
      </c>
      <c r="E60" s="68">
        <v>49</v>
      </c>
      <c r="F60" s="343" t="n">
        <v>6.0</v>
      </c>
      <c r="G60" s="11">
        <f si="1" t="shared"/>
        <v>2.4804894005587301E-5</v>
      </c>
    </row>
    <row r="61" spans="1:7" x14ac:dyDescent="0.25">
      <c r="A61">
        <v>50</v>
      </c>
      <c r="B61" s="341" t="n">
        <v>0.0</v>
      </c>
      <c r="C61" s="11">
        <f si="0" t="shared"/>
        <v>0</v>
      </c>
      <c r="E61" s="69">
        <v>50</v>
      </c>
      <c r="F61" s="343" t="n">
        <v>4.0</v>
      </c>
      <c r="G61" s="11">
        <f si="1" t="shared"/>
        <v>3.4106729257682543E-5</v>
      </c>
    </row>
    <row r="62" spans="1:7" x14ac:dyDescent="0.25">
      <c r="A62">
        <v>51</v>
      </c>
      <c r="B62" s="341" t="n">
        <v>0.0</v>
      </c>
      <c r="C62" s="11">
        <f si="0" t="shared"/>
        <v>0</v>
      </c>
      <c r="E62" s="70">
        <v>51</v>
      </c>
      <c r="F62" s="343" t="n">
        <v>0.0</v>
      </c>
      <c r="G62" s="11">
        <f si="1" t="shared"/>
        <v>3.1006117506984131E-5</v>
      </c>
    </row>
    <row r="63" spans="1:7" x14ac:dyDescent="0.25">
      <c r="A63">
        <v>52</v>
      </c>
      <c r="B63" s="341" t="n">
        <v>0.0</v>
      </c>
      <c r="C63" s="11">
        <f si="0" t="shared"/>
        <v>0</v>
      </c>
      <c r="E63" s="71">
        <v>52</v>
      </c>
      <c r="F63" s="343" t="n">
        <v>39.0</v>
      </c>
      <c r="G63" s="11">
        <f si="1" t="shared"/>
        <v>2.7905505756285716E-5</v>
      </c>
    </row>
    <row r="64" spans="1:7" x14ac:dyDescent="0.25">
      <c r="A64">
        <v>53</v>
      </c>
      <c r="B64" s="341" t="n">
        <v>0.0</v>
      </c>
      <c r="C64" s="11">
        <f si="0" t="shared"/>
        <v>0</v>
      </c>
      <c r="E64" s="72">
        <v>53</v>
      </c>
      <c r="F64" s="343" t="n">
        <v>34.0</v>
      </c>
      <c r="G64" s="11">
        <f si="1" t="shared"/>
        <v>9.3018352520952387E-6</v>
      </c>
    </row>
    <row r="65" spans="1:7" x14ac:dyDescent="0.25">
      <c r="A65">
        <v>54</v>
      </c>
      <c r="B65" s="341" t="n">
        <v>0.0</v>
      </c>
      <c r="C65" s="11">
        <f si="0" t="shared"/>
        <v>8.07210094294261E-5</v>
      </c>
      <c r="E65" s="73">
        <v>54</v>
      </c>
      <c r="F65" s="343" t="n">
        <v>3.0</v>
      </c>
      <c r="G65" s="11">
        <f si="1" t="shared"/>
        <v>9.301835252095238E-5</v>
      </c>
    </row>
    <row r="66" spans="1:7" x14ac:dyDescent="0.25">
      <c r="A66">
        <v>55</v>
      </c>
      <c r="B66" s="341" t="n">
        <v>0.0</v>
      </c>
      <c r="C66" s="11">
        <f si="0" t="shared"/>
        <v>0</v>
      </c>
      <c r="E66" s="74">
        <v>55</v>
      </c>
      <c r="F66" s="343" t="n">
        <v>10.0</v>
      </c>
      <c r="G66" s="11">
        <f si="1" t="shared"/>
        <v>5.8911623263269844E-5</v>
      </c>
    </row>
    <row r="67" spans="1:7" x14ac:dyDescent="0.25">
      <c r="A67">
        <v>56</v>
      </c>
      <c r="B67" s="341" t="n">
        <v>0.0</v>
      </c>
      <c r="C67" s="11">
        <f si="0" t="shared"/>
        <v>0</v>
      </c>
      <c r="E67" s="75">
        <v>56</v>
      </c>
      <c r="F67" s="343" t="n">
        <v>55.0</v>
      </c>
      <c r="G67" s="11">
        <f si="1" t="shared"/>
        <v>4.650917626047619E-5</v>
      </c>
    </row>
    <row r="68" spans="1:7" x14ac:dyDescent="0.25">
      <c r="A68">
        <v>57</v>
      </c>
      <c r="B68" s="341" t="n">
        <v>0.0</v>
      </c>
      <c r="C68" s="11">
        <f si="0" t="shared"/>
        <v>0</v>
      </c>
      <c r="E68" s="76">
        <v>57</v>
      </c>
      <c r="F68" s="343" t="n">
        <v>107.0</v>
      </c>
      <c r="G68" s="11">
        <f si="1" t="shared"/>
        <v>6.2012235013968252E-6</v>
      </c>
    </row>
    <row r="69" spans="1:7" x14ac:dyDescent="0.25">
      <c r="A69">
        <v>58</v>
      </c>
      <c r="B69" s="341" t="n">
        <v>0.0</v>
      </c>
      <c r="C69" s="11">
        <f si="0" t="shared"/>
        <v>0</v>
      </c>
      <c r="E69" s="77">
        <v>58</v>
      </c>
      <c r="F69" s="343" t="n">
        <v>37.0</v>
      </c>
      <c r="G69" s="11">
        <f si="1" t="shared"/>
        <v>0</v>
      </c>
    </row>
    <row r="70" spans="1:7" x14ac:dyDescent="0.25">
      <c r="A70">
        <v>59</v>
      </c>
      <c r="B70" s="341" t="n">
        <v>0.0</v>
      </c>
      <c r="C70" s="11">
        <f si="0" t="shared"/>
        <v>0</v>
      </c>
      <c r="E70" s="78">
        <v>59</v>
      </c>
      <c r="F70" s="343" t="n">
        <v>9.0</v>
      </c>
      <c r="G70" s="11">
        <f si="1" t="shared"/>
        <v>9.3018352520952387E-6</v>
      </c>
    </row>
    <row r="71" spans="1:7" x14ac:dyDescent="0.25">
      <c r="A71">
        <v>60</v>
      </c>
      <c r="B71" s="341" t="n">
        <v>0.0</v>
      </c>
      <c r="C71" s="11">
        <f si="0" t="shared"/>
        <v>0</v>
      </c>
      <c r="E71" s="79">
        <v>60</v>
      </c>
      <c r="F71" s="343" t="n">
        <v>10.0</v>
      </c>
      <c r="G71" s="11">
        <f si="1" t="shared"/>
        <v>3.1006117506984126E-6</v>
      </c>
    </row>
    <row r="72" spans="1:7" x14ac:dyDescent="0.25">
      <c r="A72">
        <v>61</v>
      </c>
      <c r="B72" s="341" t="n">
        <v>0.0</v>
      </c>
      <c r="C72" s="11">
        <f si="0" t="shared"/>
        <v>0</v>
      </c>
      <c r="E72" s="80">
        <v>61</v>
      </c>
      <c r="F72" s="343" t="n">
        <v>15.0</v>
      </c>
      <c r="G72" s="11">
        <f si="1" t="shared"/>
        <v>3.1006117506984126E-6</v>
      </c>
    </row>
    <row r="73" spans="1:7" x14ac:dyDescent="0.25">
      <c r="A73">
        <v>62</v>
      </c>
      <c r="B73" s="341" t="n">
        <v>0.0</v>
      </c>
      <c r="C73" s="11">
        <f si="0" t="shared"/>
        <v>0</v>
      </c>
      <c r="E73" s="81">
        <v>62</v>
      </c>
      <c r="F73" s="343" t="n">
        <v>1.0</v>
      </c>
      <c r="G73" s="11">
        <f si="1" t="shared"/>
        <v>3.1006117506984126E-6</v>
      </c>
    </row>
    <row r="74" spans="1:7" x14ac:dyDescent="0.25">
      <c r="A74">
        <v>63</v>
      </c>
      <c r="B74" s="341" t="n">
        <v>0.0</v>
      </c>
      <c r="C74" s="11">
        <f si="0" t="shared"/>
        <v>0</v>
      </c>
      <c r="E74" s="82">
        <v>63</v>
      </c>
      <c r="F74" s="343" t="n">
        <v>0.0</v>
      </c>
      <c r="G74" s="11">
        <f si="1" t="shared"/>
        <v>0</v>
      </c>
    </row>
    <row r="75" spans="1:7" x14ac:dyDescent="0.25">
      <c r="A75">
        <v>64</v>
      </c>
      <c r="B75" s="341" t="n">
        <v>0.0</v>
      </c>
      <c r="C75" s="11">
        <f si="0" t="shared"/>
        <v>0</v>
      </c>
      <c r="E75" s="83">
        <v>64</v>
      </c>
      <c r="F75" s="343" t="n">
        <v>2.0</v>
      </c>
      <c r="G75" s="11">
        <f si="1" t="shared"/>
        <v>6.2012235013968252E-6</v>
      </c>
    </row>
    <row r="76" spans="1:7" x14ac:dyDescent="0.25">
      <c r="A76">
        <v>65</v>
      </c>
      <c r="B76" s="341" t="n">
        <v>0.0</v>
      </c>
      <c r="C76" s="11">
        <f si="0" t="shared"/>
        <v>0</v>
      </c>
      <c r="E76" s="84">
        <v>65</v>
      </c>
      <c r="F76" s="343" t="n">
        <v>4.0</v>
      </c>
      <c r="G76" s="11">
        <f si="1" t="shared"/>
        <v>3.1006117506984126E-6</v>
      </c>
    </row>
    <row r="77" spans="1:7" x14ac:dyDescent="0.25">
      <c r="A77">
        <v>66</v>
      </c>
      <c r="B77" s="341" t="n">
        <v>0.0</v>
      </c>
      <c r="C77" s="11">
        <f ref="C77:C102" si="2" t="shared">B77/B$102</f>
        <v>0</v>
      </c>
      <c r="E77" s="85">
        <v>66</v>
      </c>
      <c r="F77" s="343" t="n">
        <v>1.0</v>
      </c>
      <c r="G77" s="11">
        <f ref="G77:G102" si="3" t="shared">F77/F$102</f>
        <v>9.3018352520952387E-6</v>
      </c>
    </row>
    <row r="78" spans="1:7" x14ac:dyDescent="0.25">
      <c r="A78">
        <v>67</v>
      </c>
      <c r="B78" s="341" t="n">
        <v>0.0</v>
      </c>
      <c r="C78" s="11">
        <f si="2" t="shared"/>
        <v>0</v>
      </c>
      <c r="E78" s="86">
        <v>67</v>
      </c>
      <c r="F78" s="343" t="n">
        <v>34.0</v>
      </c>
      <c r="G78" s="11">
        <f si="3" t="shared"/>
        <v>9.3018352520952387E-6</v>
      </c>
    </row>
    <row r="79" spans="1:7" x14ac:dyDescent="0.25">
      <c r="A79">
        <v>68</v>
      </c>
      <c r="B79" s="341" t="n">
        <v>0.0</v>
      </c>
      <c r="C79" s="11">
        <f si="2" t="shared"/>
        <v>0</v>
      </c>
      <c r="E79" s="87">
        <v>68</v>
      </c>
      <c r="F79" s="343" t="n">
        <v>32.0</v>
      </c>
      <c r="G79" s="11">
        <f si="3" t="shared"/>
        <v>0</v>
      </c>
    </row>
    <row r="80" spans="1:7" x14ac:dyDescent="0.25">
      <c r="A80">
        <v>69</v>
      </c>
      <c r="B80" s="341" t="n">
        <v>0.0</v>
      </c>
      <c r="C80" s="11">
        <f si="2" t="shared"/>
        <v>0</v>
      </c>
      <c r="E80" s="88">
        <v>69</v>
      </c>
      <c r="F80" s="343" t="n">
        <v>4.0</v>
      </c>
      <c r="G80" s="11">
        <f si="3" t="shared"/>
        <v>0</v>
      </c>
    </row>
    <row r="81" spans="1:7" x14ac:dyDescent="0.25">
      <c r="A81">
        <v>70</v>
      </c>
      <c r="B81" s="341" t="n">
        <v>0.0</v>
      </c>
      <c r="C81" s="11">
        <f si="2" t="shared"/>
        <v>0</v>
      </c>
      <c r="E81" s="89">
        <v>70</v>
      </c>
      <c r="F81" s="343" t="n">
        <v>3.0</v>
      </c>
      <c r="G81" s="11">
        <f si="3" t="shared"/>
        <v>2.1704282254888889E-5</v>
      </c>
    </row>
    <row r="82" spans="1:7" x14ac:dyDescent="0.25">
      <c r="A82">
        <v>71</v>
      </c>
      <c r="B82" s="341" t="n">
        <v>0.0</v>
      </c>
      <c r="C82" s="11">
        <f si="2" t="shared"/>
        <v>0</v>
      </c>
      <c r="E82" s="90">
        <v>71</v>
      </c>
      <c r="F82" s="343" t="n">
        <v>1.0</v>
      </c>
      <c r="G82" s="11">
        <f si="3" t="shared"/>
        <v>6.2012235013968252E-6</v>
      </c>
    </row>
    <row r="83" spans="1:7" x14ac:dyDescent="0.25">
      <c r="A83">
        <v>72</v>
      </c>
      <c r="B83" s="341" t="n">
        <v>0.0</v>
      </c>
      <c r="C83" s="11">
        <f si="2" t="shared"/>
        <v>0</v>
      </c>
      <c r="E83" s="91">
        <v>72</v>
      </c>
      <c r="F83" s="343" t="n">
        <v>3.0</v>
      </c>
      <c r="G83" s="11">
        <f si="3" t="shared"/>
        <v>3.1006117506984126E-6</v>
      </c>
    </row>
    <row r="84" spans="1:7" x14ac:dyDescent="0.25">
      <c r="A84">
        <v>73</v>
      </c>
      <c r="B84" s="341" t="n">
        <v>0.0</v>
      </c>
      <c r="C84" s="11">
        <f si="2" t="shared"/>
        <v>0</v>
      </c>
      <c r="E84" s="92">
        <v>73</v>
      </c>
      <c r="F84" s="343" t="n">
        <v>10.0</v>
      </c>
      <c r="G84" s="11">
        <f si="3" t="shared"/>
        <v>1.240244700279365E-5</v>
      </c>
    </row>
    <row r="85" spans="1:7" x14ac:dyDescent="0.25">
      <c r="A85">
        <v>74</v>
      </c>
      <c r="B85" s="341" t="n">
        <v>0.0</v>
      </c>
      <c r="C85" s="11">
        <f si="2" t="shared"/>
        <v>0</v>
      </c>
      <c r="E85" s="93">
        <v>74</v>
      </c>
      <c r="F85" s="343" t="n">
        <v>2.0</v>
      </c>
      <c r="G85" s="11">
        <f si="3" t="shared"/>
        <v>3.1006117506984126E-6</v>
      </c>
    </row>
    <row r="86" spans="1:7" x14ac:dyDescent="0.25">
      <c r="A86">
        <v>75</v>
      </c>
      <c r="B86" s="341" t="n">
        <v>0.0</v>
      </c>
      <c r="C86" s="11">
        <f si="2" t="shared"/>
        <v>0</v>
      </c>
      <c r="E86" s="94">
        <v>75</v>
      </c>
      <c r="F86" s="343" t="n">
        <v>2.0</v>
      </c>
      <c r="G86" s="11">
        <f si="3" t="shared"/>
        <v>9.3018352520952387E-6</v>
      </c>
    </row>
    <row r="87" spans="1:7" x14ac:dyDescent="0.25">
      <c r="A87">
        <v>76</v>
      </c>
      <c r="B87" s="341" t="n">
        <v>0.0</v>
      </c>
      <c r="C87" s="11">
        <f si="2" t="shared"/>
        <v>0</v>
      </c>
      <c r="E87" s="95">
        <v>76</v>
      </c>
      <c r="F87" s="343" t="n">
        <v>1.0</v>
      </c>
      <c r="G87" s="11">
        <f si="3" t="shared"/>
        <v>0</v>
      </c>
    </row>
    <row r="88" spans="1:7" x14ac:dyDescent="0.25">
      <c r="A88">
        <v>77</v>
      </c>
      <c r="B88" s="341" t="n">
        <v>0.0</v>
      </c>
      <c r="C88" s="11">
        <f si="2" t="shared"/>
        <v>0</v>
      </c>
      <c r="E88" s="96">
        <v>77</v>
      </c>
      <c r="F88" s="343" t="n">
        <v>4.0</v>
      </c>
      <c r="G88" s="11">
        <f si="3" t="shared"/>
        <v>3.1006117506984126E-6</v>
      </c>
    </row>
    <row r="89" spans="1:7" x14ac:dyDescent="0.25">
      <c r="A89">
        <v>78</v>
      </c>
      <c r="B89" s="341" t="n">
        <v>0.0</v>
      </c>
      <c r="C89" s="11">
        <f si="2" t="shared"/>
        <v>0</v>
      </c>
      <c r="E89" s="97">
        <v>78</v>
      </c>
      <c r="F89" s="343" t="n">
        <v>0.0</v>
      </c>
      <c r="G89" s="11">
        <f si="3" t="shared"/>
        <v>0</v>
      </c>
    </row>
    <row r="90" spans="1:7" x14ac:dyDescent="0.25">
      <c r="A90">
        <v>79</v>
      </c>
      <c r="B90" s="341" t="n">
        <v>0.0</v>
      </c>
      <c r="C90" s="11">
        <f si="2" t="shared"/>
        <v>0</v>
      </c>
      <c r="E90" s="98">
        <v>79</v>
      </c>
      <c r="F90" s="343" t="n">
        <v>3.0</v>
      </c>
      <c r="G90" s="11">
        <f si="3" t="shared"/>
        <v>0</v>
      </c>
    </row>
    <row r="91" spans="1:7" x14ac:dyDescent="0.25">
      <c r="A91">
        <v>80</v>
      </c>
      <c r="B91" s="341" t="n">
        <v>0.0</v>
      </c>
      <c r="C91" s="11">
        <f si="2" t="shared"/>
        <v>0</v>
      </c>
      <c r="E91" s="99">
        <v>80</v>
      </c>
      <c r="F91" s="343" t="n">
        <v>1.0</v>
      </c>
      <c r="G91" s="11">
        <f si="3" t="shared"/>
        <v>0</v>
      </c>
    </row>
    <row r="92" spans="1:7" x14ac:dyDescent="0.25">
      <c r="A92">
        <v>81</v>
      </c>
      <c r="B92" s="341" t="n">
        <v>0.0</v>
      </c>
      <c r="C92" s="11">
        <f si="2" t="shared"/>
        <v>0</v>
      </c>
      <c r="E92" s="100">
        <v>81</v>
      </c>
      <c r="F92" s="343" t="n">
        <v>0.0</v>
      </c>
      <c r="G92" s="11">
        <f si="3" t="shared"/>
        <v>3.1006117506984126E-6</v>
      </c>
    </row>
    <row r="93" spans="1:7" x14ac:dyDescent="0.25">
      <c r="A93">
        <v>82</v>
      </c>
      <c r="B93" s="341" t="n">
        <v>0.0</v>
      </c>
      <c r="C93" s="11">
        <f si="2" t="shared"/>
        <v>0</v>
      </c>
      <c r="E93" s="101">
        <v>82</v>
      </c>
      <c r="F93" s="343" t="n">
        <v>3.0</v>
      </c>
      <c r="G93" s="11">
        <f si="3" t="shared"/>
        <v>3.1006117506984126E-6</v>
      </c>
    </row>
    <row r="94" spans="1:7" x14ac:dyDescent="0.25">
      <c r="A94">
        <v>83</v>
      </c>
      <c r="B94" s="341" t="n">
        <v>0.0</v>
      </c>
      <c r="C94" s="11">
        <f si="2" t="shared"/>
        <v>0</v>
      </c>
      <c r="E94" s="102">
        <v>83</v>
      </c>
      <c r="F94" s="343" t="n">
        <v>0.0</v>
      </c>
      <c r="G94" s="11">
        <f si="3" t="shared"/>
        <v>0</v>
      </c>
    </row>
    <row r="95" spans="1:7" x14ac:dyDescent="0.25">
      <c r="A95">
        <v>84</v>
      </c>
      <c r="B95" s="341" t="n">
        <v>0.0</v>
      </c>
      <c r="C95" s="11">
        <f si="2" t="shared"/>
        <v>0</v>
      </c>
      <c r="E95" s="103">
        <v>84</v>
      </c>
      <c r="F95" s="343" t="n">
        <v>3.0</v>
      </c>
      <c r="G95" s="11">
        <f si="3" t="shared"/>
        <v>0</v>
      </c>
    </row>
    <row r="96" spans="1:7" x14ac:dyDescent="0.25">
      <c r="A96">
        <v>85</v>
      </c>
      <c r="B96" s="341" t="n">
        <v>0.0</v>
      </c>
      <c r="C96" s="11">
        <f si="2" t="shared"/>
        <v>0</v>
      </c>
      <c r="E96" s="104">
        <v>85</v>
      </c>
      <c r="F96" s="343" t="n">
        <v>0.0</v>
      </c>
      <c r="G96" s="11">
        <f si="3" t="shared"/>
        <v>6.2012235013968252E-6</v>
      </c>
    </row>
    <row r="97" spans="1:7" x14ac:dyDescent="0.25">
      <c r="A97">
        <v>86</v>
      </c>
      <c r="B97" s="341" t="n">
        <v>0.0</v>
      </c>
      <c r="C97" s="11">
        <f si="2" t="shared"/>
        <v>0</v>
      </c>
      <c r="E97" s="105">
        <v>86</v>
      </c>
      <c r="F97" s="343" t="n">
        <v>2.0</v>
      </c>
      <c r="G97" s="11">
        <f si="3" t="shared"/>
        <v>0</v>
      </c>
    </row>
    <row r="98" spans="1:7" x14ac:dyDescent="0.25">
      <c r="A98">
        <v>87</v>
      </c>
      <c r="B98" s="341" t="n">
        <v>0.0</v>
      </c>
      <c r="C98" s="11">
        <f si="2" t="shared"/>
        <v>0</v>
      </c>
      <c r="E98" s="106">
        <v>87</v>
      </c>
      <c r="F98" s="343" t="n">
        <v>1.0</v>
      </c>
      <c r="G98" s="11">
        <f si="3" t="shared"/>
        <v>0</v>
      </c>
    </row>
    <row r="99" spans="1:7" x14ac:dyDescent="0.25">
      <c r="A99">
        <v>88</v>
      </c>
      <c r="B99" s="341" t="n">
        <v>0.0</v>
      </c>
      <c r="C99" s="11">
        <f si="2" t="shared"/>
        <v>0</v>
      </c>
      <c r="E99" s="107">
        <v>88</v>
      </c>
      <c r="F99" s="343" t="n">
        <v>2.0</v>
      </c>
      <c r="G99" s="11">
        <f si="3" t="shared"/>
        <v>0</v>
      </c>
    </row>
    <row r="100" spans="1:7" x14ac:dyDescent="0.25">
      <c r="A100">
        <v>89</v>
      </c>
      <c r="B100" s="341" t="n">
        <v>0.0</v>
      </c>
      <c r="C100" s="11">
        <f si="2" t="shared"/>
        <v>0</v>
      </c>
      <c r="E100" s="108">
        <v>89</v>
      </c>
      <c r="F100" s="343" t="n">
        <v>0.0</v>
      </c>
      <c r="G100" s="11">
        <f si="3" t="shared"/>
        <v>1.5503058753492066E-5</v>
      </c>
    </row>
    <row ht="15.75" r="101" spans="1:7" thickBot="1" x14ac:dyDescent="0.3">
      <c r="A101" s="1">
        <v>90</v>
      </c>
      <c r="B101" s="342" t="n">
        <v>0.0</v>
      </c>
      <c r="C101" s="11">
        <f si="2" t="shared"/>
        <v>0</v>
      </c>
      <c r="E101" s="292">
        <v>90</v>
      </c>
      <c r="F101" s="344" t="n">
        <v>41.0</v>
      </c>
      <c r="G101" s="11">
        <f si="3" t="shared"/>
        <v>0</v>
      </c>
    </row>
    <row r="102" spans="1:7" x14ac:dyDescent="0.25">
      <c r="B102" s="341">
        <f>SUM(B11:B101)</f>
        <v>317603.93599957577</v>
      </c>
      <c r="C102" s="11">
        <f si="2" t="shared"/>
        <v>1</v>
      </c>
      <c r="F102" s="341">
        <f>SUM(F11:F101)</f>
        <v>322517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O11" sqref="O11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244</v>
      </c>
    </row>
    <row r="3" spans="1:12" x14ac:dyDescent="0.25">
      <c r="A3" t="s">
        <v>246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35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3.2979544946263484E-2</v>
      </c>
      <c r="E11" s="109">
        <v>0</v>
      </c>
      <c r="F11" s="199" t="n">
        <v>2984.0</v>
      </c>
      <c r="G11" s="11">
        <f>F11/F$102</f>
        <v>1.5810019316811207E-2</v>
      </c>
      <c r="K11" s="8" t="n">
        <v>12.155563603551274</v>
      </c>
      <c r="L11" s="8" t="n">
        <v>14.014590499191005</v>
      </c>
    </row>
    <row r="12" spans="1:12" x14ac:dyDescent="0.25">
      <c r="A12">
        <v>1</v>
      </c>
      <c r="B12" s="8" t="n">
        <v>0.0</v>
      </c>
      <c r="C12" s="11">
        <f>B12/B$102</f>
        <v>0.10820860282751557</v>
      </c>
      <c r="E12" s="110">
        <v>1</v>
      </c>
      <c r="F12" s="200" t="n">
        <v>1869.0</v>
      </c>
      <c r="G12" s="11">
        <f>F12/F$102</f>
        <v>4.7433158562184316E-2</v>
      </c>
      <c r="K12" s="8"/>
      <c r="L12" s="290"/>
    </row>
    <row r="13" spans="1:12" x14ac:dyDescent="0.25">
      <c r="A13">
        <v>2</v>
      </c>
      <c r="B13" s="8" t="n">
        <v>74.8844039488912</v>
      </c>
      <c r="C13" s="11">
        <f ref="C13:C76" si="0" t="shared">B13/B$102</f>
        <v>0.10601462774395852</v>
      </c>
      <c r="E13" s="111">
        <v>2</v>
      </c>
      <c r="F13" s="201" t="n">
        <v>2025.0</v>
      </c>
      <c r="G13" s="11">
        <f ref="G13:G76" si="1" t="shared">F13/F$102</f>
        <v>7.4895276838120167E-2</v>
      </c>
    </row>
    <row r="14" spans="1:12" x14ac:dyDescent="0.25">
      <c r="A14">
        <v>3</v>
      </c>
      <c r="B14" s="8" t="n">
        <v>5395.184847127299</v>
      </c>
      <c r="C14" s="11">
        <f si="0" t="shared"/>
        <v>7.4205244396662456E-2</v>
      </c>
      <c r="E14" s="112">
        <v>3</v>
      </c>
      <c r="F14" s="202" t="n">
        <v>3684.0</v>
      </c>
      <c r="G14" s="11">
        <f si="1" t="shared"/>
        <v>0.10208144066824384</v>
      </c>
    </row>
    <row r="15" spans="1:12" x14ac:dyDescent="0.25">
      <c r="A15">
        <v>4</v>
      </c>
      <c r="B15" s="8" t="n">
        <v>10811.583079538155</v>
      </c>
      <c r="C15" s="11">
        <f si="0" t="shared"/>
        <v>9.8531899038111243E-2</v>
      </c>
      <c r="E15" s="113">
        <v>4</v>
      </c>
      <c r="F15" s="203" t="n">
        <v>6342.0</v>
      </c>
      <c r="G15" s="11">
        <f si="1" t="shared"/>
        <v>0.11117863554479299</v>
      </c>
    </row>
    <row r="16" spans="1:12" x14ac:dyDescent="0.25">
      <c r="A16">
        <v>5</v>
      </c>
      <c r="B16" s="8" t="n">
        <v>14127.27578178502</v>
      </c>
      <c r="C16" s="11">
        <f si="0" t="shared"/>
        <v>6.237634445044183E-2</v>
      </c>
      <c r="E16" s="114">
        <v>5</v>
      </c>
      <c r="F16" s="204" t="n">
        <v>8272.0</v>
      </c>
      <c r="G16" s="11">
        <f si="1" t="shared"/>
        <v>9.7483233441958098E-2</v>
      </c>
    </row>
    <row r="17" spans="1:7" x14ac:dyDescent="0.25">
      <c r="A17">
        <v>6</v>
      </c>
      <c r="B17" s="8" t="n">
        <v>22847.589586930302</v>
      </c>
      <c r="C17" s="11">
        <f si="0" t="shared"/>
        <v>7.4109874334352635E-2</v>
      </c>
      <c r="E17" s="115">
        <v>6</v>
      </c>
      <c r="F17" s="205" t="n">
        <v>10119.0</v>
      </c>
      <c r="G17" s="11">
        <f si="1" t="shared"/>
        <v>8.1431366408592415E-2</v>
      </c>
    </row>
    <row r="18" spans="1:7" x14ac:dyDescent="0.25">
      <c r="A18">
        <v>7</v>
      </c>
      <c r="B18" s="8" t="n">
        <v>18193.881547856654</v>
      </c>
      <c r="C18" s="11">
        <f si="0" t="shared"/>
        <v>9.255491002798201E-2</v>
      </c>
      <c r="E18" s="116">
        <v>7</v>
      </c>
      <c r="F18" s="206" t="n">
        <v>11134.0</v>
      </c>
      <c r="G18" s="11">
        <f si="1" t="shared"/>
        <v>6.6015124784119902E-2</v>
      </c>
    </row>
    <row r="19" spans="1:7" x14ac:dyDescent="0.25">
      <c r="A19">
        <v>8</v>
      </c>
      <c r="B19" s="8" t="n">
        <v>11287.20071013492</v>
      </c>
      <c r="C19" s="11">
        <f si="0" t="shared"/>
        <v>3.9575924726614066E-2</v>
      </c>
      <c r="E19" s="117">
        <v>8</v>
      </c>
      <c r="F19" s="207" t="n">
        <v>10895.0</v>
      </c>
      <c r="G19" s="11">
        <f si="1" t="shared"/>
        <v>5.3439043523287141E-2</v>
      </c>
    </row>
    <row r="20" spans="1:7" x14ac:dyDescent="0.25">
      <c r="A20">
        <v>9</v>
      </c>
      <c r="B20" s="8" t="n">
        <v>8866.5603712977</v>
      </c>
      <c r="C20" s="11">
        <f si="0" t="shared"/>
        <v>2.8442148884554298E-2</v>
      </c>
      <c r="E20" s="118">
        <v>9</v>
      </c>
      <c r="F20" s="208" t="n">
        <v>10519.0</v>
      </c>
      <c r="G20" s="11">
        <f si="1" t="shared"/>
        <v>4.8164902935349148E-2</v>
      </c>
    </row>
    <row r="21" spans="1:7" x14ac:dyDescent="0.25">
      <c r="A21">
        <v>10</v>
      </c>
      <c r="B21" s="8" t="n">
        <v>8060.843953516157</v>
      </c>
      <c r="C21" s="11">
        <f si="0" t="shared"/>
        <v>4.0882813291533843E-2</v>
      </c>
      <c r="E21" s="119">
        <v>10</v>
      </c>
      <c r="F21" s="209" t="n">
        <v>10199.0</v>
      </c>
      <c r="G21" s="11">
        <f si="1" t="shared"/>
        <v>4.1910969034190448E-2</v>
      </c>
    </row>
    <row r="22" spans="1:7" x14ac:dyDescent="0.25">
      <c r="A22">
        <v>11</v>
      </c>
      <c r="B22" s="8" t="n">
        <v>12442.021032568384</v>
      </c>
      <c r="C22" s="11">
        <f si="0" t="shared"/>
        <v>3.0743284104411735E-2</v>
      </c>
      <c r="E22" s="120">
        <v>11</v>
      </c>
      <c r="F22" s="210" t="n">
        <v>8795.0</v>
      </c>
      <c r="G22" s="11">
        <f si="1" t="shared"/>
        <v>3.6615124163997557E-2</v>
      </c>
    </row>
    <row r="23" spans="1:7" x14ac:dyDescent="0.25">
      <c r="A23">
        <v>12</v>
      </c>
      <c r="B23" s="8" t="n">
        <v>7942.6476526591305</v>
      </c>
      <c r="C23" s="11">
        <f si="0" t="shared"/>
        <v>2.9700517163509854E-2</v>
      </c>
      <c r="E23" s="121">
        <v>12</v>
      </c>
      <c r="F23" s="211" t="n">
        <v>8180.0</v>
      </c>
      <c r="G23" s="11">
        <f si="1" t="shared"/>
        <v>3.0668150826158001E-2</v>
      </c>
    </row>
    <row r="24" spans="1:7" x14ac:dyDescent="0.25">
      <c r="A24">
        <v>13</v>
      </c>
      <c r="B24" s="8" t="n">
        <v>6580.070148774857</v>
      </c>
      <c r="C24" s="11">
        <f si="0" t="shared"/>
        <v>2.2244537373706914E-2</v>
      </c>
      <c r="E24" s="122">
        <v>13</v>
      </c>
      <c r="F24" s="212" t="n">
        <v>7043.0</v>
      </c>
      <c r="G24" s="11">
        <f si="1" t="shared"/>
        <v>2.7344295029409302E-2</v>
      </c>
    </row>
    <row r="25" spans="1:7" x14ac:dyDescent="0.25">
      <c r="A25">
        <v>14</v>
      </c>
      <c r="B25" s="8" t="n">
        <v>7254.338823346769</v>
      </c>
      <c r="C25" s="11">
        <f si="0" t="shared"/>
        <v>1.8865572139371917E-2</v>
      </c>
      <c r="E25" s="123">
        <v>14</v>
      </c>
      <c r="F25" s="213" t="n">
        <v>6101.0</v>
      </c>
      <c r="G25" s="11">
        <f si="1" t="shared"/>
        <v>2.2405020510546731E-2</v>
      </c>
    </row>
    <row r="26" spans="1:7" x14ac:dyDescent="0.25">
      <c r="A26">
        <v>15</v>
      </c>
      <c r="B26" s="8" t="n">
        <v>5433.642850577139</v>
      </c>
      <c r="C26" s="11">
        <f si="0" t="shared"/>
        <v>1.7642521814604139E-2</v>
      </c>
      <c r="E26" s="124">
        <v>15</v>
      </c>
      <c r="F26" s="214" t="n">
        <v>5568.0</v>
      </c>
      <c r="G26" s="11">
        <f si="1" t="shared"/>
        <v>1.8504450928168128E-2</v>
      </c>
    </row>
    <row r="27" spans="1:7" x14ac:dyDescent="0.25">
      <c r="A27">
        <v>16</v>
      </c>
      <c r="B27" s="8" t="n">
        <v>1955.4494483124126</v>
      </c>
      <c r="C27" s="11">
        <f si="0" t="shared"/>
        <v>7.99178824015386E-3</v>
      </c>
      <c r="E27" s="125">
        <v>16</v>
      </c>
      <c r="F27" s="215" t="n">
        <v>4532.0</v>
      </c>
      <c r="G27" s="11">
        <f si="1" t="shared"/>
        <v>1.4653491133800699E-2</v>
      </c>
    </row>
    <row r="28" spans="1:7" x14ac:dyDescent="0.25">
      <c r="A28">
        <v>17</v>
      </c>
      <c r="B28" s="8" t="n">
        <v>4921.569322224811</v>
      </c>
      <c r="C28" s="11">
        <f si="0" t="shared"/>
        <v>1.4538004663961889E-2</v>
      </c>
      <c r="E28" s="126">
        <v>17</v>
      </c>
      <c r="F28" s="216" t="n">
        <v>3747.0</v>
      </c>
      <c r="G28" s="11">
        <f si="1" t="shared"/>
        <v>1.2591584319586254E-2</v>
      </c>
    </row>
    <row r="29" spans="1:7" x14ac:dyDescent="0.25">
      <c r="A29">
        <v>18</v>
      </c>
      <c r="B29" s="8" t="n">
        <v>2419.700988637695</v>
      </c>
      <c r="C29" s="11">
        <f si="0" t="shared"/>
        <v>1.0134293178676012E-2</v>
      </c>
      <c r="E29" s="127">
        <v>18</v>
      </c>
      <c r="F29" s="217" t="n">
        <v>3212.0</v>
      </c>
      <c r="G29" s="11">
        <f si="1" t="shared"/>
        <v>1.0132799201282412E-2</v>
      </c>
    </row>
    <row r="30" spans="1:7" x14ac:dyDescent="0.25">
      <c r="A30">
        <v>19</v>
      </c>
      <c r="B30" s="8" t="n">
        <v>3649.6622283129263</v>
      </c>
      <c r="C30" s="11">
        <f si="0" t="shared"/>
        <v>3.8616766736558894E-3</v>
      </c>
      <c r="E30" s="128">
        <v>19</v>
      </c>
      <c r="F30" s="218" t="n">
        <v>2731.0</v>
      </c>
      <c r="G30" s="11">
        <f si="1" t="shared"/>
        <v>8.9700697947705087E-3</v>
      </c>
    </row>
    <row r="31" spans="1:7" x14ac:dyDescent="0.25">
      <c r="A31">
        <v>20</v>
      </c>
      <c r="B31" s="8" t="n">
        <v>1491.0676199252043</v>
      </c>
      <c r="C31" s="11">
        <f si="0" t="shared"/>
        <v>4.7851456771059279E-3</v>
      </c>
      <c r="E31" s="129">
        <v>20</v>
      </c>
      <c r="F31" s="219" t="n">
        <v>2419.0</v>
      </c>
      <c r="G31" s="11">
        <f si="1" t="shared"/>
        <v>7.8972581290288578E-3</v>
      </c>
    </row>
    <row r="32" spans="1:7" x14ac:dyDescent="0.25">
      <c r="A32">
        <v>21</v>
      </c>
      <c r="B32" s="8" t="n">
        <v>1036.130053427214</v>
      </c>
      <c r="C32" s="11">
        <f si="0" t="shared"/>
        <v>7.3158856158647831E-3</v>
      </c>
      <c r="E32" s="130">
        <v>21</v>
      </c>
      <c r="F32" s="220" t="n">
        <v>2220.0</v>
      </c>
      <c r="G32" s="11">
        <f si="1" t="shared"/>
        <v>6.8554525807941911E-3</v>
      </c>
    </row>
    <row r="33" spans="1:7" x14ac:dyDescent="0.25">
      <c r="A33">
        <v>22</v>
      </c>
      <c r="B33" s="8" t="n">
        <v>722.4172679539016</v>
      </c>
      <c r="C33" s="11">
        <f si="0" t="shared"/>
        <v>3.9040478106025181E-4</v>
      </c>
      <c r="E33" s="131">
        <v>22</v>
      </c>
      <c r="F33" s="221" t="n">
        <v>1915.0</v>
      </c>
      <c r="G33" s="11">
        <f si="1" t="shared"/>
        <v>6.2353302306545084E-3</v>
      </c>
    </row>
    <row r="34" spans="1:7" x14ac:dyDescent="0.25">
      <c r="A34">
        <v>23</v>
      </c>
      <c r="B34" s="8" t="n">
        <v>1261.93375548312</v>
      </c>
      <c r="C34" s="11">
        <f si="0" t="shared"/>
        <v>3.3702463245992675E-3</v>
      </c>
      <c r="E34" s="132">
        <v>23</v>
      </c>
      <c r="F34" s="222" t="n">
        <v>1624.0</v>
      </c>
      <c r="G34" s="11">
        <f si="1" t="shared"/>
        <v>6.4399706062006033E-3</v>
      </c>
    </row>
    <row r="35" spans="1:7" x14ac:dyDescent="0.25">
      <c r="A35">
        <v>24</v>
      </c>
      <c r="B35" s="8" t="n">
        <v>2060.474297942181</v>
      </c>
      <c r="C35" s="11">
        <f si="0" t="shared"/>
        <v>5.1627752805194086E-3</v>
      </c>
      <c r="E35" s="133">
        <v>24</v>
      </c>
      <c r="F35" s="223" t="n">
        <v>1470.0</v>
      </c>
      <c r="G35" s="11">
        <f si="1" t="shared"/>
        <v>5.2865430349407936E-3</v>
      </c>
    </row>
    <row r="36" spans="1:7" x14ac:dyDescent="0.25">
      <c r="A36">
        <v>25</v>
      </c>
      <c r="B36" s="8" t="n">
        <v>1386.625247223046</v>
      </c>
      <c r="C36" s="11">
        <f si="0" t="shared"/>
        <v>1.4535300098954927E-2</v>
      </c>
      <c r="E36" s="134">
        <v>25</v>
      </c>
      <c r="F36" s="224" t="n">
        <v>1173.0</v>
      </c>
      <c r="G36" s="11">
        <f si="1" t="shared"/>
        <v>4.5578992735266664E-3</v>
      </c>
    </row>
    <row r="37" spans="1:7" x14ac:dyDescent="0.25">
      <c r="A37">
        <v>26</v>
      </c>
      <c r="B37" s="8" t="n">
        <v>475.9985791034052</v>
      </c>
      <c r="C37" s="11">
        <f si="0" t="shared"/>
        <v>7.8832033445701798E-3</v>
      </c>
      <c r="E37" s="135">
        <v>26</v>
      </c>
      <c r="F37" s="225" t="n">
        <v>1069.0</v>
      </c>
      <c r="G37" s="11">
        <f si="1" t="shared"/>
        <v>4.0618013934149207E-3</v>
      </c>
    </row>
    <row r="38" spans="1:7" x14ac:dyDescent="0.25">
      <c r="A38">
        <v>27</v>
      </c>
      <c r="B38" s="8" t="n">
        <v>1085.5739045426965</v>
      </c>
      <c r="C38" s="11">
        <f si="0" t="shared"/>
        <v>1.1281390669903178E-3</v>
      </c>
      <c r="E38" s="136">
        <v>27</v>
      </c>
      <c r="F38" s="226" t="n">
        <v>949.0</v>
      </c>
      <c r="G38" s="11">
        <f si="1" t="shared"/>
        <v>3.9129720293813973E-3</v>
      </c>
    </row>
    <row r="39" spans="1:7" x14ac:dyDescent="0.25">
      <c r="A39">
        <v>28</v>
      </c>
      <c r="B39" s="8" t="n">
        <v>293.4525832451311</v>
      </c>
      <c r="C39" s="11">
        <f si="0" t="shared"/>
        <v>1.02815079044215E-2</v>
      </c>
      <c r="E39" s="137">
        <v>28</v>
      </c>
      <c r="F39" s="227" t="n">
        <v>799.0</v>
      </c>
      <c r="G39" s="11">
        <f si="1" t="shared"/>
        <v>3.3269564084993969E-3</v>
      </c>
    </row>
    <row r="40" spans="1:7" x14ac:dyDescent="0.25">
      <c r="A40">
        <v>29</v>
      </c>
      <c r="B40" s="8" t="n">
        <v>3125.40063620257</v>
      </c>
      <c r="C40" s="11">
        <f si="0" t="shared"/>
        <v>9.1966716419765743E-3</v>
      </c>
      <c r="E40" s="138">
        <v>29</v>
      </c>
      <c r="F40" s="228" t="n">
        <v>700.0</v>
      </c>
      <c r="G40" s="11">
        <f si="1" t="shared"/>
        <v>3.1502215387095873E-3</v>
      </c>
    </row>
    <row r="41" spans="1:7" x14ac:dyDescent="0.25">
      <c r="A41">
        <v>30</v>
      </c>
      <c r="B41" s="8" t="n">
        <v>1163.8859681550719</v>
      </c>
      <c r="C41" s="11">
        <f si="0" t="shared"/>
        <v>2.1034263475722017E-3</v>
      </c>
      <c r="E41" s="139">
        <v>30</v>
      </c>
      <c r="F41" s="229" t="n">
        <v>680.0</v>
      </c>
      <c r="G41" s="11">
        <f si="1" t="shared"/>
        <v>2.6510230468471431E-3</v>
      </c>
    </row>
    <row r="42" spans="1:7" x14ac:dyDescent="0.25">
      <c r="A42">
        <v>31</v>
      </c>
      <c r="B42" s="8" t="n">
        <v>186.9391541755856</v>
      </c>
      <c r="C42" s="11">
        <f si="0" t="shared"/>
        <v>3.3247168809468976E-3</v>
      </c>
      <c r="E42" s="140">
        <v>31</v>
      </c>
      <c r="F42" s="230" t="n">
        <v>543.0</v>
      </c>
      <c r="G42" s="11">
        <f si="1" t="shared"/>
        <v>2.2386416840042538E-3</v>
      </c>
    </row>
    <row r="43" spans="1:7" x14ac:dyDescent="0.25">
      <c r="A43">
        <v>32</v>
      </c>
      <c r="B43" s="8" t="n">
        <v>1073.035091826599</v>
      </c>
      <c r="C43" s="11">
        <f si="0" t="shared"/>
        <v>6.0702557788949289E-5</v>
      </c>
      <c r="E43" s="141">
        <v>32</v>
      </c>
      <c r="F43" s="231" t="n">
        <v>522.0</v>
      </c>
      <c r="G43" s="11">
        <f si="1" t="shared"/>
        <v>2.1084159904749206E-3</v>
      </c>
    </row>
    <row r="44" spans="1:7" x14ac:dyDescent="0.25">
      <c r="A44">
        <v>33</v>
      </c>
      <c r="B44" s="8" t="n">
        <v>49.6927684640005</v>
      </c>
      <c r="C44" s="11">
        <f si="0" t="shared"/>
        <v>0</v>
      </c>
      <c r="E44" s="142">
        <v>33</v>
      </c>
      <c r="F44" s="232" t="n">
        <v>482.0</v>
      </c>
      <c r="G44" s="11">
        <f si="1" t="shared"/>
        <v>1.9998945792004761E-3</v>
      </c>
    </row>
    <row r="45" spans="1:7" x14ac:dyDescent="0.25">
      <c r="A45">
        <v>34</v>
      </c>
      <c r="B45" s="8" t="n">
        <v>269.39500876749463</v>
      </c>
      <c r="C45" s="11">
        <f si="0" t="shared"/>
        <v>6.9133517040545983E-3</v>
      </c>
      <c r="E45" s="143">
        <v>34</v>
      </c>
      <c r="F45" s="233" t="n">
        <v>374.0</v>
      </c>
      <c r="G45" s="11">
        <f si="1" t="shared"/>
        <v>1.7735499213994922E-3</v>
      </c>
    </row>
    <row r="46" spans="1:7" x14ac:dyDescent="0.25">
      <c r="A46">
        <v>35</v>
      </c>
      <c r="B46" s="8" t="n">
        <v>444.37529739022943</v>
      </c>
      <c r="C46" s="11">
        <f si="0" t="shared"/>
        <v>4.327880768171387E-5</v>
      </c>
      <c r="E46" s="144">
        <v>35</v>
      </c>
      <c r="F46" s="234" t="n">
        <v>357.0</v>
      </c>
      <c r="G46" s="11">
        <f si="1" t="shared"/>
        <v>1.531702204845016E-3</v>
      </c>
    </row>
    <row r="47" spans="1:7" x14ac:dyDescent="0.25">
      <c r="A47">
        <v>36</v>
      </c>
      <c r="B47" s="8" t="n">
        <v>691.4407995586693</v>
      </c>
      <c r="C47" s="11">
        <f si="0" t="shared"/>
        <v>0</v>
      </c>
      <c r="E47" s="145">
        <v>36</v>
      </c>
      <c r="F47" s="235" t="n">
        <v>305.0</v>
      </c>
      <c r="G47" s="11">
        <f si="1" t="shared"/>
        <v>1.351866723304508E-3</v>
      </c>
    </row>
    <row r="48" spans="1:7" x14ac:dyDescent="0.25">
      <c r="A48">
        <v>37</v>
      </c>
      <c r="B48" s="8" t="n">
        <v>24.0592179985813</v>
      </c>
      <c r="C48" s="11">
        <f si="0" t="shared"/>
        <v>1.1987665811821411E-5</v>
      </c>
      <c r="E48" s="146">
        <v>37</v>
      </c>
      <c r="F48" s="236" t="n">
        <v>294.0</v>
      </c>
      <c r="G48" s="11">
        <f si="1" t="shared"/>
        <v>1.3766716173100953E-3</v>
      </c>
    </row>
    <row r="49" spans="1:7" x14ac:dyDescent="0.25">
      <c r="A49">
        <v>38</v>
      </c>
      <c r="B49" s="8" t="n">
        <v>743.4480277924225</v>
      </c>
      <c r="C49" s="11">
        <f si="0" t="shared"/>
        <v>0</v>
      </c>
      <c r="E49" s="147">
        <v>38</v>
      </c>
      <c r="F49" s="237" t="n">
        <v>242.0</v>
      </c>
      <c r="G49" s="11">
        <f si="1" t="shared"/>
        <v>1.3208606057975238E-3</v>
      </c>
    </row>
    <row r="50" spans="1:7" x14ac:dyDescent="0.25">
      <c r="A50">
        <v>39</v>
      </c>
      <c r="B50" s="8" t="n">
        <v>283.7701423457288</v>
      </c>
      <c r="C50" s="11">
        <f si="0" t="shared"/>
        <v>0</v>
      </c>
      <c r="E50" s="148">
        <v>39</v>
      </c>
      <c r="F50" s="238" t="n">
        <v>234.0</v>
      </c>
      <c r="G50" s="11">
        <f si="1" t="shared"/>
        <v>1.1534275712598095E-3</v>
      </c>
    </row>
    <row r="51" spans="1:7" x14ac:dyDescent="0.25">
      <c r="A51">
        <v>40</v>
      </c>
      <c r="B51" s="8" t="n">
        <v>1709.6140427864632</v>
      </c>
      <c r="C51" s="11">
        <f si="0" t="shared"/>
        <v>0</v>
      </c>
      <c r="E51" s="149">
        <v>40</v>
      </c>
      <c r="F51" s="239" t="n">
        <v>167.0</v>
      </c>
      <c r="G51" s="11">
        <f si="1" t="shared"/>
        <v>9.4568658396301591E-4</v>
      </c>
    </row>
    <row r="52" spans="1:7" x14ac:dyDescent="0.25">
      <c r="A52">
        <v>41</v>
      </c>
      <c r="B52" s="8" t="n">
        <v>0.0</v>
      </c>
      <c r="C52" s="11">
        <f si="0" t="shared"/>
        <v>2.7571639582412723E-4</v>
      </c>
      <c r="E52" s="150">
        <v>41</v>
      </c>
      <c r="F52" s="240" t="n">
        <v>186.0</v>
      </c>
      <c r="G52" s="11">
        <f si="1" t="shared"/>
        <v>9.3638474871092069E-4</v>
      </c>
    </row>
    <row r="53" spans="1:7" x14ac:dyDescent="0.25">
      <c r="A53">
        <v>42</v>
      </c>
      <c r="B53" s="8" t="n">
        <v>301.2661796941884</v>
      </c>
      <c r="C53" s="11">
        <f si="0" t="shared"/>
        <v>3.4448157663492194E-4</v>
      </c>
      <c r="E53" s="151">
        <v>42</v>
      </c>
      <c r="F53" s="241" t="n">
        <v>195.0</v>
      </c>
      <c r="G53" s="11">
        <f si="1" t="shared"/>
        <v>8.2786333743647619E-4</v>
      </c>
    </row>
    <row r="54" spans="1:7" x14ac:dyDescent="0.25">
      <c r="A54">
        <v>43</v>
      </c>
      <c r="B54" s="8" t="n">
        <v>0.0</v>
      </c>
      <c r="C54" s="11">
        <f si="0" t="shared"/>
        <v>0</v>
      </c>
      <c r="E54" s="152">
        <v>43</v>
      </c>
      <c r="F54" s="242" t="n">
        <v>134.0</v>
      </c>
      <c r="G54" s="11">
        <f si="1" t="shared"/>
        <v>6.1702173838898411E-4</v>
      </c>
    </row>
    <row r="55" spans="1:7" x14ac:dyDescent="0.25">
      <c r="A55">
        <v>44</v>
      </c>
      <c r="B55" s="8" t="n">
        <v>0.0</v>
      </c>
      <c r="C55" s="11">
        <f si="0" t="shared"/>
        <v>0</v>
      </c>
      <c r="E55" s="153">
        <v>44</v>
      </c>
      <c r="F55" s="243" t="n">
        <v>141.0</v>
      </c>
      <c r="G55" s="11">
        <f si="1" t="shared"/>
        <v>5.7981439738060314E-4</v>
      </c>
    </row>
    <row r="56" spans="1:7" x14ac:dyDescent="0.25">
      <c r="A56">
        <v>45</v>
      </c>
      <c r="B56" s="8" t="n">
        <v>0.0</v>
      </c>
      <c r="C56" s="11">
        <f si="0" t="shared"/>
        <v>7.6832118984312568E-5</v>
      </c>
      <c r="E56" s="154">
        <v>45</v>
      </c>
      <c r="F56" s="244" t="n">
        <v>126.0</v>
      </c>
      <c r="G56" s="11">
        <f si="1" t="shared"/>
        <v>5.3020460936942855E-4</v>
      </c>
    </row>
    <row r="57" spans="1:7" x14ac:dyDescent="0.25">
      <c r="A57">
        <v>46</v>
      </c>
      <c r="B57" s="8" t="n">
        <v>707.2879673208107</v>
      </c>
      <c r="C57" s="11">
        <f si="0" t="shared"/>
        <v>0</v>
      </c>
      <c r="E57" s="155">
        <v>46</v>
      </c>
      <c r="F57" s="245" t="n">
        <v>113.0</v>
      </c>
      <c r="G57" s="11">
        <f si="1" t="shared"/>
        <v>4.5268931560196827E-4</v>
      </c>
    </row>
    <row r="58" spans="1:7" x14ac:dyDescent="0.25">
      <c r="A58">
        <v>47</v>
      </c>
      <c r="B58" s="8" t="n">
        <v>43.4289781720416</v>
      </c>
      <c r="C58" s="11">
        <f si="0" t="shared"/>
        <v>1.2342354835026875E-5</v>
      </c>
      <c r="E58" s="156">
        <v>47</v>
      </c>
      <c r="F58" s="246" t="n">
        <v>107.0</v>
      </c>
      <c r="G58" s="11">
        <f si="1" t="shared"/>
        <v>3.7827463358520638E-4</v>
      </c>
    </row>
    <row r="59" spans="1:7" x14ac:dyDescent="0.25">
      <c r="A59">
        <v>48</v>
      </c>
      <c r="B59" s="8" t="n">
        <v>110.603371177252</v>
      </c>
      <c r="C59" s="11">
        <f si="0" t="shared"/>
        <v>3.4700864435359771E-4</v>
      </c>
      <c r="E59" s="157">
        <v>48</v>
      </c>
      <c r="F59" s="247" t="n">
        <v>89.0</v>
      </c>
      <c r="G59" s="11">
        <f si="1" t="shared"/>
        <v>3.596709630810159E-4</v>
      </c>
    </row>
    <row r="60" spans="1:7" x14ac:dyDescent="0.25">
      <c r="A60">
        <v>49</v>
      </c>
      <c r="B60" s="8" t="n">
        <v>190.8451752632998</v>
      </c>
      <c r="C60" s="11">
        <f si="0" t="shared"/>
        <v>0</v>
      </c>
      <c r="E60" s="158">
        <v>49</v>
      </c>
      <c r="F60" s="248" t="n">
        <v>77.0</v>
      </c>
      <c r="G60" s="11">
        <f si="1" t="shared"/>
        <v>3.875764688373016E-4</v>
      </c>
    </row>
    <row r="61" spans="1:7" x14ac:dyDescent="0.25">
      <c r="A61">
        <v>50</v>
      </c>
      <c r="B61" s="8" t="n">
        <v>0.0</v>
      </c>
      <c r="C61" s="11">
        <f si="0" t="shared"/>
        <v>2.6928717967525453E-3</v>
      </c>
      <c r="E61" s="159">
        <v>50</v>
      </c>
      <c r="F61" s="249" t="n">
        <v>53.0</v>
      </c>
      <c r="G61" s="11">
        <f si="1" t="shared"/>
        <v>3.3796668082612701E-4</v>
      </c>
    </row>
    <row r="62" spans="1:7" x14ac:dyDescent="0.25">
      <c r="A62">
        <v>51</v>
      </c>
      <c r="B62" s="8" t="n">
        <v>156.32578406873552</v>
      </c>
      <c r="C62" s="11">
        <f si="0" t="shared"/>
        <v>1.7481507688117844E-3</v>
      </c>
      <c r="E62" s="160">
        <v>51</v>
      </c>
      <c r="F62" s="250" t="n">
        <v>54.0</v>
      </c>
      <c r="G62" s="11">
        <f si="1" t="shared"/>
        <v>3.0385995156844445E-4</v>
      </c>
    </row>
    <row r="63" spans="1:7" x14ac:dyDescent="0.25">
      <c r="A63">
        <v>52</v>
      </c>
      <c r="B63" s="8" t="n">
        <v>129.0175391824056</v>
      </c>
      <c r="C63" s="11">
        <f si="0" t="shared"/>
        <v>4.2440834816547066E-3</v>
      </c>
      <c r="E63" s="161">
        <v>52</v>
      </c>
      <c r="F63" s="251" t="n">
        <v>59.0</v>
      </c>
      <c r="G63" s="11">
        <f si="1" t="shared"/>
        <v>2.3874710480377778E-4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162">
        <v>53</v>
      </c>
      <c r="F64" s="252" t="n">
        <v>36.0</v>
      </c>
      <c r="G64" s="11">
        <f si="1" t="shared"/>
        <v>2.6355199880936507E-4</v>
      </c>
    </row>
    <row r="65" spans="1:7" x14ac:dyDescent="0.25">
      <c r="A65">
        <v>54</v>
      </c>
      <c r="B65" s="8" t="n">
        <v>125.8409522097713</v>
      </c>
      <c r="C65" s="11">
        <f si="0" t="shared"/>
        <v>0</v>
      </c>
      <c r="E65" s="163">
        <v>54</v>
      </c>
      <c r="F65" s="253" t="n">
        <v>45.0</v>
      </c>
      <c r="G65" s="11">
        <f si="1" t="shared"/>
        <v>1.5503058753492063E-4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164">
        <v>55</v>
      </c>
      <c r="F66" s="254" t="n">
        <v>36.0</v>
      </c>
      <c r="G66" s="11">
        <f si="1" t="shared"/>
        <v>1.3332630528003174E-4</v>
      </c>
    </row>
    <row r="67" spans="1:7" x14ac:dyDescent="0.25">
      <c r="A67">
        <v>56</v>
      </c>
      <c r="B67" s="8" t="n">
        <v>0.0</v>
      </c>
      <c r="C67" s="11">
        <f si="0" t="shared"/>
        <v>0</v>
      </c>
      <c r="E67" s="165">
        <v>56</v>
      </c>
      <c r="F67" s="255" t="n">
        <v>46.0</v>
      </c>
      <c r="G67" s="11">
        <f si="1" t="shared"/>
        <v>1.5813119928561906E-4</v>
      </c>
    </row>
    <row r="68" spans="1:7" x14ac:dyDescent="0.25">
      <c r="A68">
        <v>57</v>
      </c>
      <c r="B68" s="8" t="n">
        <v>0.0</v>
      </c>
      <c r="C68" s="11">
        <f si="0" t="shared"/>
        <v>6.6918132758487877E-5</v>
      </c>
      <c r="E68" s="166">
        <v>57</v>
      </c>
      <c r="F68" s="256" t="n">
        <v>42.0</v>
      </c>
      <c r="G68" s="11">
        <f si="1" t="shared"/>
        <v>1.674330345377143E-4</v>
      </c>
    </row>
    <row r="69" spans="1:7" x14ac:dyDescent="0.25">
      <c r="A69">
        <v>58</v>
      </c>
      <c r="B69" s="8" t="n">
        <v>26.5857646477065</v>
      </c>
      <c r="C69" s="11">
        <f si="0" t="shared"/>
        <v>0</v>
      </c>
      <c r="E69" s="167">
        <v>58</v>
      </c>
      <c r="F69" s="257" t="n">
        <v>29.0</v>
      </c>
      <c r="G69" s="11">
        <f si="1" t="shared"/>
        <v>9.6118964271650799E-5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168">
        <v>59</v>
      </c>
      <c r="F70" s="258" t="n">
        <v>33.0</v>
      </c>
      <c r="G70" s="11">
        <f si="1" t="shared"/>
        <v>8.6817129019555557E-5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169">
        <v>60</v>
      </c>
      <c r="F71" s="259" t="n">
        <v>27.0</v>
      </c>
      <c r="G71" s="11">
        <f si="1" t="shared"/>
        <v>6.2012235013968262E-5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170">
        <v>61</v>
      </c>
      <c r="F72" s="260" t="n">
        <v>46.0</v>
      </c>
      <c r="G72" s="11">
        <f si="1" t="shared"/>
        <v>7.7515293767460315E-5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171">
        <v>62</v>
      </c>
      <c r="F73" s="261" t="n">
        <v>18.0</v>
      </c>
      <c r="G73" s="11">
        <f si="1" t="shared"/>
        <v>6.8213458515365086E-5</v>
      </c>
    </row>
    <row r="74" spans="1:7" x14ac:dyDescent="0.25">
      <c r="A74">
        <v>63</v>
      </c>
      <c r="B74" s="8" t="n">
        <v>48.0000860889849</v>
      </c>
      <c r="C74" s="11">
        <f si="0" t="shared"/>
        <v>0</v>
      </c>
      <c r="E74" s="172">
        <v>63</v>
      </c>
      <c r="F74" s="262" t="n">
        <v>23.0</v>
      </c>
      <c r="G74" s="11">
        <f si="1" t="shared"/>
        <v>4.650917626047619E-5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173">
        <v>64</v>
      </c>
      <c r="F75" s="263" t="n">
        <v>25.0</v>
      </c>
      <c r="G75" s="11">
        <f si="1" t="shared"/>
        <v>4.9609788011174602E-5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174">
        <v>65</v>
      </c>
      <c r="F76" s="264" t="n">
        <v>25.0</v>
      </c>
      <c r="G76" s="11">
        <f si="1" t="shared"/>
        <v>6.8213458515365086E-5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175">
        <v>66</v>
      </c>
      <c r="F77" s="265" t="n">
        <v>24.0</v>
      </c>
      <c r="G77" s="11">
        <f ref="G77:G102" si="3" t="shared">F77/F$102</f>
        <v>5.8911623263269844E-5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176">
        <v>67</v>
      </c>
      <c r="F78" s="266" t="n">
        <v>39.0</v>
      </c>
      <c r="G78" s="11">
        <f si="3" t="shared"/>
        <v>4.9609788011174602E-5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177">
        <v>68</v>
      </c>
      <c r="F79" s="267" t="n">
        <v>25.0</v>
      </c>
      <c r="G79" s="11">
        <f si="3" t="shared"/>
        <v>6.5112846764666667E-5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178">
        <v>69</v>
      </c>
      <c r="F80" s="268" t="n">
        <v>28.0</v>
      </c>
      <c r="G80" s="11">
        <f si="3" t="shared"/>
        <v>2.7905505756285716E-5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179">
        <v>70</v>
      </c>
      <c r="F81" s="269" t="n">
        <v>10.0</v>
      </c>
      <c r="G81" s="11">
        <f si="3" t="shared"/>
        <v>2.4804894005587301E-5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180">
        <v>71</v>
      </c>
      <c r="F82" s="270" t="n">
        <v>12.0</v>
      </c>
      <c r="G82" s="11">
        <f si="3" t="shared"/>
        <v>3.4106729257682543E-5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181">
        <v>72</v>
      </c>
      <c r="F83" s="271" t="n">
        <v>18.0</v>
      </c>
      <c r="G83" s="11">
        <f si="3" t="shared"/>
        <v>2.1704282254888889E-5</v>
      </c>
    </row>
    <row r="84" spans="1:7" x14ac:dyDescent="0.25">
      <c r="A84">
        <v>73</v>
      </c>
      <c r="B84" s="8" t="n">
        <v>69.8419057340848</v>
      </c>
      <c r="C84" s="11">
        <f si="2" t="shared"/>
        <v>0</v>
      </c>
      <c r="E84" s="182">
        <v>73</v>
      </c>
      <c r="F84" s="272" t="n">
        <v>18.0</v>
      </c>
      <c r="G84" s="11">
        <f si="3" t="shared"/>
        <v>3.1006117506984131E-5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183">
        <v>74</v>
      </c>
      <c r="F85" s="273" t="n">
        <v>13.0</v>
      </c>
      <c r="G85" s="11">
        <f si="3" t="shared"/>
        <v>6.2012235013968252E-6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184">
        <v>75</v>
      </c>
      <c r="F86" s="274" t="n">
        <v>17.0</v>
      </c>
      <c r="G86" s="11">
        <f si="3" t="shared"/>
        <v>2.7905505756285716E-5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185">
        <v>76</v>
      </c>
      <c r="F87" s="275" t="n">
        <v>26.0</v>
      </c>
      <c r="G87" s="11">
        <f si="3" t="shared"/>
        <v>6.2012235013968252E-6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186">
        <v>77</v>
      </c>
      <c r="F88" s="276" t="n">
        <v>9.0</v>
      </c>
      <c r="G88" s="11">
        <f si="3" t="shared"/>
        <v>1.5503058753492066E-5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187">
        <v>78</v>
      </c>
      <c r="F89" s="277" t="n">
        <v>13.0</v>
      </c>
      <c r="G89" s="11">
        <f si="3" t="shared"/>
        <v>1.240244700279365E-5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188">
        <v>79</v>
      </c>
      <c r="F90" s="278" t="n">
        <v>13.0</v>
      </c>
      <c r="G90" s="11">
        <f si="3" t="shared"/>
        <v>9.3018352520952387E-6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89">
        <v>80</v>
      </c>
      <c r="F91" s="279" t="n">
        <v>26.0</v>
      </c>
      <c r="G91" s="11">
        <f si="3" t="shared"/>
        <v>3.1006117506984126E-6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90">
        <v>81</v>
      </c>
      <c r="F92" s="280" t="n">
        <v>14.0</v>
      </c>
      <c r="G92" s="11">
        <f si="3" t="shared"/>
        <v>1.240244700279365E-5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91">
        <v>82</v>
      </c>
      <c r="F93" s="281" t="n">
        <v>13.0</v>
      </c>
      <c r="G93" s="11">
        <f si="3" t="shared"/>
        <v>1.240244700279365E-5</v>
      </c>
    </row>
    <row r="94" spans="1:7" x14ac:dyDescent="0.25">
      <c r="A94">
        <v>83</v>
      </c>
      <c r="B94" s="8" t="n">
        <v>0.0</v>
      </c>
      <c r="C94" s="11">
        <f si="2" t="shared"/>
        <v>8.07210094294261E-5</v>
      </c>
      <c r="E94" s="192">
        <v>83</v>
      </c>
      <c r="F94" s="282" t="n">
        <v>19.0</v>
      </c>
      <c r="G94" s="11">
        <f si="3" t="shared"/>
        <v>9.9219576022349204E-5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93">
        <v>84</v>
      </c>
      <c r="F95" s="283" t="n">
        <v>10.0</v>
      </c>
      <c r="G95" s="11">
        <f si="3" t="shared"/>
        <v>2.7905505756285716E-5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16.0</v>
      </c>
      <c r="G96" s="11">
        <f si="3" t="shared"/>
        <v>1.5503058753492066E-5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11.0</v>
      </c>
      <c r="G97" s="11">
        <f si="3" t="shared"/>
        <v>1.240244700279365E-5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10.0</v>
      </c>
      <c r="G98" s="11">
        <f si="3" t="shared"/>
        <v>1.240244700279365E-5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15.0</v>
      </c>
      <c r="G99" s="11">
        <f si="3" t="shared"/>
        <v>3.1006117506984126E-6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12.0</v>
      </c>
      <c r="G100" s="11">
        <f si="3" t="shared"/>
        <v>3.1006117506984126E-6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292">
        <v>90</v>
      </c>
      <c r="F101" s="292" t="n">
        <v>1684.0</v>
      </c>
      <c r="G101" s="11">
        <f si="3" t="shared"/>
        <v>1.2092385827723809E-4</v>
      </c>
    </row>
    <row r="102" spans="1:7" x14ac:dyDescent="0.25">
      <c r="B102" s="8">
        <f>SUM(B11:B101)</f>
        <v>317603.93599957577</v>
      </c>
      <c r="C102" s="11">
        <f si="2" t="shared"/>
        <v>1</v>
      </c>
      <c r="F102" s="8">
        <f>SUM(F11:F101)</f>
        <v>322517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workbookViewId="0" zoomScaleNormal="100">
      <selection activeCell="N13" sqref="N13"/>
    </sheetView>
  </sheetViews>
  <sheetFormatPr defaultRowHeight="15" x14ac:dyDescent="0.25"/>
  <cols>
    <col min="4" max="4" bestFit="true" customWidth="true" width="12.28515625" collapsed="true"/>
    <col min="13" max="14" bestFit="true" customWidth="true" width="10.5703125" collapsed="true"/>
    <col min="15" max="15" bestFit="true" customWidth="true" width="12.42578125" collapsed="true"/>
    <col min="16" max="19" bestFit="true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244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94" t="s">
        <v>249</v>
      </c>
      <c r="B7" s="12" t="n">
        <v>57025.637118251</v>
      </c>
      <c r="C7" s="12" t="n">
        <v>0.0</v>
      </c>
      <c r="D7" s="12" t="n">
        <v>0.0</v>
      </c>
      <c r="E7" s="12" t="n">
        <v>341.78283753668177</v>
      </c>
      <c r="F7" s="12" t="n">
        <v>1610.436066499444</v>
      </c>
      <c r="G7" s="12" t="n">
        <v>1835.2400469350657</v>
      </c>
      <c r="H7" s="12" t="n">
        <v>270.710601530413</v>
      </c>
      <c r="I7" s="12"/>
      <c r="J7" s="12">
        <f>SUM(B7:I7)</f>
        <v>317603.93599957589</v>
      </c>
      <c r="K7" s="12"/>
      <c r="L7" t="str">
        <f>$A$7</f>
        <v>Bellevue</v>
      </c>
      <c r="M7" s="343" t="n">
        <v>50829.0</v>
      </c>
      <c r="N7" s="343" t="n">
        <v>0.0</v>
      </c>
      <c r="O7" s="343" t="n">
        <v>21.0</v>
      </c>
      <c r="P7" s="343" t="n">
        <v>908.0</v>
      </c>
      <c r="Q7" s="343" t="n">
        <v>183.0</v>
      </c>
      <c r="R7" s="343" t="n">
        <v>2610.0</v>
      </c>
      <c r="S7" s="343" t="n">
        <v>999.0</v>
      </c>
      <c r="T7" s="291"/>
      <c r="U7" s="12">
        <f>SUM(M7:T7)</f>
        <v>322517</v>
      </c>
    </row>
    <row r="8" spans="1:21" x14ac:dyDescent="0.25">
      <c r="A8" t="s">
        <v>250</v>
      </c>
      <c r="B8" s="12" t="n">
        <v>0.0</v>
      </c>
      <c r="C8" s="12" t="n">
        <v>10289.604778533962</v>
      </c>
      <c r="D8" s="12" t="n">
        <v>0.0</v>
      </c>
      <c r="E8" s="12" t="n">
        <v>0.0</v>
      </c>
      <c r="F8" s="12" t="n">
        <v>0.0</v>
      </c>
      <c r="G8" s="12" t="n">
        <v>939.6362655700834</v>
      </c>
      <c r="H8" s="12" t="n">
        <v>0.0</v>
      </c>
      <c r="I8" s="12"/>
      <c r="J8" s="12">
        <f ref="J8:J14" si="0" t="shared">SUM(B8:I8)</f>
        <v>0</v>
      </c>
      <c r="K8" s="12"/>
      <c r="L8" t="str">
        <f>$A$8</f>
        <v>Bellevue Downtown</v>
      </c>
      <c r="M8" s="343" t="n">
        <v>13.0</v>
      </c>
      <c r="N8" s="343" t="n">
        <v>7909.0</v>
      </c>
      <c r="O8" s="343" t="n">
        <v>0.0</v>
      </c>
      <c r="P8" s="343" t="n">
        <v>5.0</v>
      </c>
      <c r="Q8" s="343" t="n">
        <v>0.0</v>
      </c>
      <c r="R8" s="343" t="n">
        <v>1203.0</v>
      </c>
      <c r="S8" s="343" t="n">
        <v>0.0</v>
      </c>
      <c r="T8" s="291"/>
      <c r="U8" s="12">
        <f ref="U8:U14" si="1" t="shared">SUM(M8:T8)</f>
        <v>0</v>
      </c>
    </row>
    <row r="9" spans="1:21" x14ac:dyDescent="0.25">
      <c r="A9" t="s">
        <v>251</v>
      </c>
      <c r="B9" s="12" t="n">
        <v>482.99446595601</v>
      </c>
      <c r="C9" s="12" t="n">
        <v>0.0</v>
      </c>
      <c r="D9" s="12" t="n">
        <v>5743.830711038937</v>
      </c>
      <c r="E9" s="12" t="n">
        <v>0.0</v>
      </c>
      <c r="F9" s="12" t="n">
        <v>78.409884170288</v>
      </c>
      <c r="G9" s="12" t="n">
        <v>0.0</v>
      </c>
      <c r="H9" s="12" t="n">
        <v>0.0</v>
      </c>
      <c r="I9" s="12"/>
      <c r="J9" s="12">
        <f si="0" t="shared"/>
        <v>0</v>
      </c>
      <c r="K9" s="13"/>
      <c r="L9" t="str">
        <f>$A$9</f>
        <v>Kirkland</v>
      </c>
      <c r="M9" s="343" t="n">
        <v>931.0</v>
      </c>
      <c r="N9" s="343" t="n">
        <v>0.0</v>
      </c>
      <c r="O9" s="343" t="n">
        <v>4808.0</v>
      </c>
      <c r="P9" s="343" t="n">
        <v>1.0</v>
      </c>
      <c r="Q9" s="343" t="n">
        <v>271.0</v>
      </c>
      <c r="R9" s="343" t="n">
        <v>8.0</v>
      </c>
      <c r="S9" s="343" t="n">
        <v>5.0</v>
      </c>
      <c r="T9" s="291"/>
      <c r="U9" s="12">
        <f si="1" t="shared"/>
        <v>0</v>
      </c>
    </row>
    <row r="10" spans="1:21" x14ac:dyDescent="0.25">
      <c r="A10" t="s">
        <v>252</v>
      </c>
      <c r="B10" s="12" t="n">
        <v>729.6908163326445</v>
      </c>
      <c r="C10" s="12" t="n">
        <v>0.0</v>
      </c>
      <c r="D10" s="12" t="n">
        <v>0.0</v>
      </c>
      <c r="E10" s="12" t="n">
        <v>31122.9295882739</v>
      </c>
      <c r="F10" s="12" t="n">
        <v>0.0</v>
      </c>
      <c r="G10" s="12" t="n">
        <v>1497.596208399685</v>
      </c>
      <c r="H10" s="12" t="n">
        <v>94.1632764409642</v>
      </c>
      <c r="I10" s="12"/>
      <c r="J10" s="12">
        <f si="0" t="shared"/>
        <v>0</v>
      </c>
      <c r="K10" s="13"/>
      <c r="L10" t="str">
        <f>$A$10</f>
        <v>Redmond</v>
      </c>
      <c r="M10" s="343" t="n">
        <v>460.0</v>
      </c>
      <c r="N10" s="343" t="n">
        <v>0.0</v>
      </c>
      <c r="O10" s="343" t="n">
        <v>0.0</v>
      </c>
      <c r="P10" s="343" t="n">
        <v>27152.0</v>
      </c>
      <c r="Q10" s="343" t="n">
        <v>0.0</v>
      </c>
      <c r="R10" s="343" t="n">
        <v>96.0</v>
      </c>
      <c r="S10" s="343" t="n">
        <v>96.0</v>
      </c>
      <c r="T10" s="291"/>
      <c r="U10" s="12">
        <f si="1" t="shared"/>
        <v>0</v>
      </c>
    </row>
    <row r="11" spans="1:21" x14ac:dyDescent="0.25">
      <c r="A11" t="s">
        <v>248</v>
      </c>
      <c r="B11" s="12" t="n">
        <v>812.896338666091</v>
      </c>
      <c r="C11" s="12" t="n">
        <v>0.0</v>
      </c>
      <c r="D11" s="12" t="n">
        <v>1074.6266970272704</v>
      </c>
      <c r="E11" s="12" t="n">
        <v>0.0</v>
      </c>
      <c r="F11" s="12" t="n">
        <v>19437.542151110538</v>
      </c>
      <c r="G11" s="12" t="n">
        <v>48.0000860889849</v>
      </c>
      <c r="H11" s="12" t="n">
        <v>0.0</v>
      </c>
      <c r="I11" s="12"/>
      <c r="J11" s="12">
        <f si="0" t="shared"/>
        <v>0</v>
      </c>
      <c r="K11" s="13"/>
      <c r="L11" t="str">
        <f>$A$11</f>
        <v>Seattle</v>
      </c>
      <c r="M11" s="343" t="n">
        <v>2240.0</v>
      </c>
      <c r="N11" s="343" t="n">
        <v>0.0</v>
      </c>
      <c r="O11" s="343" t="n">
        <v>770.0</v>
      </c>
      <c r="P11" s="343" t="n">
        <v>0.0</v>
      </c>
      <c r="Q11" s="343" t="n">
        <v>13902.0</v>
      </c>
      <c r="R11" s="343" t="n">
        <v>7.0</v>
      </c>
      <c r="S11" s="343" t="n">
        <v>136.0</v>
      </c>
      <c r="T11" s="291"/>
      <c r="U11" s="12">
        <f si="1" t="shared"/>
        <v>0</v>
      </c>
    </row>
    <row r="12" spans="1:21" x14ac:dyDescent="0.25">
      <c r="A12" t="s">
        <v>253</v>
      </c>
      <c r="B12" s="12" t="n">
        <v>3155.7909515957444</v>
      </c>
      <c r="C12" s="12" t="n">
        <v>0.0</v>
      </c>
      <c r="D12" s="12" t="n">
        <v>0.0</v>
      </c>
      <c r="E12" s="12" t="n">
        <v>2365.361153968</v>
      </c>
      <c r="F12" s="12" t="n">
        <v>0.0</v>
      </c>
      <c r="G12" s="12" t="n">
        <v>16061.518945333706</v>
      </c>
      <c r="H12" s="12" t="n">
        <v>0.0</v>
      </c>
      <c r="I12" s="12"/>
      <c r="J12" s="12">
        <f si="0" t="shared"/>
        <v>0</v>
      </c>
      <c r="K12" s="13"/>
      <c r="L12" t="str">
        <f>$A$12</f>
        <v>Seattle Downtown</v>
      </c>
      <c r="M12" s="343" t="n">
        <v>1869.0</v>
      </c>
      <c r="N12" s="343" t="n">
        <v>1094.0</v>
      </c>
      <c r="O12" s="343" t="n">
        <v>0.0</v>
      </c>
      <c r="P12" s="343" t="n">
        <v>523.0</v>
      </c>
      <c r="Q12" s="343" t="n">
        <v>0.0</v>
      </c>
      <c r="R12" s="343" t="n">
        <v>18087.0</v>
      </c>
      <c r="S12" s="343" t="n">
        <v>4.0</v>
      </c>
      <c r="T12" s="291"/>
      <c r="U12" s="12">
        <f si="1" t="shared"/>
        <v>0</v>
      </c>
    </row>
    <row r="13" spans="1:21" x14ac:dyDescent="0.25">
      <c r="A13" t="s">
        <v>254</v>
      </c>
      <c r="B13" s="12" t="n">
        <v>5151.955295055144</v>
      </c>
      <c r="C13" s="12" t="n">
        <v>0.0</v>
      </c>
      <c r="D13" s="12" t="n">
        <v>0.0</v>
      </c>
      <c r="E13" s="12" t="n">
        <v>169.9979069729631</v>
      </c>
      <c r="F13" s="12" t="n">
        <v>115.0615337596982</v>
      </c>
      <c r="G13" s="12" t="n">
        <v>92.9402843210037</v>
      </c>
      <c r="H13" s="12" t="n">
        <v>13203.525936049602</v>
      </c>
      <c r="I13" s="12"/>
      <c r="J13" s="12">
        <f si="0" t="shared"/>
        <v>0</v>
      </c>
      <c r="K13" s="13"/>
      <c r="L13" t="str">
        <f>$A$13</f>
        <v>Rest</v>
      </c>
      <c r="M13" s="343" t="n">
        <v>1136.0</v>
      </c>
      <c r="N13" s="343" t="n">
        <v>0.0</v>
      </c>
      <c r="O13" s="343" t="n">
        <v>0.0</v>
      </c>
      <c r="P13" s="343" t="n">
        <v>368.0</v>
      </c>
      <c r="Q13" s="343" t="n">
        <v>43.0</v>
      </c>
      <c r="R13" s="343" t="n">
        <v>9.0</v>
      </c>
      <c r="S13" s="343" t="n">
        <v>11653.0</v>
      </c>
      <c r="T13" s="291"/>
      <c r="U13" s="12">
        <f si="1" t="shared"/>
        <v>0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317603.93599957589</v>
      </c>
      <c r="C15" s="15">
        <f si="2" t="shared"/>
        <v>0</v>
      </c>
      <c r="D15" s="15">
        <f si="2" t="shared"/>
        <v>0</v>
      </c>
      <c r="E15" s="15">
        <f si="2" t="shared"/>
        <v>0</v>
      </c>
      <c r="F15" s="15">
        <f si="2" t="shared"/>
        <v>0</v>
      </c>
      <c r="G15" s="15">
        <f si="2" t="shared"/>
        <v>0</v>
      </c>
      <c r="H15" s="15">
        <f si="2" t="shared"/>
        <v>0</v>
      </c>
      <c r="I15" s="15">
        <f si="2" t="shared"/>
        <v>0</v>
      </c>
      <c r="J15" s="15">
        <f si="2" t="shared"/>
        <v>317603.93599957589</v>
      </c>
      <c r="K15" s="12"/>
      <c r="L15" s="15" t="s">
        <v>4</v>
      </c>
      <c r="M15" s="15">
        <f ref="M15:U15" si="3" t="shared">SUM(M7:M14)</f>
        <v>322517</v>
      </c>
      <c r="N15" s="15">
        <f si="3" t="shared"/>
        <v>0</v>
      </c>
      <c r="O15" s="15">
        <f si="3" t="shared"/>
        <v>0</v>
      </c>
      <c r="P15" s="15">
        <f si="3" t="shared"/>
        <v>0</v>
      </c>
      <c r="Q15" s="15">
        <f si="3" t="shared"/>
        <v>0</v>
      </c>
      <c r="R15" s="15">
        <f si="3" t="shared"/>
        <v>0</v>
      </c>
      <c r="S15" s="15">
        <f si="3" t="shared"/>
        <v>0</v>
      </c>
      <c r="T15" s="15">
        <f si="3" t="shared"/>
        <v>0</v>
      </c>
      <c r="U15" s="15">
        <f si="3" t="shared"/>
        <v>322517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34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>
        <f ref="B20:G20" si="4" t="shared">($U7/$J7)*B7</f>
        <v>322517.00000000006</v>
      </c>
      <c r="C20" s="12">
        <f si="4" t="shared"/>
        <v>0</v>
      </c>
      <c r="D20" s="12">
        <f si="4" t="shared"/>
        <v>0</v>
      </c>
      <c r="E20" s="12">
        <f si="4" t="shared"/>
        <v>0</v>
      </c>
      <c r="F20" s="12">
        <f si="4" t="shared"/>
        <v>0</v>
      </c>
      <c r="G20" s="12">
        <f si="4" t="shared"/>
        <v>0</v>
      </c>
      <c r="H20" s="12">
        <f ref="H20" si="5" t="shared">($U7/$J7)*H7</f>
        <v>0</v>
      </c>
      <c r="I20" s="12"/>
      <c r="J20" s="12">
        <f>SUM(B20:I20)</f>
        <v>322517.00000000006</v>
      </c>
      <c r="K20" s="12"/>
      <c r="L20" t="str">
        <f>$A$7</f>
        <v>Bellevue</v>
      </c>
      <c r="M20" s="12">
        <f ref="M20:M26" si="6" t="shared">M7</f>
        <v>322517</v>
      </c>
      <c r="N20" s="12">
        <f ref="N20:U20" si="7" t="shared">N7</f>
        <v>0</v>
      </c>
      <c r="O20" s="12">
        <f si="7" t="shared"/>
        <v>0</v>
      </c>
      <c r="P20" s="12">
        <f si="7" t="shared"/>
        <v>0</v>
      </c>
      <c r="Q20" s="12">
        <f si="7" t="shared"/>
        <v>0</v>
      </c>
      <c r="R20" s="12">
        <f si="7" t="shared"/>
        <v>0</v>
      </c>
      <c r="S20" s="12">
        <f ref="S20" si="8" t="shared">S7</f>
        <v>0</v>
      </c>
      <c r="T20" s="12"/>
      <c r="U20" s="12">
        <f si="7" t="shared"/>
        <v>322517</v>
      </c>
    </row>
    <row r="21" spans="1:32" x14ac:dyDescent="0.25">
      <c r="A21" t="str">
        <f>$A$8</f>
        <v>Bellevue Downtown</v>
      </c>
      <c r="B21" s="12" t="e">
        <f ref="B21:G26" si="9" t="shared">($U8/$J8)*B8</f>
        <v>#DIV/0!</v>
      </c>
      <c r="C21" s="12" t="e">
        <f si="9" t="shared"/>
        <v>#DIV/0!</v>
      </c>
      <c r="D21" s="12" t="e">
        <f si="9" t="shared"/>
        <v>#DIV/0!</v>
      </c>
      <c r="E21" s="12" t="e">
        <f si="9" t="shared"/>
        <v>#DIV/0!</v>
      </c>
      <c r="F21" s="12" t="e">
        <f si="9" t="shared"/>
        <v>#DIV/0!</v>
      </c>
      <c r="G21" s="12" t="e">
        <f si="9" t="shared"/>
        <v>#DIV/0!</v>
      </c>
      <c r="H21" s="12" t="e">
        <f ref="H21" si="10" t="shared">($U8/$J8)*H8</f>
        <v>#DIV/0!</v>
      </c>
      <c r="I21" s="12"/>
      <c r="J21" s="12" t="e">
        <f ref="J21:J27" si="11" t="shared">SUM(B21:I21)</f>
        <v>#DIV/0!</v>
      </c>
      <c r="K21" s="12"/>
      <c r="L21" t="str">
        <f>$A$8</f>
        <v>Bellevue Downtown</v>
      </c>
      <c r="M21" s="12">
        <f si="6" t="shared"/>
        <v>0</v>
      </c>
      <c r="N21" s="12">
        <f ref="N21:R26" si="12" t="shared">N8</f>
        <v>0</v>
      </c>
      <c r="O21" s="12">
        <f si="12" t="shared"/>
        <v>0</v>
      </c>
      <c r="P21" s="12">
        <f si="12" t="shared"/>
        <v>0</v>
      </c>
      <c r="Q21" s="12">
        <f si="12" t="shared"/>
        <v>0</v>
      </c>
      <c r="R21" s="12">
        <f si="12" t="shared"/>
        <v>0</v>
      </c>
      <c r="S21" s="12">
        <f ref="S21" si="13" t="shared">S8</f>
        <v>0</v>
      </c>
      <c r="T21" s="12"/>
      <c r="U21" s="12">
        <f ref="U21:U26" si="14" t="shared">U8</f>
        <v>0</v>
      </c>
    </row>
    <row r="22" spans="1:32" x14ac:dyDescent="0.25">
      <c r="A22" t="str">
        <f>$A$9</f>
        <v>Kirkland</v>
      </c>
      <c r="B22" s="12" t="e">
        <f si="9" t="shared"/>
        <v>#DIV/0!</v>
      </c>
      <c r="C22" s="12" t="e">
        <f si="9" t="shared"/>
        <v>#DIV/0!</v>
      </c>
      <c r="D22" s="12" t="e">
        <f si="9" t="shared"/>
        <v>#DIV/0!</v>
      </c>
      <c r="E22" s="12" t="e">
        <f si="9" t="shared"/>
        <v>#DIV/0!</v>
      </c>
      <c r="F22" s="12" t="e">
        <f si="9" t="shared"/>
        <v>#DIV/0!</v>
      </c>
      <c r="G22" s="12" t="e">
        <f si="9" t="shared"/>
        <v>#DIV/0!</v>
      </c>
      <c r="H22" s="12" t="e">
        <f ref="H22" si="15" t="shared">($U9/$J9)*H9</f>
        <v>#DIV/0!</v>
      </c>
      <c r="I22" s="12"/>
      <c r="J22" s="12" t="e">
        <f si="11" t="shared"/>
        <v>#DIV/0!</v>
      </c>
      <c r="K22" s="13"/>
      <c r="L22" t="str">
        <f>$A$9</f>
        <v>Kirkland</v>
      </c>
      <c r="M22" s="12">
        <f si="6" t="shared"/>
        <v>0</v>
      </c>
      <c r="N22" s="12">
        <f si="12" t="shared"/>
        <v>0</v>
      </c>
      <c r="O22" s="12">
        <f si="12" t="shared"/>
        <v>0</v>
      </c>
      <c r="P22" s="12">
        <f si="12" t="shared"/>
        <v>0</v>
      </c>
      <c r="Q22" s="12">
        <f si="12" t="shared"/>
        <v>0</v>
      </c>
      <c r="R22" s="12">
        <f si="12" t="shared"/>
        <v>0</v>
      </c>
      <c r="S22" s="12">
        <f ref="S22" si="16" t="shared">S9</f>
        <v>0</v>
      </c>
      <c r="T22" s="12"/>
      <c r="U22" s="12">
        <f si="14" t="shared"/>
        <v>0</v>
      </c>
    </row>
    <row r="23" spans="1:32" x14ac:dyDescent="0.25">
      <c r="A23" t="str">
        <f>$A$10</f>
        <v>Redmond</v>
      </c>
      <c r="B23" s="12" t="e">
        <f si="9" t="shared"/>
        <v>#DIV/0!</v>
      </c>
      <c r="C23" s="12" t="e">
        <f si="9" t="shared"/>
        <v>#DIV/0!</v>
      </c>
      <c r="D23" s="12" t="e">
        <f si="9" t="shared"/>
        <v>#DIV/0!</v>
      </c>
      <c r="E23" s="12" t="e">
        <f si="9" t="shared"/>
        <v>#DIV/0!</v>
      </c>
      <c r="F23" s="12" t="e">
        <f si="9" t="shared"/>
        <v>#DIV/0!</v>
      </c>
      <c r="G23" s="12" t="e">
        <f si="9" t="shared"/>
        <v>#DIV/0!</v>
      </c>
      <c r="H23" s="12" t="e">
        <f ref="H23" si="17" t="shared">($U10/$J10)*H10</f>
        <v>#DIV/0!</v>
      </c>
      <c r="I23" s="12"/>
      <c r="J23" s="12" t="e">
        <f>SUM(B23:I23)</f>
        <v>#DIV/0!</v>
      </c>
      <c r="K23" s="13"/>
      <c r="L23" t="str">
        <f>$A$10</f>
        <v>Redmond</v>
      </c>
      <c r="M23" s="12">
        <f si="6" t="shared"/>
        <v>0</v>
      </c>
      <c r="N23" s="12">
        <f si="12" t="shared"/>
        <v>0</v>
      </c>
      <c r="O23" s="12">
        <f si="12" t="shared"/>
        <v>0</v>
      </c>
      <c r="P23" s="12">
        <f si="12" t="shared"/>
        <v>0</v>
      </c>
      <c r="Q23" s="12">
        <f si="12" t="shared"/>
        <v>0</v>
      </c>
      <c r="R23" s="12">
        <f si="12" t="shared"/>
        <v>0</v>
      </c>
      <c r="S23" s="12">
        <f ref="S23" si="18" t="shared">S10</f>
        <v>0</v>
      </c>
      <c r="T23" s="12"/>
      <c r="U23" s="12">
        <f si="14" t="shared"/>
        <v>0</v>
      </c>
    </row>
    <row r="24" spans="1:32" x14ac:dyDescent="0.25">
      <c r="A24" t="str">
        <f>$A$11</f>
        <v>Seattle</v>
      </c>
      <c r="B24" s="12" t="e">
        <f si="9" t="shared"/>
        <v>#DIV/0!</v>
      </c>
      <c r="C24" s="12" t="e">
        <f si="9" t="shared"/>
        <v>#DIV/0!</v>
      </c>
      <c r="D24" s="12" t="e">
        <f si="9" t="shared"/>
        <v>#DIV/0!</v>
      </c>
      <c r="E24" s="12" t="e">
        <f si="9" t="shared"/>
        <v>#DIV/0!</v>
      </c>
      <c r="F24" s="12" t="e">
        <f si="9" t="shared"/>
        <v>#DIV/0!</v>
      </c>
      <c r="G24" s="12" t="e">
        <f si="9" t="shared"/>
        <v>#DIV/0!</v>
      </c>
      <c r="H24" s="12" t="e">
        <f ref="H24" si="19" t="shared">($U11/$J11)*H11</f>
        <v>#DIV/0!</v>
      </c>
      <c r="I24" s="12"/>
      <c r="J24" s="12" t="e">
        <f si="11" t="shared"/>
        <v>#DIV/0!</v>
      </c>
      <c r="K24" s="13"/>
      <c r="L24" t="str">
        <f>$A$11</f>
        <v>Seattle</v>
      </c>
      <c r="M24" s="12">
        <f si="6" t="shared"/>
        <v>0</v>
      </c>
      <c r="N24" s="12">
        <f si="12" t="shared"/>
        <v>0</v>
      </c>
      <c r="O24" s="12">
        <f si="12" t="shared"/>
        <v>0</v>
      </c>
      <c r="P24" s="12">
        <f si="12" t="shared"/>
        <v>0</v>
      </c>
      <c r="Q24" s="12">
        <f si="12" t="shared"/>
        <v>0</v>
      </c>
      <c r="R24" s="12">
        <f si="12" t="shared"/>
        <v>0</v>
      </c>
      <c r="S24" s="12">
        <f ref="S24" si="20" t="shared">S11</f>
        <v>0</v>
      </c>
      <c r="T24" s="12"/>
      <c r="U24" s="12">
        <f si="14" t="shared"/>
        <v>0</v>
      </c>
    </row>
    <row r="25" spans="1:32" x14ac:dyDescent="0.25">
      <c r="A25" t="str">
        <f>$A$12</f>
        <v>Seattle Downtown</v>
      </c>
      <c r="B25" s="12" t="e">
        <f si="9" t="shared"/>
        <v>#DIV/0!</v>
      </c>
      <c r="C25" s="12" t="e">
        <f si="9" t="shared"/>
        <v>#DIV/0!</v>
      </c>
      <c r="D25" s="12" t="e">
        <f si="9" t="shared"/>
        <v>#DIV/0!</v>
      </c>
      <c r="E25" s="12" t="e">
        <f si="9" t="shared"/>
        <v>#DIV/0!</v>
      </c>
      <c r="F25" s="12" t="e">
        <f si="9" t="shared"/>
        <v>#DIV/0!</v>
      </c>
      <c r="G25" s="12" t="e">
        <f si="9" t="shared"/>
        <v>#DIV/0!</v>
      </c>
      <c r="H25" s="12" t="e">
        <f ref="H25:H26" si="21" t="shared">($U12/$J12)*H12</f>
        <v>#DIV/0!</v>
      </c>
      <c r="I25" s="12"/>
      <c r="J25" s="12" t="e">
        <f si="11" t="shared"/>
        <v>#DIV/0!</v>
      </c>
      <c r="K25" s="13"/>
      <c r="L25" t="str">
        <f>$A$12</f>
        <v>Seattle Downtown</v>
      </c>
      <c r="M25" s="12">
        <f si="6" t="shared"/>
        <v>0</v>
      </c>
      <c r="N25" s="12">
        <f si="12" t="shared"/>
        <v>0</v>
      </c>
      <c r="O25" s="12">
        <f si="12" t="shared"/>
        <v>0</v>
      </c>
      <c r="P25" s="12">
        <f si="12" t="shared"/>
        <v>0</v>
      </c>
      <c r="Q25" s="12">
        <f si="12" t="shared"/>
        <v>0</v>
      </c>
      <c r="R25" s="12">
        <f si="12" t="shared"/>
        <v>0</v>
      </c>
      <c r="S25" s="12">
        <f ref="S25:S26" si="22" t="shared">S12</f>
        <v>0</v>
      </c>
      <c r="T25" s="12"/>
      <c r="U25" s="12">
        <f si="14" t="shared"/>
        <v>0</v>
      </c>
    </row>
    <row r="26" spans="1:32" x14ac:dyDescent="0.25">
      <c r="A26" t="str">
        <f>$A$13</f>
        <v>Rest</v>
      </c>
      <c r="B26" s="12" t="e">
        <f si="9" t="shared"/>
        <v>#DIV/0!</v>
      </c>
      <c r="C26" s="12" t="e">
        <f si="9" t="shared"/>
        <v>#DIV/0!</v>
      </c>
      <c r="D26" s="12" t="e">
        <f si="9" t="shared"/>
        <v>#DIV/0!</v>
      </c>
      <c r="E26" s="12" t="e">
        <f si="9" t="shared"/>
        <v>#DIV/0!</v>
      </c>
      <c r="F26" s="12" t="e">
        <f si="9" t="shared"/>
        <v>#DIV/0!</v>
      </c>
      <c r="G26" s="12" t="e">
        <f si="9" t="shared"/>
        <v>#DIV/0!</v>
      </c>
      <c r="H26" s="12" t="e">
        <f si="21" t="shared"/>
        <v>#DIV/0!</v>
      </c>
      <c r="I26" s="12"/>
      <c r="J26" s="12" t="e">
        <f si="11" t="shared"/>
        <v>#DIV/0!</v>
      </c>
      <c r="K26" s="13"/>
      <c r="L26" t="str">
        <f>$A$13</f>
        <v>Rest</v>
      </c>
      <c r="M26" s="12">
        <f si="6" t="shared"/>
        <v>0</v>
      </c>
      <c r="N26" s="12">
        <f si="12" t="shared"/>
        <v>0</v>
      </c>
      <c r="O26" s="12">
        <f si="12" t="shared"/>
        <v>0</v>
      </c>
      <c r="P26" s="12">
        <f si="12" t="shared"/>
        <v>0</v>
      </c>
      <c r="Q26" s="12">
        <f si="12" t="shared"/>
        <v>0</v>
      </c>
      <c r="R26" s="12">
        <f si="12" t="shared"/>
        <v>0</v>
      </c>
      <c r="S26" s="12">
        <f si="22" t="shared"/>
        <v>0</v>
      </c>
      <c r="T26" s="12"/>
      <c r="U26" s="12">
        <f si="14" t="shared"/>
        <v>0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4">
        <f si="11" t="shared"/>
        <v>0</v>
      </c>
      <c r="K27" s="12"/>
      <c r="L27" s="293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5" t="e">
        <f ref="B28:J28" si="23" t="shared">SUM(B20:B27)</f>
        <v>#DIV/0!</v>
      </c>
      <c r="C28" s="15" t="e">
        <f si="23" t="shared"/>
        <v>#DIV/0!</v>
      </c>
      <c r="D28" s="15" t="e">
        <f si="23" t="shared"/>
        <v>#DIV/0!</v>
      </c>
      <c r="E28" s="15" t="e">
        <f si="23" t="shared"/>
        <v>#DIV/0!</v>
      </c>
      <c r="F28" s="15" t="e">
        <f si="23" t="shared"/>
        <v>#DIV/0!</v>
      </c>
      <c r="G28" s="15" t="e">
        <f si="23" t="shared"/>
        <v>#DIV/0!</v>
      </c>
      <c r="H28" s="15" t="e">
        <f si="23" t="shared"/>
        <v>#DIV/0!</v>
      </c>
      <c r="I28" s="15">
        <f si="23" t="shared"/>
        <v>0</v>
      </c>
      <c r="J28" s="15" t="e">
        <f si="23" t="shared"/>
        <v>#DIV/0!</v>
      </c>
      <c r="K28" s="12"/>
      <c r="L28" s="15" t="s">
        <v>4</v>
      </c>
      <c r="M28" s="15">
        <f ref="M28:U28" si="24" t="shared">M15</f>
        <v>322517</v>
      </c>
      <c r="N28" s="15">
        <f si="24" t="shared"/>
        <v>0</v>
      </c>
      <c r="O28" s="15">
        <f si="24" t="shared"/>
        <v>0</v>
      </c>
      <c r="P28" s="15">
        <f si="24" t="shared"/>
        <v>0</v>
      </c>
      <c r="Q28" s="15">
        <f si="24" t="shared"/>
        <v>0</v>
      </c>
      <c r="R28" s="15">
        <f si="24" t="shared"/>
        <v>0</v>
      </c>
      <c r="S28" s="15">
        <f si="24" t="shared"/>
        <v>0</v>
      </c>
      <c r="T28" s="15">
        <f si="24" t="shared"/>
        <v>0</v>
      </c>
      <c r="U28" s="15">
        <f si="24" t="shared"/>
        <v>322517</v>
      </c>
    </row>
    <row ht="15.75" r="31" spans="1:32" thickBot="1" x14ac:dyDescent="0.3">
      <c r="A31" s="4" t="s">
        <v>40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34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34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6" t="e">
        <f ref="B33:J39" si="25" t="shared">B20/$J$28</f>
        <v>#DIV/0!</v>
      </c>
      <c r="C33" s="16" t="e">
        <f si="25" t="shared"/>
        <v>#DIV/0!</v>
      </c>
      <c r="D33" s="16" t="e">
        <f si="25" t="shared"/>
        <v>#DIV/0!</v>
      </c>
      <c r="E33" s="16" t="e">
        <f si="25" t="shared"/>
        <v>#DIV/0!</v>
      </c>
      <c r="F33" s="16" t="e">
        <f si="25" t="shared"/>
        <v>#DIV/0!</v>
      </c>
      <c r="G33" s="16" t="e">
        <f si="25" t="shared"/>
        <v>#DIV/0!</v>
      </c>
      <c r="H33" s="16" t="e">
        <f ref="H33" si="26" t="shared">H20/$J$28</f>
        <v>#DIV/0!</v>
      </c>
      <c r="I33" s="16"/>
      <c r="J33" s="16" t="e">
        <f ref="J33:J38" si="27" t="shared">J20/$J$28</f>
        <v>#DIV/0!</v>
      </c>
      <c r="K33" s="12"/>
      <c r="L33" t="str">
        <f>$A$7</f>
        <v>Bellevue</v>
      </c>
      <c r="M33" s="16">
        <f ref="M33:R33" si="28" t="shared">M20/$U$28</f>
        <v>1</v>
      </c>
      <c r="N33" s="16">
        <f si="28" t="shared"/>
        <v>0</v>
      </c>
      <c r="O33" s="16">
        <f si="28" t="shared"/>
        <v>0</v>
      </c>
      <c r="P33" s="16">
        <f si="28" t="shared"/>
        <v>0</v>
      </c>
      <c r="Q33" s="16">
        <f si="28" t="shared"/>
        <v>0</v>
      </c>
      <c r="R33" s="16">
        <f si="28" t="shared"/>
        <v>0</v>
      </c>
      <c r="S33" s="16">
        <f ref="S33" si="29" t="shared">S20/$U$28</f>
        <v>0</v>
      </c>
      <c r="T33" s="16"/>
      <c r="U33" s="16">
        <f ref="U33:U39" si="30" t="shared">U20/$U$28</f>
        <v>1</v>
      </c>
      <c r="W33" t="str">
        <f>$A$7</f>
        <v>Bellevue</v>
      </c>
      <c r="X33" s="16" t="e">
        <f ref="X33:AD33" si="31" t="shared">M33-B33</f>
        <v>#DIV/0!</v>
      </c>
      <c r="Y33" s="16" t="e">
        <f si="31" t="shared"/>
        <v>#DIV/0!</v>
      </c>
      <c r="Z33" s="16" t="e">
        <f si="31" t="shared"/>
        <v>#DIV/0!</v>
      </c>
      <c r="AA33" s="16" t="e">
        <f si="31" t="shared"/>
        <v>#DIV/0!</v>
      </c>
      <c r="AB33" s="16" t="e">
        <f si="31" t="shared"/>
        <v>#DIV/0!</v>
      </c>
      <c r="AC33" s="16" t="e">
        <f si="31" t="shared"/>
        <v>#DIV/0!</v>
      </c>
      <c r="AD33" s="16" t="e">
        <f si="31" t="shared"/>
        <v>#DIV/0!</v>
      </c>
      <c r="AE33" s="16"/>
      <c r="AF33" s="16" t="e">
        <f ref="AF33:AF39" si="32" t="shared">U33-J33</f>
        <v>#DIV/0!</v>
      </c>
    </row>
    <row r="34" spans="1:32" x14ac:dyDescent="0.25">
      <c r="A34" t="str">
        <f>$A$8</f>
        <v>Bellevue Downtown</v>
      </c>
      <c r="B34" s="16" t="e">
        <f si="25" t="shared"/>
        <v>#DIV/0!</v>
      </c>
      <c r="C34" s="16" t="e">
        <f si="25" t="shared"/>
        <v>#DIV/0!</v>
      </c>
      <c r="D34" s="16" t="e">
        <f si="25" t="shared"/>
        <v>#DIV/0!</v>
      </c>
      <c r="E34" s="16" t="e">
        <f si="25" t="shared"/>
        <v>#DIV/0!</v>
      </c>
      <c r="F34" s="16" t="e">
        <f si="25" t="shared"/>
        <v>#DIV/0!</v>
      </c>
      <c r="G34" s="16" t="e">
        <f ref="G34:H34" si="33" t="shared">G21/$J$28</f>
        <v>#DIV/0!</v>
      </c>
      <c r="H34" s="16" t="e">
        <f si="33" t="shared"/>
        <v>#DIV/0!</v>
      </c>
      <c r="I34" s="16"/>
      <c r="J34" s="16" t="e">
        <f si="27" t="shared"/>
        <v>#DIV/0!</v>
      </c>
      <c r="K34" s="12"/>
      <c r="L34" t="str">
        <f>$A$8</f>
        <v>Bellevue Downtown</v>
      </c>
      <c r="M34" s="16">
        <f ref="M34:R39" si="34" t="shared">M21/$U$28</f>
        <v>0</v>
      </c>
      <c r="N34" s="16">
        <f si="34" t="shared"/>
        <v>0</v>
      </c>
      <c r="O34" s="16">
        <f si="34" t="shared"/>
        <v>0</v>
      </c>
      <c r="P34" s="16">
        <f si="34" t="shared"/>
        <v>0</v>
      </c>
      <c r="Q34" s="16">
        <f si="34" t="shared"/>
        <v>0</v>
      </c>
      <c r="R34" s="16">
        <f si="34" t="shared"/>
        <v>0</v>
      </c>
      <c r="S34" s="16">
        <f ref="S34" si="35" t="shared">S21/$U$28</f>
        <v>0</v>
      </c>
      <c r="T34" s="16"/>
      <c r="U34" s="16">
        <f si="30" t="shared"/>
        <v>0</v>
      </c>
      <c r="W34" t="str">
        <f>$A$8</f>
        <v>Bellevue Downtown</v>
      </c>
      <c r="X34" s="16" t="e">
        <f ref="X34:X38" si="36" t="shared">M34-B34</f>
        <v>#DIV/0!</v>
      </c>
      <c r="Y34" s="16" t="e">
        <f ref="Y34:AD38" si="37" t="shared">N34-C34</f>
        <v>#DIV/0!</v>
      </c>
      <c r="Z34" s="16" t="e">
        <f si="37" t="shared"/>
        <v>#DIV/0!</v>
      </c>
      <c r="AA34" s="16" t="e">
        <f si="37" t="shared"/>
        <v>#DIV/0!</v>
      </c>
      <c r="AB34" s="16" t="e">
        <f si="37" t="shared"/>
        <v>#DIV/0!</v>
      </c>
      <c r="AC34" s="16" t="e">
        <f si="37" t="shared"/>
        <v>#DIV/0!</v>
      </c>
      <c r="AD34" s="16" t="e">
        <f si="37" t="shared"/>
        <v>#DIV/0!</v>
      </c>
      <c r="AE34" s="16"/>
      <c r="AF34" s="16" t="e">
        <f si="32" t="shared"/>
        <v>#DIV/0!</v>
      </c>
    </row>
    <row r="35" spans="1:32" x14ac:dyDescent="0.25">
      <c r="A35" t="str">
        <f>$A$9</f>
        <v>Kirkland</v>
      </c>
      <c r="B35" s="16" t="e">
        <f si="25" t="shared"/>
        <v>#DIV/0!</v>
      </c>
      <c r="C35" s="16" t="e">
        <f si="25" t="shared"/>
        <v>#DIV/0!</v>
      </c>
      <c r="D35" s="16" t="e">
        <f si="25" t="shared"/>
        <v>#DIV/0!</v>
      </c>
      <c r="E35" s="16" t="e">
        <f si="25" t="shared"/>
        <v>#DIV/0!</v>
      </c>
      <c r="F35" s="16" t="e">
        <f si="25" t="shared"/>
        <v>#DIV/0!</v>
      </c>
      <c r="G35" s="16" t="e">
        <f ref="G35:H35" si="38" t="shared">G22/$J$28</f>
        <v>#DIV/0!</v>
      </c>
      <c r="H35" s="16" t="e">
        <f si="38" t="shared"/>
        <v>#DIV/0!</v>
      </c>
      <c r="I35" s="16"/>
      <c r="J35" s="16" t="e">
        <f si="27" t="shared"/>
        <v>#DIV/0!</v>
      </c>
      <c r="K35" s="13"/>
      <c r="L35" t="str">
        <f>$A$9</f>
        <v>Kirkland</v>
      </c>
      <c r="M35" s="16">
        <f si="34" t="shared"/>
        <v>0</v>
      </c>
      <c r="N35" s="16">
        <f si="34" t="shared"/>
        <v>0</v>
      </c>
      <c r="O35" s="16">
        <f si="34" t="shared"/>
        <v>0</v>
      </c>
      <c r="P35" s="16">
        <f si="34" t="shared"/>
        <v>0</v>
      </c>
      <c r="Q35" s="16">
        <f si="34" t="shared"/>
        <v>0</v>
      </c>
      <c r="R35" s="16">
        <f si="34" t="shared"/>
        <v>0</v>
      </c>
      <c r="S35" s="16">
        <f ref="S35" si="39" t="shared">S22/$U$28</f>
        <v>0</v>
      </c>
      <c r="T35" s="16"/>
      <c r="U35" s="16">
        <f si="30" t="shared"/>
        <v>0</v>
      </c>
      <c r="W35" t="str">
        <f>$A$9</f>
        <v>Kirkland</v>
      </c>
      <c r="X35" s="16" t="e">
        <f si="36" t="shared"/>
        <v>#DIV/0!</v>
      </c>
      <c r="Y35" s="16" t="e">
        <f si="37" t="shared"/>
        <v>#DIV/0!</v>
      </c>
      <c r="Z35" s="16" t="e">
        <f si="37" t="shared"/>
        <v>#DIV/0!</v>
      </c>
      <c r="AA35" s="16" t="e">
        <f si="37" t="shared"/>
        <v>#DIV/0!</v>
      </c>
      <c r="AB35" s="16" t="e">
        <f si="37" t="shared"/>
        <v>#DIV/0!</v>
      </c>
      <c r="AC35" s="16" t="e">
        <f si="37" t="shared"/>
        <v>#DIV/0!</v>
      </c>
      <c r="AD35" s="16" t="e">
        <f si="37" t="shared"/>
        <v>#DIV/0!</v>
      </c>
      <c r="AE35" s="16"/>
      <c r="AF35" s="16" t="e">
        <f si="32" t="shared"/>
        <v>#DIV/0!</v>
      </c>
    </row>
    <row r="36" spans="1:32" x14ac:dyDescent="0.25">
      <c r="A36" t="str">
        <f>$A$10</f>
        <v>Redmond</v>
      </c>
      <c r="B36" s="16" t="e">
        <f si="25" t="shared"/>
        <v>#DIV/0!</v>
      </c>
      <c r="C36" s="16" t="e">
        <f si="25" t="shared"/>
        <v>#DIV/0!</v>
      </c>
      <c r="D36" s="16" t="e">
        <f si="25" t="shared"/>
        <v>#DIV/0!</v>
      </c>
      <c r="E36" s="16" t="e">
        <f si="25" t="shared"/>
        <v>#DIV/0!</v>
      </c>
      <c r="F36" s="16" t="e">
        <f si="25" t="shared"/>
        <v>#DIV/0!</v>
      </c>
      <c r="G36" s="16" t="e">
        <f ref="G36:H36" si="40" t="shared">G23/$J$28</f>
        <v>#DIV/0!</v>
      </c>
      <c r="H36" s="16" t="e">
        <f si="40" t="shared"/>
        <v>#DIV/0!</v>
      </c>
      <c r="I36" s="16"/>
      <c r="J36" s="16" t="e">
        <f si="27" t="shared"/>
        <v>#DIV/0!</v>
      </c>
      <c r="K36" s="13"/>
      <c r="L36" t="str">
        <f>$A$10</f>
        <v>Redmond</v>
      </c>
      <c r="M36" s="16">
        <f si="34" t="shared"/>
        <v>0</v>
      </c>
      <c r="N36" s="16">
        <f si="34" t="shared"/>
        <v>0</v>
      </c>
      <c r="O36" s="16">
        <f si="34" t="shared"/>
        <v>0</v>
      </c>
      <c r="P36" s="16">
        <f si="34" t="shared"/>
        <v>0</v>
      </c>
      <c r="Q36" s="16">
        <f si="34" t="shared"/>
        <v>0</v>
      </c>
      <c r="R36" s="16">
        <f si="34" t="shared"/>
        <v>0</v>
      </c>
      <c r="S36" s="16">
        <f ref="S36" si="41" t="shared">S23/$U$28</f>
        <v>0</v>
      </c>
      <c r="T36" s="16"/>
      <c r="U36" s="16">
        <f si="30" t="shared"/>
        <v>0</v>
      </c>
      <c r="W36" t="str">
        <f>$A$10</f>
        <v>Redmond</v>
      </c>
      <c r="X36" s="16" t="e">
        <f si="36" t="shared"/>
        <v>#DIV/0!</v>
      </c>
      <c r="Y36" s="16" t="e">
        <f si="37" t="shared"/>
        <v>#DIV/0!</v>
      </c>
      <c r="Z36" s="16" t="e">
        <f si="37" t="shared"/>
        <v>#DIV/0!</v>
      </c>
      <c r="AA36" s="16" t="e">
        <f si="37" t="shared"/>
        <v>#DIV/0!</v>
      </c>
      <c r="AB36" s="16" t="e">
        <f si="37" t="shared"/>
        <v>#DIV/0!</v>
      </c>
      <c r="AC36" s="16" t="e">
        <f si="37" t="shared"/>
        <v>#DIV/0!</v>
      </c>
      <c r="AD36" s="16" t="e">
        <f si="37" t="shared"/>
        <v>#DIV/0!</v>
      </c>
      <c r="AE36" s="16"/>
      <c r="AF36" s="16" t="e">
        <f si="32" t="shared"/>
        <v>#DIV/0!</v>
      </c>
    </row>
    <row r="37" spans="1:32" x14ac:dyDescent="0.25">
      <c r="A37" t="str">
        <f>$A$11</f>
        <v>Seattle</v>
      </c>
      <c r="B37" s="16" t="e">
        <f si="25" t="shared"/>
        <v>#DIV/0!</v>
      </c>
      <c r="C37" s="16" t="e">
        <f si="25" t="shared"/>
        <v>#DIV/0!</v>
      </c>
      <c r="D37" s="16" t="e">
        <f si="25" t="shared"/>
        <v>#DIV/0!</v>
      </c>
      <c r="E37" s="16" t="e">
        <f si="25" t="shared"/>
        <v>#DIV/0!</v>
      </c>
      <c r="F37" s="16" t="e">
        <f si="25" t="shared"/>
        <v>#DIV/0!</v>
      </c>
      <c r="G37" s="16" t="e">
        <f ref="G37:H37" si="42" t="shared">G24/$J$28</f>
        <v>#DIV/0!</v>
      </c>
      <c r="H37" s="16" t="e">
        <f si="42" t="shared"/>
        <v>#DIV/0!</v>
      </c>
      <c r="I37" s="16"/>
      <c r="J37" s="16" t="e">
        <f si="27" t="shared"/>
        <v>#DIV/0!</v>
      </c>
      <c r="K37" s="13"/>
      <c r="L37" t="str">
        <f>$A$11</f>
        <v>Seattle</v>
      </c>
      <c r="M37" s="16">
        <f si="34" t="shared"/>
        <v>0</v>
      </c>
      <c r="N37" s="16">
        <f si="34" t="shared"/>
        <v>0</v>
      </c>
      <c r="O37" s="16">
        <f si="34" t="shared"/>
        <v>0</v>
      </c>
      <c r="P37" s="16">
        <f si="34" t="shared"/>
        <v>0</v>
      </c>
      <c r="Q37" s="16">
        <f si="34" t="shared"/>
        <v>0</v>
      </c>
      <c r="R37" s="16">
        <f si="34" t="shared"/>
        <v>0</v>
      </c>
      <c r="S37" s="16">
        <f ref="S37" si="43" t="shared">S24/$U$28</f>
        <v>0</v>
      </c>
      <c r="T37" s="16"/>
      <c r="U37" s="16">
        <f si="30" t="shared"/>
        <v>0</v>
      </c>
      <c r="W37" t="str">
        <f>$A$11</f>
        <v>Seattle</v>
      </c>
      <c r="X37" s="16" t="e">
        <f si="36" t="shared"/>
        <v>#DIV/0!</v>
      </c>
      <c r="Y37" s="16" t="e">
        <f si="37" t="shared"/>
        <v>#DIV/0!</v>
      </c>
      <c r="Z37" s="16" t="e">
        <f si="37" t="shared"/>
        <v>#DIV/0!</v>
      </c>
      <c r="AA37" s="16" t="e">
        <f si="37" t="shared"/>
        <v>#DIV/0!</v>
      </c>
      <c r="AB37" s="16" t="e">
        <f si="37" t="shared"/>
        <v>#DIV/0!</v>
      </c>
      <c r="AC37" s="16" t="e">
        <f si="37" t="shared"/>
        <v>#DIV/0!</v>
      </c>
      <c r="AD37" s="16" t="e">
        <f si="37" t="shared"/>
        <v>#DIV/0!</v>
      </c>
      <c r="AE37" s="16"/>
      <c r="AF37" s="16" t="e">
        <f si="32" t="shared"/>
        <v>#DIV/0!</v>
      </c>
    </row>
    <row r="38" spans="1:32" x14ac:dyDescent="0.25">
      <c r="A38" t="str">
        <f>$A$12</f>
        <v>Seattle Downtown</v>
      </c>
      <c r="B38" s="16" t="e">
        <f si="25" t="shared"/>
        <v>#DIV/0!</v>
      </c>
      <c r="C38" s="16" t="e">
        <f si="25" t="shared"/>
        <v>#DIV/0!</v>
      </c>
      <c r="D38" s="16" t="e">
        <f si="25" t="shared"/>
        <v>#DIV/0!</v>
      </c>
      <c r="E38" s="16" t="e">
        <f si="25" t="shared"/>
        <v>#DIV/0!</v>
      </c>
      <c r="F38" s="16" t="e">
        <f si="25" t="shared"/>
        <v>#DIV/0!</v>
      </c>
      <c r="G38" s="16" t="e">
        <f ref="G38:H39" si="44" t="shared">G25/$J$28</f>
        <v>#DIV/0!</v>
      </c>
      <c r="H38" s="16" t="e">
        <f si="44" t="shared"/>
        <v>#DIV/0!</v>
      </c>
      <c r="I38" s="16"/>
      <c r="J38" s="16" t="e">
        <f si="27" t="shared"/>
        <v>#DIV/0!</v>
      </c>
      <c r="K38" s="13"/>
      <c r="L38" t="str">
        <f>$A$12</f>
        <v>Seattle Downtown</v>
      </c>
      <c r="M38" s="16">
        <f si="34" t="shared"/>
        <v>0</v>
      </c>
      <c r="N38" s="16">
        <f si="34" t="shared"/>
        <v>0</v>
      </c>
      <c r="O38" s="16">
        <f si="34" t="shared"/>
        <v>0</v>
      </c>
      <c r="P38" s="16">
        <f si="34" t="shared"/>
        <v>0</v>
      </c>
      <c r="Q38" s="16">
        <f si="34" t="shared"/>
        <v>0</v>
      </c>
      <c r="R38" s="16">
        <f si="34" t="shared"/>
        <v>0</v>
      </c>
      <c r="S38" s="16">
        <f ref="S38:S39" si="45" t="shared">S25/$U$28</f>
        <v>0</v>
      </c>
      <c r="T38" s="16"/>
      <c r="U38" s="16">
        <f si="30" t="shared"/>
        <v>0</v>
      </c>
      <c r="W38" t="str">
        <f>$A$12</f>
        <v>Seattle Downtown</v>
      </c>
      <c r="X38" s="16" t="e">
        <f si="36" t="shared"/>
        <v>#DIV/0!</v>
      </c>
      <c r="Y38" s="16" t="e">
        <f si="37" t="shared"/>
        <v>#DIV/0!</v>
      </c>
      <c r="Z38" s="16" t="e">
        <f si="37" t="shared"/>
        <v>#DIV/0!</v>
      </c>
      <c r="AA38" s="16" t="e">
        <f si="37" t="shared"/>
        <v>#DIV/0!</v>
      </c>
      <c r="AB38" s="16" t="e">
        <f si="37" t="shared"/>
        <v>#DIV/0!</v>
      </c>
      <c r="AC38" s="16" t="e">
        <f si="37" t="shared"/>
        <v>#DIV/0!</v>
      </c>
      <c r="AD38" s="16" t="e">
        <f si="37" t="shared"/>
        <v>#DIV/0!</v>
      </c>
      <c r="AE38" s="16"/>
      <c r="AF38" s="16" t="e">
        <f si="32" t="shared"/>
        <v>#DIV/0!</v>
      </c>
    </row>
    <row r="39" spans="1:32" x14ac:dyDescent="0.25">
      <c r="A39" t="str">
        <f>$A$13</f>
        <v>Rest</v>
      </c>
      <c r="B39" s="16" t="e">
        <f si="25" t="shared"/>
        <v>#DIV/0!</v>
      </c>
      <c r="C39" s="16" t="e">
        <f si="25" t="shared"/>
        <v>#DIV/0!</v>
      </c>
      <c r="D39" s="16" t="e">
        <f si="25" t="shared"/>
        <v>#DIV/0!</v>
      </c>
      <c r="E39" s="16" t="e">
        <f si="25" t="shared"/>
        <v>#DIV/0!</v>
      </c>
      <c r="F39" s="16" t="e">
        <f si="25" t="shared"/>
        <v>#DIV/0!</v>
      </c>
      <c r="G39" s="16" t="e">
        <f si="44" t="shared"/>
        <v>#DIV/0!</v>
      </c>
      <c r="H39" s="16" t="e">
        <f si="44" t="shared"/>
        <v>#DIV/0!</v>
      </c>
      <c r="I39" s="16"/>
      <c r="J39" s="16" t="e">
        <f si="25" t="shared"/>
        <v>#DIV/0!</v>
      </c>
      <c r="K39" s="13"/>
      <c r="L39" t="str">
        <f>$A$13</f>
        <v>Rest</v>
      </c>
      <c r="M39" s="16">
        <f si="34" t="shared"/>
        <v>0</v>
      </c>
      <c r="N39" s="16">
        <f si="34" t="shared"/>
        <v>0</v>
      </c>
      <c r="O39" s="16">
        <f si="34" t="shared"/>
        <v>0</v>
      </c>
      <c r="P39" s="16">
        <f si="34" t="shared"/>
        <v>0</v>
      </c>
      <c r="Q39" s="16">
        <f si="34" t="shared"/>
        <v>0</v>
      </c>
      <c r="R39" s="16">
        <f si="34" t="shared"/>
        <v>0</v>
      </c>
      <c r="S39" s="16">
        <f si="45" t="shared"/>
        <v>0</v>
      </c>
      <c r="T39" s="16"/>
      <c r="U39" s="16">
        <f si="30" t="shared"/>
        <v>0</v>
      </c>
      <c r="W39" t="str">
        <f>$A$13</f>
        <v>Rest</v>
      </c>
      <c r="X39" s="16" t="e">
        <f ref="X39" si="46" t="shared">M39-B39</f>
        <v>#DIV/0!</v>
      </c>
      <c r="Y39" s="16" t="e">
        <f ref="Y39" si="47" t="shared">N39-C39</f>
        <v>#DIV/0!</v>
      </c>
      <c r="Z39" s="16" t="e">
        <f ref="Z39" si="48" t="shared">O39-D39</f>
        <v>#DIV/0!</v>
      </c>
      <c r="AA39" s="16" t="e">
        <f ref="AA39" si="49" t="shared">P39-E39</f>
        <v>#DIV/0!</v>
      </c>
      <c r="AB39" s="16" t="e">
        <f ref="AB39" si="50" t="shared">Q39-F39</f>
        <v>#DIV/0!</v>
      </c>
      <c r="AC39" s="16" t="e">
        <f ref="AC39" si="51" t="shared">R39-G39</f>
        <v>#DIV/0!</v>
      </c>
      <c r="AD39" s="16" t="e">
        <f ref="AD39" si="52" t="shared">S39-H39</f>
        <v>#DIV/0!</v>
      </c>
      <c r="AE39" s="16"/>
      <c r="AF39" s="16" t="e">
        <f si="32" t="shared"/>
        <v>#DIV/0!</v>
      </c>
    </row>
    <row r="40" spans="1:32" x14ac:dyDescent="0.25">
      <c r="A40" s="7" t="s">
        <v>13</v>
      </c>
      <c r="B40" s="17"/>
      <c r="C40" s="17"/>
      <c r="D40" s="17"/>
      <c r="E40" s="17"/>
      <c r="F40" s="17"/>
      <c r="G40" s="17"/>
      <c r="H40" s="16"/>
      <c r="I40" s="17"/>
      <c r="J40" s="17" t="e">
        <f>J27/$J$28</f>
        <v>#DIV/0!</v>
      </c>
      <c r="K40" s="12"/>
      <c r="L40" s="293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3" t="s">
        <v>13</v>
      </c>
      <c r="X40" s="17"/>
      <c r="Y40" s="17"/>
      <c r="Z40" s="17"/>
      <c r="AA40" s="17"/>
      <c r="AB40" s="17"/>
      <c r="AC40" s="17"/>
      <c r="AD40" s="17"/>
      <c r="AE40" s="17"/>
      <c r="AF40" s="17"/>
    </row>
    <row ht="15.75" r="41" spans="1:32" thickBot="1" x14ac:dyDescent="0.3">
      <c r="A41" s="1" t="s">
        <v>4</v>
      </c>
      <c r="B41" s="18" t="e">
        <f ref="B41:H41" si="53" t="shared">B28/$J$28</f>
        <v>#DIV/0!</v>
      </c>
      <c r="C41" s="18" t="e">
        <f si="53" t="shared"/>
        <v>#DIV/0!</v>
      </c>
      <c r="D41" s="18" t="e">
        <f si="53" t="shared"/>
        <v>#DIV/0!</v>
      </c>
      <c r="E41" s="18" t="e">
        <f si="53" t="shared"/>
        <v>#DIV/0!</v>
      </c>
      <c r="F41" s="18" t="e">
        <f si="53" t="shared"/>
        <v>#DIV/0!</v>
      </c>
      <c r="G41" s="18" t="e">
        <f si="53" t="shared"/>
        <v>#DIV/0!</v>
      </c>
      <c r="H41" s="18" t="e">
        <f si="53" t="shared"/>
        <v>#DIV/0!</v>
      </c>
      <c r="I41" s="18" t="e">
        <f>I28/$J$28</f>
        <v>#DIV/0!</v>
      </c>
      <c r="J41" s="18" t="e">
        <f>J28/$J$28</f>
        <v>#DIV/0!</v>
      </c>
      <c r="K41" s="12"/>
      <c r="L41" s="15" t="s">
        <v>4</v>
      </c>
      <c r="M41" s="18">
        <f>M28/$U$28</f>
        <v>1</v>
      </c>
      <c r="N41" s="18">
        <f>N28/$U$28</f>
        <v>0</v>
      </c>
      <c r="O41" s="18">
        <f>O28/$U$28</f>
        <v>0</v>
      </c>
      <c r="P41" s="18">
        <f>P28/$U$28</f>
        <v>0</v>
      </c>
      <c r="Q41" s="18">
        <f ref="Q41:S41" si="54" t="shared">Q28/$U$28</f>
        <v>0</v>
      </c>
      <c r="R41" s="18">
        <f si="54" t="shared"/>
        <v>0</v>
      </c>
      <c r="S41" s="18">
        <f si="54" t="shared"/>
        <v>0</v>
      </c>
      <c r="T41" s="18">
        <f>T28/$U$28</f>
        <v>0</v>
      </c>
      <c r="U41" s="18">
        <f>U28/$U$28</f>
        <v>1</v>
      </c>
      <c r="W41" s="15" t="s">
        <v>4</v>
      </c>
      <c r="X41" s="18" t="e">
        <f ref="X41:AF41" si="55" t="shared">M41-B41</f>
        <v>#DIV/0!</v>
      </c>
      <c r="Y41" s="18" t="e">
        <f si="55" t="shared"/>
        <v>#DIV/0!</v>
      </c>
      <c r="Z41" s="18" t="e">
        <f si="55" t="shared"/>
        <v>#DIV/0!</v>
      </c>
      <c r="AA41" s="18" t="e">
        <f si="55" t="shared"/>
        <v>#DIV/0!</v>
      </c>
      <c r="AB41" s="18" t="e">
        <f si="55" t="shared"/>
        <v>#DIV/0!</v>
      </c>
      <c r="AC41" s="18" t="e">
        <f si="55" t="shared"/>
        <v>#DIV/0!</v>
      </c>
      <c r="AD41" s="18" t="e">
        <f si="55" t="shared"/>
        <v>#DIV/0!</v>
      </c>
      <c r="AE41" s="18" t="e">
        <f si="55" t="shared"/>
        <v>#DIV/0!</v>
      </c>
      <c r="AF41" s="18" t="e">
        <f si="55" t="shared"/>
        <v>#DIV/0!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247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topLeftCell="A5" workbookViewId="0">
      <selection activeCell="B39" sqref="B39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97" t="s">
        <v>43</v>
      </c>
    </row>
    <row r="2" spans="1:4" x14ac:dyDescent="0.25">
      <c r="A2" t="s">
        <v>255</v>
      </c>
      <c r="B2" t="s">
        <v>262</v>
      </c>
      <c r="C2" t="s">
        <v>92</v>
      </c>
      <c r="D2" t="s">
        <v>278</v>
      </c>
    </row>
    <row r="3" spans="1:4" x14ac:dyDescent="0.25">
      <c r="A3">
        <v>1</v>
      </c>
      <c r="B3" t="s">
        <v>46</v>
      </c>
      <c r="C3" t="s">
        <v>279</v>
      </c>
      <c r="D3" t="s">
        <v>47</v>
      </c>
    </row>
    <row r="4" spans="1:4" x14ac:dyDescent="0.25">
      <c r="A4">
        <v>2</v>
      </c>
      <c r="B4" t="s">
        <v>49</v>
      </c>
      <c r="C4" t="s">
        <v>279</v>
      </c>
      <c r="D4" t="s">
        <v>50</v>
      </c>
    </row>
    <row r="5" spans="1:4" x14ac:dyDescent="0.25">
      <c r="A5">
        <v>3</v>
      </c>
      <c r="B5" t="s">
        <v>52</v>
      </c>
      <c r="C5" t="s">
        <v>279</v>
      </c>
      <c r="D5" t="s">
        <v>53</v>
      </c>
    </row>
    <row r="6" spans="1:4" x14ac:dyDescent="0.25">
      <c r="A6">
        <v>4</v>
      </c>
      <c r="B6" t="s">
        <v>55</v>
      </c>
      <c r="C6" t="s">
        <v>279</v>
      </c>
      <c r="D6" t="s">
        <v>56</v>
      </c>
    </row>
    <row r="7" spans="1:4" x14ac:dyDescent="0.25">
      <c r="A7">
        <v>5</v>
      </c>
      <c r="B7" t="s">
        <v>58</v>
      </c>
      <c r="C7" t="s">
        <v>279</v>
      </c>
      <c r="D7" t="s">
        <v>59</v>
      </c>
    </row>
    <row r="8" spans="1:4" x14ac:dyDescent="0.25">
      <c r="A8">
        <v>6</v>
      </c>
      <c r="B8" t="s">
        <v>60</v>
      </c>
      <c r="C8" t="s">
        <v>279</v>
      </c>
      <c r="D8" t="s">
        <v>61</v>
      </c>
    </row>
    <row r="9" spans="1:4" x14ac:dyDescent="0.25">
      <c r="A9">
        <v>7</v>
      </c>
      <c r="B9" t="s">
        <v>62</v>
      </c>
      <c r="C9" t="s">
        <v>279</v>
      </c>
      <c r="D9" t="s">
        <v>63</v>
      </c>
    </row>
    <row r="10" spans="1:4" x14ac:dyDescent="0.25">
      <c r="A10">
        <v>8</v>
      </c>
      <c r="B10" t="s">
        <v>65</v>
      </c>
      <c r="C10" t="s">
        <v>279</v>
      </c>
      <c r="D10" t="s">
        <v>66</v>
      </c>
    </row>
    <row r="11" spans="1:4" x14ac:dyDescent="0.25">
      <c r="A11">
        <v>9</v>
      </c>
      <c r="B11" t="s">
        <v>67</v>
      </c>
      <c r="C11" t="s">
        <v>279</v>
      </c>
      <c r="D11" t="s">
        <v>68</v>
      </c>
    </row>
    <row r="12" spans="1:4" x14ac:dyDescent="0.25">
      <c r="A12">
        <v>10</v>
      </c>
      <c r="B12" t="s">
        <v>69</v>
      </c>
      <c r="C12" t="s">
        <v>279</v>
      </c>
      <c r="D12" t="s">
        <v>70</v>
      </c>
    </row>
    <row r="13" spans="1:4" x14ac:dyDescent="0.25">
      <c r="A13">
        <v>11</v>
      </c>
      <c r="B13" t="s">
        <v>71</v>
      </c>
      <c r="C13" t="s">
        <v>279</v>
      </c>
      <c r="D13" t="s">
        <v>72</v>
      </c>
    </row>
    <row r="14" spans="1:4" x14ac:dyDescent="0.25">
      <c r="A14">
        <v>12</v>
      </c>
      <c r="B14" t="s">
        <v>73</v>
      </c>
      <c r="C14" t="s">
        <v>279</v>
      </c>
      <c r="D14" t="s">
        <v>74</v>
      </c>
    </row>
    <row r="15" spans="1:4" x14ac:dyDescent="0.25">
      <c r="A15">
        <v>13</v>
      </c>
      <c r="B15" t="s">
        <v>75</v>
      </c>
      <c r="C15" t="s">
        <v>279</v>
      </c>
      <c r="D15" t="s">
        <v>76</v>
      </c>
    </row>
    <row r="16" spans="1:4" x14ac:dyDescent="0.25">
      <c r="A16">
        <v>14</v>
      </c>
      <c r="B16" t="s">
        <v>77</v>
      </c>
      <c r="C16" t="s">
        <v>279</v>
      </c>
      <c r="D16" t="s">
        <v>78</v>
      </c>
    </row>
    <row r="17" spans="1:4" x14ac:dyDescent="0.25">
      <c r="A17">
        <v>15</v>
      </c>
      <c r="B17" t="s">
        <v>79</v>
      </c>
      <c r="C17" t="s">
        <v>279</v>
      </c>
      <c r="D17" t="s">
        <v>80</v>
      </c>
    </row>
    <row r="18" spans="1:4" x14ac:dyDescent="0.25">
      <c r="A18">
        <v>16</v>
      </c>
      <c r="B18" t="s">
        <v>81</v>
      </c>
      <c r="C18" t="s">
        <v>279</v>
      </c>
      <c r="D18" t="s">
        <v>82</v>
      </c>
    </row>
    <row r="19" spans="1:4" x14ac:dyDescent="0.25">
      <c r="A19">
        <v>17</v>
      </c>
      <c r="B19" t="s">
        <v>84</v>
      </c>
      <c r="C19" t="s">
        <v>279</v>
      </c>
      <c r="D19" t="s">
        <v>85</v>
      </c>
    </row>
    <row r="20" spans="1:4" x14ac:dyDescent="0.25">
      <c r="A20">
        <v>18</v>
      </c>
      <c r="B20" t="s">
        <v>87</v>
      </c>
      <c r="C20" t="s">
        <v>279</v>
      </c>
      <c r="D20" t="s">
        <v>88</v>
      </c>
    </row>
    <row r="21" spans="1:4" x14ac:dyDescent="0.25">
      <c r="A21">
        <v>19</v>
      </c>
      <c r="B21" t="s">
        <v>90</v>
      </c>
      <c r="C21" t="s">
        <v>279</v>
      </c>
      <c r="D21" t="s">
        <v>91</v>
      </c>
    </row>
    <row r="22" spans="1:4" x14ac:dyDescent="0.25">
      <c r="A22">
        <v>20</v>
      </c>
      <c r="B22" t="s">
        <v>93</v>
      </c>
      <c r="C22" t="s">
        <v>89</v>
      </c>
      <c r="D22" t="s">
        <v>94</v>
      </c>
    </row>
    <row r="23" spans="1:4" x14ac:dyDescent="0.25">
      <c r="A23">
        <v>21</v>
      </c>
      <c r="B23" t="s">
        <v>95</v>
      </c>
      <c r="C23" t="s">
        <v>89</v>
      </c>
      <c r="D23" t="s">
        <v>96</v>
      </c>
    </row>
    <row r="24" spans="1:4" x14ac:dyDescent="0.25">
      <c r="A24">
        <v>22</v>
      </c>
      <c r="B24" t="s">
        <v>97</v>
      </c>
      <c r="C24" t="s">
        <v>89</v>
      </c>
      <c r="D24" t="s">
        <v>98</v>
      </c>
    </row>
    <row r="25" spans="1:4" x14ac:dyDescent="0.25">
      <c r="A25">
        <v>23</v>
      </c>
      <c r="B25" t="s">
        <v>99</v>
      </c>
      <c r="C25" t="s">
        <v>89</v>
      </c>
      <c r="D25" t="s">
        <v>100</v>
      </c>
    </row>
    <row r="26" spans="1:4" x14ac:dyDescent="0.25">
      <c r="A26">
        <v>24</v>
      </c>
      <c r="B26" t="s">
        <v>101</v>
      </c>
      <c r="C26" t="s">
        <v>89</v>
      </c>
      <c r="D26" t="s">
        <v>102</v>
      </c>
    </row>
    <row r="27" spans="1:4" x14ac:dyDescent="0.25">
      <c r="A27">
        <v>25</v>
      </c>
      <c r="B27" t="s">
        <v>104</v>
      </c>
      <c r="C27" t="s">
        <v>89</v>
      </c>
      <c r="D27" t="s">
        <v>105</v>
      </c>
    </row>
    <row r="28" spans="1:4" x14ac:dyDescent="0.25">
      <c r="A28">
        <v>26</v>
      </c>
      <c r="B28" t="s">
        <v>106</v>
      </c>
      <c r="C28" t="s">
        <v>103</v>
      </c>
      <c r="D28" t="s">
        <v>94</v>
      </c>
    </row>
    <row r="29" spans="1:4" x14ac:dyDescent="0.25">
      <c r="A29">
        <v>27</v>
      </c>
      <c r="B29" t="s">
        <v>107</v>
      </c>
      <c r="C29" t="s">
        <v>103</v>
      </c>
      <c r="D29" t="s">
        <v>96</v>
      </c>
    </row>
    <row r="30" spans="1:4" x14ac:dyDescent="0.25">
      <c r="A30">
        <v>28</v>
      </c>
      <c r="B30" t="s">
        <v>109</v>
      </c>
      <c r="C30" t="s">
        <v>103</v>
      </c>
      <c r="D30" t="s">
        <v>98</v>
      </c>
    </row>
    <row r="31" spans="1:4" x14ac:dyDescent="0.25">
      <c r="A31">
        <v>29</v>
      </c>
      <c r="B31" t="s">
        <v>110</v>
      </c>
      <c r="C31" t="s">
        <v>103</v>
      </c>
      <c r="D31" t="s">
        <v>100</v>
      </c>
    </row>
    <row r="32" spans="1:4" x14ac:dyDescent="0.25">
      <c r="A32">
        <v>30</v>
      </c>
      <c r="B32" t="s">
        <v>111</v>
      </c>
      <c r="C32" t="s">
        <v>103</v>
      </c>
      <c r="D32" t="s">
        <v>112</v>
      </c>
    </row>
    <row r="33" spans="1:4" x14ac:dyDescent="0.25">
      <c r="A33">
        <v>31</v>
      </c>
      <c r="B33" t="s">
        <v>113</v>
      </c>
      <c r="C33" t="s">
        <v>103</v>
      </c>
      <c r="D33" t="s">
        <v>114</v>
      </c>
    </row>
    <row r="34" spans="1:4" x14ac:dyDescent="0.25">
      <c r="A34">
        <v>32</v>
      </c>
      <c r="B34" t="s">
        <v>115</v>
      </c>
      <c r="C34" t="s">
        <v>103</v>
      </c>
      <c r="D34" t="s">
        <v>116</v>
      </c>
    </row>
    <row r="35" spans="1:4" x14ac:dyDescent="0.25">
      <c r="A35">
        <v>33</v>
      </c>
      <c r="B35" t="s">
        <v>117</v>
      </c>
      <c r="C35" t="s">
        <v>103</v>
      </c>
      <c r="D35" t="s">
        <v>118</v>
      </c>
    </row>
    <row r="36" spans="1:4" x14ac:dyDescent="0.25">
      <c r="A36">
        <v>34</v>
      </c>
      <c r="B36" t="s">
        <v>119</v>
      </c>
      <c r="C36" t="s">
        <v>103</v>
      </c>
      <c r="D36" t="s">
        <v>120</v>
      </c>
    </row>
    <row r="37" spans="1:4" x14ac:dyDescent="0.25">
      <c r="A37">
        <v>35</v>
      </c>
      <c r="B37" t="s">
        <v>122</v>
      </c>
      <c r="C37" t="s">
        <v>103</v>
      </c>
      <c r="D37" t="s">
        <v>123</v>
      </c>
    </row>
    <row r="38" spans="1:4" x14ac:dyDescent="0.25">
      <c r="A38">
        <v>36</v>
      </c>
      <c r="B38" t="s">
        <v>124</v>
      </c>
      <c r="C38" t="s">
        <v>121</v>
      </c>
      <c r="D38" t="s">
        <v>94</v>
      </c>
    </row>
    <row r="39" spans="1:4" x14ac:dyDescent="0.25">
      <c r="A39">
        <v>37</v>
      </c>
      <c r="B39" t="s">
        <v>125</v>
      </c>
      <c r="C39" t="s">
        <v>121</v>
      </c>
      <c r="D39" t="s">
        <v>96</v>
      </c>
    </row>
    <row r="40" spans="1:4" x14ac:dyDescent="0.25">
      <c r="A40">
        <v>38</v>
      </c>
      <c r="B40" t="s">
        <v>127</v>
      </c>
      <c r="C40" t="s">
        <v>121</v>
      </c>
      <c r="D40" t="s">
        <v>98</v>
      </c>
    </row>
    <row r="41" spans="1:4" x14ac:dyDescent="0.25">
      <c r="A41">
        <v>39</v>
      </c>
      <c r="B41" t="s">
        <v>128</v>
      </c>
      <c r="C41" t="s">
        <v>121</v>
      </c>
      <c r="D41" t="s">
        <v>100</v>
      </c>
    </row>
    <row r="42" spans="1:4" x14ac:dyDescent="0.25">
      <c r="A42">
        <v>40</v>
      </c>
      <c r="B42" t="s">
        <v>129</v>
      </c>
      <c r="C42" t="s">
        <v>121</v>
      </c>
      <c r="D42" t="s">
        <v>112</v>
      </c>
    </row>
    <row r="43" spans="1:4" x14ac:dyDescent="0.25">
      <c r="A43">
        <v>41</v>
      </c>
      <c r="B43" t="s">
        <v>130</v>
      </c>
      <c r="C43" t="s">
        <v>121</v>
      </c>
      <c r="D43" t="s">
        <v>114</v>
      </c>
    </row>
    <row r="44" spans="1:4" x14ac:dyDescent="0.25">
      <c r="A44">
        <v>42</v>
      </c>
      <c r="B44" t="s">
        <v>132</v>
      </c>
      <c r="C44" t="s">
        <v>121</v>
      </c>
      <c r="D44" t="s">
        <v>133</v>
      </c>
    </row>
    <row r="45" spans="1:4" x14ac:dyDescent="0.25">
      <c r="A45">
        <v>43</v>
      </c>
      <c r="B45" t="s">
        <v>134</v>
      </c>
      <c r="C45" t="s">
        <v>131</v>
      </c>
      <c r="D45" t="s">
        <v>94</v>
      </c>
    </row>
    <row r="46" spans="1:4" x14ac:dyDescent="0.25">
      <c r="A46">
        <v>44</v>
      </c>
      <c r="B46" t="s">
        <v>135</v>
      </c>
      <c r="C46" t="s">
        <v>131</v>
      </c>
      <c r="D46" t="s">
        <v>136</v>
      </c>
    </row>
    <row r="47" spans="1:4" x14ac:dyDescent="0.25">
      <c r="A47">
        <v>45</v>
      </c>
      <c r="B47" t="s">
        <v>137</v>
      </c>
      <c r="C47" t="s">
        <v>131</v>
      </c>
      <c r="D47" t="s">
        <v>138</v>
      </c>
    </row>
    <row r="48" spans="1:4" x14ac:dyDescent="0.25">
      <c r="A48">
        <v>46</v>
      </c>
      <c r="B48" t="s">
        <v>139</v>
      </c>
      <c r="C48" t="s">
        <v>131</v>
      </c>
      <c r="D48" t="s">
        <v>140</v>
      </c>
    </row>
    <row r="49" spans="1:4" x14ac:dyDescent="0.25">
      <c r="A49">
        <v>47</v>
      </c>
      <c r="B49" t="s">
        <v>141</v>
      </c>
      <c r="C49" t="s">
        <v>131</v>
      </c>
      <c r="D49" t="s">
        <v>142</v>
      </c>
    </row>
    <row r="50" spans="1:4" x14ac:dyDescent="0.25">
      <c r="A50">
        <v>48</v>
      </c>
      <c r="B50" t="s">
        <v>144</v>
      </c>
      <c r="C50" t="s">
        <v>131</v>
      </c>
      <c r="D50" t="s">
        <v>145</v>
      </c>
    </row>
    <row r="51" spans="1:4" x14ac:dyDescent="0.25">
      <c r="A51">
        <v>49</v>
      </c>
      <c r="B51" t="s">
        <v>146</v>
      </c>
      <c r="C51" t="s">
        <v>143</v>
      </c>
      <c r="D51" t="s">
        <v>94</v>
      </c>
    </row>
    <row r="52" spans="1:4" x14ac:dyDescent="0.25">
      <c r="A52">
        <v>50</v>
      </c>
      <c r="B52" t="s">
        <v>147</v>
      </c>
      <c r="C52" t="s">
        <v>143</v>
      </c>
      <c r="D52" t="s">
        <v>96</v>
      </c>
    </row>
    <row r="53" spans="1:4" x14ac:dyDescent="0.25">
      <c r="A53">
        <v>51</v>
      </c>
      <c r="B53" t="s">
        <v>148</v>
      </c>
      <c r="C53" t="s">
        <v>143</v>
      </c>
      <c r="D53" t="s">
        <v>98</v>
      </c>
    </row>
    <row r="54" spans="1:4" x14ac:dyDescent="0.25">
      <c r="A54">
        <v>52</v>
      </c>
      <c r="B54" t="s">
        <v>149</v>
      </c>
      <c r="C54" t="s">
        <v>143</v>
      </c>
      <c r="D54" t="s">
        <v>100</v>
      </c>
    </row>
    <row r="55" spans="1:4" x14ac:dyDescent="0.25">
      <c r="A55">
        <v>53</v>
      </c>
      <c r="B55" t="s">
        <v>150</v>
      </c>
      <c r="C55" t="s">
        <v>143</v>
      </c>
      <c r="D55" t="s">
        <v>112</v>
      </c>
    </row>
    <row r="56" spans="1:4" x14ac:dyDescent="0.25">
      <c r="A56">
        <v>54</v>
      </c>
      <c r="B56" t="s">
        <v>151</v>
      </c>
      <c r="C56" t="s">
        <v>143</v>
      </c>
      <c r="D56" t="s">
        <v>152</v>
      </c>
    </row>
    <row r="57" spans="1:4" x14ac:dyDescent="0.25">
      <c r="A57">
        <v>55</v>
      </c>
      <c r="B57" t="s">
        <v>153</v>
      </c>
      <c r="C57" t="s">
        <v>143</v>
      </c>
      <c r="D57" t="s">
        <v>116</v>
      </c>
    </row>
    <row r="58" spans="1:4" x14ac:dyDescent="0.25">
      <c r="A58">
        <v>56</v>
      </c>
      <c r="B58" t="s">
        <v>154</v>
      </c>
      <c r="C58" t="s">
        <v>143</v>
      </c>
      <c r="D58" t="s">
        <v>120</v>
      </c>
    </row>
    <row r="59" spans="1:4" x14ac:dyDescent="0.25">
      <c r="A59">
        <v>57</v>
      </c>
      <c r="B59" t="s">
        <v>155</v>
      </c>
      <c r="C59" t="s">
        <v>143</v>
      </c>
      <c r="D59" t="s">
        <v>123</v>
      </c>
    </row>
    <row r="60" spans="1:4" x14ac:dyDescent="0.25">
      <c r="A60">
        <v>118</v>
      </c>
      <c r="B60" t="s">
        <v>280</v>
      </c>
    </row>
    <row r="61" spans="1:4" x14ac:dyDescent="0.25">
      <c r="A61">
        <v>70</v>
      </c>
      <c r="B61" t="s">
        <v>156</v>
      </c>
      <c r="C61" t="s">
        <v>89</v>
      </c>
    </row>
    <row r="62" spans="1:4" x14ac:dyDescent="0.25">
      <c r="A62">
        <v>71</v>
      </c>
      <c r="B62" t="s">
        <v>157</v>
      </c>
      <c r="C62" t="s">
        <v>89</v>
      </c>
      <c r="D62" t="s">
        <v>158</v>
      </c>
    </row>
    <row r="63" spans="1:4" x14ac:dyDescent="0.25">
      <c r="A63">
        <v>72</v>
      </c>
      <c r="B63" t="s">
        <v>159</v>
      </c>
      <c r="C63" t="s">
        <v>89</v>
      </c>
      <c r="D63" t="s">
        <v>160</v>
      </c>
    </row>
    <row r="64" spans="1:4" x14ac:dyDescent="0.25">
      <c r="A64">
        <v>73</v>
      </c>
      <c r="B64" t="s">
        <v>161</v>
      </c>
      <c r="C64" t="s">
        <v>89</v>
      </c>
      <c r="D64" t="s">
        <v>162</v>
      </c>
    </row>
    <row r="65" spans="1:4" x14ac:dyDescent="0.25">
      <c r="A65">
        <v>74</v>
      </c>
      <c r="B65" t="s">
        <v>163</v>
      </c>
      <c r="C65" t="s">
        <v>89</v>
      </c>
      <c r="D65" t="s">
        <v>164</v>
      </c>
    </row>
    <row r="66" spans="1:4" x14ac:dyDescent="0.25">
      <c r="A66">
        <v>75</v>
      </c>
      <c r="B66" t="s">
        <v>165</v>
      </c>
      <c r="C66" t="s">
        <v>89</v>
      </c>
      <c r="D66" t="s">
        <v>166</v>
      </c>
    </row>
    <row r="67" spans="1:4" x14ac:dyDescent="0.25">
      <c r="A67">
        <v>76</v>
      </c>
      <c r="B67" t="s">
        <v>167</v>
      </c>
      <c r="C67" t="s">
        <v>89</v>
      </c>
      <c r="D67" t="s">
        <v>168</v>
      </c>
    </row>
    <row r="68" spans="1:4" x14ac:dyDescent="0.25">
      <c r="A68">
        <v>77</v>
      </c>
      <c r="B68" t="s">
        <v>169</v>
      </c>
      <c r="C68" t="s">
        <v>89</v>
      </c>
      <c r="D68" t="s">
        <v>170</v>
      </c>
    </row>
    <row r="69" spans="1:4" x14ac:dyDescent="0.25">
      <c r="A69">
        <v>78</v>
      </c>
      <c r="B69" t="s">
        <v>171</v>
      </c>
      <c r="C69" t="s">
        <v>89</v>
      </c>
      <c r="D69" t="s">
        <v>172</v>
      </c>
    </row>
    <row r="70" spans="1:4" x14ac:dyDescent="0.25">
      <c r="A70">
        <v>79</v>
      </c>
      <c r="B70" t="s">
        <v>173</v>
      </c>
      <c r="C70" t="s">
        <v>89</v>
      </c>
      <c r="D70" t="s">
        <v>174</v>
      </c>
    </row>
    <row r="71" spans="1:4" x14ac:dyDescent="0.25">
      <c r="A71">
        <v>80</v>
      </c>
      <c r="B71" t="s">
        <v>175</v>
      </c>
      <c r="C71" t="s">
        <v>89</v>
      </c>
      <c r="D71" t="s">
        <v>176</v>
      </c>
    </row>
    <row r="72" spans="1:4" x14ac:dyDescent="0.25">
      <c r="A72">
        <v>81</v>
      </c>
      <c r="B72" t="s">
        <v>177</v>
      </c>
      <c r="C72" t="s">
        <v>89</v>
      </c>
      <c r="D72" t="s">
        <v>178</v>
      </c>
    </row>
    <row r="73" spans="1:4" x14ac:dyDescent="0.25">
      <c r="A73">
        <v>82</v>
      </c>
      <c r="B73" t="s">
        <v>179</v>
      </c>
      <c r="C73" t="s">
        <v>89</v>
      </c>
      <c r="D73" t="s">
        <v>178</v>
      </c>
    </row>
    <row r="74" spans="1:4" x14ac:dyDescent="0.25">
      <c r="A74">
        <v>83</v>
      </c>
      <c r="B74" t="s">
        <v>180</v>
      </c>
      <c r="C74" t="s">
        <v>89</v>
      </c>
      <c r="D74" t="s">
        <v>181</v>
      </c>
    </row>
    <row r="75" spans="1:4" x14ac:dyDescent="0.25">
      <c r="A75">
        <v>84</v>
      </c>
      <c r="B75" t="s">
        <v>182</v>
      </c>
      <c r="C75" t="s">
        <v>89</v>
      </c>
      <c r="D75" t="s">
        <v>183</v>
      </c>
    </row>
    <row r="76" spans="1:4" x14ac:dyDescent="0.25">
      <c r="A76">
        <v>85</v>
      </c>
      <c r="B76" t="s">
        <v>184</v>
      </c>
      <c r="C76" t="s">
        <v>89</v>
      </c>
      <c r="D76" t="s">
        <v>185</v>
      </c>
    </row>
    <row r="77" spans="1:4" x14ac:dyDescent="0.25">
      <c r="A77">
        <v>86</v>
      </c>
      <c r="B77" t="s">
        <v>186</v>
      </c>
      <c r="C77" t="s">
        <v>89</v>
      </c>
      <c r="D77" t="s">
        <v>187</v>
      </c>
    </row>
    <row r="78" spans="1:4" x14ac:dyDescent="0.25">
      <c r="A78">
        <v>87</v>
      </c>
      <c r="B78" t="s">
        <v>188</v>
      </c>
      <c r="C78" t="s">
        <v>89</v>
      </c>
      <c r="D78" t="s">
        <v>189</v>
      </c>
    </row>
    <row r="79" spans="1:4" x14ac:dyDescent="0.25">
      <c r="A79">
        <v>88</v>
      </c>
      <c r="B79" t="s">
        <v>190</v>
      </c>
      <c r="C79" t="s">
        <v>89</v>
      </c>
      <c r="D79" t="s">
        <v>191</v>
      </c>
    </row>
    <row r="80" spans="1:4" x14ac:dyDescent="0.25">
      <c r="A80">
        <v>89</v>
      </c>
      <c r="B80" t="s">
        <v>192</v>
      </c>
      <c r="C80" t="s">
        <v>103</v>
      </c>
      <c r="D80" t="s">
        <v>193</v>
      </c>
    </row>
    <row r="81" spans="1:4" x14ac:dyDescent="0.25">
      <c r="A81">
        <v>90</v>
      </c>
      <c r="B81" t="s">
        <v>194</v>
      </c>
      <c r="C81" t="s">
        <v>103</v>
      </c>
      <c r="D81" t="s">
        <v>195</v>
      </c>
    </row>
    <row r="82" spans="1:4" x14ac:dyDescent="0.25">
      <c r="A82">
        <v>91</v>
      </c>
      <c r="B82" t="s">
        <v>196</v>
      </c>
      <c r="C82" t="s">
        <v>103</v>
      </c>
      <c r="D82" t="s">
        <v>197</v>
      </c>
    </row>
    <row r="83" spans="1:4" x14ac:dyDescent="0.25">
      <c r="A83">
        <v>92</v>
      </c>
      <c r="B83" t="s">
        <v>198</v>
      </c>
      <c r="C83" t="s">
        <v>103</v>
      </c>
      <c r="D83" t="s">
        <v>199</v>
      </c>
    </row>
    <row r="84" spans="1:4" x14ac:dyDescent="0.25">
      <c r="A84">
        <v>93</v>
      </c>
      <c r="B84" t="s">
        <v>200</v>
      </c>
      <c r="C84" t="s">
        <v>103</v>
      </c>
      <c r="D84" t="s">
        <v>201</v>
      </c>
    </row>
    <row r="85" spans="1:4" x14ac:dyDescent="0.25">
      <c r="A85">
        <v>94</v>
      </c>
      <c r="B85" t="s">
        <v>202</v>
      </c>
      <c r="C85" t="s">
        <v>103</v>
      </c>
      <c r="D85" t="s">
        <v>203</v>
      </c>
    </row>
    <row r="86" spans="1:4" x14ac:dyDescent="0.25">
      <c r="A86">
        <v>95</v>
      </c>
      <c r="B86" t="s">
        <v>204</v>
      </c>
      <c r="C86" t="s">
        <v>103</v>
      </c>
      <c r="D86" t="s">
        <v>205</v>
      </c>
    </row>
    <row r="87" spans="1:4" x14ac:dyDescent="0.25">
      <c r="A87">
        <v>96</v>
      </c>
      <c r="B87" t="s">
        <v>206</v>
      </c>
      <c r="C87" t="s">
        <v>103</v>
      </c>
      <c r="D87" t="s">
        <v>207</v>
      </c>
    </row>
    <row r="88" spans="1:4" x14ac:dyDescent="0.25">
      <c r="A88">
        <v>97</v>
      </c>
      <c r="B88" t="s">
        <v>208</v>
      </c>
      <c r="C88" t="s">
        <v>103</v>
      </c>
      <c r="D88" t="s">
        <v>209</v>
      </c>
    </row>
    <row r="89" spans="1:4" x14ac:dyDescent="0.25">
      <c r="A89">
        <v>98</v>
      </c>
      <c r="B89" t="s">
        <v>210</v>
      </c>
      <c r="C89" t="s">
        <v>121</v>
      </c>
      <c r="D89" t="s">
        <v>195</v>
      </c>
    </row>
    <row r="90" spans="1:4" x14ac:dyDescent="0.25">
      <c r="A90">
        <v>99</v>
      </c>
      <c r="B90" t="s">
        <v>211</v>
      </c>
      <c r="C90" t="s">
        <v>121</v>
      </c>
      <c r="D90" t="s">
        <v>197</v>
      </c>
    </row>
    <row r="91" spans="1:4" x14ac:dyDescent="0.25">
      <c r="A91">
        <v>100</v>
      </c>
      <c r="B91" t="s">
        <v>212</v>
      </c>
      <c r="C91" t="s">
        <v>121</v>
      </c>
      <c r="D91" t="s">
        <v>199</v>
      </c>
    </row>
    <row r="92" spans="1:4" x14ac:dyDescent="0.25">
      <c r="A92">
        <v>101</v>
      </c>
      <c r="B92" t="s">
        <v>213</v>
      </c>
      <c r="C92" t="s">
        <v>121</v>
      </c>
      <c r="D92" t="s">
        <v>201</v>
      </c>
    </row>
    <row r="93" spans="1:4" x14ac:dyDescent="0.25">
      <c r="A93">
        <v>102</v>
      </c>
      <c r="B93" t="s">
        <v>214</v>
      </c>
      <c r="C93" t="s">
        <v>131</v>
      </c>
      <c r="D93" t="s">
        <v>195</v>
      </c>
    </row>
    <row r="94" spans="1:4" x14ac:dyDescent="0.25">
      <c r="A94">
        <v>103</v>
      </c>
      <c r="B94" t="s">
        <v>215</v>
      </c>
      <c r="C94" t="s">
        <v>131</v>
      </c>
      <c r="D94" t="s">
        <v>197</v>
      </c>
    </row>
    <row r="95" spans="1:4" x14ac:dyDescent="0.25">
      <c r="A95">
        <v>104</v>
      </c>
      <c r="B95" t="s">
        <v>216</v>
      </c>
      <c r="C95" t="s">
        <v>131</v>
      </c>
      <c r="D95" t="s">
        <v>199</v>
      </c>
    </row>
    <row r="96" spans="1:4" x14ac:dyDescent="0.25">
      <c r="A96">
        <v>105</v>
      </c>
      <c r="B96" t="s">
        <v>217</v>
      </c>
      <c r="C96" t="s">
        <v>131</v>
      </c>
      <c r="D96" t="s">
        <v>201</v>
      </c>
    </row>
    <row r="97" spans="1:4" x14ac:dyDescent="0.25">
      <c r="A97">
        <v>106</v>
      </c>
      <c r="B97" t="s">
        <v>218</v>
      </c>
      <c r="C97" t="s">
        <v>143</v>
      </c>
      <c r="D97" t="s">
        <v>195</v>
      </c>
    </row>
    <row r="98" spans="1:4" x14ac:dyDescent="0.25">
      <c r="A98">
        <v>107</v>
      </c>
      <c r="B98" t="s">
        <v>219</v>
      </c>
      <c r="C98" t="s">
        <v>143</v>
      </c>
      <c r="D98" t="s">
        <v>220</v>
      </c>
    </row>
    <row r="99" spans="1:4" x14ac:dyDescent="0.25">
      <c r="A99">
        <v>108</v>
      </c>
      <c r="B99" t="s">
        <v>221</v>
      </c>
      <c r="C99" t="s">
        <v>143</v>
      </c>
      <c r="D99" t="s">
        <v>197</v>
      </c>
    </row>
    <row r="100" spans="1:4" x14ac:dyDescent="0.25">
      <c r="A100">
        <v>109</v>
      </c>
      <c r="B100" t="s">
        <v>222</v>
      </c>
      <c r="C100" t="s">
        <v>143</v>
      </c>
      <c r="D100" t="s">
        <v>199</v>
      </c>
    </row>
    <row r="101" spans="1:4" x14ac:dyDescent="0.25">
      <c r="A101">
        <v>110</v>
      </c>
      <c r="B101" t="s">
        <v>223</v>
      </c>
      <c r="C101" t="s">
        <v>143</v>
      </c>
      <c r="D101" t="s">
        <v>201</v>
      </c>
    </row>
    <row r="102" spans="1:4" x14ac:dyDescent="0.25">
      <c r="A102">
        <v>111</v>
      </c>
      <c r="B102" t="s">
        <v>224</v>
      </c>
      <c r="C102" t="s">
        <v>143</v>
      </c>
      <c r="D102" t="s">
        <v>207</v>
      </c>
    </row>
    <row r="103" spans="1:4" x14ac:dyDescent="0.25">
      <c r="A103">
        <v>112</v>
      </c>
      <c r="B103" t="s">
        <v>225</v>
      </c>
      <c r="C103" t="s">
        <v>143</v>
      </c>
      <c r="D103" t="s">
        <v>226</v>
      </c>
    </row>
    <row r="104" spans="1:4" x14ac:dyDescent="0.25">
      <c r="A104">
        <v>113</v>
      </c>
      <c r="B104" t="s">
        <v>227</v>
      </c>
      <c r="C104" t="s">
        <v>143</v>
      </c>
      <c r="D104" t="s">
        <v>209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0"/>
  <sheetViews>
    <sheetView workbookViewId="0">
      <selection activeCell="A8" sqref="A8:K619"/>
    </sheetView>
  </sheetViews>
  <sheetFormatPr defaultRowHeight="15" x14ac:dyDescent="0.25"/>
  <sheetData>
    <row r="1" spans="1:11" x14ac:dyDescent="0.25">
      <c r="A1" s="366" t="s">
        <v>228</v>
      </c>
      <c r="B1" s="367"/>
      <c r="C1" s="367"/>
      <c r="D1" s="367"/>
      <c r="E1" s="367"/>
      <c r="F1" s="367"/>
      <c r="G1" s="367"/>
      <c r="H1" s="367" t="s">
        <v>229</v>
      </c>
      <c r="I1" s="367"/>
      <c r="J1" s="367"/>
      <c r="K1" s="368"/>
    </row>
    <row r="2" spans="1:11" x14ac:dyDescent="0.25">
      <c r="A2" s="369">
        <v>1</v>
      </c>
      <c r="B2" s="370" t="s">
        <v>281</v>
      </c>
      <c r="C2" s="370"/>
      <c r="D2" s="370"/>
      <c r="E2" s="370"/>
      <c r="F2" s="370"/>
      <c r="G2" s="370"/>
      <c r="H2" s="370"/>
      <c r="I2" s="370"/>
      <c r="J2" s="370"/>
      <c r="K2" s="371"/>
    </row>
    <row r="3" spans="1:11" x14ac:dyDescent="0.25">
      <c r="A3" s="369">
        <v>2</v>
      </c>
      <c r="B3" s="370" t="s">
        <v>230</v>
      </c>
      <c r="C3" s="370"/>
      <c r="D3" s="370"/>
      <c r="E3" s="370"/>
      <c r="F3" s="370"/>
      <c r="G3" s="370"/>
      <c r="H3" s="370"/>
      <c r="I3" s="370"/>
      <c r="J3" s="370"/>
      <c r="K3" s="371"/>
    </row>
    <row r="4" spans="1:11" x14ac:dyDescent="0.25">
      <c r="A4" s="369">
        <v>3</v>
      </c>
      <c r="B4" s="370" t="s">
        <v>231</v>
      </c>
      <c r="C4" s="370"/>
      <c r="D4" s="370"/>
      <c r="E4" s="370"/>
      <c r="F4" s="370"/>
      <c r="G4" s="370"/>
      <c r="H4" s="370"/>
      <c r="I4" s="370"/>
      <c r="J4" s="370"/>
      <c r="K4" s="371"/>
    </row>
    <row r="5" spans="1:11" x14ac:dyDescent="0.25">
      <c r="A5" s="372">
        <v>4</v>
      </c>
      <c r="B5" s="373" t="s">
        <v>232</v>
      </c>
      <c r="C5" s="373"/>
      <c r="D5" s="373"/>
      <c r="E5" s="373"/>
      <c r="F5" s="373"/>
      <c r="G5" s="373"/>
      <c r="H5" s="373"/>
      <c r="I5" s="373"/>
      <c r="J5" s="373"/>
      <c r="K5" s="374"/>
    </row>
    <row r="8" spans="1:11" x14ac:dyDescent="0.25">
      <c r="A8" t="s">
        <v>233</v>
      </c>
      <c r="B8" t="s">
        <v>234</v>
      </c>
      <c r="C8" t="s">
        <v>235</v>
      </c>
      <c r="D8" t="s">
        <v>282</v>
      </c>
      <c r="E8" t="s">
        <v>283</v>
      </c>
      <c r="F8" t="s">
        <v>284</v>
      </c>
      <c r="G8" t="s">
        <v>285</v>
      </c>
    </row>
    <row r="9" spans="1:11" x14ac:dyDescent="0.25">
      <c r="A9" t="s">
        <v>236</v>
      </c>
      <c r="B9" t="s">
        <v>237</v>
      </c>
      <c r="C9" t="s">
        <v>238</v>
      </c>
      <c r="D9" t="s">
        <v>239</v>
      </c>
      <c r="E9">
        <v>4</v>
      </c>
      <c r="F9" s="335">
        <v>0.91831018518518526</v>
      </c>
      <c r="G9" t="s">
        <v>240</v>
      </c>
      <c r="H9">
        <v>30</v>
      </c>
      <c r="I9" t="s">
        <v>286</v>
      </c>
      <c r="J9">
        <v>20</v>
      </c>
    </row>
    <row r="10" spans="1:11" x14ac:dyDescent="0.25">
      <c r="A10" t="s">
        <v>241</v>
      </c>
    </row>
    <row r="11" spans="1:11" x14ac:dyDescent="0.25">
      <c r="B11">
        <v>1</v>
      </c>
      <c r="C11" t="s">
        <v>287</v>
      </c>
      <c r="D11" t="s">
        <v>242</v>
      </c>
      <c r="E11">
        <v>1</v>
      </c>
      <c r="F11">
        <v>1</v>
      </c>
    </row>
    <row r="12" spans="1:11" x14ac:dyDescent="0.25">
      <c r="B12">
        <v>2</v>
      </c>
      <c r="C12" t="s">
        <v>288</v>
      </c>
      <c r="D12" t="s">
        <v>243</v>
      </c>
      <c r="E12">
        <v>14.842474747500001</v>
      </c>
      <c r="F12">
        <v>1.83835803238</v>
      </c>
    </row>
    <row r="13" spans="1:11" x14ac:dyDescent="0.25">
      <c r="B13">
        <v>3</v>
      </c>
      <c r="C13" t="s">
        <v>289</v>
      </c>
      <c r="D13" t="s">
        <v>243</v>
      </c>
      <c r="E13" s="336">
        <v>5.2231850982500001E-2</v>
      </c>
      <c r="F13">
        <v>0.20210412377100001</v>
      </c>
    </row>
    <row r="14" spans="1:11" x14ac:dyDescent="0.25">
      <c r="B14">
        <v>4</v>
      </c>
      <c r="C14" t="s">
        <v>290</v>
      </c>
      <c r="D14" t="s">
        <v>243</v>
      </c>
      <c r="E14" s="336">
        <v>-0.28042629390099999</v>
      </c>
      <c r="F14">
        <v>0.214012249288</v>
      </c>
    </row>
    <row r="15" spans="1:11" x14ac:dyDescent="0.25">
      <c r="B15">
        <v>5</v>
      </c>
      <c r="C15" t="s">
        <v>291</v>
      </c>
      <c r="D15" t="s">
        <v>243</v>
      </c>
      <c r="E15" s="336">
        <v>3.8864252169499999E-2</v>
      </c>
      <c r="F15">
        <v>0.22261163226899999</v>
      </c>
    </row>
    <row r="16" spans="1:11" x14ac:dyDescent="0.25">
      <c r="B16">
        <v>6</v>
      </c>
      <c r="C16" t="s">
        <v>292</v>
      </c>
      <c r="D16" t="s">
        <v>243</v>
      </c>
      <c r="E16" s="336">
        <v>-5.4105027761100002E-2</v>
      </c>
      <c r="F16" s="336">
        <v>9.1881732487999995E-2</v>
      </c>
    </row>
    <row r="17" spans="2:6" x14ac:dyDescent="0.25">
      <c r="B17">
        <v>7</v>
      </c>
      <c r="C17" t="s">
        <v>293</v>
      </c>
      <c r="D17" t="s">
        <v>243</v>
      </c>
      <c r="E17">
        <v>-1.2443107654000001</v>
      </c>
      <c r="F17">
        <v>0.19943151784099999</v>
      </c>
    </row>
    <row r="18" spans="2:6" x14ac:dyDescent="0.25">
      <c r="B18">
        <v>8</v>
      </c>
      <c r="C18" t="s">
        <v>294</v>
      </c>
      <c r="D18" t="s">
        <v>243</v>
      </c>
      <c r="E18" s="336">
        <v>0.41298170440800003</v>
      </c>
      <c r="F18">
        <v>0.14496922102199999</v>
      </c>
    </row>
    <row r="19" spans="2:6" x14ac:dyDescent="0.25">
      <c r="B19">
        <v>9</v>
      </c>
      <c r="C19" t="s">
        <v>295</v>
      </c>
      <c r="D19" t="s">
        <v>243</v>
      </c>
      <c r="E19" s="336">
        <v>-0.26420630814700002</v>
      </c>
      <c r="F19">
        <v>0.19387529082999999</v>
      </c>
    </row>
    <row r="20" spans="2:6" x14ac:dyDescent="0.25">
      <c r="B20">
        <v>10</v>
      </c>
      <c r="C20" t="s">
        <v>296</v>
      </c>
      <c r="D20" t="s">
        <v>243</v>
      </c>
      <c r="E20">
        <v>-0.35872692861799998</v>
      </c>
      <c r="F20">
        <v>0.100051515259</v>
      </c>
    </row>
    <row r="21" spans="2:6" x14ac:dyDescent="0.25">
      <c r="B21">
        <v>11</v>
      </c>
      <c r="C21" t="s">
        <v>297</v>
      </c>
      <c r="D21" t="s">
        <v>243</v>
      </c>
      <c r="E21">
        <v>0.20317681554899999</v>
      </c>
      <c r="F21">
        <v>0.247232349657</v>
      </c>
    </row>
    <row r="22" spans="2:6" x14ac:dyDescent="0.25">
      <c r="B22">
        <v>12</v>
      </c>
      <c r="C22" t="s">
        <v>298</v>
      </c>
      <c r="D22" t="s">
        <v>243</v>
      </c>
      <c r="E22">
        <v>-0.25772334575</v>
      </c>
      <c r="F22">
        <v>0.170336028034</v>
      </c>
    </row>
    <row r="23" spans="2:6" x14ac:dyDescent="0.25">
      <c r="B23">
        <v>13</v>
      </c>
      <c r="C23" t="s">
        <v>299</v>
      </c>
      <c r="D23" t="s">
        <v>243</v>
      </c>
      <c r="E23">
        <v>-1.51291507531</v>
      </c>
      <c r="F23">
        <v>0.20916747597900001</v>
      </c>
    </row>
    <row r="24" spans="2:6" x14ac:dyDescent="0.25">
      <c r="B24">
        <v>14</v>
      </c>
      <c r="C24" t="s">
        <v>300</v>
      </c>
      <c r="D24" t="s">
        <v>243</v>
      </c>
      <c r="E24">
        <v>-0.21776561918199999</v>
      </c>
      <c r="F24" s="336">
        <v>7.7382027445400001E-2</v>
      </c>
    </row>
    <row r="25" spans="2:6" x14ac:dyDescent="0.25">
      <c r="B25">
        <v>15</v>
      </c>
      <c r="C25" t="s">
        <v>301</v>
      </c>
      <c r="D25" t="s">
        <v>243</v>
      </c>
      <c r="E25">
        <v>-1.27163179208</v>
      </c>
      <c r="F25">
        <v>0.50605159824699997</v>
      </c>
    </row>
    <row r="26" spans="2:6" x14ac:dyDescent="0.25">
      <c r="B26">
        <v>16</v>
      </c>
      <c r="C26" t="s">
        <v>302</v>
      </c>
      <c r="D26" t="s">
        <v>243</v>
      </c>
      <c r="E26">
        <v>-0.54089688480800002</v>
      </c>
      <c r="F26">
        <v>0.15561651788600001</v>
      </c>
    </row>
    <row r="27" spans="2:6" x14ac:dyDescent="0.25">
      <c r="B27">
        <v>17</v>
      </c>
      <c r="C27" t="s">
        <v>303</v>
      </c>
      <c r="D27" t="s">
        <v>242</v>
      </c>
      <c r="E27">
        <v>0</v>
      </c>
      <c r="F27">
        <v>1</v>
      </c>
    </row>
    <row r="28" spans="2:6" x14ac:dyDescent="0.25">
      <c r="B28">
        <v>18</v>
      </c>
      <c r="C28" t="s">
        <v>304</v>
      </c>
      <c r="D28" t="s">
        <v>242</v>
      </c>
      <c r="E28">
        <v>0</v>
      </c>
      <c r="F28">
        <v>1</v>
      </c>
    </row>
    <row r="29" spans="2:6" x14ac:dyDescent="0.25">
      <c r="B29">
        <v>19</v>
      </c>
      <c r="C29" t="s">
        <v>305</v>
      </c>
      <c r="D29" t="s">
        <v>242</v>
      </c>
      <c r="E29">
        <v>0</v>
      </c>
      <c r="F29">
        <v>1</v>
      </c>
    </row>
    <row r="30" spans="2:6" x14ac:dyDescent="0.25">
      <c r="B30">
        <v>20</v>
      </c>
      <c r="C30" t="s">
        <v>306</v>
      </c>
      <c r="D30" t="s">
        <v>243</v>
      </c>
      <c r="E30">
        <v>0.43763139961699998</v>
      </c>
      <c r="F30" s="336">
        <v>4.8429506021399997E-2</v>
      </c>
    </row>
    <row r="31" spans="2:6" x14ac:dyDescent="0.25">
      <c r="B31">
        <v>21</v>
      </c>
      <c r="C31" t="s">
        <v>307</v>
      </c>
      <c r="D31" t="s">
        <v>243</v>
      </c>
      <c r="E31">
        <v>-5.1729505125899999</v>
      </c>
      <c r="F31">
        <v>1.47237352721</v>
      </c>
    </row>
    <row r="32" spans="2:6" x14ac:dyDescent="0.25">
      <c r="B32">
        <v>22</v>
      </c>
      <c r="C32" t="s">
        <v>308</v>
      </c>
      <c r="D32" t="s">
        <v>243</v>
      </c>
      <c r="E32">
        <v>-5.9112646193599998</v>
      </c>
      <c r="F32">
        <v>0.31220814773599997</v>
      </c>
    </row>
    <row r="33" spans="2:6" x14ac:dyDescent="0.25">
      <c r="B33">
        <v>23</v>
      </c>
      <c r="C33" t="s">
        <v>309</v>
      </c>
      <c r="D33" t="s">
        <v>243</v>
      </c>
      <c r="E33">
        <v>-4.3510480079200002</v>
      </c>
      <c r="F33">
        <v>0.18576143123800001</v>
      </c>
    </row>
    <row r="34" spans="2:6" x14ac:dyDescent="0.25">
      <c r="B34">
        <v>24</v>
      </c>
      <c r="C34" t="s">
        <v>310</v>
      </c>
      <c r="D34" t="s">
        <v>243</v>
      </c>
      <c r="E34">
        <v>0.219929989326</v>
      </c>
      <c r="F34" s="336">
        <v>1.3645721239299999E-2</v>
      </c>
    </row>
    <row r="35" spans="2:6" x14ac:dyDescent="0.25">
      <c r="B35">
        <v>25</v>
      </c>
      <c r="C35" t="s">
        <v>311</v>
      </c>
      <c r="D35" t="s">
        <v>243</v>
      </c>
      <c r="E35">
        <v>-0.19965371290799999</v>
      </c>
      <c r="F35" s="336">
        <v>1.5268311706199999E-2</v>
      </c>
    </row>
    <row r="36" spans="2:6" x14ac:dyDescent="0.25">
      <c r="B36">
        <v>26</v>
      </c>
      <c r="C36" t="s">
        <v>312</v>
      </c>
      <c r="D36" t="s">
        <v>243</v>
      </c>
      <c r="E36">
        <v>0.456947594269</v>
      </c>
      <c r="F36" s="336">
        <v>8.45315868922E-2</v>
      </c>
    </row>
    <row r="37" spans="2:6" x14ac:dyDescent="0.25">
      <c r="B37">
        <v>27</v>
      </c>
      <c r="C37" t="s">
        <v>313</v>
      </c>
      <c r="D37" t="s">
        <v>243</v>
      </c>
      <c r="E37">
        <v>-16.041405463699999</v>
      </c>
      <c r="F37">
        <v>1.44425336446</v>
      </c>
    </row>
    <row r="38" spans="2:6" x14ac:dyDescent="0.25">
      <c r="B38">
        <v>28</v>
      </c>
      <c r="C38" t="s">
        <v>314</v>
      </c>
      <c r="D38" t="s">
        <v>243</v>
      </c>
      <c r="E38">
        <v>-4.0058838759500004</v>
      </c>
      <c r="F38">
        <v>0.35273062120999998</v>
      </c>
    </row>
    <row r="39" spans="2:6" x14ac:dyDescent="0.25">
      <c r="B39">
        <v>29</v>
      </c>
      <c r="C39" t="s">
        <v>315</v>
      </c>
      <c r="D39" t="s">
        <v>243</v>
      </c>
      <c r="E39">
        <v>-2.2602358254700001</v>
      </c>
      <c r="F39">
        <v>0.146992342355</v>
      </c>
    </row>
    <row r="40" spans="2:6" x14ac:dyDescent="0.25">
      <c r="B40">
        <v>30</v>
      </c>
      <c r="C40" t="s">
        <v>316</v>
      </c>
      <c r="D40" t="s">
        <v>243</v>
      </c>
      <c r="E40">
        <v>-0.57131171698200001</v>
      </c>
      <c r="F40" s="336">
        <v>8.1640985937999996E-2</v>
      </c>
    </row>
    <row r="41" spans="2:6" x14ac:dyDescent="0.25">
      <c r="B41">
        <v>31</v>
      </c>
      <c r="C41" t="s">
        <v>317</v>
      </c>
      <c r="D41" t="s">
        <v>243</v>
      </c>
      <c r="E41" s="336">
        <v>-9.1432405138999993E-3</v>
      </c>
      <c r="F41" s="336">
        <v>1.8681010178100001E-2</v>
      </c>
    </row>
    <row r="42" spans="2:6" x14ac:dyDescent="0.25">
      <c r="B42">
        <v>32</v>
      </c>
      <c r="C42" t="s">
        <v>318</v>
      </c>
      <c r="D42" t="s">
        <v>243</v>
      </c>
      <c r="E42">
        <v>-0.11638214876</v>
      </c>
      <c r="F42" s="336">
        <v>2.0027350623800001E-2</v>
      </c>
    </row>
    <row r="43" spans="2:6" x14ac:dyDescent="0.25">
      <c r="B43">
        <v>33</v>
      </c>
      <c r="C43" t="s">
        <v>319</v>
      </c>
      <c r="D43" t="s">
        <v>243</v>
      </c>
      <c r="E43" s="336">
        <v>5.6920874310099998E-2</v>
      </c>
      <c r="F43" s="336">
        <v>1.00062712342E-2</v>
      </c>
    </row>
    <row r="44" spans="2:6" x14ac:dyDescent="0.25">
      <c r="B44">
        <v>34</v>
      </c>
      <c r="C44" t="s">
        <v>320</v>
      </c>
      <c r="D44" t="s">
        <v>243</v>
      </c>
      <c r="E44" s="336">
        <v>-1.9362324458399999E-2</v>
      </c>
      <c r="F44" s="336">
        <v>1.63018501781E-2</v>
      </c>
    </row>
    <row r="45" spans="2:6" x14ac:dyDescent="0.25">
      <c r="B45">
        <v>35</v>
      </c>
      <c r="C45" t="s">
        <v>321</v>
      </c>
      <c r="D45" t="s">
        <v>243</v>
      </c>
      <c r="E45" s="336">
        <v>1.8323476485999999E-2</v>
      </c>
      <c r="F45" s="336">
        <v>1.2148526885499999E-2</v>
      </c>
    </row>
    <row r="46" spans="2:6" x14ac:dyDescent="0.25">
      <c r="B46">
        <v>36</v>
      </c>
      <c r="C46" t="s">
        <v>322</v>
      </c>
      <c r="D46" t="s">
        <v>243</v>
      </c>
      <c r="E46" s="336">
        <v>2.3040582229000002</v>
      </c>
      <c r="F46" s="336">
        <v>0.22055425229699999</v>
      </c>
    </row>
    <row r="47" spans="2:6" x14ac:dyDescent="0.25">
      <c r="B47">
        <v>37</v>
      </c>
      <c r="C47" t="s">
        <v>323</v>
      </c>
      <c r="D47" t="s">
        <v>243</v>
      </c>
      <c r="E47">
        <v>-7.2225250615199998</v>
      </c>
      <c r="F47">
        <v>1.6810961957599999</v>
      </c>
    </row>
    <row r="48" spans="2:6" x14ac:dyDescent="0.25">
      <c r="B48">
        <v>38</v>
      </c>
      <c r="C48" t="s">
        <v>324</v>
      </c>
      <c r="D48" t="s">
        <v>243</v>
      </c>
      <c r="E48">
        <v>-5.4693439766900003</v>
      </c>
      <c r="F48">
        <v>0.390672154306</v>
      </c>
    </row>
    <row r="49" spans="2:6" x14ac:dyDescent="0.25">
      <c r="B49">
        <v>39</v>
      </c>
      <c r="C49" t="s">
        <v>325</v>
      </c>
      <c r="D49" t="s">
        <v>243</v>
      </c>
      <c r="E49">
        <v>-2.4179033783600001</v>
      </c>
      <c r="F49">
        <v>0.223286996333</v>
      </c>
    </row>
    <row r="50" spans="2:6" x14ac:dyDescent="0.25">
      <c r="B50">
        <v>40</v>
      </c>
      <c r="C50" t="s">
        <v>326</v>
      </c>
      <c r="D50" t="s">
        <v>243</v>
      </c>
      <c r="E50">
        <v>-0.24529497763800001</v>
      </c>
      <c r="F50">
        <v>0.173792333986</v>
      </c>
    </row>
    <row r="51" spans="2:6" x14ac:dyDescent="0.25">
      <c r="B51">
        <v>41</v>
      </c>
      <c r="C51" t="s">
        <v>327</v>
      </c>
      <c r="D51" t="s">
        <v>243</v>
      </c>
      <c r="E51">
        <v>-0.100545011408</v>
      </c>
      <c r="F51" s="336">
        <v>1.7103318696699999E-2</v>
      </c>
    </row>
    <row r="52" spans="2:6" x14ac:dyDescent="0.25">
      <c r="B52">
        <v>42</v>
      </c>
      <c r="C52" t="s">
        <v>328</v>
      </c>
      <c r="D52" t="s">
        <v>243</v>
      </c>
      <c r="E52">
        <v>0.10049185695100001</v>
      </c>
      <c r="F52" s="336">
        <v>2.1833904078799999E-2</v>
      </c>
    </row>
    <row r="53" spans="2:6" x14ac:dyDescent="0.25">
      <c r="B53">
        <v>43</v>
      </c>
      <c r="C53" t="s">
        <v>329</v>
      </c>
      <c r="D53" t="s">
        <v>243</v>
      </c>
      <c r="E53">
        <v>1.7655971612000001</v>
      </c>
      <c r="F53" s="336">
        <v>0.154891246998</v>
      </c>
    </row>
    <row r="54" spans="2:6" x14ac:dyDescent="0.25">
      <c r="B54">
        <v>44</v>
      </c>
      <c r="C54" t="s">
        <v>330</v>
      </c>
      <c r="D54" t="s">
        <v>243</v>
      </c>
      <c r="E54">
        <v>-13.482142205440001</v>
      </c>
      <c r="F54">
        <v>1.7238420080500001</v>
      </c>
    </row>
    <row r="55" spans="2:6" x14ac:dyDescent="0.25">
      <c r="B55">
        <v>45</v>
      </c>
      <c r="C55" t="s">
        <v>331</v>
      </c>
      <c r="D55" t="s">
        <v>243</v>
      </c>
      <c r="E55">
        <v>-5.7740636752999999</v>
      </c>
      <c r="F55">
        <v>0.44296383007700002</v>
      </c>
    </row>
    <row r="56" spans="2:6" x14ac:dyDescent="0.25">
      <c r="B56">
        <v>46</v>
      </c>
      <c r="C56" t="s">
        <v>332</v>
      </c>
      <c r="D56" t="s">
        <v>243</v>
      </c>
      <c r="E56">
        <v>-3.2513620839500001</v>
      </c>
      <c r="F56">
        <v>0.22459177151199999</v>
      </c>
    </row>
    <row r="57" spans="2:6" x14ac:dyDescent="0.25">
      <c r="B57">
        <v>47</v>
      </c>
      <c r="C57" t="s">
        <v>333</v>
      </c>
      <c r="D57" t="s">
        <v>243</v>
      </c>
      <c r="E57">
        <v>-0.81757689945000001</v>
      </c>
      <c r="F57">
        <v>0.14989642806799999</v>
      </c>
    </row>
    <row r="58" spans="2:6" x14ac:dyDescent="0.25">
      <c r="B58">
        <v>48</v>
      </c>
      <c r="C58" t="s">
        <v>334</v>
      </c>
      <c r="D58" t="s">
        <v>243</v>
      </c>
      <c r="E58">
        <v>0.63335958983999996</v>
      </c>
      <c r="F58" s="336">
        <v>2.38840174789E-2</v>
      </c>
    </row>
    <row r="59" spans="2:6" x14ac:dyDescent="0.25">
      <c r="B59">
        <v>49</v>
      </c>
      <c r="C59" t="s">
        <v>335</v>
      </c>
      <c r="D59" t="s">
        <v>243</v>
      </c>
      <c r="E59">
        <v>0.54194850979700004</v>
      </c>
      <c r="F59" s="336">
        <v>0.13589969408700001</v>
      </c>
    </row>
    <row r="60" spans="2:6" x14ac:dyDescent="0.25">
      <c r="B60">
        <v>50</v>
      </c>
      <c r="C60" t="s">
        <v>336</v>
      </c>
      <c r="D60" t="s">
        <v>243</v>
      </c>
      <c r="E60">
        <v>-26.641935956609998</v>
      </c>
      <c r="F60">
        <v>1.5214646814199999</v>
      </c>
    </row>
    <row r="61" spans="2:6" x14ac:dyDescent="0.25">
      <c r="B61">
        <v>51</v>
      </c>
      <c r="C61" t="s">
        <v>337</v>
      </c>
      <c r="D61" t="s">
        <v>243</v>
      </c>
      <c r="E61">
        <v>-5.8569921168899999</v>
      </c>
      <c r="F61">
        <v>0.46611202703900001</v>
      </c>
    </row>
    <row r="62" spans="2:6" x14ac:dyDescent="0.25">
      <c r="B62">
        <v>52</v>
      </c>
      <c r="C62" t="s">
        <v>338</v>
      </c>
      <c r="D62" t="s">
        <v>243</v>
      </c>
      <c r="E62">
        <v>-3.0622160410500001</v>
      </c>
      <c r="F62">
        <v>0.205947789785</v>
      </c>
    </row>
    <row r="63" spans="2:6" x14ac:dyDescent="0.25">
      <c r="B63">
        <v>53</v>
      </c>
      <c r="C63" t="s">
        <v>339</v>
      </c>
      <c r="D63" t="s">
        <v>243</v>
      </c>
      <c r="E63">
        <v>-1.4592147580599999</v>
      </c>
      <c r="F63">
        <v>0.12706460553599999</v>
      </c>
    </row>
    <row r="64" spans="2:6" x14ac:dyDescent="0.25">
      <c r="B64">
        <v>54</v>
      </c>
      <c r="C64" t="s">
        <v>340</v>
      </c>
      <c r="D64" t="s">
        <v>243</v>
      </c>
      <c r="E64">
        <v>-0.160744421114</v>
      </c>
      <c r="F64" s="336">
        <v>3.1643512928099998E-2</v>
      </c>
    </row>
    <row r="65" spans="2:6" x14ac:dyDescent="0.25">
      <c r="B65">
        <v>55</v>
      </c>
      <c r="C65" t="s">
        <v>341</v>
      </c>
      <c r="D65" t="s">
        <v>243</v>
      </c>
      <c r="E65">
        <v>0.101769944302</v>
      </c>
      <c r="F65" s="336">
        <v>4.0472600922499997E-2</v>
      </c>
    </row>
    <row r="66" spans="2:6" x14ac:dyDescent="0.25">
      <c r="B66">
        <v>56</v>
      </c>
      <c r="C66" t="s">
        <v>342</v>
      </c>
      <c r="D66" t="s">
        <v>243</v>
      </c>
      <c r="E66" s="336">
        <v>-7.3004796389399995E-2</v>
      </c>
      <c r="F66" s="336">
        <v>2.7878888340600001E-2</v>
      </c>
    </row>
    <row r="67" spans="2:6" x14ac:dyDescent="0.25">
      <c r="B67">
        <v>57</v>
      </c>
      <c r="C67" t="s">
        <v>343</v>
      </c>
      <c r="D67" t="s">
        <v>243</v>
      </c>
      <c r="E67" s="336">
        <v>4.7664283443500002E-2</v>
      </c>
      <c r="F67" s="336">
        <v>1.5452195556500001E-2</v>
      </c>
    </row>
    <row r="68" spans="2:6" x14ac:dyDescent="0.25">
      <c r="B68">
        <v>70</v>
      </c>
      <c r="C68" t="s">
        <v>156</v>
      </c>
      <c r="D68" t="s">
        <v>243</v>
      </c>
      <c r="E68" s="336">
        <v>0.70165957865100004</v>
      </c>
      <c r="F68" s="336">
        <v>8.1041561582700008E-3</v>
      </c>
    </row>
    <row r="69" spans="2:6" x14ac:dyDescent="0.25">
      <c r="B69">
        <v>71</v>
      </c>
      <c r="C69" t="s">
        <v>157</v>
      </c>
      <c r="D69" t="s">
        <v>242</v>
      </c>
      <c r="E69">
        <v>0</v>
      </c>
      <c r="F69" s="336">
        <v>1</v>
      </c>
    </row>
    <row r="70" spans="2:6" x14ac:dyDescent="0.25">
      <c r="B70">
        <v>72</v>
      </c>
      <c r="C70" t="s">
        <v>159</v>
      </c>
      <c r="D70" t="s">
        <v>242</v>
      </c>
      <c r="E70">
        <v>0</v>
      </c>
      <c r="F70">
        <v>1</v>
      </c>
    </row>
    <row r="71" spans="2:6" x14ac:dyDescent="0.25">
      <c r="B71">
        <v>73</v>
      </c>
      <c r="C71" t="s">
        <v>161</v>
      </c>
      <c r="D71" t="s">
        <v>243</v>
      </c>
      <c r="E71">
        <v>-1.0451393946200001</v>
      </c>
      <c r="F71">
        <v>0.334189851298</v>
      </c>
    </row>
    <row r="72" spans="2:6" x14ac:dyDescent="0.25">
      <c r="B72">
        <v>74</v>
      </c>
      <c r="C72" t="s">
        <v>163</v>
      </c>
      <c r="D72" t="s">
        <v>242</v>
      </c>
      <c r="E72">
        <v>0</v>
      </c>
      <c r="F72">
        <v>1</v>
      </c>
    </row>
    <row r="73" spans="2:6" x14ac:dyDescent="0.25">
      <c r="B73">
        <v>75</v>
      </c>
      <c r="C73" t="s">
        <v>165</v>
      </c>
      <c r="D73" t="s">
        <v>243</v>
      </c>
      <c r="E73">
        <v>-0.200987204384</v>
      </c>
      <c r="F73">
        <v>0.32860050755699999</v>
      </c>
    </row>
    <row r="74" spans="2:6" x14ac:dyDescent="0.25">
      <c r="B74">
        <v>76</v>
      </c>
      <c r="C74" t="s">
        <v>167</v>
      </c>
      <c r="D74" t="s">
        <v>243</v>
      </c>
      <c r="E74">
        <v>-0.24680877359100001</v>
      </c>
      <c r="F74">
        <v>0.218776351024</v>
      </c>
    </row>
    <row r="75" spans="2:6" x14ac:dyDescent="0.25">
      <c r="B75">
        <v>77</v>
      </c>
      <c r="C75" t="s">
        <v>169</v>
      </c>
      <c r="D75" t="s">
        <v>243</v>
      </c>
      <c r="E75">
        <v>0.105207287565</v>
      </c>
      <c r="F75">
        <v>0.33160558063000001</v>
      </c>
    </row>
    <row r="76" spans="2:6" x14ac:dyDescent="0.25">
      <c r="B76">
        <v>78</v>
      </c>
      <c r="C76" t="s">
        <v>171</v>
      </c>
      <c r="D76" t="s">
        <v>243</v>
      </c>
      <c r="E76">
        <v>-3.0261765923500001</v>
      </c>
      <c r="F76">
        <v>0.63791961209799997</v>
      </c>
    </row>
    <row r="77" spans="2:6" x14ac:dyDescent="0.25">
      <c r="B77">
        <v>79</v>
      </c>
      <c r="C77" t="s">
        <v>173</v>
      </c>
      <c r="D77" t="s">
        <v>243</v>
      </c>
      <c r="E77">
        <v>-3.16760127533</v>
      </c>
      <c r="F77">
        <v>0.17589358259900001</v>
      </c>
    </row>
    <row r="78" spans="2:6" x14ac:dyDescent="0.25">
      <c r="B78">
        <v>80</v>
      </c>
      <c r="C78" t="s">
        <v>175</v>
      </c>
      <c r="D78" t="s">
        <v>243</v>
      </c>
      <c r="E78">
        <v>3.88384299801</v>
      </c>
      <c r="F78">
        <v>0.36343710851900002</v>
      </c>
    </row>
    <row r="79" spans="2:6" x14ac:dyDescent="0.25">
      <c r="B79">
        <v>81</v>
      </c>
      <c r="C79" t="s">
        <v>177</v>
      </c>
      <c r="D79" t="s">
        <v>243</v>
      </c>
      <c r="E79">
        <v>1.2853400619999999</v>
      </c>
      <c r="F79">
        <v>0.33194844094699999</v>
      </c>
    </row>
    <row r="80" spans="2:6" x14ac:dyDescent="0.25">
      <c r="B80">
        <v>82</v>
      </c>
      <c r="C80" t="s">
        <v>179</v>
      </c>
      <c r="D80" t="s">
        <v>242</v>
      </c>
      <c r="E80">
        <v>0</v>
      </c>
      <c r="F80">
        <v>1</v>
      </c>
    </row>
    <row r="81" spans="2:6" x14ac:dyDescent="0.25">
      <c r="B81">
        <v>83</v>
      </c>
      <c r="C81" t="s">
        <v>180</v>
      </c>
      <c r="D81" t="s">
        <v>243</v>
      </c>
      <c r="E81">
        <v>1.5962822273599999</v>
      </c>
      <c r="F81">
        <v>0.31630410811600002</v>
      </c>
    </row>
    <row r="82" spans="2:6" x14ac:dyDescent="0.25">
      <c r="B82">
        <v>84</v>
      </c>
      <c r="C82" t="s">
        <v>182</v>
      </c>
      <c r="D82" t="s">
        <v>243</v>
      </c>
      <c r="E82">
        <v>1.8203743806399999</v>
      </c>
      <c r="F82">
        <v>0.32723912579699999</v>
      </c>
    </row>
    <row r="83" spans="2:6" x14ac:dyDescent="0.25">
      <c r="B83">
        <v>85</v>
      </c>
      <c r="C83" t="s">
        <v>184</v>
      </c>
      <c r="D83" t="s">
        <v>243</v>
      </c>
      <c r="E83">
        <v>0.36845448573400003</v>
      </c>
      <c r="F83">
        <v>0.41451090741399998</v>
      </c>
    </row>
    <row r="84" spans="2:6" x14ac:dyDescent="0.25">
      <c r="B84">
        <v>86</v>
      </c>
      <c r="C84" t="s">
        <v>186</v>
      </c>
      <c r="D84" t="s">
        <v>243</v>
      </c>
      <c r="E84">
        <v>-0.89988004259099996</v>
      </c>
      <c r="F84">
        <v>0.58455068333600002</v>
      </c>
    </row>
    <row r="85" spans="2:6" x14ac:dyDescent="0.25">
      <c r="B85">
        <v>87</v>
      </c>
      <c r="C85" t="s">
        <v>188</v>
      </c>
      <c r="D85" t="s">
        <v>243</v>
      </c>
      <c r="E85">
        <v>-1.54651800243</v>
      </c>
      <c r="F85">
        <v>0.28922210484799998</v>
      </c>
    </row>
    <row r="86" spans="2:6" x14ac:dyDescent="0.25">
      <c r="B86">
        <v>88</v>
      </c>
      <c r="C86" t="s">
        <v>190</v>
      </c>
      <c r="D86" t="s">
        <v>242</v>
      </c>
      <c r="E86">
        <v>0</v>
      </c>
      <c r="F86">
        <v>1</v>
      </c>
    </row>
    <row r="87" spans="2:6" x14ac:dyDescent="0.25">
      <c r="B87">
        <v>89</v>
      </c>
      <c r="C87" t="s">
        <v>192</v>
      </c>
      <c r="D87" t="s">
        <v>243</v>
      </c>
      <c r="E87">
        <v>-1.3661763944</v>
      </c>
      <c r="F87">
        <v>0.21083771707000001</v>
      </c>
    </row>
    <row r="88" spans="2:6" x14ac:dyDescent="0.25">
      <c r="B88">
        <v>90</v>
      </c>
      <c r="C88" t="s">
        <v>194</v>
      </c>
      <c r="D88" t="s">
        <v>242</v>
      </c>
      <c r="E88">
        <v>0</v>
      </c>
      <c r="F88">
        <v>1</v>
      </c>
    </row>
    <row r="89" spans="2:6" x14ac:dyDescent="0.25">
      <c r="B89">
        <v>91</v>
      </c>
      <c r="C89" t="s">
        <v>196</v>
      </c>
      <c r="D89" t="s">
        <v>243</v>
      </c>
      <c r="E89">
        <v>-0.69659049737500001</v>
      </c>
      <c r="F89">
        <v>0.118317298537</v>
      </c>
    </row>
    <row r="90" spans="2:6" x14ac:dyDescent="0.25">
      <c r="B90">
        <v>92</v>
      </c>
      <c r="C90" t="s">
        <v>198</v>
      </c>
      <c r="D90" t="s">
        <v>243</v>
      </c>
      <c r="E90">
        <v>-1.8309142732699999</v>
      </c>
      <c r="F90">
        <v>0.55098538730699997</v>
      </c>
    </row>
    <row r="91" spans="2:6" x14ac:dyDescent="0.25">
      <c r="B91">
        <v>93</v>
      </c>
      <c r="C91" t="s">
        <v>200</v>
      </c>
      <c r="D91" t="s">
        <v>243</v>
      </c>
      <c r="E91">
        <v>-1.59616837557</v>
      </c>
      <c r="F91">
        <v>0.19643171679400001</v>
      </c>
    </row>
    <row r="92" spans="2:6" x14ac:dyDescent="0.25">
      <c r="B92">
        <v>94</v>
      </c>
      <c r="C92" t="s">
        <v>202</v>
      </c>
      <c r="D92" t="s">
        <v>242</v>
      </c>
      <c r="E92">
        <v>0</v>
      </c>
      <c r="F92">
        <v>1</v>
      </c>
    </row>
    <row r="93" spans="2:6" x14ac:dyDescent="0.25">
      <c r="B93">
        <v>95</v>
      </c>
      <c r="C93" t="s">
        <v>204</v>
      </c>
      <c r="D93" t="s">
        <v>243</v>
      </c>
      <c r="E93">
        <v>-3.7524312125899999</v>
      </c>
      <c r="F93">
        <v>0.30709606176900001</v>
      </c>
    </row>
    <row r="94" spans="2:6" x14ac:dyDescent="0.25">
      <c r="B94">
        <v>96</v>
      </c>
      <c r="C94" t="s">
        <v>206</v>
      </c>
      <c r="D94" t="s">
        <v>243</v>
      </c>
      <c r="E94">
        <v>-5.15903380474</v>
      </c>
      <c r="F94">
        <v>0.17390909328599999</v>
      </c>
    </row>
    <row r="95" spans="2:6" x14ac:dyDescent="0.25">
      <c r="B95">
        <v>97</v>
      </c>
      <c r="C95" t="s">
        <v>208</v>
      </c>
      <c r="D95" t="s">
        <v>243</v>
      </c>
      <c r="E95">
        <v>-4.5752497230499998</v>
      </c>
      <c r="F95">
        <v>0.48893954592400002</v>
      </c>
    </row>
    <row r="96" spans="2:6" x14ac:dyDescent="0.25">
      <c r="B96">
        <v>98</v>
      </c>
      <c r="C96" t="s">
        <v>210</v>
      </c>
      <c r="D96" t="s">
        <v>243</v>
      </c>
      <c r="E96">
        <v>-1.55830930615</v>
      </c>
      <c r="F96">
        <v>0.29568339221599999</v>
      </c>
    </row>
    <row r="97" spans="2:6" x14ac:dyDescent="0.25">
      <c r="B97">
        <v>99</v>
      </c>
      <c r="C97" t="s">
        <v>211</v>
      </c>
      <c r="D97" t="s">
        <v>243</v>
      </c>
      <c r="E97">
        <v>-6.7687936642300004</v>
      </c>
      <c r="F97">
        <v>0.63961427466800003</v>
      </c>
    </row>
    <row r="98" spans="2:6" x14ac:dyDescent="0.25">
      <c r="B98">
        <v>100</v>
      </c>
      <c r="C98" t="s">
        <v>212</v>
      </c>
      <c r="D98" t="s">
        <v>242</v>
      </c>
      <c r="E98">
        <v>0</v>
      </c>
      <c r="F98">
        <v>1</v>
      </c>
    </row>
    <row r="99" spans="2:6" x14ac:dyDescent="0.25">
      <c r="B99">
        <v>101</v>
      </c>
      <c r="C99" t="s">
        <v>213</v>
      </c>
      <c r="D99" t="s">
        <v>243</v>
      </c>
      <c r="E99">
        <v>-4.6092008435</v>
      </c>
      <c r="F99">
        <v>0.35687158855500001</v>
      </c>
    </row>
    <row r="100" spans="2:6" x14ac:dyDescent="0.25">
      <c r="B100">
        <v>102</v>
      </c>
      <c r="C100" t="s">
        <v>214</v>
      </c>
      <c r="D100" t="s">
        <v>242</v>
      </c>
      <c r="E100">
        <v>0</v>
      </c>
      <c r="F100">
        <v>1</v>
      </c>
    </row>
    <row r="101" spans="2:6" x14ac:dyDescent="0.25">
      <c r="B101">
        <v>103</v>
      </c>
      <c r="C101" t="s">
        <v>215</v>
      </c>
      <c r="D101" t="s">
        <v>242</v>
      </c>
      <c r="E101">
        <v>0</v>
      </c>
      <c r="F101">
        <v>1</v>
      </c>
    </row>
    <row r="102" spans="2:6" x14ac:dyDescent="0.25">
      <c r="B102">
        <v>104</v>
      </c>
      <c r="C102" t="s">
        <v>216</v>
      </c>
      <c r="D102" t="s">
        <v>242</v>
      </c>
      <c r="E102">
        <v>5</v>
      </c>
      <c r="F102">
        <v>1</v>
      </c>
    </row>
    <row r="103" spans="2:6" x14ac:dyDescent="0.25">
      <c r="B103">
        <v>105</v>
      </c>
      <c r="C103" t="s">
        <v>217</v>
      </c>
      <c r="D103" t="s">
        <v>242</v>
      </c>
      <c r="E103">
        <v>5</v>
      </c>
      <c r="F103">
        <v>1</v>
      </c>
    </row>
    <row r="104" spans="2:6" x14ac:dyDescent="0.25">
      <c r="B104">
        <v>106</v>
      </c>
      <c r="C104" t="s">
        <v>218</v>
      </c>
      <c r="D104" t="s">
        <v>242</v>
      </c>
      <c r="E104">
        <v>0</v>
      </c>
      <c r="F104">
        <v>1</v>
      </c>
    </row>
    <row r="105" spans="2:6" x14ac:dyDescent="0.25">
      <c r="B105">
        <v>107</v>
      </c>
      <c r="C105" t="s">
        <v>219</v>
      </c>
      <c r="D105" t="s">
        <v>243</v>
      </c>
      <c r="E105">
        <v>3.2721559987400002</v>
      </c>
      <c r="F105">
        <v>0.189098453</v>
      </c>
    </row>
    <row r="106" spans="2:6" x14ac:dyDescent="0.25">
      <c r="B106">
        <v>108</v>
      </c>
      <c r="C106" t="s">
        <v>221</v>
      </c>
      <c r="D106" t="s">
        <v>242</v>
      </c>
      <c r="E106">
        <v>0</v>
      </c>
      <c r="F106">
        <v>1</v>
      </c>
    </row>
    <row r="107" spans="2:6" x14ac:dyDescent="0.25">
      <c r="B107">
        <v>109</v>
      </c>
      <c r="C107" t="s">
        <v>222</v>
      </c>
      <c r="D107" t="s">
        <v>243</v>
      </c>
      <c r="E107">
        <v>3.7780647491999999</v>
      </c>
      <c r="F107">
        <v>0.16415128970699999</v>
      </c>
    </row>
    <row r="108" spans="2:6" x14ac:dyDescent="0.25">
      <c r="B108">
        <v>110</v>
      </c>
      <c r="C108" t="s">
        <v>223</v>
      </c>
      <c r="D108" t="s">
        <v>243</v>
      </c>
      <c r="E108">
        <v>3.6698694381700001</v>
      </c>
      <c r="F108">
        <v>0.17265670632899999</v>
      </c>
    </row>
    <row r="109" spans="2:6" x14ac:dyDescent="0.25">
      <c r="B109">
        <v>111</v>
      </c>
      <c r="C109" t="s">
        <v>224</v>
      </c>
      <c r="D109" t="s">
        <v>242</v>
      </c>
      <c r="E109">
        <v>0</v>
      </c>
      <c r="F109">
        <v>1</v>
      </c>
    </row>
    <row r="110" spans="2:6" x14ac:dyDescent="0.25">
      <c r="B110">
        <v>112</v>
      </c>
      <c r="C110" t="s">
        <v>225</v>
      </c>
      <c r="D110" t="s">
        <v>242</v>
      </c>
      <c r="E110">
        <v>0</v>
      </c>
      <c r="F110">
        <v>1</v>
      </c>
    </row>
    <row r="111" spans="2:6" x14ac:dyDescent="0.25">
      <c r="B111">
        <v>113</v>
      </c>
      <c r="C111" t="s">
        <v>227</v>
      </c>
      <c r="D111" t="s">
        <v>243</v>
      </c>
      <c r="E111">
        <v>1.3908719595400001</v>
      </c>
      <c r="F111">
        <v>0.25447036975100001</v>
      </c>
    </row>
    <row r="112" spans="2:6" x14ac:dyDescent="0.25">
      <c r="B112">
        <v>-1</v>
      </c>
    </row>
    <row r="113" spans="2:11" x14ac:dyDescent="0.25">
      <c r="B113">
        <v>13796</v>
      </c>
      <c r="C113" s="336">
        <v>-14054.777031400001</v>
      </c>
      <c r="D113" s="336">
        <v>-53772.333307300003</v>
      </c>
      <c r="E113" s="336">
        <v>-38222.555653299998</v>
      </c>
    </row>
    <row r="114" spans="2:11" x14ac:dyDescent="0.25">
      <c r="B114">
        <v>6</v>
      </c>
      <c r="C114" s="336" t="s">
        <v>344</v>
      </c>
      <c r="D114" s="336" t="s">
        <v>240</v>
      </c>
      <c r="E114" s="336">
        <v>30</v>
      </c>
      <c r="F114" t="s">
        <v>286</v>
      </c>
      <c r="G114">
        <v>20</v>
      </c>
    </row>
    <row r="115" spans="2:11" x14ac:dyDescent="0.25">
      <c r="B115">
        <v>0</v>
      </c>
      <c r="C115">
        <v>0</v>
      </c>
      <c r="D115">
        <v>52062</v>
      </c>
      <c r="E115">
        <v>0</v>
      </c>
      <c r="F115">
        <v>25970</v>
      </c>
      <c r="G115">
        <v>16810</v>
      </c>
      <c r="H115">
        <v>0</v>
      </c>
      <c r="I115">
        <v>22406</v>
      </c>
      <c r="J115">
        <v>28330</v>
      </c>
      <c r="K115">
        <v>-43646</v>
      </c>
    </row>
    <row r="116" spans="2:11" x14ac:dyDescent="0.25">
      <c r="B116">
        <v>0</v>
      </c>
      <c r="C116">
        <v>19006</v>
      </c>
      <c r="D116">
        <v>5748</v>
      </c>
      <c r="E116">
        <v>12601</v>
      </c>
      <c r="F116">
        <v>-44152</v>
      </c>
      <c r="G116">
        <v>0</v>
      </c>
      <c r="H116">
        <v>-38660</v>
      </c>
      <c r="I116">
        <v>-7824</v>
      </c>
      <c r="J116">
        <v>-2194</v>
      </c>
      <c r="K116">
        <v>-4040</v>
      </c>
    </row>
    <row r="117" spans="2:11" x14ac:dyDescent="0.25">
      <c r="B117">
        <v>-7777</v>
      </c>
      <c r="C117">
        <v>0</v>
      </c>
      <c r="D117">
        <v>-16785</v>
      </c>
      <c r="E117">
        <v>1981</v>
      </c>
      <c r="F117">
        <v>-4918</v>
      </c>
      <c r="G117">
        <v>-425</v>
      </c>
      <c r="H117">
        <v>-8589</v>
      </c>
      <c r="I117">
        <v>8087</v>
      </c>
      <c r="J117">
        <v>0</v>
      </c>
      <c r="K117">
        <v>10798</v>
      </c>
    </row>
    <row r="118" spans="2:11" x14ac:dyDescent="0.25">
      <c r="B118">
        <v>-2736</v>
      </c>
      <c r="C118">
        <v>3084</v>
      </c>
      <c r="D118">
        <v>-299</v>
      </c>
      <c r="E118">
        <v>8453</v>
      </c>
      <c r="F118">
        <v>-3577</v>
      </c>
      <c r="G118">
        <v>-67501</v>
      </c>
      <c r="H118">
        <v>0</v>
      </c>
      <c r="I118">
        <v>1826</v>
      </c>
      <c r="J118">
        <v>16622</v>
      </c>
      <c r="K118">
        <v>187</v>
      </c>
    </row>
    <row r="119" spans="2:11" x14ac:dyDescent="0.25">
      <c r="B119">
        <v>6286</v>
      </c>
      <c r="C119">
        <v>-3601</v>
      </c>
      <c r="D119">
        <v>7299</v>
      </c>
      <c r="E119">
        <v>-3509</v>
      </c>
      <c r="F119">
        <v>-1369</v>
      </c>
      <c r="G119">
        <v>0</v>
      </c>
      <c r="H119">
        <v>-6768</v>
      </c>
      <c r="I119">
        <v>-1248</v>
      </c>
      <c r="J119">
        <v>991</v>
      </c>
      <c r="K119">
        <v>-233</v>
      </c>
    </row>
    <row r="120" spans="2:11" x14ac:dyDescent="0.25">
      <c r="B120">
        <v>-2187</v>
      </c>
      <c r="C120">
        <v>2749</v>
      </c>
      <c r="D120">
        <v>12126</v>
      </c>
      <c r="E120">
        <v>-7859</v>
      </c>
      <c r="F120">
        <v>6419</v>
      </c>
      <c r="G120">
        <v>0</v>
      </c>
      <c r="H120">
        <v>-8422</v>
      </c>
      <c r="I120">
        <v>5398</v>
      </c>
      <c r="J120">
        <v>-2168</v>
      </c>
      <c r="K120">
        <v>813</v>
      </c>
    </row>
    <row r="121" spans="2:11" x14ac:dyDescent="0.25">
      <c r="B121">
        <v>-1197</v>
      </c>
      <c r="C121">
        <v>5127</v>
      </c>
      <c r="D121">
        <v>7389</v>
      </c>
      <c r="E121">
        <v>-3774</v>
      </c>
      <c r="F121">
        <v>13938</v>
      </c>
      <c r="G121">
        <v>17866</v>
      </c>
      <c r="H121">
        <v>0</v>
      </c>
      <c r="I121">
        <v>5600</v>
      </c>
      <c r="J121">
        <v>-7791</v>
      </c>
      <c r="K121">
        <v>1364</v>
      </c>
    </row>
    <row r="122" spans="2:11" x14ac:dyDescent="0.25">
      <c r="B122">
        <v>1168</v>
      </c>
      <c r="C122">
        <v>3988</v>
      </c>
      <c r="D122">
        <v>-1114</v>
      </c>
      <c r="E122">
        <v>-18828</v>
      </c>
      <c r="F122">
        <v>13417</v>
      </c>
      <c r="G122">
        <v>1265</v>
      </c>
      <c r="H122">
        <v>-64223</v>
      </c>
      <c r="I122">
        <v>-17545</v>
      </c>
      <c r="J122">
        <v>0</v>
      </c>
      <c r="K122">
        <v>5946</v>
      </c>
    </row>
    <row r="123" spans="2:11" x14ac:dyDescent="0.25">
      <c r="B123">
        <v>-2301</v>
      </c>
      <c r="C123">
        <v>973</v>
      </c>
      <c r="D123">
        <v>2157</v>
      </c>
      <c r="E123">
        <v>-1043</v>
      </c>
      <c r="F123">
        <v>-33026</v>
      </c>
      <c r="G123">
        <v>227</v>
      </c>
      <c r="H123">
        <v>190</v>
      </c>
      <c r="I123">
        <v>15480</v>
      </c>
      <c r="J123">
        <v>5946</v>
      </c>
      <c r="K123">
        <v>8996</v>
      </c>
    </row>
    <row r="124" spans="2:11" x14ac:dyDescent="0.25">
      <c r="B124">
        <v>2568</v>
      </c>
      <c r="C124">
        <v>0</v>
      </c>
      <c r="D124">
        <v>1213</v>
      </c>
      <c r="E124">
        <v>1385</v>
      </c>
      <c r="F124">
        <v>1979</v>
      </c>
      <c r="G124">
        <v>-988</v>
      </c>
      <c r="H124">
        <v>778</v>
      </c>
      <c r="I124">
        <v>242</v>
      </c>
      <c r="J124">
        <v>402</v>
      </c>
      <c r="K124">
        <v>-354</v>
      </c>
    </row>
    <row r="125" spans="2:11" x14ac:dyDescent="0.25">
      <c r="B125">
        <v>403</v>
      </c>
      <c r="C125">
        <v>-129</v>
      </c>
      <c r="D125">
        <v>-50</v>
      </c>
      <c r="E125">
        <v>-236</v>
      </c>
      <c r="F125">
        <v>310</v>
      </c>
      <c r="G125">
        <v>0</v>
      </c>
      <c r="H125">
        <v>747</v>
      </c>
      <c r="I125">
        <v>763</v>
      </c>
      <c r="J125">
        <v>1376</v>
      </c>
      <c r="K125">
        <v>-622</v>
      </c>
    </row>
    <row r="126" spans="2:11" x14ac:dyDescent="0.25">
      <c r="B126">
        <v>-29</v>
      </c>
      <c r="C126">
        <v>-446</v>
      </c>
      <c r="D126">
        <v>1122</v>
      </c>
      <c r="E126">
        <v>-1492</v>
      </c>
      <c r="F126">
        <v>1372</v>
      </c>
      <c r="G126">
        <v>-790</v>
      </c>
      <c r="H126">
        <v>-289</v>
      </c>
      <c r="I126">
        <v>-23</v>
      </c>
      <c r="J126">
        <v>562</v>
      </c>
      <c r="K126">
        <v>1735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-41444</v>
      </c>
      <c r="E132">
        <v>-22740</v>
      </c>
      <c r="F132">
        <v>-12503</v>
      </c>
      <c r="G132">
        <v>-17787</v>
      </c>
      <c r="H132">
        <v>10721</v>
      </c>
      <c r="I132">
        <v>13159</v>
      </c>
      <c r="J132">
        <v>17029</v>
      </c>
      <c r="K132">
        <v>-4855</v>
      </c>
    </row>
    <row r="133" spans="2:11" x14ac:dyDescent="0.25">
      <c r="B133">
        <v>91</v>
      </c>
      <c r="C133">
        <v>8567</v>
      </c>
      <c r="D133">
        <v>11144</v>
      </c>
      <c r="E133">
        <v>-4710</v>
      </c>
      <c r="F133">
        <v>4533</v>
      </c>
      <c r="G133">
        <v>703</v>
      </c>
      <c r="H133">
        <v>94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-7210</v>
      </c>
      <c r="D134">
        <v>-3973</v>
      </c>
      <c r="E134">
        <v>-2462</v>
      </c>
      <c r="F134">
        <v>-5483</v>
      </c>
      <c r="G134">
        <v>5959</v>
      </c>
      <c r="H134">
        <v>1042</v>
      </c>
      <c r="I134">
        <v>3454</v>
      </c>
      <c r="J134">
        <v>782</v>
      </c>
      <c r="K134">
        <v>-553</v>
      </c>
    </row>
    <row r="135" spans="2:11" x14ac:dyDescent="0.25">
      <c r="B135">
        <v>2476</v>
      </c>
      <c r="C135">
        <v>4497</v>
      </c>
      <c r="D135">
        <v>-1462</v>
      </c>
      <c r="E135">
        <v>2507</v>
      </c>
      <c r="F135">
        <v>120</v>
      </c>
      <c r="G135">
        <v>383</v>
      </c>
      <c r="H135">
        <v>0</v>
      </c>
      <c r="I135">
        <v>0</v>
      </c>
      <c r="J135">
        <v>0</v>
      </c>
      <c r="K135">
        <v>38869</v>
      </c>
    </row>
    <row r="136" spans="2:11" x14ac:dyDescent="0.25">
      <c r="B136">
        <v>0</v>
      </c>
      <c r="C136">
        <v>4406</v>
      </c>
      <c r="D136">
        <v>2737</v>
      </c>
      <c r="E136">
        <v>-20872</v>
      </c>
      <c r="F136">
        <v>10893</v>
      </c>
      <c r="G136">
        <v>5656</v>
      </c>
      <c r="H136">
        <v>-3802</v>
      </c>
      <c r="I136">
        <v>311</v>
      </c>
      <c r="J136">
        <v>610</v>
      </c>
      <c r="K136">
        <v>-1188</v>
      </c>
    </row>
    <row r="137" spans="2:11" x14ac:dyDescent="0.25">
      <c r="B137">
        <v>-754</v>
      </c>
      <c r="C137">
        <v>-2727</v>
      </c>
      <c r="D137">
        <v>-513</v>
      </c>
      <c r="E137">
        <v>-497</v>
      </c>
      <c r="F137">
        <v>82</v>
      </c>
      <c r="G137">
        <v>-473</v>
      </c>
      <c r="H137">
        <v>0</v>
      </c>
      <c r="I137">
        <v>0</v>
      </c>
      <c r="J137">
        <v>0</v>
      </c>
      <c r="K137">
        <v>18457</v>
      </c>
    </row>
    <row r="138" spans="2:11" x14ac:dyDescent="0.25">
      <c r="B138">
        <v>-34316</v>
      </c>
      <c r="C138">
        <v>0</v>
      </c>
      <c r="D138">
        <v>11435</v>
      </c>
      <c r="E138">
        <v>-10829</v>
      </c>
      <c r="F138">
        <v>6593</v>
      </c>
      <c r="G138">
        <v>-19311</v>
      </c>
      <c r="H138">
        <v>15227</v>
      </c>
      <c r="I138">
        <v>-9014</v>
      </c>
      <c r="J138">
        <v>-5268</v>
      </c>
      <c r="K138">
        <v>3547</v>
      </c>
    </row>
    <row r="139" spans="2:11" x14ac:dyDescent="0.25">
      <c r="B139">
        <v>-12562</v>
      </c>
      <c r="C139">
        <v>-2622</v>
      </c>
      <c r="D139">
        <v>-5665</v>
      </c>
      <c r="E139">
        <v>-50</v>
      </c>
      <c r="F139">
        <v>-6971</v>
      </c>
      <c r="G139">
        <v>1414</v>
      </c>
      <c r="H139">
        <v>39</v>
      </c>
      <c r="I139">
        <v>0</v>
      </c>
      <c r="J139">
        <v>0</v>
      </c>
      <c r="K139">
        <v>0</v>
      </c>
    </row>
    <row r="140" spans="2:11" x14ac:dyDescent="0.25">
      <c r="B140">
        <v>60469</v>
      </c>
      <c r="C140">
        <v>33899</v>
      </c>
      <c r="D140">
        <v>-16705</v>
      </c>
      <c r="E140">
        <v>0</v>
      </c>
      <c r="F140">
        <v>-1734</v>
      </c>
      <c r="G140">
        <v>-1820</v>
      </c>
      <c r="H140">
        <v>-203</v>
      </c>
      <c r="I140">
        <v>-1338</v>
      </c>
      <c r="J140">
        <v>-363</v>
      </c>
      <c r="K140">
        <v>553</v>
      </c>
    </row>
    <row r="141" spans="2:11" x14ac:dyDescent="0.25">
      <c r="B141">
        <v>1174</v>
      </c>
      <c r="C141">
        <v>1218</v>
      </c>
      <c r="D141">
        <v>1370</v>
      </c>
      <c r="E141">
        <v>1504</v>
      </c>
      <c r="F141">
        <v>1179</v>
      </c>
      <c r="G141">
        <v>-878</v>
      </c>
      <c r="H141">
        <v>928</v>
      </c>
      <c r="I141">
        <v>1272</v>
      </c>
      <c r="J141">
        <v>567</v>
      </c>
      <c r="K141">
        <v>0</v>
      </c>
    </row>
    <row r="142" spans="2:11" x14ac:dyDescent="0.25">
      <c r="B142">
        <v>0</v>
      </c>
      <c r="C142">
        <v>0</v>
      </c>
      <c r="D142">
        <v>1234</v>
      </c>
      <c r="E142">
        <v>2688</v>
      </c>
      <c r="F142">
        <v>3088</v>
      </c>
      <c r="G142">
        <v>-7138</v>
      </c>
      <c r="H142">
        <v>0</v>
      </c>
      <c r="I142">
        <v>1076</v>
      </c>
      <c r="J142">
        <v>-456</v>
      </c>
      <c r="K142">
        <v>206</v>
      </c>
    </row>
    <row r="143" spans="2:11" x14ac:dyDescent="0.25">
      <c r="B143">
        <v>-88</v>
      </c>
      <c r="C143">
        <v>-2712</v>
      </c>
      <c r="D143">
        <v>-1004</v>
      </c>
      <c r="E143">
        <v>2613</v>
      </c>
      <c r="F143">
        <v>-2552</v>
      </c>
      <c r="G143">
        <v>-371</v>
      </c>
      <c r="H143">
        <v>-1549</v>
      </c>
      <c r="I143">
        <v>-4578</v>
      </c>
      <c r="J143">
        <v>2735</v>
      </c>
      <c r="K143">
        <v>5685</v>
      </c>
    </row>
    <row r="144" spans="2:11" x14ac:dyDescent="0.25">
      <c r="B144">
        <v>-46</v>
      </c>
      <c r="C144">
        <v>-93</v>
      </c>
      <c r="D144">
        <v>0</v>
      </c>
      <c r="E144">
        <v>0</v>
      </c>
      <c r="F144">
        <v>0</v>
      </c>
      <c r="G144">
        <v>-2746</v>
      </c>
      <c r="H144">
        <v>-3945</v>
      </c>
      <c r="I144">
        <v>4015</v>
      </c>
      <c r="J144">
        <v>-1621</v>
      </c>
      <c r="K144">
        <v>-2824</v>
      </c>
    </row>
    <row r="145" spans="2:11" x14ac:dyDescent="0.25">
      <c r="B145">
        <v>0</v>
      </c>
      <c r="C145">
        <v>-4298</v>
      </c>
      <c r="D145">
        <v>-2675</v>
      </c>
      <c r="E145">
        <v>-2522</v>
      </c>
      <c r="F145">
        <v>-65</v>
      </c>
      <c r="G145">
        <v>-1965</v>
      </c>
      <c r="H145">
        <v>13923</v>
      </c>
      <c r="I145">
        <v>19315</v>
      </c>
      <c r="J145">
        <v>-8152</v>
      </c>
      <c r="K145">
        <v>1424</v>
      </c>
    </row>
    <row r="146" spans="2:11" x14ac:dyDescent="0.25">
      <c r="B146">
        <v>2480</v>
      </c>
      <c r="C146">
        <v>-1915</v>
      </c>
      <c r="D146">
        <v>-4287</v>
      </c>
      <c r="E146">
        <v>-2965</v>
      </c>
      <c r="F146">
        <v>1874</v>
      </c>
      <c r="G146">
        <v>3066</v>
      </c>
      <c r="H146">
        <v>0</v>
      </c>
      <c r="I146">
        <v>0</v>
      </c>
      <c r="J146">
        <v>0</v>
      </c>
      <c r="K146">
        <v>3771</v>
      </c>
    </row>
    <row r="147" spans="2:11" x14ac:dyDescent="0.25">
      <c r="B147">
        <v>723</v>
      </c>
      <c r="C147">
        <v>208</v>
      </c>
      <c r="D147">
        <v>-868</v>
      </c>
      <c r="E147">
        <v>315</v>
      </c>
      <c r="F147">
        <v>893</v>
      </c>
      <c r="G147">
        <v>0</v>
      </c>
      <c r="H147">
        <v>5346</v>
      </c>
      <c r="I147">
        <v>1540</v>
      </c>
      <c r="J147">
        <v>1772</v>
      </c>
      <c r="K147">
        <v>-228</v>
      </c>
    </row>
    <row r="148" spans="2:11" x14ac:dyDescent="0.25">
      <c r="B148">
        <v>1269</v>
      </c>
      <c r="C148">
        <v>-6781</v>
      </c>
      <c r="D148">
        <v>5136</v>
      </c>
      <c r="E148">
        <v>-2135</v>
      </c>
      <c r="F148">
        <v>-1580</v>
      </c>
      <c r="G148">
        <v>-759</v>
      </c>
      <c r="H148">
        <v>-1751</v>
      </c>
      <c r="I148">
        <v>-356</v>
      </c>
      <c r="J148">
        <v>-2711</v>
      </c>
      <c r="K148">
        <v>3269</v>
      </c>
    </row>
    <row r="149" spans="2:11" x14ac:dyDescent="0.25">
      <c r="B149">
        <v>1733</v>
      </c>
      <c r="C149">
        <v>0</v>
      </c>
      <c r="D149">
        <v>0</v>
      </c>
      <c r="E149">
        <v>0</v>
      </c>
      <c r="F149">
        <v>-1558</v>
      </c>
      <c r="G149">
        <v>-166</v>
      </c>
      <c r="H149">
        <v>256</v>
      </c>
      <c r="I149">
        <v>1619</v>
      </c>
      <c r="J149">
        <v>-89</v>
      </c>
      <c r="K149">
        <v>360</v>
      </c>
    </row>
    <row r="150" spans="2:11" x14ac:dyDescent="0.25">
      <c r="B150">
        <v>32789</v>
      </c>
      <c r="C150">
        <v>0</v>
      </c>
      <c r="D150">
        <v>20624</v>
      </c>
      <c r="E150">
        <v>9547</v>
      </c>
      <c r="F150">
        <v>-8604</v>
      </c>
      <c r="G150">
        <v>12610</v>
      </c>
      <c r="H150">
        <v>2445</v>
      </c>
      <c r="I150">
        <v>-13498</v>
      </c>
      <c r="J150">
        <v>-1985</v>
      </c>
      <c r="K150">
        <v>1674</v>
      </c>
    </row>
    <row r="151" spans="2:11" x14ac:dyDescent="0.25">
      <c r="B151">
        <v>-3838</v>
      </c>
      <c r="C151">
        <v>-2289</v>
      </c>
      <c r="D151">
        <v>-3824</v>
      </c>
      <c r="E151">
        <v>-826</v>
      </c>
      <c r="F151">
        <v>-2425</v>
      </c>
      <c r="G151">
        <v>-1429</v>
      </c>
      <c r="H151">
        <v>-44</v>
      </c>
      <c r="I151">
        <v>0</v>
      </c>
      <c r="J151">
        <v>0</v>
      </c>
      <c r="K151">
        <v>0</v>
      </c>
    </row>
    <row r="152" spans="2:11" x14ac:dyDescent="0.25">
      <c r="B152">
        <v>-8596</v>
      </c>
      <c r="C152">
        <v>-1489</v>
      </c>
      <c r="D152">
        <v>4332</v>
      </c>
      <c r="E152">
        <v>2645</v>
      </c>
      <c r="F152">
        <v>-530</v>
      </c>
      <c r="G152">
        <v>-131</v>
      </c>
      <c r="H152">
        <v>21088</v>
      </c>
      <c r="I152">
        <v>-36368</v>
      </c>
      <c r="J152">
        <v>0</v>
      </c>
      <c r="K152">
        <v>21467</v>
      </c>
    </row>
    <row r="153" spans="2:11" x14ac:dyDescent="0.25">
      <c r="B153">
        <v>-5815</v>
      </c>
      <c r="C153">
        <v>9308</v>
      </c>
      <c r="D153">
        <v>-14668</v>
      </c>
      <c r="E153">
        <v>12457</v>
      </c>
      <c r="F153">
        <v>-11435</v>
      </c>
      <c r="G153">
        <v>-4915</v>
      </c>
      <c r="H153">
        <v>1599</v>
      </c>
      <c r="I153">
        <v>-12328</v>
      </c>
      <c r="J153">
        <v>-4004</v>
      </c>
      <c r="K153">
        <v>-9447</v>
      </c>
    </row>
    <row r="154" spans="2:11" x14ac:dyDescent="0.25">
      <c r="B154">
        <v>500</v>
      </c>
      <c r="C154">
        <v>-7823</v>
      </c>
      <c r="D154">
        <v>1568</v>
      </c>
      <c r="E154">
        <v>1089</v>
      </c>
      <c r="F154">
        <v>0</v>
      </c>
      <c r="G154">
        <v>0</v>
      </c>
      <c r="H154">
        <v>0</v>
      </c>
      <c r="I154">
        <v>-8322</v>
      </c>
      <c r="J154">
        <v>-1229</v>
      </c>
      <c r="K154">
        <v>308</v>
      </c>
    </row>
    <row r="155" spans="2:11" x14ac:dyDescent="0.25">
      <c r="B155">
        <v>11411</v>
      </c>
      <c r="C155">
        <v>-311</v>
      </c>
      <c r="D155">
        <v>273</v>
      </c>
      <c r="E155">
        <v>37763</v>
      </c>
      <c r="F155">
        <v>27158</v>
      </c>
      <c r="G155">
        <v>-28699</v>
      </c>
      <c r="H155">
        <v>0</v>
      </c>
      <c r="I155">
        <v>40504</v>
      </c>
      <c r="J155">
        <v>20234</v>
      </c>
      <c r="K155">
        <v>10630</v>
      </c>
    </row>
    <row r="156" spans="2:11" x14ac:dyDescent="0.25">
      <c r="B156">
        <v>14678</v>
      </c>
      <c r="C156">
        <v>-2435</v>
      </c>
      <c r="D156">
        <v>-6608</v>
      </c>
      <c r="E156">
        <v>-2535</v>
      </c>
      <c r="F156">
        <v>193</v>
      </c>
      <c r="G156">
        <v>-15961</v>
      </c>
      <c r="H156">
        <v>-3291</v>
      </c>
      <c r="I156">
        <v>-9217</v>
      </c>
      <c r="J156">
        <v>-467</v>
      </c>
      <c r="K156">
        <v>-8817</v>
      </c>
    </row>
    <row r="157" spans="2:11" x14ac:dyDescent="0.25">
      <c r="B157">
        <v>1458</v>
      </c>
      <c r="C157">
        <v>3475</v>
      </c>
      <c r="D157">
        <v>0</v>
      </c>
      <c r="E157">
        <v>0</v>
      </c>
      <c r="F157">
        <v>0</v>
      </c>
      <c r="G157">
        <v>-19892</v>
      </c>
      <c r="H157">
        <v>-4231</v>
      </c>
      <c r="I157">
        <v>1342</v>
      </c>
      <c r="J157">
        <v>5198</v>
      </c>
      <c r="K157">
        <v>-1113</v>
      </c>
    </row>
    <row r="158" spans="2:11" x14ac:dyDescent="0.25">
      <c r="B158">
        <v>876</v>
      </c>
      <c r="C158">
        <v>50046</v>
      </c>
      <c r="D158">
        <v>16087</v>
      </c>
      <c r="E158">
        <v>27391</v>
      </c>
      <c r="F158">
        <v>663</v>
      </c>
      <c r="G158">
        <v>0</v>
      </c>
      <c r="H158">
        <v>92</v>
      </c>
      <c r="I158">
        <v>729</v>
      </c>
      <c r="J158">
        <v>483</v>
      </c>
      <c r="K158">
        <v>323</v>
      </c>
    </row>
    <row r="159" spans="2:11" x14ac:dyDescent="0.25">
      <c r="B159">
        <v>-250</v>
      </c>
      <c r="C159">
        <v>1106</v>
      </c>
      <c r="D159">
        <v>864</v>
      </c>
      <c r="E159">
        <v>-1633</v>
      </c>
      <c r="F159">
        <v>-677</v>
      </c>
      <c r="G159">
        <v>-1318</v>
      </c>
      <c r="H159">
        <v>188</v>
      </c>
      <c r="I159">
        <v>1340</v>
      </c>
      <c r="J159">
        <v>1005</v>
      </c>
      <c r="K159">
        <v>3282</v>
      </c>
    </row>
    <row r="160" spans="2:11" x14ac:dyDescent="0.25">
      <c r="B160">
        <v>5143</v>
      </c>
      <c r="C160">
        <v>0</v>
      </c>
      <c r="D160">
        <v>0</v>
      </c>
      <c r="E160">
        <v>0</v>
      </c>
      <c r="F160">
        <v>-132</v>
      </c>
      <c r="G160">
        <v>-112</v>
      </c>
      <c r="H160">
        <v>-107</v>
      </c>
      <c r="I160">
        <v>-212</v>
      </c>
      <c r="J160">
        <v>93</v>
      </c>
      <c r="K160">
        <v>-321</v>
      </c>
    </row>
    <row r="161" spans="2:11" x14ac:dyDescent="0.25">
      <c r="B161">
        <v>-396</v>
      </c>
      <c r="C161">
        <v>-3246</v>
      </c>
      <c r="D161">
        <v>732</v>
      </c>
      <c r="E161">
        <v>920</v>
      </c>
      <c r="F161">
        <v>-943</v>
      </c>
      <c r="G161">
        <v>0</v>
      </c>
      <c r="H161">
        <v>-34</v>
      </c>
      <c r="I161">
        <v>-941</v>
      </c>
      <c r="J161">
        <v>-862</v>
      </c>
      <c r="K161">
        <v>603</v>
      </c>
    </row>
    <row r="162" spans="2:11" x14ac:dyDescent="0.25">
      <c r="B162">
        <v>-1176</v>
      </c>
      <c r="C162">
        <v>6035</v>
      </c>
      <c r="D162">
        <v>2389</v>
      </c>
      <c r="E162">
        <v>-2176</v>
      </c>
      <c r="F162">
        <v>-504</v>
      </c>
      <c r="G162">
        <v>-1272</v>
      </c>
      <c r="H162">
        <v>1317</v>
      </c>
      <c r="I162">
        <v>447</v>
      </c>
      <c r="J162">
        <v>4524</v>
      </c>
      <c r="K162">
        <v>2406</v>
      </c>
    </row>
    <row r="163" spans="2:11" x14ac:dyDescent="0.25">
      <c r="B163">
        <v>3250</v>
      </c>
      <c r="C163">
        <v>0</v>
      </c>
      <c r="D163">
        <v>0</v>
      </c>
      <c r="E163">
        <v>0</v>
      </c>
      <c r="F163">
        <v>514</v>
      </c>
      <c r="G163">
        <v>246</v>
      </c>
      <c r="H163">
        <v>-21</v>
      </c>
      <c r="I163">
        <v>-457</v>
      </c>
      <c r="J163">
        <v>-98</v>
      </c>
      <c r="K163">
        <v>1596</v>
      </c>
    </row>
    <row r="164" spans="2:11" x14ac:dyDescent="0.25">
      <c r="B164">
        <v>8032</v>
      </c>
      <c r="C164">
        <v>872</v>
      </c>
      <c r="D164">
        <v>1664</v>
      </c>
      <c r="E164">
        <v>2921</v>
      </c>
      <c r="F164">
        <v>-3992</v>
      </c>
      <c r="G164">
        <v>12122</v>
      </c>
      <c r="H164">
        <v>0</v>
      </c>
      <c r="I164">
        <v>219</v>
      </c>
      <c r="J164">
        <v>-1001</v>
      </c>
      <c r="K164">
        <v>-1772</v>
      </c>
    </row>
    <row r="165" spans="2:11" x14ac:dyDescent="0.25">
      <c r="B165">
        <v>555</v>
      </c>
      <c r="C165">
        <v>1405</v>
      </c>
      <c r="D165">
        <v>-3685</v>
      </c>
      <c r="E165">
        <v>2068</v>
      </c>
      <c r="F165">
        <v>407</v>
      </c>
      <c r="G165">
        <v>2814</v>
      </c>
      <c r="H165">
        <v>-218</v>
      </c>
      <c r="I165">
        <v>-679</v>
      </c>
      <c r="J165">
        <v>526</v>
      </c>
      <c r="K165">
        <v>2072</v>
      </c>
    </row>
    <row r="166" spans="2:11" x14ac:dyDescent="0.25">
      <c r="B166">
        <v>-373</v>
      </c>
      <c r="C166">
        <v>-2073</v>
      </c>
      <c r="D166">
        <v>0</v>
      </c>
      <c r="E166">
        <v>0</v>
      </c>
      <c r="F166">
        <v>0</v>
      </c>
      <c r="G166">
        <v>922</v>
      </c>
      <c r="H166">
        <v>384</v>
      </c>
      <c r="I166">
        <v>542</v>
      </c>
      <c r="J166">
        <v>14</v>
      </c>
      <c r="K166">
        <v>-194</v>
      </c>
    </row>
    <row r="167" spans="2:11" x14ac:dyDescent="0.25">
      <c r="B167">
        <v>1319</v>
      </c>
      <c r="C167">
        <v>6046</v>
      </c>
      <c r="D167">
        <v>-1534</v>
      </c>
      <c r="E167">
        <v>2106</v>
      </c>
      <c r="F167">
        <v>465</v>
      </c>
      <c r="G167">
        <v>5193</v>
      </c>
      <c r="H167">
        <v>-13516</v>
      </c>
      <c r="I167">
        <v>-15842</v>
      </c>
      <c r="J167">
        <v>0</v>
      </c>
      <c r="K167">
        <v>1754</v>
      </c>
    </row>
    <row r="168" spans="2:11" x14ac:dyDescent="0.25">
      <c r="B168">
        <v>1341</v>
      </c>
      <c r="C168">
        <v>391</v>
      </c>
      <c r="D168">
        <v>589</v>
      </c>
      <c r="E168">
        <v>114</v>
      </c>
      <c r="F168">
        <v>-86</v>
      </c>
      <c r="G168">
        <v>2125</v>
      </c>
      <c r="H168">
        <v>-2708</v>
      </c>
      <c r="I168">
        <v>-188</v>
      </c>
      <c r="J168">
        <v>2168</v>
      </c>
      <c r="K168">
        <v>238</v>
      </c>
    </row>
    <row r="169" spans="2:11" x14ac:dyDescent="0.25">
      <c r="B169">
        <v>-1598</v>
      </c>
      <c r="C169">
        <v>1814</v>
      </c>
      <c r="D169">
        <v>-890</v>
      </c>
      <c r="E169">
        <v>397</v>
      </c>
      <c r="F169">
        <v>0</v>
      </c>
      <c r="G169">
        <v>0</v>
      </c>
      <c r="H169">
        <v>0</v>
      </c>
      <c r="I169">
        <v>-569</v>
      </c>
      <c r="J169">
        <v>-150</v>
      </c>
      <c r="K169">
        <v>68</v>
      </c>
    </row>
    <row r="170" spans="2:11" x14ac:dyDescent="0.25">
      <c r="B170">
        <v>-81</v>
      </c>
      <c r="C170">
        <v>45</v>
      </c>
      <c r="D170">
        <v>-171</v>
      </c>
      <c r="E170">
        <v>10928</v>
      </c>
      <c r="F170">
        <v>5217</v>
      </c>
      <c r="G170">
        <v>7125</v>
      </c>
      <c r="H170">
        <v>5854</v>
      </c>
      <c r="I170">
        <v>2806</v>
      </c>
      <c r="J170">
        <v>-35801</v>
      </c>
      <c r="K170">
        <v>-19713</v>
      </c>
    </row>
    <row r="171" spans="2:11" x14ac:dyDescent="0.25">
      <c r="B171">
        <v>-22383</v>
      </c>
      <c r="C171">
        <v>0</v>
      </c>
      <c r="D171">
        <v>-193</v>
      </c>
      <c r="E171">
        <v>-683</v>
      </c>
      <c r="F171">
        <v>1042</v>
      </c>
      <c r="G171">
        <v>-1486</v>
      </c>
      <c r="H171">
        <v>-557</v>
      </c>
      <c r="I171">
        <v>1609</v>
      </c>
      <c r="J171">
        <v>-838</v>
      </c>
      <c r="K171">
        <v>2306</v>
      </c>
    </row>
    <row r="172" spans="2:11" x14ac:dyDescent="0.25">
      <c r="B172">
        <v>-92</v>
      </c>
      <c r="C172">
        <v>408</v>
      </c>
      <c r="D172">
        <v>-1330</v>
      </c>
      <c r="E172">
        <v>716</v>
      </c>
      <c r="F172">
        <v>910</v>
      </c>
      <c r="G172">
        <v>-3686</v>
      </c>
      <c r="H172">
        <v>-6071</v>
      </c>
      <c r="I172">
        <v>0</v>
      </c>
      <c r="J172">
        <v>0</v>
      </c>
      <c r="K172">
        <v>0</v>
      </c>
    </row>
    <row r="173" spans="2:11" x14ac:dyDescent="0.25">
      <c r="B173">
        <v>76</v>
      </c>
      <c r="C173">
        <v>86</v>
      </c>
      <c r="D173">
        <v>-395</v>
      </c>
      <c r="E173">
        <v>49</v>
      </c>
      <c r="F173">
        <v>-228</v>
      </c>
      <c r="G173">
        <v>1170</v>
      </c>
      <c r="H173">
        <v>2072</v>
      </c>
      <c r="I173">
        <v>2674</v>
      </c>
      <c r="J173">
        <v>663</v>
      </c>
      <c r="K173">
        <v>2883</v>
      </c>
    </row>
    <row r="174" spans="2:11" x14ac:dyDescent="0.25">
      <c r="B174">
        <v>1021</v>
      </c>
      <c r="C174">
        <v>-41890</v>
      </c>
      <c r="D174">
        <v>-19609</v>
      </c>
      <c r="E174">
        <v>-4400</v>
      </c>
      <c r="F174">
        <v>4754</v>
      </c>
      <c r="G174">
        <v>0</v>
      </c>
      <c r="H174">
        <v>-3082</v>
      </c>
      <c r="I174">
        <v>-2935</v>
      </c>
      <c r="J174">
        <v>-291</v>
      </c>
      <c r="K174">
        <v>-1750</v>
      </c>
    </row>
    <row r="175" spans="2:11" x14ac:dyDescent="0.25">
      <c r="B175">
        <v>520</v>
      </c>
      <c r="C175">
        <v>7383</v>
      </c>
      <c r="D175">
        <v>73</v>
      </c>
      <c r="E175">
        <v>2038</v>
      </c>
      <c r="F175">
        <v>1611</v>
      </c>
      <c r="G175">
        <v>-4749</v>
      </c>
      <c r="H175">
        <v>-7807</v>
      </c>
      <c r="I175">
        <v>3378</v>
      </c>
      <c r="J175">
        <v>-1534</v>
      </c>
      <c r="K175">
        <v>1995</v>
      </c>
    </row>
    <row r="176" spans="2:11" x14ac:dyDescent="0.25">
      <c r="B176">
        <v>6799</v>
      </c>
      <c r="C176">
        <v>0</v>
      </c>
      <c r="D176">
        <v>0</v>
      </c>
      <c r="E176">
        <v>0</v>
      </c>
      <c r="F176">
        <v>1236</v>
      </c>
      <c r="G176">
        <v>179</v>
      </c>
      <c r="H176">
        <v>33</v>
      </c>
      <c r="I176">
        <v>-30</v>
      </c>
      <c r="J176">
        <v>159</v>
      </c>
      <c r="K176">
        <v>1004</v>
      </c>
    </row>
    <row r="177" spans="2:11" x14ac:dyDescent="0.25">
      <c r="B177">
        <v>2205</v>
      </c>
      <c r="C177">
        <v>88</v>
      </c>
      <c r="D177">
        <v>-882</v>
      </c>
      <c r="E177">
        <v>-20</v>
      </c>
      <c r="F177">
        <v>-702</v>
      </c>
      <c r="G177">
        <v>176</v>
      </c>
      <c r="H177">
        <v>1167</v>
      </c>
      <c r="I177">
        <v>282</v>
      </c>
      <c r="J177">
        <v>-299</v>
      </c>
      <c r="K177">
        <v>-7</v>
      </c>
    </row>
    <row r="178" spans="2:11" x14ac:dyDescent="0.25">
      <c r="B178">
        <v>0</v>
      </c>
      <c r="C178">
        <v>5890</v>
      </c>
      <c r="D178">
        <v>1873</v>
      </c>
      <c r="E178">
        <v>3848</v>
      </c>
      <c r="F178">
        <v>-2020</v>
      </c>
      <c r="G178">
        <v>2557</v>
      </c>
      <c r="H178">
        <v>-1675</v>
      </c>
      <c r="I178">
        <v>-2230</v>
      </c>
      <c r="J178">
        <v>1827</v>
      </c>
      <c r="K178">
        <v>-717</v>
      </c>
    </row>
    <row r="179" spans="2:11" x14ac:dyDescent="0.25">
      <c r="B179">
        <v>-2609</v>
      </c>
      <c r="C179">
        <v>-4921</v>
      </c>
      <c r="D179">
        <v>1020</v>
      </c>
      <c r="E179">
        <v>-2132</v>
      </c>
      <c r="F179">
        <v>1132</v>
      </c>
      <c r="G179">
        <v>1940</v>
      </c>
      <c r="H179">
        <v>0</v>
      </c>
      <c r="I179">
        <v>0</v>
      </c>
      <c r="J179">
        <v>0</v>
      </c>
      <c r="K179">
        <v>-2708</v>
      </c>
    </row>
    <row r="180" spans="2:11" x14ac:dyDescent="0.25">
      <c r="B180">
        <v>-492</v>
      </c>
      <c r="C180">
        <v>-118</v>
      </c>
      <c r="D180">
        <v>1794</v>
      </c>
      <c r="E180">
        <v>-82</v>
      </c>
      <c r="F180">
        <v>126</v>
      </c>
      <c r="G180">
        <v>-73</v>
      </c>
      <c r="H180">
        <v>537</v>
      </c>
      <c r="I180">
        <v>1058</v>
      </c>
      <c r="J180">
        <v>2442</v>
      </c>
      <c r="K180">
        <v>2706</v>
      </c>
    </row>
    <row r="181" spans="2:11" x14ac:dyDescent="0.25">
      <c r="B181">
        <v>57</v>
      </c>
      <c r="C181">
        <v>-30</v>
      </c>
      <c r="D181">
        <v>5</v>
      </c>
      <c r="E181">
        <v>-24</v>
      </c>
      <c r="F181">
        <v>-92</v>
      </c>
      <c r="G181">
        <v>40481</v>
      </c>
      <c r="H181">
        <v>0</v>
      </c>
      <c r="I181">
        <v>17909</v>
      </c>
      <c r="J181">
        <v>9208</v>
      </c>
      <c r="K181">
        <v>-14987</v>
      </c>
    </row>
    <row r="182" spans="2:11" x14ac:dyDescent="0.25">
      <c r="B182">
        <v>15451</v>
      </c>
      <c r="C182">
        <v>1958</v>
      </c>
      <c r="D182">
        <v>-7579</v>
      </c>
      <c r="E182">
        <v>-6354</v>
      </c>
      <c r="F182">
        <v>3427</v>
      </c>
      <c r="G182">
        <v>-4108</v>
      </c>
      <c r="H182">
        <v>-6459</v>
      </c>
      <c r="I182">
        <v>-8410</v>
      </c>
      <c r="J182">
        <v>3245</v>
      </c>
      <c r="K182">
        <v>-1692</v>
      </c>
    </row>
    <row r="183" spans="2:11" x14ac:dyDescent="0.25">
      <c r="B183">
        <v>771</v>
      </c>
      <c r="C183">
        <v>2991</v>
      </c>
      <c r="D183">
        <v>0</v>
      </c>
      <c r="E183">
        <v>0</v>
      </c>
      <c r="F183">
        <v>0</v>
      </c>
      <c r="G183">
        <v>-8199</v>
      </c>
      <c r="H183">
        <v>-1583</v>
      </c>
      <c r="I183">
        <v>5687</v>
      </c>
      <c r="J183">
        <v>1668</v>
      </c>
      <c r="K183">
        <v>-527</v>
      </c>
    </row>
    <row r="184" spans="2:11" x14ac:dyDescent="0.25">
      <c r="B184">
        <v>179</v>
      </c>
      <c r="C184">
        <v>-779</v>
      </c>
      <c r="D184">
        <v>933</v>
      </c>
      <c r="E184">
        <v>6970</v>
      </c>
      <c r="F184">
        <v>3606</v>
      </c>
      <c r="G184">
        <v>8373</v>
      </c>
      <c r="H184">
        <v>154</v>
      </c>
      <c r="I184">
        <v>167</v>
      </c>
      <c r="J184">
        <v>136</v>
      </c>
      <c r="K184">
        <v>220</v>
      </c>
    </row>
    <row r="185" spans="2:11" x14ac:dyDescent="0.25">
      <c r="B185">
        <v>-542</v>
      </c>
      <c r="C185">
        <v>37496</v>
      </c>
      <c r="D185">
        <v>-15484</v>
      </c>
      <c r="E185">
        <v>0</v>
      </c>
      <c r="F185">
        <v>14114</v>
      </c>
      <c r="G185">
        <v>-8068</v>
      </c>
      <c r="H185">
        <v>7725</v>
      </c>
      <c r="I185">
        <v>-13999</v>
      </c>
      <c r="J185">
        <v>9927</v>
      </c>
      <c r="K185">
        <v>-4969</v>
      </c>
    </row>
    <row r="186" spans="2:11" x14ac:dyDescent="0.25">
      <c r="B186">
        <v>-4064</v>
      </c>
      <c r="C186">
        <v>1071</v>
      </c>
      <c r="D186">
        <v>-7462</v>
      </c>
      <c r="E186">
        <v>-6939</v>
      </c>
      <c r="F186">
        <v>-11965</v>
      </c>
      <c r="G186">
        <v>3650</v>
      </c>
      <c r="H186">
        <v>-4564</v>
      </c>
      <c r="I186">
        <v>1290</v>
      </c>
      <c r="J186">
        <v>4024</v>
      </c>
      <c r="K186">
        <v>0</v>
      </c>
    </row>
    <row r="187" spans="2:11" x14ac:dyDescent="0.25">
      <c r="B187">
        <v>0</v>
      </c>
      <c r="C187">
        <v>0</v>
      </c>
      <c r="D187">
        <v>-5454</v>
      </c>
      <c r="E187">
        <v>-800</v>
      </c>
      <c r="F187">
        <v>-97</v>
      </c>
      <c r="G187">
        <v>9043</v>
      </c>
      <c r="H187">
        <v>-184</v>
      </c>
      <c r="I187">
        <v>1010</v>
      </c>
      <c r="J187">
        <v>308</v>
      </c>
      <c r="K187">
        <v>1511</v>
      </c>
    </row>
    <row r="188" spans="2:11" x14ac:dyDescent="0.25">
      <c r="B188">
        <v>2691</v>
      </c>
      <c r="C188">
        <v>10428</v>
      </c>
      <c r="D188">
        <v>7031</v>
      </c>
      <c r="E188">
        <v>-119</v>
      </c>
      <c r="F188">
        <v>530</v>
      </c>
      <c r="G188">
        <v>30</v>
      </c>
      <c r="H188">
        <v>-69</v>
      </c>
      <c r="I188">
        <v>237</v>
      </c>
      <c r="J188">
        <v>58131</v>
      </c>
      <c r="K188">
        <v>35075</v>
      </c>
    </row>
    <row r="189" spans="2:11" x14ac:dyDescent="0.25">
      <c r="B189">
        <v>-11192</v>
      </c>
      <c r="C189">
        <v>0</v>
      </c>
      <c r="D189">
        <v>15641</v>
      </c>
      <c r="E189">
        <v>7435</v>
      </c>
      <c r="F189">
        <v>5842</v>
      </c>
      <c r="G189">
        <v>4248</v>
      </c>
      <c r="H189">
        <v>-1448</v>
      </c>
      <c r="I189">
        <v>-1786</v>
      </c>
      <c r="J189">
        <v>-4222</v>
      </c>
      <c r="K189">
        <v>5912</v>
      </c>
    </row>
    <row r="190" spans="2:11" x14ac:dyDescent="0.25">
      <c r="B190">
        <v>-9027</v>
      </c>
      <c r="C190">
        <v>-6630</v>
      </c>
      <c r="D190">
        <v>-12615</v>
      </c>
      <c r="E190">
        <v>3576</v>
      </c>
      <c r="F190">
        <v>-4674</v>
      </c>
      <c r="G190">
        <v>1323</v>
      </c>
      <c r="H190">
        <v>3768</v>
      </c>
      <c r="I190">
        <v>0</v>
      </c>
      <c r="J190">
        <v>0</v>
      </c>
      <c r="K190">
        <v>0</v>
      </c>
    </row>
    <row r="191" spans="2:11" x14ac:dyDescent="0.25">
      <c r="B191">
        <v>-8457</v>
      </c>
      <c r="C191">
        <v>-1874</v>
      </c>
      <c r="D191">
        <v>381</v>
      </c>
      <c r="E191">
        <v>2590</v>
      </c>
      <c r="F191">
        <v>-412</v>
      </c>
      <c r="G191">
        <v>719</v>
      </c>
      <c r="H191">
        <v>421</v>
      </c>
      <c r="I191">
        <v>1157</v>
      </c>
      <c r="J191">
        <v>3478</v>
      </c>
      <c r="K191">
        <v>4801</v>
      </c>
    </row>
    <row r="192" spans="2:11" x14ac:dyDescent="0.25">
      <c r="B192">
        <v>8952</v>
      </c>
      <c r="C192">
        <v>264</v>
      </c>
      <c r="D192">
        <v>521</v>
      </c>
      <c r="E192">
        <v>-314</v>
      </c>
      <c r="F192">
        <v>264</v>
      </c>
      <c r="G192">
        <v>-69</v>
      </c>
      <c r="H192">
        <v>56184</v>
      </c>
      <c r="I192">
        <v>20655</v>
      </c>
      <c r="J192">
        <v>36424</v>
      </c>
      <c r="K192">
        <v>4730</v>
      </c>
    </row>
    <row r="193" spans="2:11" x14ac:dyDescent="0.25">
      <c r="B193">
        <v>0</v>
      </c>
      <c r="C193">
        <v>-766</v>
      </c>
      <c r="D193">
        <v>-1016</v>
      </c>
      <c r="E193">
        <v>133</v>
      </c>
      <c r="F193">
        <v>-573</v>
      </c>
      <c r="G193">
        <v>-499</v>
      </c>
      <c r="H193">
        <v>-699</v>
      </c>
      <c r="I193">
        <v>453</v>
      </c>
      <c r="J193">
        <v>-165</v>
      </c>
      <c r="K193">
        <v>-395</v>
      </c>
    </row>
    <row r="194" spans="2:11" x14ac:dyDescent="0.25">
      <c r="B194">
        <v>-977</v>
      </c>
      <c r="C194">
        <v>231</v>
      </c>
      <c r="D194">
        <v>248</v>
      </c>
      <c r="E194">
        <v>950</v>
      </c>
      <c r="F194">
        <v>1930</v>
      </c>
      <c r="G194">
        <v>3716</v>
      </c>
      <c r="H194">
        <v>0</v>
      </c>
      <c r="I194">
        <v>0</v>
      </c>
      <c r="J194">
        <v>0</v>
      </c>
      <c r="K194">
        <v>53</v>
      </c>
    </row>
    <row r="195" spans="2:11" x14ac:dyDescent="0.25">
      <c r="B195">
        <v>-171</v>
      </c>
      <c r="C195">
        <v>-118</v>
      </c>
      <c r="D195">
        <v>54</v>
      </c>
      <c r="E195">
        <v>173</v>
      </c>
      <c r="F195">
        <v>-1369</v>
      </c>
      <c r="G195">
        <v>-197</v>
      </c>
      <c r="H195">
        <v>-177</v>
      </c>
      <c r="I195">
        <v>-90</v>
      </c>
      <c r="J195">
        <v>7</v>
      </c>
      <c r="K195">
        <v>-487</v>
      </c>
    </row>
    <row r="196" spans="2:11" x14ac:dyDescent="0.25">
      <c r="B196">
        <v>608</v>
      </c>
      <c r="C196">
        <v>-727</v>
      </c>
      <c r="D196">
        <v>-961</v>
      </c>
      <c r="E196">
        <v>259</v>
      </c>
      <c r="F196">
        <v>-1170</v>
      </c>
      <c r="G196">
        <v>-8057</v>
      </c>
      <c r="H196">
        <v>64</v>
      </c>
      <c r="I196">
        <v>-2518</v>
      </c>
      <c r="J196">
        <v>-10200</v>
      </c>
      <c r="K196">
        <v>-408</v>
      </c>
    </row>
    <row r="197" spans="2:11" x14ac:dyDescent="0.25">
      <c r="B197">
        <v>0</v>
      </c>
      <c r="C197">
        <v>544</v>
      </c>
      <c r="D197">
        <v>-1083</v>
      </c>
      <c r="E197">
        <v>-1530</v>
      </c>
      <c r="F197">
        <v>1001</v>
      </c>
      <c r="G197">
        <v>-590</v>
      </c>
      <c r="H197">
        <v>795</v>
      </c>
      <c r="I197">
        <v>887</v>
      </c>
      <c r="J197">
        <v>571</v>
      </c>
      <c r="K197">
        <v>317</v>
      </c>
    </row>
    <row r="198" spans="2:11" x14ac:dyDescent="0.25">
      <c r="B198">
        <v>-2583</v>
      </c>
      <c r="C198">
        <v>-2679</v>
      </c>
      <c r="D198">
        <v>2682</v>
      </c>
      <c r="E198">
        <v>3029</v>
      </c>
      <c r="F198">
        <v>-1742</v>
      </c>
      <c r="G198">
        <v>-2573</v>
      </c>
      <c r="H198">
        <v>0</v>
      </c>
      <c r="I198">
        <v>0</v>
      </c>
      <c r="J198">
        <v>0</v>
      </c>
      <c r="K198">
        <v>368</v>
      </c>
    </row>
    <row r="199" spans="2:11" x14ac:dyDescent="0.25">
      <c r="B199">
        <v>361</v>
      </c>
      <c r="C199">
        <v>309</v>
      </c>
      <c r="D199">
        <v>-110</v>
      </c>
      <c r="E199">
        <v>-362</v>
      </c>
      <c r="F199">
        <v>3023</v>
      </c>
      <c r="G199">
        <v>971</v>
      </c>
      <c r="H199">
        <v>301</v>
      </c>
      <c r="I199">
        <v>-17</v>
      </c>
      <c r="J199">
        <v>59</v>
      </c>
      <c r="K199">
        <v>401</v>
      </c>
    </row>
    <row r="200" spans="2:11" x14ac:dyDescent="0.25">
      <c r="B200">
        <v>-807</v>
      </c>
      <c r="C200">
        <v>1810</v>
      </c>
      <c r="D200">
        <v>1730</v>
      </c>
      <c r="E200">
        <v>-408</v>
      </c>
      <c r="F200">
        <v>1792</v>
      </c>
      <c r="G200">
        <v>32888</v>
      </c>
      <c r="H200">
        <v>12266</v>
      </c>
      <c r="I200">
        <v>7882</v>
      </c>
      <c r="J200">
        <v>18986</v>
      </c>
      <c r="K200">
        <v>19217</v>
      </c>
    </row>
    <row r="201" spans="2:11" x14ac:dyDescent="0.25">
      <c r="B201">
        <v>-6052</v>
      </c>
      <c r="C201">
        <v>0</v>
      </c>
      <c r="D201">
        <v>7635</v>
      </c>
      <c r="E201">
        <v>-1722</v>
      </c>
      <c r="F201">
        <v>-209</v>
      </c>
      <c r="G201">
        <v>1113</v>
      </c>
      <c r="H201">
        <v>4003</v>
      </c>
      <c r="I201">
        <v>8347</v>
      </c>
      <c r="J201">
        <v>-8944</v>
      </c>
      <c r="K201">
        <v>8789</v>
      </c>
    </row>
    <row r="202" spans="2:11" x14ac:dyDescent="0.25">
      <c r="B202">
        <v>2971</v>
      </c>
      <c r="C202">
        <v>-8015</v>
      </c>
      <c r="D202">
        <v>-3763</v>
      </c>
      <c r="E202">
        <v>9556</v>
      </c>
      <c r="F202">
        <v>756</v>
      </c>
      <c r="G202">
        <v>668</v>
      </c>
      <c r="H202">
        <v>2602</v>
      </c>
      <c r="I202">
        <v>0</v>
      </c>
      <c r="J202">
        <v>0</v>
      </c>
      <c r="K202">
        <v>0</v>
      </c>
    </row>
    <row r="203" spans="2:11" x14ac:dyDescent="0.25">
      <c r="B203">
        <v>-3152</v>
      </c>
      <c r="C203">
        <v>-488</v>
      </c>
      <c r="D203">
        <v>980</v>
      </c>
      <c r="E203">
        <v>1411</v>
      </c>
      <c r="F203">
        <v>109</v>
      </c>
      <c r="G203">
        <v>459</v>
      </c>
      <c r="H203">
        <v>1340</v>
      </c>
      <c r="I203">
        <v>-144</v>
      </c>
      <c r="J203">
        <v>915</v>
      </c>
      <c r="K203">
        <v>2460</v>
      </c>
    </row>
    <row r="204" spans="2:11" x14ac:dyDescent="0.25">
      <c r="B204">
        <v>3212</v>
      </c>
      <c r="C204">
        <v>254</v>
      </c>
      <c r="D204">
        <v>1319</v>
      </c>
      <c r="E204">
        <v>-156</v>
      </c>
      <c r="F204">
        <v>-118</v>
      </c>
      <c r="G204">
        <v>267</v>
      </c>
      <c r="H204">
        <v>567</v>
      </c>
      <c r="I204">
        <v>619</v>
      </c>
      <c r="J204">
        <v>1849</v>
      </c>
      <c r="K204">
        <v>2318</v>
      </c>
    </row>
    <row r="205" spans="2:11" x14ac:dyDescent="0.25">
      <c r="B205">
        <v>1590</v>
      </c>
      <c r="C205">
        <v>299</v>
      </c>
      <c r="D205">
        <v>581</v>
      </c>
      <c r="E205">
        <v>0</v>
      </c>
      <c r="F205">
        <v>9802</v>
      </c>
      <c r="G205">
        <v>694</v>
      </c>
      <c r="H205">
        <v>2378</v>
      </c>
      <c r="I205">
        <v>676</v>
      </c>
      <c r="J205">
        <v>3199</v>
      </c>
      <c r="K205">
        <v>-4597</v>
      </c>
    </row>
    <row r="206" spans="2:11" x14ac:dyDescent="0.25">
      <c r="B206">
        <v>-4605</v>
      </c>
      <c r="C206">
        <v>4117</v>
      </c>
      <c r="D206">
        <v>544</v>
      </c>
      <c r="E206">
        <v>-4593</v>
      </c>
      <c r="F206">
        <v>-3252</v>
      </c>
      <c r="G206">
        <v>4009</v>
      </c>
      <c r="H206">
        <v>-8</v>
      </c>
      <c r="I206">
        <v>-497</v>
      </c>
      <c r="J206">
        <v>-139</v>
      </c>
      <c r="K206">
        <v>0</v>
      </c>
    </row>
    <row r="207" spans="2:11" x14ac:dyDescent="0.25">
      <c r="B207">
        <v>0</v>
      </c>
      <c r="C207">
        <v>0</v>
      </c>
      <c r="D207">
        <v>-4068</v>
      </c>
      <c r="E207">
        <v>-657</v>
      </c>
      <c r="F207">
        <v>556</v>
      </c>
      <c r="G207">
        <v>2283</v>
      </c>
      <c r="H207">
        <v>-110</v>
      </c>
      <c r="I207">
        <v>275</v>
      </c>
      <c r="J207">
        <v>-469</v>
      </c>
      <c r="K207">
        <v>794</v>
      </c>
    </row>
    <row r="208" spans="2:11" x14ac:dyDescent="0.25">
      <c r="B208">
        <v>2071</v>
      </c>
      <c r="C208">
        <v>3318</v>
      </c>
      <c r="D208">
        <v>3702</v>
      </c>
      <c r="E208">
        <v>-165</v>
      </c>
      <c r="F208">
        <v>-33</v>
      </c>
      <c r="G208">
        <v>186</v>
      </c>
      <c r="H208">
        <v>-36</v>
      </c>
      <c r="I208">
        <v>217</v>
      </c>
      <c r="J208">
        <v>-279</v>
      </c>
      <c r="K208">
        <v>769</v>
      </c>
    </row>
    <row r="209" spans="2:11" x14ac:dyDescent="0.25">
      <c r="B209">
        <v>1852</v>
      </c>
      <c r="C209">
        <v>2357</v>
      </c>
      <c r="D209">
        <v>1725</v>
      </c>
      <c r="E209">
        <v>35</v>
      </c>
      <c r="F209">
        <v>253</v>
      </c>
      <c r="G209">
        <v>59423</v>
      </c>
      <c r="H209">
        <v>0</v>
      </c>
      <c r="I209">
        <v>18033</v>
      </c>
      <c r="J209">
        <v>9133</v>
      </c>
      <c r="K209">
        <v>-12450</v>
      </c>
    </row>
    <row r="210" spans="2:11" x14ac:dyDescent="0.25">
      <c r="B210">
        <v>13404</v>
      </c>
      <c r="C210">
        <v>2277</v>
      </c>
      <c r="D210">
        <v>-15657</v>
      </c>
      <c r="E210">
        <v>-6729</v>
      </c>
      <c r="F210">
        <v>3820</v>
      </c>
      <c r="G210">
        <v>-3649</v>
      </c>
      <c r="H210">
        <v>-4006</v>
      </c>
      <c r="I210">
        <v>-4426</v>
      </c>
      <c r="J210">
        <v>2363</v>
      </c>
      <c r="K210">
        <v>-1610</v>
      </c>
    </row>
    <row r="211" spans="2:11" x14ac:dyDescent="0.25">
      <c r="B211">
        <v>393</v>
      </c>
      <c r="C211">
        <v>1537</v>
      </c>
      <c r="D211">
        <v>0</v>
      </c>
      <c r="E211">
        <v>0</v>
      </c>
      <c r="F211">
        <v>0</v>
      </c>
      <c r="G211">
        <v>-7893</v>
      </c>
      <c r="H211">
        <v>-1373</v>
      </c>
      <c r="I211">
        <v>5037</v>
      </c>
      <c r="J211">
        <v>2112</v>
      </c>
      <c r="K211">
        <v>-555</v>
      </c>
    </row>
    <row r="212" spans="2:11" x14ac:dyDescent="0.25">
      <c r="B212">
        <v>202</v>
      </c>
      <c r="C212">
        <v>-2464</v>
      </c>
      <c r="D212">
        <v>1367</v>
      </c>
      <c r="E212">
        <v>7052</v>
      </c>
      <c r="F212">
        <v>3836</v>
      </c>
      <c r="G212">
        <v>7361</v>
      </c>
      <c r="H212">
        <v>-92</v>
      </c>
      <c r="I212">
        <v>-477</v>
      </c>
      <c r="J212">
        <v>413</v>
      </c>
      <c r="K212">
        <v>86</v>
      </c>
    </row>
    <row r="213" spans="2:11" x14ac:dyDescent="0.25">
      <c r="B213">
        <v>-488</v>
      </c>
      <c r="C213">
        <v>-1106</v>
      </c>
      <c r="D213">
        <v>834</v>
      </c>
      <c r="E213">
        <v>7265</v>
      </c>
      <c r="F213">
        <v>2031</v>
      </c>
      <c r="G213">
        <v>2692</v>
      </c>
      <c r="H213">
        <v>-250</v>
      </c>
      <c r="I213">
        <v>402</v>
      </c>
      <c r="J213">
        <v>25917</v>
      </c>
      <c r="K213">
        <v>-14814</v>
      </c>
    </row>
    <row r="214" spans="2:11" x14ac:dyDescent="0.25">
      <c r="B214">
        <v>0</v>
      </c>
      <c r="C214">
        <v>20721</v>
      </c>
      <c r="D214">
        <v>-11718</v>
      </c>
      <c r="E214">
        <v>7561</v>
      </c>
      <c r="F214">
        <v>-13334</v>
      </c>
      <c r="G214">
        <v>12614</v>
      </c>
      <c r="H214">
        <v>-12173</v>
      </c>
      <c r="I214">
        <v>-13532</v>
      </c>
      <c r="J214">
        <v>9176</v>
      </c>
      <c r="K214">
        <v>-3568</v>
      </c>
    </row>
    <row r="215" spans="2:11" x14ac:dyDescent="0.25">
      <c r="B215">
        <v>-10696</v>
      </c>
      <c r="C215">
        <v>-9891</v>
      </c>
      <c r="D215">
        <v>8226</v>
      </c>
      <c r="E215">
        <v>-703</v>
      </c>
      <c r="F215">
        <v>86</v>
      </c>
      <c r="G215">
        <v>1158</v>
      </c>
      <c r="H215">
        <v>0</v>
      </c>
      <c r="I215">
        <v>0</v>
      </c>
      <c r="J215">
        <v>0</v>
      </c>
      <c r="K215">
        <v>-7974</v>
      </c>
    </row>
    <row r="216" spans="2:11" x14ac:dyDescent="0.25">
      <c r="B216">
        <v>-1042</v>
      </c>
      <c r="C216">
        <v>573</v>
      </c>
      <c r="D216">
        <v>10853</v>
      </c>
      <c r="E216">
        <v>-99</v>
      </c>
      <c r="F216">
        <v>446</v>
      </c>
      <c r="G216">
        <v>-1673</v>
      </c>
      <c r="H216">
        <v>1743</v>
      </c>
      <c r="I216">
        <v>4103</v>
      </c>
      <c r="J216">
        <v>12701</v>
      </c>
      <c r="K216">
        <v>7932</v>
      </c>
    </row>
    <row r="217" spans="2:11" x14ac:dyDescent="0.25">
      <c r="B217">
        <v>-172</v>
      </c>
      <c r="C217">
        <v>-143</v>
      </c>
      <c r="D217">
        <v>32</v>
      </c>
      <c r="E217">
        <v>-105</v>
      </c>
      <c r="F217">
        <v>257</v>
      </c>
      <c r="G217">
        <v>-55</v>
      </c>
      <c r="H217">
        <v>2372</v>
      </c>
      <c r="I217">
        <v>3490</v>
      </c>
      <c r="J217">
        <v>10096</v>
      </c>
      <c r="K217">
        <v>4054</v>
      </c>
    </row>
    <row r="218" spans="2:11" x14ac:dyDescent="0.25">
      <c r="B218">
        <v>359</v>
      </c>
      <c r="C218">
        <v>278</v>
      </c>
      <c r="D218">
        <v>37168</v>
      </c>
      <c r="E218">
        <v>32516</v>
      </c>
      <c r="F218">
        <v>-28588</v>
      </c>
      <c r="G218">
        <v>0</v>
      </c>
      <c r="H218">
        <v>19315</v>
      </c>
      <c r="I218">
        <v>11542</v>
      </c>
      <c r="J218">
        <v>5289</v>
      </c>
      <c r="K218">
        <v>7227</v>
      </c>
    </row>
    <row r="219" spans="2:11" x14ac:dyDescent="0.25">
      <c r="B219">
        <v>-4082</v>
      </c>
      <c r="C219">
        <v>-3997</v>
      </c>
      <c r="D219">
        <v>6018</v>
      </c>
      <c r="E219">
        <v>-3981</v>
      </c>
      <c r="F219">
        <v>-9780</v>
      </c>
      <c r="G219">
        <v>411</v>
      </c>
      <c r="H219">
        <v>-4227</v>
      </c>
      <c r="I219">
        <v>-7736</v>
      </c>
      <c r="J219">
        <v>-4062</v>
      </c>
      <c r="K219">
        <v>446</v>
      </c>
    </row>
    <row r="220" spans="2:11" x14ac:dyDescent="0.25">
      <c r="B220">
        <v>618</v>
      </c>
      <c r="C220">
        <v>0</v>
      </c>
      <c r="D220">
        <v>0</v>
      </c>
      <c r="E220">
        <v>0</v>
      </c>
      <c r="F220">
        <v>-9588</v>
      </c>
      <c r="G220">
        <v>-2146</v>
      </c>
      <c r="H220">
        <v>426</v>
      </c>
      <c r="I220">
        <v>2382</v>
      </c>
      <c r="J220">
        <v>-697</v>
      </c>
      <c r="K220">
        <v>513</v>
      </c>
    </row>
    <row r="221" spans="2:11" x14ac:dyDescent="0.25">
      <c r="B221">
        <v>883</v>
      </c>
      <c r="C221">
        <v>1252</v>
      </c>
      <c r="D221">
        <v>4515</v>
      </c>
      <c r="E221">
        <v>4873</v>
      </c>
      <c r="F221">
        <v>11337</v>
      </c>
      <c r="G221">
        <v>165</v>
      </c>
      <c r="H221">
        <v>477</v>
      </c>
      <c r="I221">
        <v>-572</v>
      </c>
      <c r="J221">
        <v>765</v>
      </c>
      <c r="K221">
        <v>-80</v>
      </c>
    </row>
    <row r="222" spans="2:11" x14ac:dyDescent="0.25">
      <c r="B222">
        <v>131</v>
      </c>
      <c r="C222">
        <v>1314</v>
      </c>
      <c r="D222">
        <v>4010</v>
      </c>
      <c r="E222">
        <v>3623</v>
      </c>
      <c r="F222">
        <v>4432</v>
      </c>
      <c r="G222">
        <v>-419</v>
      </c>
      <c r="H222">
        <v>154</v>
      </c>
      <c r="I222">
        <v>37452</v>
      </c>
      <c r="J222">
        <v>24680</v>
      </c>
      <c r="K222">
        <v>25680</v>
      </c>
    </row>
    <row r="223" spans="2:11" x14ac:dyDescent="0.25">
      <c r="B223">
        <v>-23746</v>
      </c>
      <c r="C223">
        <v>0</v>
      </c>
      <c r="D223">
        <v>7825</v>
      </c>
      <c r="E223">
        <v>1543</v>
      </c>
      <c r="F223">
        <v>1356</v>
      </c>
      <c r="G223">
        <v>-23</v>
      </c>
      <c r="H223">
        <v>2618</v>
      </c>
      <c r="I223">
        <v>3969</v>
      </c>
      <c r="J223">
        <v>-6812</v>
      </c>
      <c r="K223">
        <v>4858</v>
      </c>
    </row>
    <row r="224" spans="2:11" x14ac:dyDescent="0.25">
      <c r="B224">
        <v>673</v>
      </c>
      <c r="C224">
        <v>-5124</v>
      </c>
      <c r="D224">
        <v>-1132</v>
      </c>
      <c r="E224">
        <v>8709</v>
      </c>
      <c r="F224">
        <v>3789</v>
      </c>
      <c r="G224">
        <v>-205</v>
      </c>
      <c r="H224">
        <v>-1960</v>
      </c>
      <c r="I224">
        <v>0</v>
      </c>
      <c r="J224">
        <v>0</v>
      </c>
      <c r="K224">
        <v>0</v>
      </c>
    </row>
    <row r="225" spans="2:11" x14ac:dyDescent="0.25">
      <c r="B225">
        <v>-3181</v>
      </c>
      <c r="C225">
        <v>-412</v>
      </c>
      <c r="D225">
        <v>395</v>
      </c>
      <c r="E225">
        <v>1015</v>
      </c>
      <c r="F225">
        <v>-48</v>
      </c>
      <c r="G225">
        <v>955</v>
      </c>
      <c r="H225">
        <v>459</v>
      </c>
      <c r="I225">
        <v>-76</v>
      </c>
      <c r="J225">
        <v>862</v>
      </c>
      <c r="K225">
        <v>1904</v>
      </c>
    </row>
    <row r="226" spans="2:11" x14ac:dyDescent="0.25">
      <c r="B226">
        <v>3122</v>
      </c>
      <c r="C226">
        <v>-129</v>
      </c>
      <c r="D226">
        <v>1107</v>
      </c>
      <c r="E226">
        <v>392</v>
      </c>
      <c r="F226">
        <v>-132</v>
      </c>
      <c r="G226">
        <v>738</v>
      </c>
      <c r="H226">
        <v>-89</v>
      </c>
      <c r="I226">
        <v>347</v>
      </c>
      <c r="J226">
        <v>1322</v>
      </c>
      <c r="K226">
        <v>1588</v>
      </c>
    </row>
    <row r="227" spans="2:11" x14ac:dyDescent="0.25">
      <c r="B227">
        <v>1337</v>
      </c>
      <c r="C227">
        <v>-226</v>
      </c>
      <c r="D227">
        <v>1157</v>
      </c>
      <c r="E227">
        <v>33391</v>
      </c>
      <c r="F227">
        <v>19607</v>
      </c>
      <c r="G227">
        <v>-2826</v>
      </c>
      <c r="H227">
        <v>12124</v>
      </c>
      <c r="I227">
        <v>1292</v>
      </c>
      <c r="J227">
        <v>0</v>
      </c>
      <c r="K227">
        <v>-2410</v>
      </c>
    </row>
    <row r="228" spans="2:11" x14ac:dyDescent="0.25">
      <c r="B228">
        <v>-1480</v>
      </c>
      <c r="C228">
        <v>508</v>
      </c>
      <c r="D228">
        <v>464</v>
      </c>
      <c r="E228">
        <v>-5652</v>
      </c>
      <c r="F228">
        <v>3079</v>
      </c>
      <c r="G228">
        <v>13785</v>
      </c>
      <c r="H228">
        <v>-10007</v>
      </c>
      <c r="I228">
        <v>3122</v>
      </c>
      <c r="J228">
        <v>-4273</v>
      </c>
      <c r="K228">
        <v>-5308</v>
      </c>
    </row>
    <row r="229" spans="2:11" x14ac:dyDescent="0.25">
      <c r="B229">
        <v>-1334</v>
      </c>
      <c r="C229">
        <v>1564</v>
      </c>
      <c r="D229">
        <v>-417</v>
      </c>
      <c r="E229">
        <v>935</v>
      </c>
      <c r="F229">
        <v>0</v>
      </c>
      <c r="G229">
        <v>0</v>
      </c>
      <c r="H229">
        <v>0</v>
      </c>
      <c r="I229">
        <v>1117</v>
      </c>
      <c r="J229">
        <v>-82</v>
      </c>
      <c r="K229">
        <v>-422</v>
      </c>
    </row>
    <row r="230" spans="2:11" x14ac:dyDescent="0.25">
      <c r="B230">
        <v>-914</v>
      </c>
      <c r="C230">
        <v>298</v>
      </c>
      <c r="D230">
        <v>724</v>
      </c>
      <c r="E230">
        <v>3602</v>
      </c>
      <c r="F230">
        <v>705</v>
      </c>
      <c r="G230">
        <v>-556</v>
      </c>
      <c r="H230">
        <v>-443</v>
      </c>
      <c r="I230">
        <v>117</v>
      </c>
      <c r="J230">
        <v>191</v>
      </c>
      <c r="K230">
        <v>589</v>
      </c>
    </row>
    <row r="231" spans="2:11" x14ac:dyDescent="0.25">
      <c r="B231">
        <v>385</v>
      </c>
      <c r="C231">
        <v>251</v>
      </c>
      <c r="D231">
        <v>16</v>
      </c>
      <c r="E231">
        <v>1012</v>
      </c>
      <c r="F231">
        <v>85</v>
      </c>
      <c r="G231">
        <v>-701</v>
      </c>
      <c r="H231">
        <v>304</v>
      </c>
      <c r="I231">
        <v>493</v>
      </c>
      <c r="J231">
        <v>296</v>
      </c>
      <c r="K231">
        <v>401</v>
      </c>
    </row>
    <row r="232" spans="2:11" x14ac:dyDescent="0.25">
      <c r="B232">
        <v>-482</v>
      </c>
      <c r="C232">
        <v>-358</v>
      </c>
      <c r="D232">
        <v>-1389</v>
      </c>
      <c r="E232">
        <v>-1106</v>
      </c>
      <c r="F232">
        <v>1673</v>
      </c>
      <c r="G232">
        <v>-830</v>
      </c>
      <c r="H232">
        <v>0</v>
      </c>
      <c r="I232">
        <v>8705</v>
      </c>
      <c r="J232">
        <v>3748</v>
      </c>
      <c r="K232">
        <v>3365</v>
      </c>
    </row>
    <row r="233" spans="2:11" x14ac:dyDescent="0.25">
      <c r="B233">
        <v>608</v>
      </c>
      <c r="C233">
        <v>955</v>
      </c>
      <c r="D233">
        <v>-2994</v>
      </c>
      <c r="E233">
        <v>4810</v>
      </c>
      <c r="F233">
        <v>-3693</v>
      </c>
      <c r="G233">
        <v>-695</v>
      </c>
      <c r="H233">
        <v>-4743</v>
      </c>
      <c r="I233">
        <v>-4831</v>
      </c>
      <c r="J233">
        <v>2293</v>
      </c>
      <c r="K233">
        <v>642</v>
      </c>
    </row>
    <row r="234" spans="2:11" x14ac:dyDescent="0.25">
      <c r="B234">
        <v>-1100</v>
      </c>
      <c r="C234">
        <v>2050</v>
      </c>
      <c r="D234">
        <v>0</v>
      </c>
      <c r="E234">
        <v>0</v>
      </c>
      <c r="F234">
        <v>0</v>
      </c>
      <c r="G234">
        <v>-3324</v>
      </c>
      <c r="H234">
        <v>-632</v>
      </c>
      <c r="I234">
        <v>225</v>
      </c>
      <c r="J234">
        <v>1467</v>
      </c>
      <c r="K234">
        <v>-130</v>
      </c>
    </row>
    <row r="235" spans="2:11" x14ac:dyDescent="0.25">
      <c r="B235">
        <v>762</v>
      </c>
      <c r="C235">
        <v>1111</v>
      </c>
      <c r="D235">
        <v>995</v>
      </c>
      <c r="E235">
        <v>1764</v>
      </c>
      <c r="F235">
        <v>2527</v>
      </c>
      <c r="G235">
        <v>4247</v>
      </c>
      <c r="H235">
        <v>76</v>
      </c>
      <c r="I235">
        <v>395</v>
      </c>
      <c r="J235">
        <v>242</v>
      </c>
      <c r="K235">
        <v>223</v>
      </c>
    </row>
    <row r="236" spans="2:11" x14ac:dyDescent="0.25">
      <c r="B236">
        <v>72</v>
      </c>
      <c r="C236">
        <v>379</v>
      </c>
      <c r="D236">
        <v>749</v>
      </c>
      <c r="E236">
        <v>1489</v>
      </c>
      <c r="F236">
        <v>2155</v>
      </c>
      <c r="G236">
        <v>2027</v>
      </c>
      <c r="H236">
        <v>-97</v>
      </c>
      <c r="I236">
        <v>558</v>
      </c>
      <c r="J236">
        <v>690</v>
      </c>
      <c r="K236">
        <v>933</v>
      </c>
    </row>
    <row r="237" spans="2:11" x14ac:dyDescent="0.25">
      <c r="B237">
        <v>1230</v>
      </c>
      <c r="C237">
        <v>2135</v>
      </c>
      <c r="D237">
        <v>2500</v>
      </c>
      <c r="E237">
        <v>602</v>
      </c>
      <c r="F237">
        <v>39715</v>
      </c>
      <c r="G237">
        <v>0</v>
      </c>
      <c r="H237">
        <v>19704</v>
      </c>
      <c r="I237">
        <v>11054</v>
      </c>
      <c r="J237">
        <v>-15387</v>
      </c>
      <c r="K237">
        <v>19110</v>
      </c>
    </row>
    <row r="238" spans="2:11" x14ac:dyDescent="0.25">
      <c r="B238">
        <v>-2055</v>
      </c>
      <c r="C238">
        <v>-8974</v>
      </c>
      <c r="D238">
        <v>-181</v>
      </c>
      <c r="E238">
        <v>-921</v>
      </c>
      <c r="F238">
        <v>-903</v>
      </c>
      <c r="G238">
        <v>-4341</v>
      </c>
      <c r="H238">
        <v>-5940</v>
      </c>
      <c r="I238">
        <v>-611</v>
      </c>
      <c r="J238">
        <v>-320</v>
      </c>
      <c r="K238">
        <v>667</v>
      </c>
    </row>
    <row r="239" spans="2:11" x14ac:dyDescent="0.25">
      <c r="B239">
        <v>192</v>
      </c>
      <c r="C239">
        <v>0</v>
      </c>
      <c r="D239">
        <v>0</v>
      </c>
      <c r="E239">
        <v>0</v>
      </c>
      <c r="F239">
        <v>-8870</v>
      </c>
      <c r="G239">
        <v>-1767</v>
      </c>
      <c r="H239">
        <v>5676</v>
      </c>
      <c r="I239">
        <v>646</v>
      </c>
      <c r="J239">
        <v>-539</v>
      </c>
      <c r="K239">
        <v>490</v>
      </c>
    </row>
    <row r="240" spans="2:11" x14ac:dyDescent="0.25">
      <c r="B240">
        <v>201</v>
      </c>
      <c r="C240">
        <v>1287</v>
      </c>
      <c r="D240">
        <v>7449</v>
      </c>
      <c r="E240">
        <v>3114</v>
      </c>
      <c r="F240">
        <v>9232</v>
      </c>
      <c r="G240">
        <v>45</v>
      </c>
      <c r="H240">
        <v>245</v>
      </c>
      <c r="I240">
        <v>516</v>
      </c>
      <c r="J240">
        <v>362</v>
      </c>
      <c r="K240">
        <v>-372</v>
      </c>
    </row>
    <row r="241" spans="2:11" x14ac:dyDescent="0.25">
      <c r="B241">
        <v>-273</v>
      </c>
      <c r="C241">
        <v>838</v>
      </c>
      <c r="D241">
        <v>8358</v>
      </c>
      <c r="E241">
        <v>1788</v>
      </c>
      <c r="F241">
        <v>3658</v>
      </c>
      <c r="G241">
        <v>-248</v>
      </c>
      <c r="H241">
        <v>709</v>
      </c>
      <c r="I241">
        <v>1654</v>
      </c>
      <c r="J241">
        <v>1930</v>
      </c>
      <c r="K241">
        <v>7557</v>
      </c>
    </row>
    <row r="242" spans="2:11" x14ac:dyDescent="0.25">
      <c r="B242">
        <v>2709</v>
      </c>
      <c r="C242">
        <v>5036</v>
      </c>
      <c r="D242">
        <v>1238</v>
      </c>
      <c r="E242">
        <v>36770</v>
      </c>
      <c r="F242">
        <v>-29698</v>
      </c>
      <c r="G242">
        <v>0</v>
      </c>
      <c r="H242">
        <v>16177</v>
      </c>
      <c r="I242">
        <v>-12451</v>
      </c>
      <c r="J242">
        <v>11617</v>
      </c>
      <c r="K242">
        <v>-26058</v>
      </c>
    </row>
    <row r="243" spans="2:11" x14ac:dyDescent="0.25">
      <c r="B243">
        <v>16004</v>
      </c>
      <c r="C243">
        <v>-10279</v>
      </c>
      <c r="D243">
        <v>-2653</v>
      </c>
      <c r="E243">
        <v>-1376</v>
      </c>
      <c r="F243">
        <v>-12929</v>
      </c>
      <c r="G243">
        <v>-8392</v>
      </c>
      <c r="H243">
        <v>-12387</v>
      </c>
      <c r="I243">
        <v>1645</v>
      </c>
      <c r="J243">
        <v>-3216</v>
      </c>
      <c r="K243">
        <v>-197</v>
      </c>
    </row>
    <row r="244" spans="2:11" x14ac:dyDescent="0.25">
      <c r="B244">
        <v>570</v>
      </c>
      <c r="C244">
        <v>0</v>
      </c>
      <c r="D244">
        <v>0</v>
      </c>
      <c r="E244">
        <v>0</v>
      </c>
      <c r="F244">
        <v>-5180</v>
      </c>
      <c r="G244">
        <v>-540</v>
      </c>
      <c r="H244">
        <v>-559</v>
      </c>
      <c r="I244">
        <v>13292</v>
      </c>
      <c r="J244">
        <v>-28</v>
      </c>
      <c r="K244">
        <v>854</v>
      </c>
    </row>
    <row r="245" spans="2:11" x14ac:dyDescent="0.25">
      <c r="B245">
        <v>8</v>
      </c>
      <c r="C245">
        <v>2022</v>
      </c>
      <c r="D245">
        <v>2960</v>
      </c>
      <c r="E245">
        <v>14652</v>
      </c>
      <c r="F245">
        <v>7583</v>
      </c>
      <c r="G245">
        <v>-245</v>
      </c>
      <c r="H245">
        <v>200</v>
      </c>
      <c r="I245">
        <v>141</v>
      </c>
      <c r="J245">
        <v>176</v>
      </c>
      <c r="K245">
        <v>467</v>
      </c>
    </row>
    <row r="246" spans="2:11" x14ac:dyDescent="0.25">
      <c r="B246">
        <v>694</v>
      </c>
      <c r="C246">
        <v>2548</v>
      </c>
      <c r="D246">
        <v>1873</v>
      </c>
      <c r="E246">
        <v>12392</v>
      </c>
      <c r="F246">
        <v>3978</v>
      </c>
      <c r="G246">
        <v>122</v>
      </c>
      <c r="H246">
        <v>495</v>
      </c>
      <c r="I246">
        <v>2646</v>
      </c>
      <c r="J246">
        <v>3201</v>
      </c>
      <c r="K246">
        <v>1893</v>
      </c>
    </row>
    <row r="247" spans="2:11" x14ac:dyDescent="0.25">
      <c r="B247">
        <v>14554</v>
      </c>
      <c r="C247">
        <v>3814</v>
      </c>
      <c r="D247">
        <v>2010</v>
      </c>
      <c r="E247">
        <v>37110</v>
      </c>
      <c r="F247">
        <v>29116</v>
      </c>
      <c r="G247">
        <v>-26132</v>
      </c>
      <c r="H247">
        <v>0</v>
      </c>
      <c r="I247">
        <v>30534</v>
      </c>
      <c r="J247">
        <v>15527</v>
      </c>
      <c r="K247">
        <v>8888</v>
      </c>
    </row>
    <row r="248" spans="2:11" x14ac:dyDescent="0.25">
      <c r="B248">
        <v>16659</v>
      </c>
      <c r="C248">
        <v>-17119</v>
      </c>
      <c r="D248">
        <v>-10452</v>
      </c>
      <c r="E248">
        <v>-1101</v>
      </c>
      <c r="F248">
        <v>-2228</v>
      </c>
      <c r="G248">
        <v>-275</v>
      </c>
      <c r="H248">
        <v>-7202</v>
      </c>
      <c r="I248">
        <v>-10282</v>
      </c>
      <c r="J248">
        <v>1750</v>
      </c>
      <c r="K248">
        <v>-2675</v>
      </c>
    </row>
    <row r="249" spans="2:11" x14ac:dyDescent="0.25">
      <c r="B249">
        <v>123</v>
      </c>
      <c r="C249">
        <v>522</v>
      </c>
      <c r="D249">
        <v>0</v>
      </c>
      <c r="E249">
        <v>0</v>
      </c>
      <c r="F249">
        <v>0</v>
      </c>
      <c r="G249">
        <v>-17883</v>
      </c>
      <c r="H249">
        <v>-4365</v>
      </c>
      <c r="I249">
        <v>-173</v>
      </c>
      <c r="J249">
        <v>1540</v>
      </c>
      <c r="K249">
        <v>-697</v>
      </c>
    </row>
    <row r="250" spans="2:11" x14ac:dyDescent="0.25">
      <c r="B250">
        <v>1147</v>
      </c>
      <c r="C250">
        <v>-219</v>
      </c>
      <c r="D250">
        <v>2061</v>
      </c>
      <c r="E250">
        <v>6684</v>
      </c>
      <c r="F250">
        <v>5997</v>
      </c>
      <c r="G250">
        <v>16152</v>
      </c>
      <c r="H250">
        <v>154</v>
      </c>
      <c r="I250">
        <v>69</v>
      </c>
      <c r="J250">
        <v>-488</v>
      </c>
      <c r="K250">
        <v>581</v>
      </c>
    </row>
    <row r="251" spans="2:11" x14ac:dyDescent="0.25">
      <c r="B251">
        <v>15</v>
      </c>
      <c r="C251">
        <v>-652</v>
      </c>
      <c r="D251">
        <v>1996</v>
      </c>
      <c r="E251">
        <v>5847</v>
      </c>
      <c r="F251">
        <v>4053</v>
      </c>
      <c r="G251">
        <v>6873</v>
      </c>
      <c r="H251">
        <v>-19</v>
      </c>
      <c r="I251">
        <v>249</v>
      </c>
      <c r="J251">
        <v>1527</v>
      </c>
      <c r="K251">
        <v>2811</v>
      </c>
    </row>
    <row r="252" spans="2:11" x14ac:dyDescent="0.25">
      <c r="B252">
        <v>5484</v>
      </c>
      <c r="C252">
        <v>4866</v>
      </c>
      <c r="D252">
        <v>8924</v>
      </c>
      <c r="E252">
        <v>1749</v>
      </c>
      <c r="F252">
        <v>52637</v>
      </c>
      <c r="G252">
        <v>21324</v>
      </c>
      <c r="H252">
        <v>32824</v>
      </c>
      <c r="I252">
        <v>-7275</v>
      </c>
      <c r="J252">
        <v>0</v>
      </c>
      <c r="K252">
        <v>1061</v>
      </c>
    </row>
    <row r="253" spans="2:11" x14ac:dyDescent="0.25">
      <c r="B253">
        <v>580</v>
      </c>
      <c r="C253">
        <v>619</v>
      </c>
      <c r="D253">
        <v>530</v>
      </c>
      <c r="E253">
        <v>-980</v>
      </c>
      <c r="F253">
        <v>135</v>
      </c>
      <c r="G253">
        <v>1941</v>
      </c>
      <c r="H253">
        <v>-2604</v>
      </c>
      <c r="I253">
        <v>656</v>
      </c>
      <c r="J253">
        <v>1959</v>
      </c>
      <c r="K253">
        <v>232</v>
      </c>
    </row>
    <row r="254" spans="2:11" x14ac:dyDescent="0.25">
      <c r="B254">
        <v>-1388</v>
      </c>
      <c r="C254">
        <v>1738</v>
      </c>
      <c r="D254">
        <v>-126</v>
      </c>
      <c r="E254">
        <v>-891</v>
      </c>
      <c r="F254">
        <v>0</v>
      </c>
      <c r="G254">
        <v>0</v>
      </c>
      <c r="H254">
        <v>0</v>
      </c>
      <c r="I254">
        <v>-335</v>
      </c>
      <c r="J254">
        <v>-79</v>
      </c>
      <c r="K254">
        <v>-116</v>
      </c>
    </row>
    <row r="255" spans="2:11" x14ac:dyDescent="0.25">
      <c r="B255">
        <v>-144</v>
      </c>
      <c r="C255">
        <v>6</v>
      </c>
      <c r="D255">
        <v>297</v>
      </c>
      <c r="E255">
        <v>370</v>
      </c>
      <c r="F255">
        <v>-5</v>
      </c>
      <c r="G255">
        <v>86</v>
      </c>
      <c r="H255">
        <v>-14</v>
      </c>
      <c r="I255">
        <v>558</v>
      </c>
      <c r="J255">
        <v>-84</v>
      </c>
      <c r="K255">
        <v>269</v>
      </c>
    </row>
    <row r="256" spans="2:11" x14ac:dyDescent="0.25">
      <c r="B256">
        <v>4</v>
      </c>
      <c r="C256">
        <v>132</v>
      </c>
      <c r="D256">
        <v>128</v>
      </c>
      <c r="E256">
        <v>-214</v>
      </c>
      <c r="F256">
        <v>-57</v>
      </c>
      <c r="G256">
        <v>-75</v>
      </c>
      <c r="H256">
        <v>-127</v>
      </c>
      <c r="I256">
        <v>35</v>
      </c>
      <c r="J256">
        <v>-115</v>
      </c>
      <c r="K256">
        <v>180</v>
      </c>
    </row>
    <row r="257" spans="2:11" x14ac:dyDescent="0.25">
      <c r="B257">
        <v>-204</v>
      </c>
      <c r="C257">
        <v>-132</v>
      </c>
      <c r="D257">
        <v>-135</v>
      </c>
      <c r="E257">
        <v>-292</v>
      </c>
      <c r="F257">
        <v>620</v>
      </c>
      <c r="G257">
        <v>28</v>
      </c>
      <c r="H257">
        <v>7736</v>
      </c>
      <c r="I257">
        <v>4046</v>
      </c>
      <c r="J257">
        <v>4127</v>
      </c>
      <c r="K257">
        <v>3475</v>
      </c>
    </row>
    <row r="258" spans="2:11" x14ac:dyDescent="0.25">
      <c r="B258">
        <v>1660</v>
      </c>
      <c r="C258">
        <v>0</v>
      </c>
      <c r="D258">
        <v>-1705</v>
      </c>
      <c r="E258">
        <v>-387</v>
      </c>
      <c r="F258">
        <v>-430</v>
      </c>
      <c r="G258">
        <v>-1314</v>
      </c>
      <c r="H258">
        <v>1288</v>
      </c>
      <c r="I258">
        <v>154</v>
      </c>
      <c r="J258">
        <v>-650</v>
      </c>
      <c r="K258">
        <v>1235</v>
      </c>
    </row>
    <row r="259" spans="2:11" x14ac:dyDescent="0.25">
      <c r="B259">
        <v>-1421</v>
      </c>
      <c r="C259">
        <v>-2704</v>
      </c>
      <c r="D259">
        <v>-1329</v>
      </c>
      <c r="E259">
        <v>1531</v>
      </c>
      <c r="F259">
        <v>56</v>
      </c>
      <c r="G259">
        <v>1118</v>
      </c>
      <c r="H259">
        <v>710</v>
      </c>
      <c r="I259">
        <v>0</v>
      </c>
      <c r="J259">
        <v>0</v>
      </c>
      <c r="K259">
        <v>0</v>
      </c>
    </row>
    <row r="260" spans="2:11" x14ac:dyDescent="0.25">
      <c r="B260">
        <v>850</v>
      </c>
      <c r="C260">
        <v>244</v>
      </c>
      <c r="D260">
        <v>60</v>
      </c>
      <c r="E260">
        <v>47</v>
      </c>
      <c r="F260">
        <v>-98</v>
      </c>
      <c r="G260">
        <v>582</v>
      </c>
      <c r="H260">
        <v>-25</v>
      </c>
      <c r="I260">
        <v>31</v>
      </c>
      <c r="J260">
        <v>-334</v>
      </c>
      <c r="K260">
        <v>-145</v>
      </c>
    </row>
    <row r="261" spans="2:11" x14ac:dyDescent="0.25">
      <c r="B261">
        <v>-722</v>
      </c>
      <c r="C261">
        <v>-35</v>
      </c>
      <c r="D261">
        <v>330</v>
      </c>
      <c r="E261">
        <v>342</v>
      </c>
      <c r="F261">
        <v>-184</v>
      </c>
      <c r="G261">
        <v>222</v>
      </c>
      <c r="H261">
        <v>497</v>
      </c>
      <c r="I261">
        <v>40</v>
      </c>
      <c r="J261">
        <v>-85</v>
      </c>
      <c r="K261">
        <v>300</v>
      </c>
    </row>
    <row r="262" spans="2:11" x14ac:dyDescent="0.25">
      <c r="B262">
        <v>-116</v>
      </c>
      <c r="C262">
        <v>-360</v>
      </c>
      <c r="D262">
        <v>794</v>
      </c>
      <c r="E262">
        <v>274</v>
      </c>
      <c r="F262">
        <v>92</v>
      </c>
      <c r="G262">
        <v>-53</v>
      </c>
      <c r="H262">
        <v>169</v>
      </c>
      <c r="I262">
        <v>-730</v>
      </c>
      <c r="J262">
        <v>264</v>
      </c>
      <c r="K262">
        <v>-8104</v>
      </c>
    </row>
    <row r="263" spans="2:11" x14ac:dyDescent="0.25">
      <c r="B263">
        <v>-5503</v>
      </c>
      <c r="C263">
        <v>-3641</v>
      </c>
      <c r="D263">
        <v>-2952</v>
      </c>
      <c r="E263">
        <v>-3953</v>
      </c>
      <c r="F263">
        <v>-83968</v>
      </c>
      <c r="G263">
        <v>0</v>
      </c>
      <c r="H263">
        <v>1755</v>
      </c>
      <c r="I263">
        <v>648</v>
      </c>
      <c r="J263">
        <v>669</v>
      </c>
      <c r="K263">
        <v>-1079</v>
      </c>
    </row>
    <row r="264" spans="2:11" x14ac:dyDescent="0.25">
      <c r="B264">
        <v>1907</v>
      </c>
      <c r="C264">
        <v>-1527</v>
      </c>
      <c r="D264">
        <v>205</v>
      </c>
      <c r="E264">
        <v>-69</v>
      </c>
      <c r="F264">
        <v>-925</v>
      </c>
      <c r="G264">
        <v>408</v>
      </c>
      <c r="H264">
        <v>-1818</v>
      </c>
      <c r="I264">
        <v>-1475</v>
      </c>
      <c r="J264">
        <v>2455</v>
      </c>
      <c r="K264">
        <v>-597</v>
      </c>
    </row>
    <row r="265" spans="2:11" x14ac:dyDescent="0.25">
      <c r="B265">
        <v>-378</v>
      </c>
      <c r="C265">
        <v>0</v>
      </c>
      <c r="D265">
        <v>0</v>
      </c>
      <c r="E265">
        <v>0</v>
      </c>
      <c r="F265">
        <v>-383</v>
      </c>
      <c r="G265">
        <v>3</v>
      </c>
      <c r="H265">
        <v>165</v>
      </c>
      <c r="I265">
        <v>550</v>
      </c>
      <c r="J265">
        <v>-1</v>
      </c>
      <c r="K265">
        <v>-58</v>
      </c>
    </row>
    <row r="266" spans="2:11" x14ac:dyDescent="0.25">
      <c r="B266">
        <v>10</v>
      </c>
      <c r="C266">
        <v>85</v>
      </c>
      <c r="D266">
        <v>334</v>
      </c>
      <c r="E266">
        <v>707</v>
      </c>
      <c r="F266">
        <v>595</v>
      </c>
      <c r="G266">
        <v>47</v>
      </c>
      <c r="H266">
        <v>-48</v>
      </c>
      <c r="I266">
        <v>-48</v>
      </c>
      <c r="J266">
        <v>92</v>
      </c>
      <c r="K266">
        <v>-71</v>
      </c>
    </row>
    <row r="267" spans="2:11" x14ac:dyDescent="0.25">
      <c r="B267">
        <v>7</v>
      </c>
      <c r="C267">
        <v>162</v>
      </c>
      <c r="D267">
        <v>384</v>
      </c>
      <c r="E267">
        <v>546</v>
      </c>
      <c r="F267">
        <v>516</v>
      </c>
      <c r="G267">
        <v>152</v>
      </c>
      <c r="H267">
        <v>-135</v>
      </c>
      <c r="I267">
        <v>-27</v>
      </c>
      <c r="J267">
        <v>85</v>
      </c>
      <c r="K267">
        <v>263</v>
      </c>
    </row>
    <row r="268" spans="2:11" x14ac:dyDescent="0.25">
      <c r="B268">
        <v>554</v>
      </c>
      <c r="C268">
        <v>568</v>
      </c>
      <c r="D268">
        <v>-15</v>
      </c>
      <c r="E268">
        <v>79</v>
      </c>
      <c r="F268">
        <v>-1695</v>
      </c>
      <c r="G268">
        <v>2330</v>
      </c>
      <c r="H268">
        <v>7020</v>
      </c>
      <c r="I268">
        <v>-5269</v>
      </c>
      <c r="J268">
        <v>-5636</v>
      </c>
      <c r="K268">
        <v>-11163</v>
      </c>
    </row>
    <row r="269" spans="2:11" x14ac:dyDescent="0.25">
      <c r="B269">
        <v>0</v>
      </c>
      <c r="C269">
        <v>-1473</v>
      </c>
      <c r="D269">
        <v>-1155</v>
      </c>
      <c r="E269">
        <v>-1232</v>
      </c>
      <c r="F269">
        <v>592</v>
      </c>
      <c r="G269">
        <v>-3411</v>
      </c>
      <c r="H269">
        <v>270</v>
      </c>
      <c r="I269">
        <v>-229</v>
      </c>
      <c r="J269">
        <v>68</v>
      </c>
      <c r="K269">
        <v>-259</v>
      </c>
    </row>
    <row r="270" spans="2:11" x14ac:dyDescent="0.25">
      <c r="B270">
        <v>-3327</v>
      </c>
      <c r="C270">
        <v>-1114</v>
      </c>
      <c r="D270">
        <v>3061</v>
      </c>
      <c r="E270">
        <v>2010</v>
      </c>
      <c r="F270">
        <v>-921</v>
      </c>
      <c r="G270">
        <v>898</v>
      </c>
      <c r="H270">
        <v>0</v>
      </c>
      <c r="I270">
        <v>0</v>
      </c>
      <c r="J270">
        <v>0</v>
      </c>
      <c r="K270">
        <v>166</v>
      </c>
    </row>
    <row r="271" spans="2:11" x14ac:dyDescent="0.25">
      <c r="B271">
        <v>-13</v>
      </c>
      <c r="C271">
        <v>-107</v>
      </c>
      <c r="D271">
        <v>-373</v>
      </c>
      <c r="E271">
        <v>-51</v>
      </c>
      <c r="F271">
        <v>942</v>
      </c>
      <c r="G271">
        <v>125</v>
      </c>
      <c r="H271">
        <v>-92</v>
      </c>
      <c r="I271">
        <v>-270</v>
      </c>
      <c r="J271">
        <v>-459</v>
      </c>
      <c r="K271">
        <v>-371</v>
      </c>
    </row>
    <row r="272" spans="2:11" x14ac:dyDescent="0.25">
      <c r="B272">
        <v>-153</v>
      </c>
      <c r="C272">
        <v>657</v>
      </c>
      <c r="D272">
        <v>336</v>
      </c>
      <c r="E272">
        <v>-134</v>
      </c>
      <c r="F272">
        <v>399</v>
      </c>
      <c r="G272">
        <v>347</v>
      </c>
      <c r="H272">
        <v>-70</v>
      </c>
      <c r="I272">
        <v>-6</v>
      </c>
      <c r="J272">
        <v>-81</v>
      </c>
      <c r="K272">
        <v>58</v>
      </c>
    </row>
    <row r="273" spans="2:11" x14ac:dyDescent="0.25">
      <c r="B273">
        <v>-442</v>
      </c>
      <c r="C273">
        <v>1035</v>
      </c>
      <c r="D273">
        <v>310</v>
      </c>
      <c r="E273">
        <v>-11</v>
      </c>
      <c r="F273">
        <v>-89</v>
      </c>
      <c r="G273">
        <v>-78</v>
      </c>
      <c r="H273">
        <v>-154</v>
      </c>
      <c r="I273">
        <v>433</v>
      </c>
      <c r="J273">
        <v>1385</v>
      </c>
      <c r="K273">
        <v>1560</v>
      </c>
    </row>
    <row r="274" spans="2:11" x14ac:dyDescent="0.25">
      <c r="B274">
        <v>-3345</v>
      </c>
      <c r="C274">
        <v>2536</v>
      </c>
      <c r="D274">
        <v>2096</v>
      </c>
      <c r="E274">
        <v>-10151</v>
      </c>
      <c r="F274">
        <v>2691</v>
      </c>
      <c r="G274">
        <v>-9777</v>
      </c>
      <c r="H274">
        <v>0</v>
      </c>
      <c r="I274">
        <v>-2184</v>
      </c>
      <c r="J274">
        <v>755</v>
      </c>
      <c r="K274">
        <v>-1066</v>
      </c>
    </row>
    <row r="275" spans="2:11" x14ac:dyDescent="0.25">
      <c r="B275">
        <v>251</v>
      </c>
      <c r="C275">
        <v>-2265</v>
      </c>
      <c r="D275">
        <v>2359</v>
      </c>
      <c r="E275">
        <v>-817</v>
      </c>
      <c r="F275">
        <v>135</v>
      </c>
      <c r="G275">
        <v>-1323</v>
      </c>
      <c r="H275">
        <v>1412</v>
      </c>
      <c r="I275">
        <v>1037</v>
      </c>
      <c r="J275">
        <v>-2767</v>
      </c>
      <c r="K275">
        <v>-717</v>
      </c>
    </row>
    <row r="276" spans="2:11" x14ac:dyDescent="0.25">
      <c r="B276">
        <v>-5633</v>
      </c>
      <c r="C276">
        <v>-14017</v>
      </c>
      <c r="D276">
        <v>0</v>
      </c>
      <c r="E276">
        <v>0</v>
      </c>
      <c r="F276">
        <v>0</v>
      </c>
      <c r="G276">
        <v>-2103</v>
      </c>
      <c r="H276">
        <v>-2243</v>
      </c>
      <c r="I276">
        <v>436</v>
      </c>
      <c r="J276">
        <v>-563</v>
      </c>
      <c r="K276">
        <v>1717</v>
      </c>
    </row>
    <row r="277" spans="2:11" x14ac:dyDescent="0.25">
      <c r="B277">
        <v>-13737</v>
      </c>
      <c r="C277">
        <v>-2443</v>
      </c>
      <c r="D277">
        <v>-2893</v>
      </c>
      <c r="E277">
        <v>605</v>
      </c>
      <c r="F277">
        <v>-1176</v>
      </c>
      <c r="G277">
        <v>-2647</v>
      </c>
      <c r="H277">
        <v>2434</v>
      </c>
      <c r="I277">
        <v>-8330</v>
      </c>
      <c r="J277">
        <v>-8445</v>
      </c>
      <c r="K277">
        <v>2681</v>
      </c>
    </row>
    <row r="278" spans="2:11" x14ac:dyDescent="0.25">
      <c r="B278">
        <v>-6360</v>
      </c>
      <c r="C278">
        <v>-5847</v>
      </c>
      <c r="D278">
        <v>-800</v>
      </c>
      <c r="E278">
        <v>-126</v>
      </c>
      <c r="F278">
        <v>-4603</v>
      </c>
      <c r="G278">
        <v>-1591</v>
      </c>
      <c r="H278">
        <v>10006</v>
      </c>
      <c r="I278">
        <v>-18556</v>
      </c>
      <c r="J278">
        <v>-1948</v>
      </c>
      <c r="K278">
        <v>-1774</v>
      </c>
    </row>
    <row r="279" spans="2:11" x14ac:dyDescent="0.25">
      <c r="B279">
        <v>-2560</v>
      </c>
      <c r="C279">
        <v>-1405</v>
      </c>
      <c r="D279">
        <v>636</v>
      </c>
      <c r="E279">
        <v>-3939</v>
      </c>
      <c r="F279">
        <v>333</v>
      </c>
      <c r="G279">
        <v>-2048</v>
      </c>
      <c r="H279">
        <v>-985</v>
      </c>
      <c r="I279">
        <v>-1577</v>
      </c>
      <c r="J279">
        <v>242</v>
      </c>
      <c r="K279">
        <v>-880</v>
      </c>
    </row>
    <row r="280" spans="2:11" x14ac:dyDescent="0.25">
      <c r="B280">
        <v>-3787</v>
      </c>
      <c r="C280">
        <v>1490</v>
      </c>
      <c r="D280">
        <v>-5124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2:11" x14ac:dyDescent="0.25"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16</v>
      </c>
      <c r="D292">
        <v>148</v>
      </c>
      <c r="E292">
        <v>1013</v>
      </c>
      <c r="F292">
        <v>-210</v>
      </c>
      <c r="G292">
        <v>180</v>
      </c>
      <c r="H292">
        <v>535</v>
      </c>
      <c r="I292">
        <v>1028</v>
      </c>
      <c r="J292">
        <v>-1653</v>
      </c>
      <c r="K292">
        <v>-295</v>
      </c>
    </row>
    <row r="293" spans="2:11" x14ac:dyDescent="0.25">
      <c r="B293">
        <v>-346</v>
      </c>
      <c r="C293">
        <v>230</v>
      </c>
      <c r="D293">
        <v>706</v>
      </c>
      <c r="E293">
        <v>-770</v>
      </c>
      <c r="F293">
        <v>278</v>
      </c>
      <c r="G293">
        <v>534</v>
      </c>
      <c r="H293">
        <v>0</v>
      </c>
      <c r="I293">
        <v>0</v>
      </c>
      <c r="J293">
        <v>0</v>
      </c>
      <c r="K293">
        <v>2693</v>
      </c>
    </row>
    <row r="294" spans="2:11" x14ac:dyDescent="0.25">
      <c r="B294">
        <v>-79</v>
      </c>
      <c r="C294">
        <v>56</v>
      </c>
      <c r="D294">
        <v>1758</v>
      </c>
      <c r="E294">
        <v>103</v>
      </c>
      <c r="F294">
        <v>-2369</v>
      </c>
      <c r="G294">
        <v>115</v>
      </c>
      <c r="H294">
        <v>23</v>
      </c>
      <c r="I294">
        <v>-102</v>
      </c>
      <c r="J294">
        <v>-17</v>
      </c>
      <c r="K294">
        <v>214</v>
      </c>
    </row>
    <row r="295" spans="2:11" x14ac:dyDescent="0.25">
      <c r="B295">
        <v>-111</v>
      </c>
      <c r="C295">
        <v>312</v>
      </c>
      <c r="D295">
        <v>34</v>
      </c>
      <c r="E295">
        <v>-71</v>
      </c>
      <c r="F295">
        <v>128</v>
      </c>
      <c r="G295">
        <v>57</v>
      </c>
      <c r="H295">
        <v>18</v>
      </c>
      <c r="I295">
        <v>-162</v>
      </c>
      <c r="J295">
        <v>20</v>
      </c>
      <c r="K295">
        <v>61</v>
      </c>
    </row>
    <row r="296" spans="2:11" x14ac:dyDescent="0.25">
      <c r="B296">
        <v>-271</v>
      </c>
      <c r="C296">
        <v>413</v>
      </c>
      <c r="D296">
        <v>57</v>
      </c>
      <c r="E296">
        <v>-30</v>
      </c>
      <c r="F296">
        <v>-150</v>
      </c>
      <c r="G296">
        <v>-15</v>
      </c>
      <c r="H296">
        <v>36</v>
      </c>
      <c r="I296">
        <v>137</v>
      </c>
      <c r="J296">
        <v>149</v>
      </c>
      <c r="K296">
        <v>102</v>
      </c>
    </row>
    <row r="297" spans="2:11" x14ac:dyDescent="0.25">
      <c r="B297">
        <v>-82</v>
      </c>
      <c r="C297">
        <v>70</v>
      </c>
      <c r="D297">
        <v>69</v>
      </c>
      <c r="E297">
        <v>-37</v>
      </c>
      <c r="F297">
        <v>120</v>
      </c>
      <c r="G297">
        <v>-39</v>
      </c>
      <c r="H297">
        <v>16</v>
      </c>
      <c r="I297">
        <v>-2863</v>
      </c>
      <c r="J297">
        <v>0</v>
      </c>
      <c r="K297">
        <v>0</v>
      </c>
    </row>
    <row r="298" spans="2:11" x14ac:dyDescent="0.25"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</row>
    <row r="299" spans="2:11" x14ac:dyDescent="0.25"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</row>
    <row r="300" spans="2:11" x14ac:dyDescent="0.25"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</row>
    <row r="301" spans="2:11" x14ac:dyDescent="0.25"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</row>
    <row r="302" spans="2:11" x14ac:dyDescent="0.25"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</row>
    <row r="303" spans="2:11" x14ac:dyDescent="0.25"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</row>
    <row r="304" spans="2:11" x14ac:dyDescent="0.25">
      <c r="B304">
        <v>0</v>
      </c>
      <c r="C304">
        <v>0</v>
      </c>
      <c r="D304">
        <v>-1393</v>
      </c>
      <c r="E304">
        <v>-285</v>
      </c>
      <c r="F304">
        <v>582</v>
      </c>
      <c r="G304">
        <v>-616</v>
      </c>
      <c r="H304">
        <v>-1335</v>
      </c>
      <c r="I304">
        <v>1092</v>
      </c>
      <c r="J304">
        <v>1173</v>
      </c>
      <c r="K304">
        <v>-1526</v>
      </c>
    </row>
    <row r="305" spans="2:11" x14ac:dyDescent="0.25">
      <c r="B305">
        <v>1049</v>
      </c>
      <c r="C305">
        <v>-1015</v>
      </c>
      <c r="D305">
        <v>100</v>
      </c>
      <c r="E305">
        <v>1655</v>
      </c>
      <c r="F305">
        <v>1299</v>
      </c>
      <c r="G305">
        <v>-346</v>
      </c>
      <c r="H305">
        <v>-676</v>
      </c>
      <c r="I305">
        <v>0</v>
      </c>
      <c r="J305">
        <v>0</v>
      </c>
      <c r="K305">
        <v>0</v>
      </c>
    </row>
    <row r="306" spans="2:11" x14ac:dyDescent="0.25">
      <c r="B306">
        <v>3781</v>
      </c>
      <c r="C306">
        <v>-1070</v>
      </c>
      <c r="D306">
        <v>1154</v>
      </c>
      <c r="E306">
        <v>3121</v>
      </c>
      <c r="F306">
        <v>-297</v>
      </c>
      <c r="G306">
        <v>3581</v>
      </c>
      <c r="H306">
        <v>161</v>
      </c>
      <c r="I306">
        <v>-235</v>
      </c>
      <c r="J306">
        <v>-505</v>
      </c>
      <c r="K306">
        <v>-642</v>
      </c>
    </row>
    <row r="307" spans="2:11" x14ac:dyDescent="0.25">
      <c r="B307">
        <v>-724</v>
      </c>
      <c r="C307">
        <v>22</v>
      </c>
      <c r="D307">
        <v>-163</v>
      </c>
      <c r="E307">
        <v>-313</v>
      </c>
      <c r="F307">
        <v>100</v>
      </c>
      <c r="G307">
        <v>-155</v>
      </c>
      <c r="H307">
        <v>-199</v>
      </c>
      <c r="I307">
        <v>-138</v>
      </c>
      <c r="J307">
        <v>-538</v>
      </c>
      <c r="K307">
        <v>-562</v>
      </c>
    </row>
    <row r="308" spans="2:11" x14ac:dyDescent="0.25">
      <c r="B308">
        <v>-323</v>
      </c>
      <c r="C308">
        <v>384</v>
      </c>
      <c r="D308">
        <v>-610</v>
      </c>
      <c r="E308">
        <v>-48</v>
      </c>
      <c r="F308">
        <v>-226</v>
      </c>
      <c r="G308">
        <v>-664</v>
      </c>
      <c r="H308">
        <v>-472</v>
      </c>
      <c r="I308">
        <v>-236</v>
      </c>
      <c r="J308">
        <v>-106</v>
      </c>
      <c r="K308">
        <v>232</v>
      </c>
    </row>
    <row r="309" spans="2:11" x14ac:dyDescent="0.25">
      <c r="B309">
        <v>-146</v>
      </c>
      <c r="C309">
        <v>-473</v>
      </c>
      <c r="D309">
        <v>-465</v>
      </c>
      <c r="E309">
        <v>-207</v>
      </c>
      <c r="F309">
        <v>-59</v>
      </c>
      <c r="G309">
        <v>-77</v>
      </c>
      <c r="H309">
        <v>54</v>
      </c>
      <c r="I309">
        <v>-201</v>
      </c>
      <c r="J309">
        <v>3421</v>
      </c>
      <c r="K309">
        <v>0</v>
      </c>
    </row>
    <row r="310" spans="2:11" x14ac:dyDescent="0.25">
      <c r="B310">
        <v>0</v>
      </c>
      <c r="C310">
        <v>19367</v>
      </c>
      <c r="D310">
        <v>0</v>
      </c>
      <c r="E310">
        <v>0</v>
      </c>
      <c r="F310">
        <v>701</v>
      </c>
      <c r="G310">
        <v>-1424</v>
      </c>
      <c r="H310">
        <v>-486</v>
      </c>
      <c r="I310">
        <v>-539</v>
      </c>
      <c r="J310">
        <v>1059</v>
      </c>
      <c r="K310">
        <v>-1112</v>
      </c>
    </row>
    <row r="311" spans="2:11" x14ac:dyDescent="0.25">
      <c r="B311">
        <v>1256</v>
      </c>
      <c r="C311">
        <v>-1099</v>
      </c>
      <c r="D311">
        <v>-689</v>
      </c>
      <c r="E311">
        <v>-402</v>
      </c>
      <c r="F311">
        <v>-911</v>
      </c>
      <c r="G311">
        <v>151</v>
      </c>
      <c r="H311">
        <v>1042</v>
      </c>
      <c r="I311">
        <v>59</v>
      </c>
      <c r="J311">
        <v>14</v>
      </c>
      <c r="K311">
        <v>0</v>
      </c>
    </row>
    <row r="312" spans="2:11" x14ac:dyDescent="0.25">
      <c r="B312">
        <v>0</v>
      </c>
      <c r="C312">
        <v>0</v>
      </c>
      <c r="D312">
        <v>4541</v>
      </c>
      <c r="E312">
        <v>2066</v>
      </c>
      <c r="F312">
        <v>-842</v>
      </c>
      <c r="G312">
        <v>7882</v>
      </c>
      <c r="H312">
        <v>-233</v>
      </c>
      <c r="I312">
        <v>5976</v>
      </c>
      <c r="J312">
        <v>142</v>
      </c>
      <c r="K312">
        <v>103</v>
      </c>
    </row>
    <row r="313" spans="2:11" x14ac:dyDescent="0.25">
      <c r="B313">
        <v>309</v>
      </c>
      <c r="C313">
        <v>634</v>
      </c>
      <c r="D313">
        <v>246</v>
      </c>
      <c r="E313">
        <v>-5</v>
      </c>
      <c r="F313">
        <v>-75</v>
      </c>
      <c r="G313">
        <v>-132</v>
      </c>
      <c r="H313">
        <v>87</v>
      </c>
      <c r="I313">
        <v>-111</v>
      </c>
      <c r="J313">
        <v>-33</v>
      </c>
      <c r="K313">
        <v>75</v>
      </c>
    </row>
    <row r="314" spans="2:11" x14ac:dyDescent="0.25">
      <c r="B314">
        <v>273</v>
      </c>
      <c r="C314">
        <v>466</v>
      </c>
      <c r="D314">
        <v>206</v>
      </c>
      <c r="E314">
        <v>198</v>
      </c>
      <c r="F314">
        <v>-262</v>
      </c>
      <c r="G314">
        <v>38</v>
      </c>
      <c r="H314">
        <v>60</v>
      </c>
      <c r="I314">
        <v>158</v>
      </c>
      <c r="J314">
        <v>661</v>
      </c>
      <c r="K314">
        <v>194</v>
      </c>
    </row>
    <row r="315" spans="2:11" x14ac:dyDescent="0.25">
      <c r="B315">
        <v>-33</v>
      </c>
      <c r="C315">
        <v>260</v>
      </c>
      <c r="D315">
        <v>141</v>
      </c>
      <c r="E315">
        <v>369</v>
      </c>
      <c r="F315">
        <v>844</v>
      </c>
      <c r="G315">
        <v>161</v>
      </c>
      <c r="H315">
        <v>-11</v>
      </c>
      <c r="I315">
        <v>-58</v>
      </c>
      <c r="J315">
        <v>63</v>
      </c>
      <c r="K315">
        <v>-129</v>
      </c>
    </row>
    <row r="316" spans="2:11" x14ac:dyDescent="0.25">
      <c r="B316">
        <v>1611</v>
      </c>
      <c r="C316">
        <v>0</v>
      </c>
      <c r="D316">
        <v>0</v>
      </c>
      <c r="E316">
        <v>4650</v>
      </c>
      <c r="F316">
        <v>0</v>
      </c>
      <c r="G316">
        <v>10809</v>
      </c>
      <c r="H316">
        <v>0</v>
      </c>
      <c r="I316">
        <v>-1118</v>
      </c>
      <c r="J316">
        <v>-231</v>
      </c>
      <c r="K316">
        <v>373</v>
      </c>
    </row>
    <row r="317" spans="2:11" x14ac:dyDescent="0.25">
      <c r="B317">
        <v>-899</v>
      </c>
      <c r="C317">
        <v>-1291</v>
      </c>
      <c r="D317">
        <v>131</v>
      </c>
      <c r="E317">
        <v>1981</v>
      </c>
      <c r="F317">
        <v>-1535</v>
      </c>
      <c r="G317">
        <v>-709</v>
      </c>
      <c r="H317">
        <v>-845</v>
      </c>
      <c r="I317">
        <v>-1162</v>
      </c>
      <c r="J317">
        <v>-34</v>
      </c>
      <c r="K317">
        <v>-1180</v>
      </c>
    </row>
    <row r="318" spans="2:11" x14ac:dyDescent="0.25">
      <c r="B318">
        <v>-1546</v>
      </c>
      <c r="C318">
        <v>-3425</v>
      </c>
      <c r="D318">
        <v>0</v>
      </c>
      <c r="E318">
        <v>0</v>
      </c>
      <c r="F318">
        <v>0</v>
      </c>
      <c r="G318">
        <v>1967</v>
      </c>
      <c r="H318">
        <v>-2432</v>
      </c>
      <c r="I318">
        <v>1198</v>
      </c>
      <c r="J318">
        <v>5253</v>
      </c>
      <c r="K318">
        <v>-552</v>
      </c>
    </row>
    <row r="319" spans="2:11" x14ac:dyDescent="0.25">
      <c r="B319">
        <v>3661</v>
      </c>
      <c r="C319">
        <v>220</v>
      </c>
      <c r="D319">
        <v>99</v>
      </c>
      <c r="E319">
        <v>-246</v>
      </c>
      <c r="F319">
        <v>-21</v>
      </c>
      <c r="G319">
        <v>-101</v>
      </c>
      <c r="H319">
        <v>-313</v>
      </c>
      <c r="I319">
        <v>67</v>
      </c>
      <c r="J319">
        <v>426</v>
      </c>
      <c r="K319">
        <v>-51</v>
      </c>
    </row>
    <row r="320" spans="2:11" x14ac:dyDescent="0.25">
      <c r="B320">
        <v>570</v>
      </c>
      <c r="C320">
        <v>125</v>
      </c>
      <c r="D320">
        <v>-56</v>
      </c>
      <c r="E320">
        <v>-370</v>
      </c>
      <c r="F320">
        <v>111</v>
      </c>
      <c r="G320">
        <v>-24</v>
      </c>
      <c r="H320">
        <v>-469</v>
      </c>
      <c r="I320">
        <v>733</v>
      </c>
      <c r="J320">
        <v>-115</v>
      </c>
      <c r="K320">
        <v>22</v>
      </c>
    </row>
    <row r="321" spans="2:11" x14ac:dyDescent="0.25">
      <c r="B321">
        <v>-185</v>
      </c>
      <c r="C321">
        <v>-60</v>
      </c>
      <c r="D321">
        <v>-42</v>
      </c>
      <c r="E321">
        <v>76</v>
      </c>
      <c r="F321">
        <v>327</v>
      </c>
      <c r="G321">
        <v>97</v>
      </c>
      <c r="H321">
        <v>-202</v>
      </c>
      <c r="I321">
        <v>170</v>
      </c>
      <c r="J321">
        <v>172</v>
      </c>
      <c r="K321">
        <v>69</v>
      </c>
    </row>
    <row r="322" spans="2:11" x14ac:dyDescent="0.25">
      <c r="B322">
        <v>119</v>
      </c>
      <c r="C322">
        <v>-36</v>
      </c>
      <c r="D322">
        <v>176</v>
      </c>
      <c r="E322">
        <v>-2607</v>
      </c>
      <c r="F322">
        <v>0</v>
      </c>
      <c r="G322">
        <v>0</v>
      </c>
      <c r="H322">
        <v>9270</v>
      </c>
      <c r="I322">
        <v>0</v>
      </c>
      <c r="J322">
        <v>21371</v>
      </c>
      <c r="K322">
        <v>11633</v>
      </c>
    </row>
    <row r="323" spans="2:11" x14ac:dyDescent="0.25">
      <c r="B323">
        <v>0</v>
      </c>
      <c r="C323">
        <v>1092</v>
      </c>
      <c r="D323">
        <v>98</v>
      </c>
      <c r="E323">
        <v>974</v>
      </c>
      <c r="F323">
        <v>445</v>
      </c>
      <c r="G323">
        <v>285</v>
      </c>
      <c r="H323">
        <v>-246</v>
      </c>
      <c r="I323">
        <v>-2065</v>
      </c>
      <c r="J323">
        <v>897</v>
      </c>
      <c r="K323">
        <v>-1674</v>
      </c>
    </row>
    <row r="324" spans="2:11" x14ac:dyDescent="0.25">
      <c r="B324">
        <v>-205</v>
      </c>
      <c r="C324">
        <v>-796</v>
      </c>
      <c r="D324">
        <v>-167</v>
      </c>
      <c r="E324">
        <v>-1350</v>
      </c>
      <c r="F324">
        <v>85</v>
      </c>
      <c r="G324">
        <v>-250</v>
      </c>
      <c r="H324">
        <v>0</v>
      </c>
      <c r="I324">
        <v>0</v>
      </c>
      <c r="J324">
        <v>0</v>
      </c>
      <c r="K324">
        <v>29</v>
      </c>
    </row>
    <row r="325" spans="2:11" x14ac:dyDescent="0.25">
      <c r="B325">
        <v>-944</v>
      </c>
      <c r="C325">
        <v>-2653</v>
      </c>
      <c r="D325">
        <v>4284</v>
      </c>
      <c r="E325">
        <v>238</v>
      </c>
      <c r="F325">
        <v>-1631</v>
      </c>
      <c r="G325">
        <v>-424</v>
      </c>
      <c r="H325">
        <v>-40</v>
      </c>
      <c r="I325">
        <v>316</v>
      </c>
      <c r="J325">
        <v>566</v>
      </c>
      <c r="K325">
        <v>703</v>
      </c>
    </row>
    <row r="326" spans="2:11" x14ac:dyDescent="0.25">
      <c r="B326">
        <v>47</v>
      </c>
      <c r="C326">
        <v>-198</v>
      </c>
      <c r="D326">
        <v>-351</v>
      </c>
      <c r="E326">
        <v>6</v>
      </c>
      <c r="F326">
        <v>-204</v>
      </c>
      <c r="G326">
        <v>-333</v>
      </c>
      <c r="H326">
        <v>108</v>
      </c>
      <c r="I326">
        <v>264</v>
      </c>
      <c r="J326">
        <v>196</v>
      </c>
      <c r="K326">
        <v>353</v>
      </c>
    </row>
    <row r="327" spans="2:11" x14ac:dyDescent="0.25">
      <c r="B327">
        <v>225</v>
      </c>
      <c r="C327">
        <v>-499</v>
      </c>
      <c r="D327">
        <v>-178</v>
      </c>
      <c r="E327">
        <v>-25</v>
      </c>
      <c r="F327">
        <v>173</v>
      </c>
      <c r="G327">
        <v>303</v>
      </c>
      <c r="H327">
        <v>566</v>
      </c>
      <c r="I327">
        <v>-142</v>
      </c>
      <c r="J327">
        <v>-327</v>
      </c>
      <c r="K327">
        <v>-26</v>
      </c>
    </row>
    <row r="328" spans="2:11" x14ac:dyDescent="0.25">
      <c r="B328">
        <v>104</v>
      </c>
      <c r="C328">
        <v>363</v>
      </c>
      <c r="D328">
        <v>459</v>
      </c>
      <c r="E328">
        <v>-115</v>
      </c>
      <c r="F328">
        <v>-46</v>
      </c>
      <c r="G328">
        <v>-4</v>
      </c>
      <c r="H328">
        <v>-201</v>
      </c>
      <c r="I328">
        <v>1937</v>
      </c>
      <c r="J328">
        <v>0</v>
      </c>
      <c r="K328">
        <v>0</v>
      </c>
    </row>
    <row r="329" spans="2:11" x14ac:dyDescent="0.25">
      <c r="B329">
        <v>4377</v>
      </c>
      <c r="C329">
        <v>0</v>
      </c>
      <c r="D329">
        <v>9153</v>
      </c>
      <c r="E329">
        <v>8035</v>
      </c>
      <c r="F329">
        <v>4666</v>
      </c>
      <c r="G329">
        <v>0</v>
      </c>
      <c r="H329">
        <v>1964</v>
      </c>
      <c r="I329">
        <v>1595</v>
      </c>
      <c r="J329">
        <v>-1096</v>
      </c>
      <c r="K329">
        <v>1582</v>
      </c>
    </row>
    <row r="330" spans="2:11" x14ac:dyDescent="0.25">
      <c r="B330">
        <v>-3562</v>
      </c>
      <c r="C330">
        <v>-913</v>
      </c>
      <c r="D330">
        <v>-224</v>
      </c>
      <c r="E330">
        <v>-933</v>
      </c>
      <c r="F330">
        <v>-439</v>
      </c>
      <c r="G330">
        <v>-969</v>
      </c>
      <c r="H330">
        <v>-2127</v>
      </c>
      <c r="I330">
        <v>259</v>
      </c>
      <c r="J330">
        <v>1088</v>
      </c>
      <c r="K330">
        <v>-2196</v>
      </c>
    </row>
    <row r="331" spans="2:11" x14ac:dyDescent="0.25">
      <c r="B331">
        <v>-6662</v>
      </c>
      <c r="C331">
        <v>0</v>
      </c>
      <c r="D331">
        <v>0</v>
      </c>
      <c r="E331">
        <v>0</v>
      </c>
      <c r="F331">
        <v>-3267</v>
      </c>
      <c r="G331">
        <v>-195</v>
      </c>
      <c r="H331">
        <v>3777</v>
      </c>
      <c r="I331">
        <v>-766</v>
      </c>
      <c r="J331">
        <v>-1161</v>
      </c>
      <c r="K331">
        <v>41619</v>
      </c>
    </row>
    <row r="332" spans="2:11" x14ac:dyDescent="0.25">
      <c r="B332">
        <v>-1034</v>
      </c>
      <c r="C332">
        <v>-987</v>
      </c>
      <c r="D332">
        <v>1052</v>
      </c>
      <c r="E332">
        <v>165</v>
      </c>
      <c r="F332">
        <v>325</v>
      </c>
      <c r="G332">
        <v>894</v>
      </c>
      <c r="H332">
        <v>-3265</v>
      </c>
      <c r="I332">
        <v>-3332</v>
      </c>
      <c r="J332">
        <v>1154</v>
      </c>
      <c r="K332">
        <v>-2438</v>
      </c>
    </row>
    <row r="333" spans="2:11" x14ac:dyDescent="0.25">
      <c r="B333">
        <v>-2388</v>
      </c>
      <c r="C333">
        <v>-140</v>
      </c>
      <c r="D333">
        <v>811</v>
      </c>
      <c r="E333">
        <v>-1386</v>
      </c>
      <c r="F333">
        <v>136</v>
      </c>
      <c r="G333">
        <v>4009</v>
      </c>
      <c r="H333">
        <v>-7283</v>
      </c>
      <c r="I333">
        <v>-616</v>
      </c>
      <c r="J333">
        <v>-471</v>
      </c>
      <c r="K333">
        <v>-273</v>
      </c>
    </row>
    <row r="334" spans="2:11" x14ac:dyDescent="0.25">
      <c r="B334">
        <v>131</v>
      </c>
      <c r="C334">
        <v>1177</v>
      </c>
      <c r="D334">
        <v>-1340</v>
      </c>
      <c r="E334">
        <v>358</v>
      </c>
      <c r="F334">
        <v>-469</v>
      </c>
      <c r="G334">
        <v>682</v>
      </c>
      <c r="H334">
        <v>-112</v>
      </c>
      <c r="I334">
        <v>1913</v>
      </c>
      <c r="J334">
        <v>-324</v>
      </c>
      <c r="K334">
        <v>-1506</v>
      </c>
    </row>
    <row r="335" spans="2:11" x14ac:dyDescent="0.25">
      <c r="B335">
        <v>636</v>
      </c>
      <c r="C335">
        <v>-2031</v>
      </c>
      <c r="D335">
        <v>39895</v>
      </c>
      <c r="E335">
        <v>0</v>
      </c>
      <c r="F335">
        <v>0</v>
      </c>
      <c r="G335">
        <v>13911</v>
      </c>
      <c r="H335">
        <v>0</v>
      </c>
      <c r="I335">
        <v>41836</v>
      </c>
      <c r="J335">
        <v>28555</v>
      </c>
      <c r="K335">
        <v>18818</v>
      </c>
    </row>
    <row r="336" spans="2:11" x14ac:dyDescent="0.25">
      <c r="B336">
        <v>10039</v>
      </c>
      <c r="C336">
        <v>0</v>
      </c>
      <c r="D336">
        <v>-1644</v>
      </c>
      <c r="E336">
        <v>-2532</v>
      </c>
      <c r="F336">
        <v>-1101</v>
      </c>
      <c r="G336">
        <v>-985</v>
      </c>
      <c r="H336">
        <v>186</v>
      </c>
      <c r="I336">
        <v>-55</v>
      </c>
      <c r="J336">
        <v>380</v>
      </c>
      <c r="K336">
        <v>1526</v>
      </c>
    </row>
    <row r="337" spans="2:11" x14ac:dyDescent="0.25">
      <c r="B337">
        <v>368</v>
      </c>
      <c r="C337">
        <v>-1573</v>
      </c>
      <c r="D337">
        <v>440</v>
      </c>
      <c r="E337">
        <v>997</v>
      </c>
      <c r="F337">
        <v>1961</v>
      </c>
      <c r="G337">
        <v>1368</v>
      </c>
      <c r="H337">
        <v>3489</v>
      </c>
      <c r="I337">
        <v>0</v>
      </c>
      <c r="J337">
        <v>0</v>
      </c>
      <c r="K337">
        <v>0</v>
      </c>
    </row>
    <row r="338" spans="2:11" x14ac:dyDescent="0.25">
      <c r="B338">
        <v>444</v>
      </c>
      <c r="C338">
        <v>-664</v>
      </c>
      <c r="D338">
        <v>-2094</v>
      </c>
      <c r="E338">
        <v>-97</v>
      </c>
      <c r="F338">
        <v>2064</v>
      </c>
      <c r="G338">
        <v>9783</v>
      </c>
      <c r="H338">
        <v>817</v>
      </c>
      <c r="I338">
        <v>494</v>
      </c>
      <c r="J338">
        <v>-507</v>
      </c>
      <c r="K338">
        <v>1</v>
      </c>
    </row>
    <row r="339" spans="2:11" x14ac:dyDescent="0.25">
      <c r="B339">
        <v>-650</v>
      </c>
      <c r="C339">
        <v>-738</v>
      </c>
      <c r="D339">
        <v>2362</v>
      </c>
      <c r="E339">
        <v>1864</v>
      </c>
      <c r="F339">
        <v>-651</v>
      </c>
      <c r="G339">
        <v>1596</v>
      </c>
      <c r="H339">
        <v>1399</v>
      </c>
      <c r="I339">
        <v>67</v>
      </c>
      <c r="J339">
        <v>-256</v>
      </c>
      <c r="K339">
        <v>899</v>
      </c>
    </row>
    <row r="340" spans="2:11" x14ac:dyDescent="0.25">
      <c r="B340">
        <v>-136</v>
      </c>
      <c r="C340">
        <v>-2512</v>
      </c>
      <c r="D340">
        <v>4642</v>
      </c>
      <c r="E340">
        <v>473</v>
      </c>
      <c r="F340">
        <v>139</v>
      </c>
      <c r="G340">
        <v>152</v>
      </c>
      <c r="H340">
        <v>285</v>
      </c>
      <c r="I340">
        <v>-666</v>
      </c>
      <c r="J340">
        <v>1073</v>
      </c>
      <c r="K340">
        <v>140</v>
      </c>
    </row>
    <row r="341" spans="2:11" x14ac:dyDescent="0.25">
      <c r="B341">
        <v>308</v>
      </c>
      <c r="C341">
        <v>50</v>
      </c>
      <c r="D341">
        <v>401</v>
      </c>
      <c r="E341">
        <v>-870</v>
      </c>
      <c r="F341">
        <v>44</v>
      </c>
      <c r="G341">
        <v>1070</v>
      </c>
      <c r="H341">
        <v>-326</v>
      </c>
      <c r="I341">
        <v>1169</v>
      </c>
      <c r="J341">
        <v>-25632</v>
      </c>
      <c r="K341">
        <v>0</v>
      </c>
    </row>
    <row r="342" spans="2:11" x14ac:dyDescent="0.25">
      <c r="B342">
        <v>0</v>
      </c>
      <c r="C342">
        <v>238</v>
      </c>
      <c r="D342">
        <v>0</v>
      </c>
      <c r="E342">
        <v>-731</v>
      </c>
      <c r="F342">
        <v>-132</v>
      </c>
      <c r="G342">
        <v>853</v>
      </c>
      <c r="H342">
        <v>-595</v>
      </c>
      <c r="I342">
        <v>-7694</v>
      </c>
      <c r="J342">
        <v>0</v>
      </c>
      <c r="K342">
        <v>-1196</v>
      </c>
    </row>
    <row r="343" spans="2:11" x14ac:dyDescent="0.25">
      <c r="B343">
        <v>-1622</v>
      </c>
      <c r="C343">
        <v>-516</v>
      </c>
      <c r="D343">
        <v>-1329</v>
      </c>
      <c r="E343">
        <v>334</v>
      </c>
      <c r="F343">
        <v>-163</v>
      </c>
      <c r="G343">
        <v>54</v>
      </c>
      <c r="H343">
        <v>1907</v>
      </c>
      <c r="I343">
        <v>218</v>
      </c>
      <c r="J343">
        <v>-349</v>
      </c>
      <c r="K343">
        <v>1433</v>
      </c>
    </row>
    <row r="344" spans="2:11" x14ac:dyDescent="0.25">
      <c r="B344">
        <v>-495</v>
      </c>
      <c r="C344">
        <v>1392</v>
      </c>
      <c r="D344">
        <v>827</v>
      </c>
      <c r="E344">
        <v>1830</v>
      </c>
      <c r="F344">
        <v>0</v>
      </c>
      <c r="G344">
        <v>0</v>
      </c>
      <c r="H344">
        <v>0</v>
      </c>
      <c r="I344">
        <v>1177</v>
      </c>
      <c r="J344">
        <v>-1500</v>
      </c>
      <c r="K344">
        <v>-1326</v>
      </c>
    </row>
    <row r="345" spans="2:11" x14ac:dyDescent="0.25">
      <c r="B345">
        <v>888</v>
      </c>
      <c r="C345">
        <v>13291</v>
      </c>
      <c r="D345">
        <v>-6704</v>
      </c>
      <c r="E345">
        <v>368</v>
      </c>
      <c r="F345">
        <v>156</v>
      </c>
      <c r="G345">
        <v>-324</v>
      </c>
      <c r="H345">
        <v>23</v>
      </c>
      <c r="I345">
        <v>-724</v>
      </c>
      <c r="J345">
        <v>-378</v>
      </c>
      <c r="K345">
        <v>1144</v>
      </c>
    </row>
    <row r="346" spans="2:11" x14ac:dyDescent="0.25">
      <c r="B346">
        <v>671</v>
      </c>
      <c r="C346">
        <v>-286</v>
      </c>
      <c r="D346">
        <v>656</v>
      </c>
      <c r="E346">
        <v>527</v>
      </c>
      <c r="F346">
        <v>0</v>
      </c>
      <c r="G346">
        <v>-278</v>
      </c>
      <c r="H346">
        <v>337</v>
      </c>
      <c r="I346">
        <v>-261</v>
      </c>
      <c r="J346">
        <v>-1129</v>
      </c>
      <c r="K346">
        <v>2002</v>
      </c>
    </row>
    <row r="347" spans="2:11" x14ac:dyDescent="0.25">
      <c r="B347">
        <v>116</v>
      </c>
      <c r="C347">
        <v>-66</v>
      </c>
      <c r="D347">
        <v>-120</v>
      </c>
      <c r="E347">
        <v>169</v>
      </c>
      <c r="F347">
        <v>-423</v>
      </c>
      <c r="G347">
        <v>451</v>
      </c>
      <c r="H347">
        <v>64</v>
      </c>
      <c r="I347">
        <v>37</v>
      </c>
      <c r="J347">
        <v>-107</v>
      </c>
      <c r="K347">
        <v>284</v>
      </c>
    </row>
    <row r="348" spans="2:11" x14ac:dyDescent="0.25">
      <c r="B348">
        <v>-708</v>
      </c>
      <c r="C348">
        <v>-56</v>
      </c>
      <c r="D348">
        <v>504</v>
      </c>
      <c r="E348">
        <v>-137</v>
      </c>
      <c r="F348">
        <v>435</v>
      </c>
      <c r="G348">
        <v>-11750</v>
      </c>
      <c r="H348">
        <v>0</v>
      </c>
      <c r="I348">
        <v>0</v>
      </c>
      <c r="J348">
        <v>331</v>
      </c>
      <c r="K348">
        <v>0</v>
      </c>
    </row>
    <row r="349" spans="2:11" x14ac:dyDescent="0.25">
      <c r="B349">
        <v>-699</v>
      </c>
      <c r="C349">
        <v>-793</v>
      </c>
      <c r="D349">
        <v>113</v>
      </c>
      <c r="E349">
        <v>-184</v>
      </c>
      <c r="F349">
        <v>-8965</v>
      </c>
      <c r="G349">
        <v>81126</v>
      </c>
      <c r="H349">
        <v>0</v>
      </c>
      <c r="I349">
        <v>0</v>
      </c>
      <c r="J349">
        <v>0</v>
      </c>
      <c r="K349">
        <v>0</v>
      </c>
    </row>
    <row r="350" spans="2:11" x14ac:dyDescent="0.25"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</row>
    <row r="351" spans="2:11" x14ac:dyDescent="0.25"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</row>
    <row r="352" spans="2:11" x14ac:dyDescent="0.25"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</row>
    <row r="353" spans="2:11" x14ac:dyDescent="0.25"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</row>
    <row r="354" spans="2:11" x14ac:dyDescent="0.25"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</row>
    <row r="355" spans="2:11" x14ac:dyDescent="0.25"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</row>
    <row r="356" spans="2:11" x14ac:dyDescent="0.25"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-1868</v>
      </c>
      <c r="I356">
        <v>-2232</v>
      </c>
      <c r="J356">
        <v>-1744</v>
      </c>
      <c r="K356">
        <v>-582</v>
      </c>
    </row>
    <row r="357" spans="2:11" x14ac:dyDescent="0.25">
      <c r="B357">
        <v>-833</v>
      </c>
      <c r="C357">
        <v>16</v>
      </c>
      <c r="D357">
        <v>27</v>
      </c>
      <c r="E357">
        <v>1920</v>
      </c>
      <c r="F357">
        <v>444</v>
      </c>
      <c r="G357">
        <v>-995</v>
      </c>
      <c r="H357">
        <v>1133</v>
      </c>
      <c r="I357">
        <v>681</v>
      </c>
      <c r="J357">
        <v>2075</v>
      </c>
      <c r="K357">
        <v>1090</v>
      </c>
    </row>
    <row r="358" spans="2:11" x14ac:dyDescent="0.25">
      <c r="B358">
        <v>1246</v>
      </c>
      <c r="C358">
        <v>0</v>
      </c>
      <c r="D358">
        <v>0</v>
      </c>
      <c r="E358">
        <v>0</v>
      </c>
      <c r="F358">
        <v>1313</v>
      </c>
      <c r="G358">
        <v>-439</v>
      </c>
      <c r="H358">
        <v>-1044</v>
      </c>
      <c r="I358">
        <v>-109</v>
      </c>
      <c r="J358">
        <v>9667</v>
      </c>
      <c r="K358">
        <v>-3101</v>
      </c>
    </row>
    <row r="359" spans="2:11" x14ac:dyDescent="0.25">
      <c r="B359">
        <v>348</v>
      </c>
      <c r="C359">
        <v>32</v>
      </c>
      <c r="D359">
        <v>-348</v>
      </c>
      <c r="E359">
        <v>-283</v>
      </c>
      <c r="F359">
        <v>-1053</v>
      </c>
      <c r="G359">
        <v>-324</v>
      </c>
      <c r="H359">
        <v>988</v>
      </c>
      <c r="I359">
        <v>515</v>
      </c>
      <c r="J359">
        <v>-219</v>
      </c>
      <c r="K359">
        <v>553</v>
      </c>
    </row>
    <row r="360" spans="2:11" x14ac:dyDescent="0.25">
      <c r="B360">
        <v>436</v>
      </c>
      <c r="C360">
        <v>-83</v>
      </c>
      <c r="D360">
        <v>-209</v>
      </c>
      <c r="E360">
        <v>45</v>
      </c>
      <c r="F360">
        <v>-386</v>
      </c>
      <c r="G360">
        <v>-877</v>
      </c>
      <c r="H360">
        <v>1630</v>
      </c>
      <c r="I360">
        <v>119</v>
      </c>
      <c r="J360">
        <v>-145</v>
      </c>
      <c r="K360">
        <v>-153</v>
      </c>
    </row>
    <row r="361" spans="2:11" x14ac:dyDescent="0.25">
      <c r="B361">
        <v>-40</v>
      </c>
      <c r="C361">
        <v>-557</v>
      </c>
      <c r="D361">
        <v>411</v>
      </c>
      <c r="E361">
        <v>107</v>
      </c>
      <c r="F361">
        <v>-67</v>
      </c>
      <c r="G361">
        <v>-25</v>
      </c>
      <c r="H361">
        <v>-26</v>
      </c>
      <c r="I361">
        <v>-745</v>
      </c>
      <c r="J361">
        <v>-84</v>
      </c>
      <c r="K361">
        <v>446</v>
      </c>
    </row>
    <row r="362" spans="2:11" x14ac:dyDescent="0.25">
      <c r="B362">
        <v>-101</v>
      </c>
      <c r="C362">
        <v>367</v>
      </c>
      <c r="D362">
        <v>-9432</v>
      </c>
      <c r="E362">
        <v>0</v>
      </c>
      <c r="F362">
        <v>0</v>
      </c>
      <c r="G362">
        <v>159</v>
      </c>
      <c r="H362">
        <v>0</v>
      </c>
      <c r="I362">
        <v>-578</v>
      </c>
      <c r="J362">
        <v>-578</v>
      </c>
      <c r="K362">
        <v>56</v>
      </c>
    </row>
    <row r="363" spans="2:11" x14ac:dyDescent="0.25">
      <c r="B363">
        <v>-127</v>
      </c>
      <c r="C363">
        <v>-6383</v>
      </c>
      <c r="D363">
        <v>86692</v>
      </c>
      <c r="E363">
        <v>78561</v>
      </c>
      <c r="F363">
        <v>0</v>
      </c>
      <c r="G363">
        <v>0</v>
      </c>
      <c r="H363">
        <v>-1308</v>
      </c>
      <c r="I363">
        <v>-1494</v>
      </c>
      <c r="J363">
        <v>-1375</v>
      </c>
      <c r="K363">
        <v>-105</v>
      </c>
    </row>
    <row r="364" spans="2:11" x14ac:dyDescent="0.25">
      <c r="B364">
        <v>1443</v>
      </c>
      <c r="C364">
        <v>-97</v>
      </c>
      <c r="D364">
        <v>58</v>
      </c>
      <c r="E364">
        <v>1173</v>
      </c>
      <c r="F364">
        <v>-42</v>
      </c>
      <c r="G364">
        <v>-157</v>
      </c>
      <c r="H364">
        <v>1282</v>
      </c>
      <c r="I364">
        <v>-225</v>
      </c>
      <c r="J364">
        <v>1178</v>
      </c>
      <c r="K364">
        <v>643</v>
      </c>
    </row>
    <row r="365" spans="2:11" x14ac:dyDescent="0.25">
      <c r="B365">
        <v>1478</v>
      </c>
      <c r="C365">
        <v>0</v>
      </c>
      <c r="D365">
        <v>0</v>
      </c>
      <c r="E365">
        <v>0</v>
      </c>
      <c r="F365">
        <v>1128</v>
      </c>
      <c r="G365">
        <v>-1321</v>
      </c>
      <c r="H365">
        <v>175</v>
      </c>
      <c r="I365">
        <v>919</v>
      </c>
      <c r="J365">
        <v>13403</v>
      </c>
      <c r="K365">
        <v>2143</v>
      </c>
    </row>
    <row r="366" spans="2:11" x14ac:dyDescent="0.25">
      <c r="B366">
        <v>220</v>
      </c>
      <c r="C366">
        <v>61</v>
      </c>
      <c r="D366">
        <v>-178</v>
      </c>
      <c r="E366">
        <v>-252</v>
      </c>
      <c r="F366">
        <v>-842</v>
      </c>
      <c r="G366">
        <v>-344</v>
      </c>
      <c r="H366">
        <v>999</v>
      </c>
      <c r="I366">
        <v>526</v>
      </c>
      <c r="J366">
        <v>-243</v>
      </c>
      <c r="K366">
        <v>560</v>
      </c>
    </row>
    <row r="367" spans="2:11" x14ac:dyDescent="0.25">
      <c r="B367">
        <v>372</v>
      </c>
      <c r="C367">
        <v>-62</v>
      </c>
      <c r="D367">
        <v>-95</v>
      </c>
      <c r="E367">
        <v>35</v>
      </c>
      <c r="F367">
        <v>-404</v>
      </c>
      <c r="G367">
        <v>-974</v>
      </c>
      <c r="H367">
        <v>1709</v>
      </c>
      <c r="I367">
        <v>34</v>
      </c>
      <c r="J367">
        <v>-139</v>
      </c>
      <c r="K367">
        <v>-3</v>
      </c>
    </row>
    <row r="368" spans="2:11" x14ac:dyDescent="0.25">
      <c r="B368">
        <v>-113</v>
      </c>
      <c r="C368">
        <v>-563</v>
      </c>
      <c r="D368">
        <v>379</v>
      </c>
      <c r="E368">
        <v>20</v>
      </c>
      <c r="F368">
        <v>-27</v>
      </c>
      <c r="G368">
        <v>93</v>
      </c>
      <c r="H368">
        <v>-94</v>
      </c>
      <c r="I368">
        <v>-992</v>
      </c>
      <c r="J368">
        <v>-64</v>
      </c>
      <c r="K368">
        <v>426</v>
      </c>
    </row>
    <row r="369" spans="2:11" x14ac:dyDescent="0.25">
      <c r="B369">
        <v>-103</v>
      </c>
      <c r="C369">
        <v>340</v>
      </c>
      <c r="D369">
        <v>-10139</v>
      </c>
      <c r="E369">
        <v>0</v>
      </c>
      <c r="F369">
        <v>0</v>
      </c>
      <c r="G369">
        <v>3</v>
      </c>
      <c r="H369">
        <v>0</v>
      </c>
      <c r="I369">
        <v>-457</v>
      </c>
      <c r="J369">
        <v>-282</v>
      </c>
      <c r="K369">
        <v>154</v>
      </c>
    </row>
    <row r="370" spans="2:11" x14ac:dyDescent="0.25">
      <c r="B370">
        <v>-224</v>
      </c>
      <c r="C370">
        <v>-4326</v>
      </c>
      <c r="D370">
        <v>86868</v>
      </c>
      <c r="E370">
        <v>73193</v>
      </c>
      <c r="F370">
        <v>0</v>
      </c>
      <c r="G370">
        <v>73995</v>
      </c>
      <c r="H370">
        <v>0</v>
      </c>
      <c r="I370">
        <v>-1164</v>
      </c>
      <c r="J370">
        <v>-1354</v>
      </c>
      <c r="K370">
        <v>-977</v>
      </c>
    </row>
    <row r="371" spans="2:11" x14ac:dyDescent="0.25">
      <c r="B371">
        <v>-1022</v>
      </c>
      <c r="C371">
        <v>575</v>
      </c>
      <c r="D371">
        <v>3196</v>
      </c>
      <c r="E371">
        <v>265</v>
      </c>
      <c r="F371">
        <v>904</v>
      </c>
      <c r="G371">
        <v>562</v>
      </c>
      <c r="H371">
        <v>-1243</v>
      </c>
      <c r="I371">
        <v>188</v>
      </c>
      <c r="J371">
        <v>336</v>
      </c>
      <c r="K371">
        <v>1286</v>
      </c>
    </row>
    <row r="372" spans="2:11" x14ac:dyDescent="0.25">
      <c r="B372">
        <v>-1493</v>
      </c>
      <c r="C372">
        <v>-216</v>
      </c>
      <c r="D372">
        <v>0</v>
      </c>
      <c r="E372">
        <v>0</v>
      </c>
      <c r="F372">
        <v>0</v>
      </c>
      <c r="G372">
        <v>562</v>
      </c>
      <c r="H372">
        <v>-2289</v>
      </c>
      <c r="I372">
        <v>2017</v>
      </c>
      <c r="J372">
        <v>-1151</v>
      </c>
      <c r="K372">
        <v>4839</v>
      </c>
    </row>
    <row r="373" spans="2:11" x14ac:dyDescent="0.25">
      <c r="B373">
        <v>-1879</v>
      </c>
      <c r="C373">
        <v>936</v>
      </c>
      <c r="D373">
        <v>-79</v>
      </c>
      <c r="E373">
        <v>-410</v>
      </c>
      <c r="F373">
        <v>-149</v>
      </c>
      <c r="G373">
        <v>-520</v>
      </c>
      <c r="H373">
        <v>-463</v>
      </c>
      <c r="I373">
        <v>929</v>
      </c>
      <c r="J373">
        <v>598</v>
      </c>
      <c r="K373">
        <v>-182</v>
      </c>
    </row>
    <row r="374" spans="2:11" x14ac:dyDescent="0.25">
      <c r="B374">
        <v>743</v>
      </c>
      <c r="C374">
        <v>435</v>
      </c>
      <c r="D374">
        <v>-89</v>
      </c>
      <c r="E374">
        <v>-209</v>
      </c>
      <c r="F374">
        <v>238</v>
      </c>
      <c r="G374">
        <v>-284</v>
      </c>
      <c r="H374">
        <v>-879</v>
      </c>
      <c r="I374">
        <v>1530</v>
      </c>
      <c r="J374">
        <v>494</v>
      </c>
      <c r="K374">
        <v>-128</v>
      </c>
    </row>
    <row r="375" spans="2:11" x14ac:dyDescent="0.25">
      <c r="B375">
        <v>-352</v>
      </c>
      <c r="C375">
        <v>109</v>
      </c>
      <c r="D375">
        <v>-313</v>
      </c>
      <c r="E375">
        <v>563</v>
      </c>
      <c r="F375">
        <v>298</v>
      </c>
      <c r="G375">
        <v>51</v>
      </c>
      <c r="H375">
        <v>31</v>
      </c>
      <c r="I375">
        <v>263</v>
      </c>
      <c r="J375">
        <v>-641</v>
      </c>
      <c r="K375">
        <v>9</v>
      </c>
    </row>
    <row r="376" spans="2:11" x14ac:dyDescent="0.25">
      <c r="B376">
        <v>331</v>
      </c>
      <c r="C376">
        <v>-30</v>
      </c>
      <c r="D376">
        <v>328</v>
      </c>
      <c r="E376">
        <v>-7651</v>
      </c>
      <c r="F376">
        <v>0</v>
      </c>
      <c r="G376">
        <v>0</v>
      </c>
      <c r="H376">
        <v>138</v>
      </c>
      <c r="I376">
        <v>0</v>
      </c>
      <c r="J376">
        <v>-617</v>
      </c>
      <c r="K376">
        <v>-461</v>
      </c>
    </row>
    <row r="377" spans="2:11" x14ac:dyDescent="0.25">
      <c r="B377">
        <v>-141</v>
      </c>
      <c r="C377">
        <v>-11</v>
      </c>
      <c r="D377">
        <v>-5336</v>
      </c>
      <c r="E377">
        <v>64063</v>
      </c>
      <c r="F377">
        <v>56825</v>
      </c>
      <c r="G377">
        <v>0</v>
      </c>
      <c r="H377">
        <v>59182</v>
      </c>
      <c r="I377">
        <v>59496</v>
      </c>
      <c r="J377">
        <v>0</v>
      </c>
      <c r="K377">
        <v>256</v>
      </c>
    </row>
    <row r="378" spans="2:11" x14ac:dyDescent="0.25">
      <c r="B378">
        <v>-613</v>
      </c>
      <c r="C378">
        <v>1128</v>
      </c>
      <c r="D378">
        <v>710</v>
      </c>
      <c r="E378">
        <v>-1870</v>
      </c>
      <c r="F378">
        <v>242</v>
      </c>
      <c r="G378">
        <v>797</v>
      </c>
      <c r="H378">
        <v>346</v>
      </c>
      <c r="I378">
        <v>37</v>
      </c>
      <c r="J378">
        <v>343</v>
      </c>
      <c r="K378">
        <v>487</v>
      </c>
    </row>
    <row r="379" spans="2:11" x14ac:dyDescent="0.25">
      <c r="B379">
        <v>-988</v>
      </c>
      <c r="C379">
        <v>929</v>
      </c>
      <c r="D379">
        <v>370</v>
      </c>
      <c r="E379">
        <v>518</v>
      </c>
      <c r="F379">
        <v>0</v>
      </c>
      <c r="G379">
        <v>0</v>
      </c>
      <c r="H379">
        <v>0</v>
      </c>
      <c r="I379">
        <v>330</v>
      </c>
      <c r="J379">
        <v>-2205</v>
      </c>
      <c r="K379">
        <v>1691</v>
      </c>
    </row>
    <row r="380" spans="2:11" x14ac:dyDescent="0.25">
      <c r="B380">
        <v>-73</v>
      </c>
      <c r="C380">
        <v>12488</v>
      </c>
      <c r="D380">
        <v>2485</v>
      </c>
      <c r="E380">
        <v>344</v>
      </c>
      <c r="F380">
        <v>51</v>
      </c>
      <c r="G380">
        <v>-123</v>
      </c>
      <c r="H380">
        <v>23</v>
      </c>
      <c r="I380">
        <v>245</v>
      </c>
      <c r="J380">
        <v>-117</v>
      </c>
      <c r="K380">
        <v>319</v>
      </c>
    </row>
    <row r="381" spans="2:11" x14ac:dyDescent="0.25">
      <c r="B381">
        <v>24</v>
      </c>
      <c r="C381">
        <v>-27</v>
      </c>
      <c r="D381">
        <v>100</v>
      </c>
      <c r="E381">
        <v>92</v>
      </c>
      <c r="F381">
        <v>48</v>
      </c>
      <c r="G381">
        <v>-167</v>
      </c>
      <c r="H381">
        <v>-65</v>
      </c>
      <c r="I381">
        <v>272</v>
      </c>
      <c r="J381">
        <v>-213</v>
      </c>
      <c r="K381">
        <v>342</v>
      </c>
    </row>
    <row r="382" spans="2:11" x14ac:dyDescent="0.25">
      <c r="B382">
        <v>54</v>
      </c>
      <c r="C382">
        <v>-62</v>
      </c>
      <c r="D382">
        <v>-207</v>
      </c>
      <c r="E382">
        <v>-47</v>
      </c>
      <c r="F382">
        <v>403</v>
      </c>
      <c r="G382">
        <v>74</v>
      </c>
      <c r="H382">
        <v>228</v>
      </c>
      <c r="I382">
        <v>95</v>
      </c>
      <c r="J382">
        <v>-62</v>
      </c>
      <c r="K382">
        <v>-36</v>
      </c>
    </row>
    <row r="383" spans="2:11" x14ac:dyDescent="0.25">
      <c r="B383">
        <v>548</v>
      </c>
      <c r="C383">
        <v>-24</v>
      </c>
      <c r="D383">
        <v>88</v>
      </c>
      <c r="E383">
        <v>-58</v>
      </c>
      <c r="F383">
        <v>13</v>
      </c>
      <c r="G383">
        <v>-2414</v>
      </c>
      <c r="H383">
        <v>0</v>
      </c>
      <c r="I383">
        <v>0</v>
      </c>
      <c r="J383">
        <v>-64</v>
      </c>
      <c r="K383">
        <v>0</v>
      </c>
    </row>
    <row r="384" spans="2:11" x14ac:dyDescent="0.25">
      <c r="B384">
        <v>-4</v>
      </c>
      <c r="C384">
        <v>-2</v>
      </c>
      <c r="D384">
        <v>-130</v>
      </c>
      <c r="E384">
        <v>90</v>
      </c>
      <c r="F384">
        <v>-524</v>
      </c>
      <c r="G384">
        <v>46176</v>
      </c>
      <c r="H384">
        <v>41711</v>
      </c>
      <c r="I384">
        <v>0</v>
      </c>
      <c r="J384">
        <v>44003</v>
      </c>
      <c r="K384">
        <v>43270</v>
      </c>
    </row>
    <row r="385" spans="2:11" x14ac:dyDescent="0.25">
      <c r="B385">
        <v>32221</v>
      </c>
      <c r="C385">
        <v>0</v>
      </c>
      <c r="D385">
        <v>-1758</v>
      </c>
      <c r="E385">
        <v>-1677</v>
      </c>
      <c r="F385">
        <v>-1361</v>
      </c>
      <c r="G385">
        <v>-561</v>
      </c>
      <c r="H385">
        <v>-1190</v>
      </c>
      <c r="I385">
        <v>492</v>
      </c>
      <c r="J385">
        <v>87</v>
      </c>
      <c r="K385">
        <v>1278</v>
      </c>
    </row>
    <row r="386" spans="2:11" x14ac:dyDescent="0.25">
      <c r="B386">
        <v>-184</v>
      </c>
      <c r="C386">
        <v>83</v>
      </c>
      <c r="D386">
        <v>1451</v>
      </c>
      <c r="E386">
        <v>-788</v>
      </c>
      <c r="F386">
        <v>1859</v>
      </c>
      <c r="G386">
        <v>-607</v>
      </c>
      <c r="H386">
        <v>-1808</v>
      </c>
      <c r="I386">
        <v>0</v>
      </c>
      <c r="J386">
        <v>0</v>
      </c>
      <c r="K386">
        <v>0</v>
      </c>
    </row>
    <row r="387" spans="2:11" x14ac:dyDescent="0.25">
      <c r="B387">
        <v>-524</v>
      </c>
      <c r="C387">
        <v>-2085</v>
      </c>
      <c r="D387">
        <v>1377</v>
      </c>
      <c r="E387">
        <v>-1445</v>
      </c>
      <c r="F387">
        <v>14148</v>
      </c>
      <c r="G387">
        <v>15957</v>
      </c>
      <c r="H387">
        <v>-154</v>
      </c>
      <c r="I387">
        <v>-559</v>
      </c>
      <c r="J387">
        <v>-148</v>
      </c>
      <c r="K387">
        <v>-365</v>
      </c>
    </row>
    <row r="388" spans="2:11" x14ac:dyDescent="0.25">
      <c r="B388">
        <v>-1244</v>
      </c>
      <c r="C388">
        <v>161</v>
      </c>
      <c r="D388">
        <v>-720</v>
      </c>
      <c r="E388">
        <v>-1269</v>
      </c>
      <c r="F388">
        <v>362</v>
      </c>
      <c r="G388">
        <v>-754</v>
      </c>
      <c r="H388">
        <v>-851</v>
      </c>
      <c r="I388">
        <v>-232</v>
      </c>
      <c r="J388">
        <v>-219</v>
      </c>
      <c r="K388">
        <v>-830</v>
      </c>
    </row>
    <row r="389" spans="2:11" x14ac:dyDescent="0.25">
      <c r="B389">
        <v>-595</v>
      </c>
      <c r="C389">
        <v>1164</v>
      </c>
      <c r="D389">
        <v>-2223</v>
      </c>
      <c r="E389">
        <v>-315</v>
      </c>
      <c r="F389">
        <v>-511</v>
      </c>
      <c r="G389">
        <v>-668</v>
      </c>
      <c r="H389">
        <v>-269</v>
      </c>
      <c r="I389">
        <v>-191</v>
      </c>
      <c r="J389">
        <v>-393</v>
      </c>
      <c r="K389">
        <v>170</v>
      </c>
    </row>
    <row r="390" spans="2:11" x14ac:dyDescent="0.25">
      <c r="B390">
        <v>-446</v>
      </c>
      <c r="C390">
        <v>-198</v>
      </c>
      <c r="D390">
        <v>-224</v>
      </c>
      <c r="E390">
        <v>-476</v>
      </c>
      <c r="F390">
        <v>-234</v>
      </c>
      <c r="G390">
        <v>-373</v>
      </c>
      <c r="H390">
        <v>204</v>
      </c>
      <c r="I390">
        <v>-728</v>
      </c>
      <c r="J390">
        <v>11298</v>
      </c>
      <c r="K390">
        <v>0</v>
      </c>
    </row>
    <row r="391" spans="2:11" x14ac:dyDescent="0.25">
      <c r="B391">
        <v>0</v>
      </c>
      <c r="C391">
        <v>-1156</v>
      </c>
      <c r="D391">
        <v>0</v>
      </c>
      <c r="E391">
        <v>788</v>
      </c>
      <c r="F391">
        <v>1110</v>
      </c>
      <c r="G391">
        <v>19</v>
      </c>
      <c r="H391">
        <v>66</v>
      </c>
      <c r="I391">
        <v>12043</v>
      </c>
      <c r="J391">
        <v>87722</v>
      </c>
      <c r="K391">
        <v>77462</v>
      </c>
    </row>
    <row r="392" spans="2:11" x14ac:dyDescent="0.25">
      <c r="B392">
        <v>0</v>
      </c>
      <c r="C392">
        <v>83671</v>
      </c>
      <c r="D392">
        <v>84685</v>
      </c>
      <c r="E392">
        <v>60873</v>
      </c>
      <c r="F392">
        <v>47001</v>
      </c>
      <c r="G392">
        <v>0</v>
      </c>
      <c r="H392">
        <v>0</v>
      </c>
      <c r="I392">
        <v>0</v>
      </c>
      <c r="J392">
        <v>0</v>
      </c>
      <c r="K392">
        <v>0</v>
      </c>
    </row>
    <row r="393" spans="2:11" x14ac:dyDescent="0.25"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248</v>
      </c>
      <c r="D400">
        <v>-356</v>
      </c>
      <c r="E400">
        <v>-634</v>
      </c>
      <c r="F400">
        <v>-68</v>
      </c>
      <c r="G400">
        <v>1227</v>
      </c>
      <c r="H400">
        <v>1747</v>
      </c>
      <c r="I400">
        <v>503</v>
      </c>
      <c r="J400">
        <v>-479</v>
      </c>
      <c r="K400">
        <v>-909</v>
      </c>
    </row>
    <row r="401" spans="2:11" x14ac:dyDescent="0.25">
      <c r="B401">
        <v>-2209</v>
      </c>
      <c r="C401">
        <v>876</v>
      </c>
      <c r="D401">
        <v>534</v>
      </c>
      <c r="E401">
        <v>568</v>
      </c>
      <c r="F401">
        <v>950</v>
      </c>
      <c r="G401">
        <v>1413</v>
      </c>
      <c r="H401">
        <v>0</v>
      </c>
      <c r="I401">
        <v>0</v>
      </c>
      <c r="J401">
        <v>0</v>
      </c>
      <c r="K401">
        <v>188</v>
      </c>
    </row>
    <row r="402" spans="2:11" x14ac:dyDescent="0.25">
      <c r="B402">
        <v>80</v>
      </c>
      <c r="C402">
        <v>277</v>
      </c>
      <c r="D402">
        <v>195</v>
      </c>
      <c r="E402">
        <v>27</v>
      </c>
      <c r="F402">
        <v>174</v>
      </c>
      <c r="G402">
        <v>4778</v>
      </c>
      <c r="H402">
        <v>525</v>
      </c>
      <c r="I402">
        <v>-834</v>
      </c>
      <c r="J402">
        <v>2848</v>
      </c>
      <c r="K402">
        <v>2501</v>
      </c>
    </row>
    <row r="403" spans="2:11" x14ac:dyDescent="0.25">
      <c r="B403">
        <v>-32601</v>
      </c>
      <c r="C403">
        <v>28340</v>
      </c>
      <c r="D403">
        <v>32343</v>
      </c>
      <c r="E403">
        <v>-291</v>
      </c>
      <c r="F403">
        <v>-10612</v>
      </c>
      <c r="G403">
        <v>438</v>
      </c>
      <c r="H403">
        <v>75</v>
      </c>
      <c r="I403">
        <v>377</v>
      </c>
      <c r="J403">
        <v>442</v>
      </c>
      <c r="K403">
        <v>201</v>
      </c>
    </row>
    <row r="404" spans="2:11" x14ac:dyDescent="0.25">
      <c r="B404">
        <v>76</v>
      </c>
      <c r="C404">
        <v>105</v>
      </c>
      <c r="D404">
        <v>666</v>
      </c>
      <c r="E404">
        <v>31</v>
      </c>
      <c r="F404">
        <v>-4</v>
      </c>
      <c r="G404">
        <v>391</v>
      </c>
      <c r="H404">
        <v>21</v>
      </c>
      <c r="I404">
        <v>492</v>
      </c>
      <c r="J404">
        <v>187</v>
      </c>
      <c r="K404">
        <v>156</v>
      </c>
    </row>
    <row r="405" spans="2:11" x14ac:dyDescent="0.25">
      <c r="B405">
        <v>270</v>
      </c>
      <c r="C405">
        <v>354</v>
      </c>
      <c r="D405">
        <v>-141</v>
      </c>
      <c r="E405">
        <v>-13</v>
      </c>
      <c r="F405">
        <v>64</v>
      </c>
      <c r="G405">
        <v>49</v>
      </c>
      <c r="H405">
        <v>70</v>
      </c>
      <c r="I405">
        <v>-627</v>
      </c>
      <c r="J405">
        <v>0</v>
      </c>
      <c r="K405">
        <v>0</v>
      </c>
    </row>
    <row r="406" spans="2:11" x14ac:dyDescent="0.25">
      <c r="B406">
        <v>-24</v>
      </c>
      <c r="C406">
        <v>0</v>
      </c>
      <c r="D406">
        <v>11</v>
      </c>
      <c r="E406">
        <v>12</v>
      </c>
      <c r="F406">
        <v>-111</v>
      </c>
      <c r="G406">
        <v>-57</v>
      </c>
      <c r="H406">
        <v>-262</v>
      </c>
      <c r="I406">
        <v>109</v>
      </c>
      <c r="J406">
        <v>5</v>
      </c>
      <c r="K406">
        <v>0</v>
      </c>
    </row>
    <row r="407" spans="2:11" x14ac:dyDescent="0.25">
      <c r="B407">
        <v>19</v>
      </c>
      <c r="C407">
        <v>-26</v>
      </c>
      <c r="D407">
        <v>117</v>
      </c>
      <c r="E407">
        <v>-4</v>
      </c>
      <c r="F407">
        <v>-134</v>
      </c>
      <c r="G407">
        <v>0</v>
      </c>
      <c r="H407">
        <v>0</v>
      </c>
      <c r="I407">
        <v>0</v>
      </c>
      <c r="J407">
        <v>0</v>
      </c>
      <c r="K407">
        <v>0</v>
      </c>
    </row>
    <row r="408" spans="2:11" x14ac:dyDescent="0.25"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</row>
    <row r="409" spans="2:11" x14ac:dyDescent="0.25"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</row>
    <row r="410" spans="2:11" x14ac:dyDescent="0.25"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</row>
    <row r="411" spans="2:11" x14ac:dyDescent="0.25"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</row>
    <row r="412" spans="2:11" x14ac:dyDescent="0.25"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</row>
    <row r="413" spans="2:11" x14ac:dyDescent="0.25"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</row>
    <row r="414" spans="2:11" x14ac:dyDescent="0.25"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</row>
    <row r="415" spans="2:11" x14ac:dyDescent="0.25">
      <c r="B415">
        <v>0</v>
      </c>
      <c r="C415">
        <v>0</v>
      </c>
      <c r="D415">
        <v>0</v>
      </c>
      <c r="E415">
        <v>0</v>
      </c>
      <c r="F415">
        <v>-212</v>
      </c>
      <c r="G415">
        <v>-357</v>
      </c>
      <c r="H415">
        <v>-984</v>
      </c>
      <c r="I415">
        <v>-112</v>
      </c>
      <c r="J415">
        <v>81</v>
      </c>
      <c r="K415">
        <v>109</v>
      </c>
    </row>
    <row r="416" spans="2:11" x14ac:dyDescent="0.25">
      <c r="B416">
        <v>1114</v>
      </c>
      <c r="C416">
        <v>-1166</v>
      </c>
      <c r="D416">
        <v>235</v>
      </c>
      <c r="E416">
        <v>-1460</v>
      </c>
      <c r="F416">
        <v>425</v>
      </c>
      <c r="G416">
        <v>-840</v>
      </c>
      <c r="H416">
        <v>2285</v>
      </c>
      <c r="I416">
        <v>88</v>
      </c>
      <c r="J416">
        <v>2540</v>
      </c>
      <c r="K416">
        <v>0</v>
      </c>
    </row>
    <row r="417" spans="2:11" x14ac:dyDescent="0.25">
      <c r="B417">
        <v>0</v>
      </c>
      <c r="C417">
        <v>0</v>
      </c>
      <c r="D417">
        <v>-75</v>
      </c>
      <c r="E417">
        <v>-312</v>
      </c>
      <c r="F417">
        <v>338</v>
      </c>
      <c r="G417">
        <v>40</v>
      </c>
      <c r="H417">
        <v>339</v>
      </c>
      <c r="I417">
        <v>-1842</v>
      </c>
      <c r="J417">
        <v>1942</v>
      </c>
      <c r="K417">
        <v>1132</v>
      </c>
    </row>
    <row r="418" spans="2:11" x14ac:dyDescent="0.25">
      <c r="B418">
        <v>2638</v>
      </c>
      <c r="C418">
        <v>-4246</v>
      </c>
      <c r="D418">
        <v>2849</v>
      </c>
      <c r="E418">
        <v>13958</v>
      </c>
      <c r="F418">
        <v>-22752</v>
      </c>
      <c r="G418">
        <v>41955</v>
      </c>
      <c r="H418">
        <v>-5470</v>
      </c>
      <c r="I418">
        <v>-6605</v>
      </c>
      <c r="J418">
        <v>-396</v>
      </c>
      <c r="K418">
        <v>11</v>
      </c>
    </row>
    <row r="419" spans="2:11" x14ac:dyDescent="0.25">
      <c r="B419">
        <v>400</v>
      </c>
      <c r="C419">
        <v>-314</v>
      </c>
      <c r="D419">
        <v>-48</v>
      </c>
      <c r="E419">
        <v>1789</v>
      </c>
      <c r="F419">
        <v>-2896</v>
      </c>
      <c r="G419">
        <v>34</v>
      </c>
      <c r="H419">
        <v>-425</v>
      </c>
      <c r="I419">
        <v>-317</v>
      </c>
      <c r="J419">
        <v>89</v>
      </c>
      <c r="K419">
        <v>183</v>
      </c>
    </row>
    <row r="420" spans="2:11" x14ac:dyDescent="0.25">
      <c r="B420">
        <v>-432</v>
      </c>
      <c r="C420">
        <v>437</v>
      </c>
      <c r="D420">
        <v>-126</v>
      </c>
      <c r="E420">
        <v>239</v>
      </c>
      <c r="F420">
        <v>85</v>
      </c>
      <c r="G420">
        <v>21</v>
      </c>
      <c r="H420">
        <v>-219</v>
      </c>
      <c r="I420">
        <v>-458</v>
      </c>
      <c r="J420">
        <v>266</v>
      </c>
      <c r="K420">
        <v>-793</v>
      </c>
    </row>
    <row r="421" spans="2:11" x14ac:dyDescent="0.25">
      <c r="B421">
        <v>14029</v>
      </c>
      <c r="C421">
        <v>0</v>
      </c>
      <c r="D421">
        <v>0</v>
      </c>
      <c r="E421">
        <v>-581</v>
      </c>
      <c r="F421">
        <v>0</v>
      </c>
      <c r="G421">
        <v>437</v>
      </c>
      <c r="H421">
        <v>186</v>
      </c>
      <c r="I421">
        <v>-558</v>
      </c>
      <c r="J421">
        <v>91</v>
      </c>
      <c r="K421">
        <v>5506</v>
      </c>
    </row>
    <row r="422" spans="2:11" x14ac:dyDescent="0.25">
      <c r="B422">
        <v>-3928</v>
      </c>
      <c r="C422">
        <v>-1965</v>
      </c>
      <c r="D422">
        <v>0</v>
      </c>
      <c r="E422">
        <v>-1602</v>
      </c>
      <c r="F422">
        <v>-1777</v>
      </c>
      <c r="G422">
        <v>-1283</v>
      </c>
      <c r="H422">
        <v>-505</v>
      </c>
      <c r="I422">
        <v>1251</v>
      </c>
      <c r="J422">
        <v>0</v>
      </c>
      <c r="K422">
        <v>28883</v>
      </c>
    </row>
    <row r="423" spans="2:11" x14ac:dyDescent="0.25">
      <c r="B423">
        <v>0</v>
      </c>
      <c r="C423">
        <v>0</v>
      </c>
      <c r="D423">
        <v>-1436</v>
      </c>
      <c r="E423">
        <v>-274</v>
      </c>
      <c r="F423">
        <v>-1229</v>
      </c>
      <c r="G423">
        <v>720</v>
      </c>
      <c r="H423">
        <v>-886</v>
      </c>
      <c r="I423">
        <v>97</v>
      </c>
      <c r="J423">
        <v>922</v>
      </c>
      <c r="K423">
        <v>-1172</v>
      </c>
    </row>
    <row r="424" spans="2:11" x14ac:dyDescent="0.25">
      <c r="B424">
        <v>1280</v>
      </c>
      <c r="C424">
        <v>-1360</v>
      </c>
      <c r="D424">
        <v>511</v>
      </c>
      <c r="E424">
        <v>-1366</v>
      </c>
      <c r="F424">
        <v>146</v>
      </c>
      <c r="G424">
        <v>-36</v>
      </c>
      <c r="H424">
        <v>783</v>
      </c>
      <c r="I424">
        <v>0</v>
      </c>
      <c r="J424">
        <v>0</v>
      </c>
      <c r="K424">
        <v>0</v>
      </c>
    </row>
    <row r="425" spans="2:11" x14ac:dyDescent="0.25">
      <c r="B425">
        <v>35</v>
      </c>
      <c r="C425">
        <v>-398</v>
      </c>
      <c r="D425">
        <v>279</v>
      </c>
      <c r="E425">
        <v>-363</v>
      </c>
      <c r="F425">
        <v>462</v>
      </c>
      <c r="G425">
        <v>-2998</v>
      </c>
      <c r="H425">
        <v>174</v>
      </c>
      <c r="I425">
        <v>1505</v>
      </c>
      <c r="J425">
        <v>-1511</v>
      </c>
      <c r="K425">
        <v>-7486</v>
      </c>
    </row>
    <row r="426" spans="2:11" x14ac:dyDescent="0.25">
      <c r="B426">
        <v>1513</v>
      </c>
      <c r="C426">
        <v>3918</v>
      </c>
      <c r="D426">
        <v>-12733</v>
      </c>
      <c r="E426">
        <v>41041</v>
      </c>
      <c r="F426">
        <v>-17647</v>
      </c>
      <c r="G426">
        <v>-5100</v>
      </c>
      <c r="H426">
        <v>-796</v>
      </c>
      <c r="I426">
        <v>-120</v>
      </c>
      <c r="J426">
        <v>134</v>
      </c>
      <c r="K426">
        <v>-984</v>
      </c>
    </row>
    <row r="427" spans="2:11" x14ac:dyDescent="0.25">
      <c r="B427">
        <v>-434</v>
      </c>
      <c r="C427">
        <v>2406</v>
      </c>
      <c r="D427">
        <v>-4198</v>
      </c>
      <c r="E427">
        <v>-281</v>
      </c>
      <c r="F427">
        <v>-461</v>
      </c>
      <c r="G427">
        <v>-467</v>
      </c>
      <c r="H427">
        <v>-439</v>
      </c>
      <c r="I427">
        <v>-157</v>
      </c>
      <c r="J427">
        <v>-957</v>
      </c>
      <c r="K427">
        <v>414</v>
      </c>
    </row>
    <row r="428" spans="2:11" x14ac:dyDescent="0.25">
      <c r="B428">
        <v>-399</v>
      </c>
      <c r="C428">
        <v>-75</v>
      </c>
      <c r="D428">
        <v>-627</v>
      </c>
      <c r="E428">
        <v>-146</v>
      </c>
      <c r="F428">
        <v>-243</v>
      </c>
      <c r="G428">
        <v>-764</v>
      </c>
      <c r="H428">
        <v>319</v>
      </c>
      <c r="I428">
        <v>-1076</v>
      </c>
      <c r="J428">
        <v>21328</v>
      </c>
      <c r="K428">
        <v>0</v>
      </c>
    </row>
    <row r="429" spans="2:11" x14ac:dyDescent="0.25">
      <c r="B429">
        <v>0</v>
      </c>
      <c r="C429">
        <v>-607</v>
      </c>
      <c r="D429">
        <v>0</v>
      </c>
      <c r="E429">
        <v>754</v>
      </c>
      <c r="F429">
        <v>376</v>
      </c>
      <c r="G429">
        <v>-753</v>
      </c>
      <c r="H429">
        <v>386</v>
      </c>
      <c r="I429">
        <v>8483</v>
      </c>
      <c r="J429">
        <v>-5453</v>
      </c>
      <c r="K429">
        <v>-2480</v>
      </c>
    </row>
    <row r="430" spans="2:11" x14ac:dyDescent="0.25">
      <c r="B430">
        <v>0</v>
      </c>
      <c r="C430">
        <v>-1977</v>
      </c>
      <c r="D430">
        <v>-2157</v>
      </c>
      <c r="E430">
        <v>-1714</v>
      </c>
      <c r="F430">
        <v>-480</v>
      </c>
      <c r="G430">
        <v>2408</v>
      </c>
      <c r="H430">
        <v>0</v>
      </c>
      <c r="I430">
        <v>36774</v>
      </c>
      <c r="J430">
        <v>0</v>
      </c>
      <c r="K430">
        <v>71201</v>
      </c>
    </row>
    <row r="431" spans="2:11" x14ac:dyDescent="0.25">
      <c r="B431">
        <v>0</v>
      </c>
      <c r="C431">
        <v>-787</v>
      </c>
      <c r="D431">
        <v>-26</v>
      </c>
      <c r="E431">
        <v>-129</v>
      </c>
      <c r="F431">
        <v>-936</v>
      </c>
      <c r="G431">
        <v>519</v>
      </c>
      <c r="H431">
        <v>1628</v>
      </c>
      <c r="I431">
        <v>17</v>
      </c>
      <c r="J431">
        <v>88</v>
      </c>
      <c r="K431">
        <v>-726</v>
      </c>
    </row>
    <row r="432" spans="2:11" x14ac:dyDescent="0.25">
      <c r="B432">
        <v>-516</v>
      </c>
      <c r="C432">
        <v>457</v>
      </c>
      <c r="D432">
        <v>-621</v>
      </c>
      <c r="E432">
        <v>886</v>
      </c>
      <c r="F432">
        <v>56</v>
      </c>
      <c r="G432">
        <v>76</v>
      </c>
      <c r="H432">
        <v>0</v>
      </c>
      <c r="I432">
        <v>0</v>
      </c>
      <c r="J432">
        <v>0</v>
      </c>
      <c r="K432">
        <v>28</v>
      </c>
    </row>
    <row r="433" spans="2:11" x14ac:dyDescent="0.25">
      <c r="B433">
        <v>-314</v>
      </c>
      <c r="C433">
        <v>93</v>
      </c>
      <c r="D433">
        <v>0</v>
      </c>
      <c r="E433">
        <v>266</v>
      </c>
      <c r="F433">
        <v>-1857</v>
      </c>
      <c r="G433">
        <v>496</v>
      </c>
      <c r="H433">
        <v>-1620</v>
      </c>
      <c r="I433">
        <v>-282</v>
      </c>
      <c r="J433">
        <v>1012</v>
      </c>
      <c r="K433">
        <v>855</v>
      </c>
    </row>
    <row r="434" spans="2:11" x14ac:dyDescent="0.25">
      <c r="B434">
        <v>963</v>
      </c>
      <c r="C434">
        <v>-11590</v>
      </c>
      <c r="D434">
        <v>27497</v>
      </c>
      <c r="E434">
        <v>-2052</v>
      </c>
      <c r="F434">
        <v>-386</v>
      </c>
      <c r="G434">
        <v>-701</v>
      </c>
      <c r="H434">
        <v>-85</v>
      </c>
      <c r="I434">
        <v>-4</v>
      </c>
      <c r="J434">
        <v>-534</v>
      </c>
      <c r="K434">
        <v>-295</v>
      </c>
    </row>
    <row r="435" spans="2:11" x14ac:dyDescent="0.25">
      <c r="B435">
        <v>1562</v>
      </c>
      <c r="C435">
        <v>-2786</v>
      </c>
      <c r="D435">
        <v>-60</v>
      </c>
      <c r="E435">
        <v>-481</v>
      </c>
      <c r="F435">
        <v>-619</v>
      </c>
      <c r="G435">
        <v>-83</v>
      </c>
      <c r="H435">
        <v>37</v>
      </c>
      <c r="I435">
        <v>-438</v>
      </c>
      <c r="J435">
        <v>178</v>
      </c>
      <c r="K435">
        <v>-289</v>
      </c>
    </row>
    <row r="436" spans="2:11" x14ac:dyDescent="0.25">
      <c r="B436">
        <v>-175</v>
      </c>
      <c r="C436">
        <v>-54</v>
      </c>
      <c r="D436">
        <v>-324</v>
      </c>
      <c r="E436">
        <v>-232</v>
      </c>
      <c r="F436">
        <v>-465</v>
      </c>
      <c r="G436">
        <v>268</v>
      </c>
      <c r="H436">
        <v>-840</v>
      </c>
      <c r="I436">
        <v>13777</v>
      </c>
      <c r="J436">
        <v>0</v>
      </c>
      <c r="K436">
        <v>0</v>
      </c>
    </row>
    <row r="437" spans="2:11" x14ac:dyDescent="0.25">
      <c r="B437">
        <v>-589</v>
      </c>
      <c r="C437">
        <v>0</v>
      </c>
      <c r="D437">
        <v>391</v>
      </c>
      <c r="E437">
        <v>158</v>
      </c>
      <c r="F437">
        <v>-418</v>
      </c>
      <c r="G437">
        <v>126</v>
      </c>
      <c r="H437">
        <v>5368</v>
      </c>
      <c r="I437">
        <v>-3921</v>
      </c>
      <c r="J437">
        <v>-1983</v>
      </c>
      <c r="K437">
        <v>0</v>
      </c>
    </row>
    <row r="438" spans="2:11" x14ac:dyDescent="0.25">
      <c r="B438">
        <v>-1642</v>
      </c>
      <c r="C438">
        <v>-1779</v>
      </c>
      <c r="D438">
        <v>-1324</v>
      </c>
      <c r="E438">
        <v>-540</v>
      </c>
      <c r="F438">
        <v>1178</v>
      </c>
      <c r="G438">
        <v>0</v>
      </c>
      <c r="H438">
        <v>22585</v>
      </c>
      <c r="I438">
        <v>0</v>
      </c>
      <c r="J438">
        <v>37086</v>
      </c>
      <c r="K438">
        <v>35763</v>
      </c>
    </row>
    <row r="439" spans="2:11" x14ac:dyDescent="0.25"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522</v>
      </c>
      <c r="E447">
        <v>622</v>
      </c>
      <c r="F447">
        <v>-135</v>
      </c>
      <c r="G447">
        <v>-1163</v>
      </c>
      <c r="H447">
        <v>2789</v>
      </c>
      <c r="I447">
        <v>2682</v>
      </c>
      <c r="J447">
        <v>888</v>
      </c>
      <c r="K447">
        <v>-262</v>
      </c>
    </row>
    <row r="448" spans="2:11" x14ac:dyDescent="0.25">
      <c r="B448">
        <v>-1347</v>
      </c>
      <c r="C448">
        <v>-1122</v>
      </c>
      <c r="D448">
        <v>-520</v>
      </c>
      <c r="E448">
        <v>-260</v>
      </c>
      <c r="F448">
        <v>-2679</v>
      </c>
      <c r="G448">
        <v>32</v>
      </c>
      <c r="H448">
        <v>59</v>
      </c>
      <c r="I448">
        <v>0</v>
      </c>
      <c r="J448">
        <v>0</v>
      </c>
      <c r="K448">
        <v>0</v>
      </c>
    </row>
    <row r="449" spans="2:11" x14ac:dyDescent="0.25">
      <c r="B449">
        <v>-174</v>
      </c>
      <c r="C449">
        <v>-193</v>
      </c>
      <c r="D449">
        <v>389</v>
      </c>
      <c r="E449">
        <v>562</v>
      </c>
      <c r="F449">
        <v>212</v>
      </c>
      <c r="G449">
        <v>-1778</v>
      </c>
      <c r="H449">
        <v>2616</v>
      </c>
      <c r="I449">
        <v>-709</v>
      </c>
      <c r="J449">
        <v>-1832</v>
      </c>
      <c r="K449">
        <v>2263</v>
      </c>
    </row>
    <row r="450" spans="2:11" x14ac:dyDescent="0.25">
      <c r="B450">
        <v>764</v>
      </c>
      <c r="C450">
        <v>4474</v>
      </c>
      <c r="D450">
        <v>-3452</v>
      </c>
      <c r="E450">
        <v>14585</v>
      </c>
      <c r="F450">
        <v>7470</v>
      </c>
      <c r="G450">
        <v>-1460</v>
      </c>
      <c r="H450">
        <v>-447</v>
      </c>
      <c r="I450">
        <v>47</v>
      </c>
      <c r="J450">
        <v>391</v>
      </c>
      <c r="K450">
        <v>84</v>
      </c>
    </row>
    <row r="451" spans="2:11" x14ac:dyDescent="0.25">
      <c r="B451">
        <v>95</v>
      </c>
      <c r="C451">
        <v>1319</v>
      </c>
      <c r="D451">
        <v>-2429</v>
      </c>
      <c r="E451">
        <v>116</v>
      </c>
      <c r="F451">
        <v>-261</v>
      </c>
      <c r="G451">
        <v>-276</v>
      </c>
      <c r="H451">
        <v>357</v>
      </c>
      <c r="I451">
        <v>346</v>
      </c>
      <c r="J451">
        <v>-346</v>
      </c>
      <c r="K451">
        <v>361</v>
      </c>
    </row>
    <row r="452" spans="2:11" x14ac:dyDescent="0.25">
      <c r="B452">
        <v>14</v>
      </c>
      <c r="C452">
        <v>264</v>
      </c>
      <c r="D452">
        <v>649</v>
      </c>
      <c r="E452">
        <v>-31</v>
      </c>
      <c r="F452">
        <v>-207</v>
      </c>
      <c r="G452">
        <v>-418</v>
      </c>
      <c r="H452">
        <v>200</v>
      </c>
      <c r="I452">
        <v>-743</v>
      </c>
      <c r="J452">
        <v>12131</v>
      </c>
      <c r="K452">
        <v>0</v>
      </c>
    </row>
    <row r="453" spans="2:11" x14ac:dyDescent="0.25">
      <c r="B453">
        <v>0</v>
      </c>
      <c r="C453">
        <v>-459</v>
      </c>
      <c r="D453">
        <v>0</v>
      </c>
      <c r="E453">
        <v>392</v>
      </c>
      <c r="F453">
        <v>173</v>
      </c>
      <c r="G453">
        <v>-394</v>
      </c>
      <c r="H453">
        <v>138</v>
      </c>
      <c r="I453">
        <v>4745</v>
      </c>
      <c r="J453">
        <v>-3371</v>
      </c>
      <c r="K453">
        <v>-1685</v>
      </c>
    </row>
    <row r="454" spans="2:11" x14ac:dyDescent="0.25">
      <c r="B454">
        <v>0</v>
      </c>
      <c r="C454">
        <v>-1386</v>
      </c>
      <c r="D454">
        <v>-1498</v>
      </c>
      <c r="E454">
        <v>-1048</v>
      </c>
      <c r="F454">
        <v>-419</v>
      </c>
      <c r="G454">
        <v>1092</v>
      </c>
      <c r="H454">
        <v>0</v>
      </c>
      <c r="I454">
        <v>13235</v>
      </c>
      <c r="J454">
        <v>0</v>
      </c>
      <c r="K454">
        <v>29887</v>
      </c>
    </row>
    <row r="455" spans="2:11" x14ac:dyDescent="0.25">
      <c r="B455">
        <v>27615</v>
      </c>
      <c r="C455">
        <v>17832</v>
      </c>
      <c r="D455">
        <v>0</v>
      </c>
      <c r="E455">
        <v>0</v>
      </c>
      <c r="F455">
        <v>-1906</v>
      </c>
      <c r="G455">
        <v>-583</v>
      </c>
      <c r="H455">
        <v>-1691</v>
      </c>
      <c r="I455">
        <v>-369</v>
      </c>
      <c r="J455">
        <v>-1631</v>
      </c>
      <c r="K455">
        <v>3245</v>
      </c>
    </row>
    <row r="456" spans="2:11" x14ac:dyDescent="0.25">
      <c r="B456">
        <v>67</v>
      </c>
      <c r="C456">
        <v>244</v>
      </c>
      <c r="D456">
        <v>-704</v>
      </c>
      <c r="E456">
        <v>-1081</v>
      </c>
      <c r="F456">
        <v>1536</v>
      </c>
      <c r="G456">
        <v>-1836</v>
      </c>
      <c r="H456">
        <v>1964</v>
      </c>
      <c r="I456">
        <v>-2211</v>
      </c>
      <c r="J456">
        <v>-6467</v>
      </c>
      <c r="K456">
        <v>0</v>
      </c>
    </row>
    <row r="457" spans="2:11" x14ac:dyDescent="0.25">
      <c r="B457">
        <v>0</v>
      </c>
      <c r="C457">
        <v>0</v>
      </c>
      <c r="D457">
        <v>-787</v>
      </c>
      <c r="E457">
        <v>-1242</v>
      </c>
      <c r="F457">
        <v>414</v>
      </c>
      <c r="G457">
        <v>-343</v>
      </c>
      <c r="H457">
        <v>1100</v>
      </c>
      <c r="I457">
        <v>-8086</v>
      </c>
      <c r="J457">
        <v>2057</v>
      </c>
      <c r="K457">
        <v>-3245</v>
      </c>
    </row>
    <row r="458" spans="2:11" x14ac:dyDescent="0.25">
      <c r="B458">
        <v>2633</v>
      </c>
      <c r="C458">
        <v>206</v>
      </c>
      <c r="D458">
        <v>-2223</v>
      </c>
      <c r="E458">
        <v>4230</v>
      </c>
      <c r="F458">
        <v>25342</v>
      </c>
      <c r="G458">
        <v>25989</v>
      </c>
      <c r="H458">
        <v>-22646</v>
      </c>
      <c r="I458">
        <v>-4018</v>
      </c>
      <c r="J458">
        <v>-3056</v>
      </c>
      <c r="K458">
        <v>-476</v>
      </c>
    </row>
    <row r="459" spans="2:11" x14ac:dyDescent="0.25">
      <c r="B459">
        <v>68</v>
      </c>
      <c r="C459">
        <v>-2452</v>
      </c>
      <c r="D459">
        <v>-954</v>
      </c>
      <c r="E459">
        <v>6176</v>
      </c>
      <c r="F459">
        <v>-11132</v>
      </c>
      <c r="G459">
        <v>-601</v>
      </c>
      <c r="H459">
        <v>-1176</v>
      </c>
      <c r="I459">
        <v>-1717</v>
      </c>
      <c r="J459">
        <v>-576</v>
      </c>
      <c r="K459">
        <v>314</v>
      </c>
    </row>
    <row r="460" spans="2:11" x14ac:dyDescent="0.25">
      <c r="B460">
        <v>-2068</v>
      </c>
      <c r="C460">
        <v>502</v>
      </c>
      <c r="D460">
        <v>-1165</v>
      </c>
      <c r="E460">
        <v>-478</v>
      </c>
      <c r="F460">
        <v>-708</v>
      </c>
      <c r="G460">
        <v>-75</v>
      </c>
      <c r="H460">
        <v>-519</v>
      </c>
      <c r="I460">
        <v>-2220</v>
      </c>
      <c r="J460">
        <v>962</v>
      </c>
      <c r="K460">
        <v>-2982</v>
      </c>
    </row>
    <row r="461" spans="2:11" x14ac:dyDescent="0.25">
      <c r="B461">
        <v>59898</v>
      </c>
      <c r="C461">
        <v>0</v>
      </c>
      <c r="D461">
        <v>0</v>
      </c>
      <c r="E461">
        <v>-1732</v>
      </c>
      <c r="F461">
        <v>0</v>
      </c>
      <c r="G461">
        <v>2078</v>
      </c>
      <c r="H461">
        <v>999</v>
      </c>
      <c r="I461">
        <v>-1707</v>
      </c>
      <c r="J461">
        <v>1122</v>
      </c>
      <c r="K461">
        <v>23875</v>
      </c>
    </row>
    <row r="462" spans="2:11" x14ac:dyDescent="0.25">
      <c r="B462">
        <v>-15313</v>
      </c>
      <c r="C462">
        <v>-7006</v>
      </c>
      <c r="D462">
        <v>0</v>
      </c>
      <c r="E462">
        <v>-5598</v>
      </c>
      <c r="F462">
        <v>-6066</v>
      </c>
      <c r="G462">
        <v>-4588</v>
      </c>
      <c r="H462">
        <v>-1418</v>
      </c>
      <c r="I462">
        <v>6797</v>
      </c>
      <c r="J462">
        <v>0</v>
      </c>
      <c r="K462">
        <v>37896</v>
      </c>
    </row>
    <row r="463" spans="2:11" x14ac:dyDescent="0.25">
      <c r="B463">
        <v>0</v>
      </c>
      <c r="C463">
        <v>49817</v>
      </c>
      <c r="D463">
        <v>58024</v>
      </c>
      <c r="E463">
        <v>35614</v>
      </c>
      <c r="F463">
        <v>0</v>
      </c>
      <c r="G463">
        <v>24485</v>
      </c>
      <c r="H463">
        <v>0</v>
      </c>
      <c r="I463">
        <v>-2765</v>
      </c>
      <c r="J463">
        <v>-1613</v>
      </c>
      <c r="K463">
        <v>-1538</v>
      </c>
    </row>
    <row r="464" spans="2:11" x14ac:dyDescent="0.25">
      <c r="B464">
        <v>-1159</v>
      </c>
      <c r="C464">
        <v>-160</v>
      </c>
      <c r="D464">
        <v>1246</v>
      </c>
      <c r="E464">
        <v>1577</v>
      </c>
      <c r="F464">
        <v>-1384</v>
      </c>
      <c r="G464">
        <v>1021</v>
      </c>
      <c r="H464">
        <v>28</v>
      </c>
      <c r="I464">
        <v>1097</v>
      </c>
      <c r="J464">
        <v>-1569</v>
      </c>
      <c r="K464">
        <v>-946</v>
      </c>
    </row>
    <row r="465" spans="2:11" x14ac:dyDescent="0.25">
      <c r="B465">
        <v>-650</v>
      </c>
      <c r="C465">
        <v>-949</v>
      </c>
      <c r="D465">
        <v>0</v>
      </c>
      <c r="E465">
        <v>0</v>
      </c>
      <c r="F465">
        <v>0</v>
      </c>
      <c r="G465">
        <v>1168</v>
      </c>
      <c r="H465">
        <v>119</v>
      </c>
      <c r="I465">
        <v>114</v>
      </c>
      <c r="J465">
        <v>-101</v>
      </c>
      <c r="K465">
        <v>103</v>
      </c>
    </row>
    <row r="466" spans="2:11" x14ac:dyDescent="0.25">
      <c r="B466">
        <v>-818</v>
      </c>
      <c r="C466">
        <v>1844</v>
      </c>
      <c r="D466">
        <v>2743</v>
      </c>
      <c r="E466">
        <v>-931</v>
      </c>
      <c r="F466">
        <v>-1226</v>
      </c>
      <c r="G466">
        <v>-1151</v>
      </c>
      <c r="H466">
        <v>-3148</v>
      </c>
      <c r="I466">
        <v>4565</v>
      </c>
      <c r="J466">
        <v>12521</v>
      </c>
      <c r="K466">
        <v>-9777</v>
      </c>
    </row>
    <row r="467" spans="2:11" x14ac:dyDescent="0.25">
      <c r="B467">
        <v>13368</v>
      </c>
      <c r="C467">
        <v>-235</v>
      </c>
      <c r="D467">
        <v>-221</v>
      </c>
      <c r="E467">
        <v>-395</v>
      </c>
      <c r="F467">
        <v>-440</v>
      </c>
      <c r="G467">
        <v>-733</v>
      </c>
      <c r="H467">
        <v>489</v>
      </c>
      <c r="I467">
        <v>-1091</v>
      </c>
      <c r="J467">
        <v>-180</v>
      </c>
      <c r="K467">
        <v>-306</v>
      </c>
    </row>
    <row r="468" spans="2:11" x14ac:dyDescent="0.25">
      <c r="B468">
        <v>-524</v>
      </c>
      <c r="C468">
        <v>-306</v>
      </c>
      <c r="D468">
        <v>-649</v>
      </c>
      <c r="E468">
        <v>-360</v>
      </c>
      <c r="F468">
        <v>376</v>
      </c>
      <c r="G468">
        <v>-284</v>
      </c>
      <c r="H468">
        <v>-344</v>
      </c>
      <c r="I468">
        <v>-121</v>
      </c>
      <c r="J468">
        <v>-881</v>
      </c>
      <c r="K468">
        <v>-70</v>
      </c>
    </row>
    <row r="469" spans="2:11" x14ac:dyDescent="0.25">
      <c r="B469">
        <v>-202</v>
      </c>
      <c r="C469">
        <v>89</v>
      </c>
      <c r="D469">
        <v>-320</v>
      </c>
      <c r="E469">
        <v>5676</v>
      </c>
      <c r="F469">
        <v>0</v>
      </c>
      <c r="G469">
        <v>0</v>
      </c>
      <c r="H469">
        <v>-203</v>
      </c>
      <c r="I469">
        <v>0</v>
      </c>
      <c r="J469">
        <v>215</v>
      </c>
      <c r="K469">
        <v>85</v>
      </c>
    </row>
    <row r="470" spans="2:11" x14ac:dyDescent="0.25">
      <c r="B470">
        <v>-112</v>
      </c>
      <c r="C470">
        <v>72</v>
      </c>
      <c r="D470">
        <v>2208</v>
      </c>
      <c r="E470">
        <v>-1473</v>
      </c>
      <c r="F470">
        <v>-690</v>
      </c>
      <c r="G470">
        <v>0</v>
      </c>
      <c r="H470">
        <v>-554</v>
      </c>
      <c r="I470">
        <v>-597</v>
      </c>
      <c r="J470">
        <v>-498</v>
      </c>
      <c r="K470">
        <v>-146</v>
      </c>
    </row>
    <row r="471" spans="2:11" x14ac:dyDescent="0.25">
      <c r="B471">
        <v>611</v>
      </c>
      <c r="C471">
        <v>0</v>
      </c>
      <c r="D471">
        <v>-17453</v>
      </c>
      <c r="E471">
        <v>0</v>
      </c>
      <c r="F471">
        <v>16467</v>
      </c>
      <c r="G471">
        <v>17795</v>
      </c>
      <c r="H471">
        <v>10484</v>
      </c>
      <c r="I471">
        <v>0</v>
      </c>
      <c r="J471">
        <v>7047</v>
      </c>
      <c r="K471">
        <v>20424</v>
      </c>
    </row>
    <row r="472" spans="2:11" x14ac:dyDescent="0.25">
      <c r="B472">
        <v>0</v>
      </c>
      <c r="C472">
        <v>-229</v>
      </c>
      <c r="D472">
        <v>-31</v>
      </c>
      <c r="E472">
        <v>-167</v>
      </c>
      <c r="F472">
        <v>-488</v>
      </c>
      <c r="G472">
        <v>-869</v>
      </c>
      <c r="H472">
        <v>1724</v>
      </c>
      <c r="I472">
        <v>-1086</v>
      </c>
      <c r="J472">
        <v>72</v>
      </c>
      <c r="K472">
        <v>-145</v>
      </c>
    </row>
    <row r="473" spans="2:11" x14ac:dyDescent="0.25">
      <c r="B473">
        <v>297</v>
      </c>
      <c r="C473">
        <v>-689</v>
      </c>
      <c r="D473">
        <v>681</v>
      </c>
      <c r="E473">
        <v>-594</v>
      </c>
      <c r="F473">
        <v>-1178</v>
      </c>
      <c r="G473">
        <v>-2375</v>
      </c>
      <c r="H473">
        <v>0</v>
      </c>
      <c r="I473">
        <v>0</v>
      </c>
      <c r="J473">
        <v>0</v>
      </c>
      <c r="K473">
        <v>-579</v>
      </c>
    </row>
    <row r="474" spans="2:11" x14ac:dyDescent="0.25">
      <c r="B474">
        <v>-410</v>
      </c>
      <c r="C474">
        <v>-13</v>
      </c>
      <c r="D474">
        <v>35</v>
      </c>
      <c r="E474">
        <v>126</v>
      </c>
      <c r="F474">
        <v>-1171</v>
      </c>
      <c r="G474">
        <v>-236</v>
      </c>
      <c r="H474">
        <v>-505</v>
      </c>
      <c r="I474">
        <v>48</v>
      </c>
      <c r="J474">
        <v>-14</v>
      </c>
      <c r="K474">
        <v>-131</v>
      </c>
    </row>
    <row r="475" spans="2:11" x14ac:dyDescent="0.25">
      <c r="B475">
        <v>100</v>
      </c>
      <c r="C475">
        <v>-577</v>
      </c>
      <c r="D475">
        <v>-1019</v>
      </c>
      <c r="E475">
        <v>233</v>
      </c>
      <c r="F475">
        <v>-516</v>
      </c>
      <c r="G475">
        <v>2986</v>
      </c>
      <c r="H475">
        <v>1099</v>
      </c>
      <c r="I475">
        <v>-1907</v>
      </c>
      <c r="J475">
        <v>5538</v>
      </c>
      <c r="K475">
        <v>1537</v>
      </c>
    </row>
    <row r="476" spans="2:11" x14ac:dyDescent="0.25">
      <c r="B476">
        <v>16198</v>
      </c>
      <c r="C476">
        <v>28814</v>
      </c>
      <c r="D476">
        <v>-50</v>
      </c>
      <c r="E476">
        <v>-290</v>
      </c>
      <c r="F476">
        <v>-424</v>
      </c>
      <c r="G476">
        <v>21</v>
      </c>
      <c r="H476">
        <v>206</v>
      </c>
      <c r="I476">
        <v>-141</v>
      </c>
      <c r="J476">
        <v>-67</v>
      </c>
      <c r="K476">
        <v>-254</v>
      </c>
    </row>
    <row r="477" spans="2:11" x14ac:dyDescent="0.25">
      <c r="B477">
        <v>-88</v>
      </c>
      <c r="C477">
        <v>62</v>
      </c>
      <c r="D477">
        <v>138</v>
      </c>
      <c r="E477">
        <v>-189</v>
      </c>
      <c r="F477">
        <v>-287</v>
      </c>
      <c r="G477">
        <v>144</v>
      </c>
      <c r="H477">
        <v>-621</v>
      </c>
      <c r="I477">
        <v>8968</v>
      </c>
      <c r="J477">
        <v>0</v>
      </c>
      <c r="K477">
        <v>0</v>
      </c>
    </row>
    <row r="478" spans="2:11" x14ac:dyDescent="0.25">
      <c r="B478">
        <v>-449</v>
      </c>
      <c r="C478">
        <v>0</v>
      </c>
      <c r="D478">
        <v>236</v>
      </c>
      <c r="E478">
        <v>62</v>
      </c>
      <c r="F478">
        <v>-145</v>
      </c>
      <c r="G478">
        <v>39</v>
      </c>
      <c r="H478">
        <v>3535</v>
      </c>
      <c r="I478">
        <v>-2701</v>
      </c>
      <c r="J478">
        <v>-1448</v>
      </c>
      <c r="K478">
        <v>0</v>
      </c>
    </row>
    <row r="479" spans="2:11" x14ac:dyDescent="0.25">
      <c r="B479">
        <v>-1205</v>
      </c>
      <c r="C479">
        <v>-1292</v>
      </c>
      <c r="D479">
        <v>-863</v>
      </c>
      <c r="E479">
        <v>-427</v>
      </c>
      <c r="F479">
        <v>635</v>
      </c>
      <c r="G479">
        <v>0</v>
      </c>
      <c r="H479">
        <v>-107</v>
      </c>
      <c r="I479">
        <v>0</v>
      </c>
      <c r="J479">
        <v>930</v>
      </c>
      <c r="K479">
        <v>1830</v>
      </c>
    </row>
    <row r="480" spans="2:11" x14ac:dyDescent="0.25">
      <c r="B480">
        <v>921</v>
      </c>
      <c r="C480">
        <v>0</v>
      </c>
      <c r="D480">
        <v>889</v>
      </c>
      <c r="E480">
        <v>5338</v>
      </c>
      <c r="F480">
        <v>432</v>
      </c>
      <c r="G480">
        <v>0</v>
      </c>
      <c r="H480">
        <v>-2752</v>
      </c>
      <c r="I480">
        <v>-1766</v>
      </c>
      <c r="J480">
        <v>180</v>
      </c>
      <c r="K480">
        <v>813</v>
      </c>
    </row>
    <row r="481" spans="2:11" x14ac:dyDescent="0.25">
      <c r="B481">
        <v>-1449</v>
      </c>
      <c r="C481">
        <v>1585</v>
      </c>
      <c r="D481">
        <v>4325</v>
      </c>
      <c r="E481">
        <v>-3418</v>
      </c>
      <c r="F481">
        <v>-1074</v>
      </c>
      <c r="G481">
        <v>85</v>
      </c>
      <c r="H481">
        <v>-343</v>
      </c>
      <c r="I481">
        <v>-466</v>
      </c>
      <c r="J481">
        <v>2077</v>
      </c>
      <c r="K481">
        <v>-252</v>
      </c>
    </row>
    <row r="482" spans="2:11" x14ac:dyDescent="0.25">
      <c r="B482">
        <v>-1376</v>
      </c>
      <c r="C482">
        <v>0</v>
      </c>
      <c r="D482">
        <v>0</v>
      </c>
      <c r="E482">
        <v>0</v>
      </c>
      <c r="F482">
        <v>1135</v>
      </c>
      <c r="G482">
        <v>2</v>
      </c>
      <c r="H482">
        <v>-336</v>
      </c>
      <c r="I482">
        <v>-654</v>
      </c>
      <c r="J482">
        <v>105</v>
      </c>
      <c r="K482">
        <v>-549</v>
      </c>
    </row>
    <row r="483" spans="2:11" x14ac:dyDescent="0.25">
      <c r="B483">
        <v>579</v>
      </c>
      <c r="C483">
        <v>-342</v>
      </c>
      <c r="D483">
        <v>-671</v>
      </c>
      <c r="E483">
        <v>-997</v>
      </c>
      <c r="F483">
        <v>-1001</v>
      </c>
      <c r="G483">
        <v>43</v>
      </c>
      <c r="H483">
        <v>-230</v>
      </c>
      <c r="I483">
        <v>-602</v>
      </c>
      <c r="J483">
        <v>296</v>
      </c>
      <c r="K483">
        <v>-264</v>
      </c>
    </row>
    <row r="484" spans="2:11" x14ac:dyDescent="0.25">
      <c r="B484">
        <v>-1503</v>
      </c>
      <c r="C484">
        <v>533</v>
      </c>
      <c r="D484">
        <v>-2977</v>
      </c>
      <c r="E484">
        <v>1234</v>
      </c>
      <c r="F484">
        <v>-2634</v>
      </c>
      <c r="G484">
        <v>-1712</v>
      </c>
      <c r="H484">
        <v>8038</v>
      </c>
      <c r="I484">
        <v>102</v>
      </c>
      <c r="J484">
        <v>-356</v>
      </c>
      <c r="K484">
        <v>-971</v>
      </c>
    </row>
    <row r="485" spans="2:11" x14ac:dyDescent="0.25">
      <c r="B485">
        <v>-756</v>
      </c>
      <c r="C485">
        <v>-460</v>
      </c>
      <c r="D485">
        <v>-82</v>
      </c>
      <c r="E485">
        <v>846</v>
      </c>
      <c r="F485">
        <v>-102</v>
      </c>
      <c r="G485">
        <v>-464</v>
      </c>
      <c r="H485">
        <v>-734</v>
      </c>
      <c r="I485">
        <v>-419</v>
      </c>
      <c r="J485">
        <v>-13</v>
      </c>
      <c r="K485">
        <v>-223</v>
      </c>
    </row>
    <row r="486" spans="2:11" x14ac:dyDescent="0.25">
      <c r="B486">
        <v>182</v>
      </c>
      <c r="C486">
        <v>-403</v>
      </c>
      <c r="D486">
        <v>6011</v>
      </c>
      <c r="E486">
        <v>0</v>
      </c>
      <c r="F486">
        <v>0</v>
      </c>
      <c r="G486">
        <v>-323</v>
      </c>
      <c r="H486">
        <v>0</v>
      </c>
      <c r="I486">
        <v>158</v>
      </c>
      <c r="J486">
        <v>25</v>
      </c>
      <c r="K486">
        <v>-100</v>
      </c>
    </row>
    <row r="487" spans="2:11" x14ac:dyDescent="0.25">
      <c r="B487">
        <v>25</v>
      </c>
      <c r="C487">
        <v>2291</v>
      </c>
      <c r="D487">
        <v>-1772</v>
      </c>
      <c r="E487">
        <v>-943</v>
      </c>
      <c r="F487">
        <v>0</v>
      </c>
      <c r="G487">
        <v>-793</v>
      </c>
      <c r="H487">
        <v>-841</v>
      </c>
      <c r="I487">
        <v>-599</v>
      </c>
      <c r="J487">
        <v>-275</v>
      </c>
      <c r="K487">
        <v>456</v>
      </c>
    </row>
    <row r="488" spans="2:11" x14ac:dyDescent="0.25">
      <c r="B488">
        <v>0</v>
      </c>
      <c r="C488">
        <v>-75</v>
      </c>
      <c r="D488">
        <v>0</v>
      </c>
      <c r="E488">
        <v>662</v>
      </c>
      <c r="F488">
        <v>1249</v>
      </c>
      <c r="G488">
        <v>619</v>
      </c>
      <c r="H488">
        <v>0</v>
      </c>
      <c r="I488">
        <v>643</v>
      </c>
      <c r="J488">
        <v>3594</v>
      </c>
      <c r="K488">
        <v>328</v>
      </c>
    </row>
    <row r="489" spans="2:11" x14ac:dyDescent="0.25">
      <c r="B489">
        <v>-15624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</row>
    <row r="490" spans="2:11" x14ac:dyDescent="0.25"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-2162</v>
      </c>
    </row>
    <row r="498" spans="2:11" x14ac:dyDescent="0.25">
      <c r="B498">
        <v>-1938</v>
      </c>
      <c r="C498">
        <v>-1470</v>
      </c>
      <c r="D498">
        <v>-1192</v>
      </c>
      <c r="E498">
        <v>-1068</v>
      </c>
      <c r="F498">
        <v>1000</v>
      </c>
      <c r="G498">
        <v>-851</v>
      </c>
      <c r="H498">
        <v>928</v>
      </c>
      <c r="I498">
        <v>-454</v>
      </c>
      <c r="J498">
        <v>-537</v>
      </c>
      <c r="K498">
        <v>-754</v>
      </c>
    </row>
    <row r="499" spans="2:11" x14ac:dyDescent="0.25">
      <c r="B499">
        <v>-339</v>
      </c>
      <c r="C499">
        <v>20</v>
      </c>
      <c r="D499">
        <v>-915</v>
      </c>
      <c r="E499">
        <v>-1454</v>
      </c>
      <c r="F499">
        <v>0</v>
      </c>
      <c r="G499">
        <v>0</v>
      </c>
      <c r="H499">
        <v>0</v>
      </c>
      <c r="I499">
        <v>425</v>
      </c>
      <c r="J499">
        <v>-147</v>
      </c>
      <c r="K499">
        <v>139</v>
      </c>
    </row>
    <row r="500" spans="2:11" x14ac:dyDescent="0.25">
      <c r="B500">
        <v>155</v>
      </c>
      <c r="C500">
        <v>175</v>
      </c>
      <c r="D500">
        <v>-1067</v>
      </c>
      <c r="E500">
        <v>-130</v>
      </c>
      <c r="F500">
        <v>-416</v>
      </c>
      <c r="G500">
        <v>-176</v>
      </c>
      <c r="H500">
        <v>-59</v>
      </c>
      <c r="I500">
        <v>-1008</v>
      </c>
      <c r="J500">
        <v>100</v>
      </c>
      <c r="K500">
        <v>-583</v>
      </c>
    </row>
    <row r="501" spans="2:11" x14ac:dyDescent="0.25">
      <c r="B501">
        <v>-839</v>
      </c>
      <c r="C501">
        <v>175</v>
      </c>
      <c r="D501">
        <v>-498</v>
      </c>
      <c r="E501">
        <v>1795</v>
      </c>
      <c r="F501">
        <v>536</v>
      </c>
      <c r="G501">
        <v>4164</v>
      </c>
      <c r="H501">
        <v>878</v>
      </c>
      <c r="I501">
        <v>4381</v>
      </c>
      <c r="J501">
        <v>4325</v>
      </c>
      <c r="K501">
        <v>10017</v>
      </c>
    </row>
    <row r="502" spans="2:11" x14ac:dyDescent="0.25">
      <c r="B502">
        <v>-233</v>
      </c>
      <c r="C502">
        <v>-368</v>
      </c>
      <c r="D502">
        <v>-505</v>
      </c>
      <c r="E502">
        <v>-11</v>
      </c>
      <c r="F502">
        <v>-164</v>
      </c>
      <c r="G502">
        <v>-364</v>
      </c>
      <c r="H502">
        <v>59</v>
      </c>
      <c r="I502">
        <v>-373</v>
      </c>
      <c r="J502">
        <v>-240</v>
      </c>
      <c r="K502">
        <v>176</v>
      </c>
    </row>
    <row r="503" spans="2:11" x14ac:dyDescent="0.25">
      <c r="B503">
        <v>-455</v>
      </c>
      <c r="C503">
        <v>-205</v>
      </c>
      <c r="D503">
        <v>-202</v>
      </c>
      <c r="E503">
        <v>121</v>
      </c>
      <c r="F503">
        <v>-481</v>
      </c>
      <c r="G503">
        <v>8073</v>
      </c>
      <c r="H503">
        <v>0</v>
      </c>
      <c r="I503">
        <v>0</v>
      </c>
      <c r="J503">
        <v>-392</v>
      </c>
      <c r="K503">
        <v>0</v>
      </c>
    </row>
    <row r="504" spans="2:11" x14ac:dyDescent="0.25">
      <c r="B504">
        <v>226</v>
      </c>
      <c r="C504">
        <v>38</v>
      </c>
      <c r="D504">
        <v>-116</v>
      </c>
      <c r="E504">
        <v>16</v>
      </c>
      <c r="F504">
        <v>3141</v>
      </c>
      <c r="G504">
        <v>-2308</v>
      </c>
      <c r="H504">
        <v>-1188</v>
      </c>
      <c r="I504">
        <v>0</v>
      </c>
      <c r="J504">
        <v>-971</v>
      </c>
      <c r="K504">
        <v>-1076</v>
      </c>
    </row>
    <row r="505" spans="2:11" x14ac:dyDescent="0.25">
      <c r="B505">
        <v>-734</v>
      </c>
      <c r="C505">
        <v>-348</v>
      </c>
      <c r="D505">
        <v>667</v>
      </c>
      <c r="E505">
        <v>0</v>
      </c>
      <c r="F505">
        <v>-82</v>
      </c>
      <c r="G505">
        <v>0</v>
      </c>
      <c r="H505">
        <v>922</v>
      </c>
      <c r="I505">
        <v>1721</v>
      </c>
      <c r="J505">
        <v>899</v>
      </c>
      <c r="K505">
        <v>0</v>
      </c>
    </row>
    <row r="506" spans="2:11" x14ac:dyDescent="0.25">
      <c r="B506">
        <v>831</v>
      </c>
      <c r="C506">
        <v>4849</v>
      </c>
      <c r="D506">
        <v>462</v>
      </c>
      <c r="E506">
        <v>-19235</v>
      </c>
      <c r="F506">
        <v>-11315</v>
      </c>
      <c r="G506">
        <v>0</v>
      </c>
      <c r="H506">
        <v>0</v>
      </c>
      <c r="I506">
        <v>0</v>
      </c>
      <c r="J506">
        <v>0</v>
      </c>
      <c r="K506">
        <v>0</v>
      </c>
    </row>
    <row r="507" spans="2:11" x14ac:dyDescent="0.25"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</row>
    <row r="535" spans="2:11" x14ac:dyDescent="0.25"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</row>
    <row r="536" spans="2:11" x14ac:dyDescent="0.25"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</row>
    <row r="537" spans="2:11" x14ac:dyDescent="0.25"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</row>
    <row r="538" spans="2:11" x14ac:dyDescent="0.25"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</row>
    <row r="539" spans="2:11" x14ac:dyDescent="0.25"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</row>
    <row r="540" spans="2:11" x14ac:dyDescent="0.25"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</row>
    <row r="541" spans="2:11" x14ac:dyDescent="0.25"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</row>
    <row r="542" spans="2:11" x14ac:dyDescent="0.25"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</row>
    <row r="543" spans="2:11" x14ac:dyDescent="0.25"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</row>
    <row r="544" spans="2:11" x14ac:dyDescent="0.25"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</row>
    <row r="545" spans="2:11" x14ac:dyDescent="0.25"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</row>
    <row r="546" spans="2:11" x14ac:dyDescent="0.25"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</row>
    <row r="547" spans="2:11" x14ac:dyDescent="0.25"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</row>
    <row r="548" spans="2:11" x14ac:dyDescent="0.25"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</row>
    <row r="549" spans="2:11" x14ac:dyDescent="0.25"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</row>
    <row r="550" spans="2:11" x14ac:dyDescent="0.25"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</row>
    <row r="551" spans="2:11" x14ac:dyDescent="0.25"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</row>
    <row r="552" spans="2:11" x14ac:dyDescent="0.25">
      <c r="B552">
        <v>0</v>
      </c>
      <c r="C552">
        <v>0</v>
      </c>
      <c r="D552">
        <v>1231</v>
      </c>
      <c r="E552">
        <v>-1260</v>
      </c>
      <c r="F552">
        <v>948</v>
      </c>
      <c r="G552">
        <v>-163</v>
      </c>
      <c r="H552">
        <v>589</v>
      </c>
      <c r="I552">
        <v>-464</v>
      </c>
      <c r="J552">
        <v>-4</v>
      </c>
      <c r="K552">
        <v>121</v>
      </c>
    </row>
    <row r="553" spans="2:11" x14ac:dyDescent="0.25">
      <c r="B553">
        <v>705</v>
      </c>
      <c r="C553">
        <v>-695</v>
      </c>
      <c r="D553">
        <v>-140</v>
      </c>
      <c r="E553">
        <v>1463</v>
      </c>
      <c r="F553">
        <v>127</v>
      </c>
      <c r="G553">
        <v>702</v>
      </c>
      <c r="H553">
        <v>4898</v>
      </c>
      <c r="I553">
        <v>0</v>
      </c>
      <c r="J553">
        <v>0</v>
      </c>
      <c r="K553">
        <v>0</v>
      </c>
    </row>
    <row r="554" spans="2:11" x14ac:dyDescent="0.25">
      <c r="B554">
        <v>439</v>
      </c>
      <c r="C554">
        <v>716</v>
      </c>
      <c r="D554">
        <v>-279</v>
      </c>
      <c r="E554">
        <v>392</v>
      </c>
      <c r="F554">
        <v>-459</v>
      </c>
      <c r="G554">
        <v>4143</v>
      </c>
      <c r="H554">
        <v>918</v>
      </c>
      <c r="I554">
        <v>1011</v>
      </c>
      <c r="J554">
        <v>-236</v>
      </c>
      <c r="K554">
        <v>725</v>
      </c>
    </row>
    <row r="555" spans="2:11" x14ac:dyDescent="0.25">
      <c r="B555">
        <v>1130</v>
      </c>
      <c r="C555">
        <v>-668</v>
      </c>
      <c r="D555">
        <v>2501</v>
      </c>
      <c r="E555">
        <v>2734</v>
      </c>
      <c r="F555">
        <v>-820</v>
      </c>
      <c r="G555">
        <v>1989</v>
      </c>
      <c r="H555">
        <v>1858</v>
      </c>
      <c r="I555">
        <v>284</v>
      </c>
      <c r="J555">
        <v>-26</v>
      </c>
      <c r="K555">
        <v>1750</v>
      </c>
    </row>
    <row r="556" spans="2:11" x14ac:dyDescent="0.25">
      <c r="B556">
        <v>587</v>
      </c>
      <c r="C556">
        <v>-2965</v>
      </c>
      <c r="D556">
        <v>5659</v>
      </c>
      <c r="E556">
        <v>630</v>
      </c>
      <c r="F556">
        <v>638</v>
      </c>
      <c r="G556">
        <v>767</v>
      </c>
      <c r="H556">
        <v>725</v>
      </c>
      <c r="I556">
        <v>10</v>
      </c>
      <c r="J556">
        <v>1132</v>
      </c>
      <c r="K556">
        <v>1779</v>
      </c>
    </row>
    <row r="557" spans="2:11" x14ac:dyDescent="0.25">
      <c r="B557">
        <v>-2663</v>
      </c>
      <c r="C557">
        <v>-744</v>
      </c>
      <c r="D557">
        <v>-1652</v>
      </c>
      <c r="E557">
        <v>2926</v>
      </c>
      <c r="F557">
        <v>-16591</v>
      </c>
      <c r="G557">
        <v>-1833</v>
      </c>
      <c r="H557">
        <v>2112</v>
      </c>
      <c r="I557">
        <v>-1710</v>
      </c>
      <c r="J557">
        <v>-30077</v>
      </c>
      <c r="K557">
        <v>0</v>
      </c>
    </row>
    <row r="558" spans="2:11" x14ac:dyDescent="0.25">
      <c r="B558">
        <v>0</v>
      </c>
      <c r="C558">
        <v>1001</v>
      </c>
      <c r="D558">
        <v>0</v>
      </c>
      <c r="E558">
        <v>-951</v>
      </c>
      <c r="F558">
        <v>-408</v>
      </c>
      <c r="G558">
        <v>722</v>
      </c>
      <c r="H558">
        <v>-513</v>
      </c>
      <c r="I558">
        <v>-11920</v>
      </c>
      <c r="J558">
        <v>8011</v>
      </c>
      <c r="K558">
        <v>3816</v>
      </c>
    </row>
    <row r="559" spans="2:11" x14ac:dyDescent="0.25">
      <c r="B559">
        <v>0</v>
      </c>
      <c r="C559">
        <v>3111</v>
      </c>
      <c r="D559">
        <v>3323</v>
      </c>
      <c r="E559">
        <v>2475</v>
      </c>
      <c r="F559">
        <v>910</v>
      </c>
      <c r="G559">
        <v>-3106</v>
      </c>
      <c r="H559">
        <v>0</v>
      </c>
      <c r="I559">
        <v>249</v>
      </c>
      <c r="J559">
        <v>0</v>
      </c>
      <c r="K559">
        <v>-4022</v>
      </c>
    </row>
    <row r="560" spans="2:11" x14ac:dyDescent="0.25">
      <c r="B560">
        <v>-6416</v>
      </c>
      <c r="C560">
        <v>-3945</v>
      </c>
      <c r="D560">
        <v>0</v>
      </c>
      <c r="E560">
        <v>-3529</v>
      </c>
      <c r="F560">
        <v>-17991</v>
      </c>
      <c r="G560">
        <v>-1683</v>
      </c>
      <c r="H560">
        <v>-2501</v>
      </c>
      <c r="I560">
        <v>-1638</v>
      </c>
      <c r="J560">
        <v>0</v>
      </c>
      <c r="K560">
        <v>-2289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</row>
    <row r="563" spans="2:11" x14ac:dyDescent="0.25"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</row>
    <row r="564" spans="2:11" x14ac:dyDescent="0.25"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</row>
    <row r="565" spans="2:11" x14ac:dyDescent="0.25"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</row>
    <row r="566" spans="2:11" x14ac:dyDescent="0.25"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</row>
    <row r="567" spans="2:11" x14ac:dyDescent="0.25"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</row>
    <row r="568" spans="2:11" x14ac:dyDescent="0.25"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</row>
    <row r="569" spans="2:11" x14ac:dyDescent="0.25"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</row>
    <row r="570" spans="2:11" x14ac:dyDescent="0.25"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</row>
    <row r="571" spans="2:11" x14ac:dyDescent="0.25">
      <c r="B571">
        <v>0</v>
      </c>
      <c r="C571">
        <v>949</v>
      </c>
      <c r="D571">
        <v>-1454</v>
      </c>
      <c r="E571">
        <v>435</v>
      </c>
      <c r="F571">
        <v>-352</v>
      </c>
      <c r="G571">
        <v>570</v>
      </c>
      <c r="H571">
        <v>-288</v>
      </c>
      <c r="I571">
        <v>-284</v>
      </c>
      <c r="J571">
        <v>-6</v>
      </c>
      <c r="K571">
        <v>700</v>
      </c>
    </row>
    <row r="572" spans="2:11" x14ac:dyDescent="0.25">
      <c r="B572">
        <v>1973</v>
      </c>
      <c r="C572">
        <v>1043</v>
      </c>
      <c r="D572">
        <v>502</v>
      </c>
      <c r="E572">
        <v>-888</v>
      </c>
      <c r="F572">
        <v>2158</v>
      </c>
      <c r="G572">
        <v>5474</v>
      </c>
      <c r="H572">
        <v>0</v>
      </c>
      <c r="I572">
        <v>0</v>
      </c>
      <c r="J572">
        <v>0</v>
      </c>
      <c r="K572">
        <v>744</v>
      </c>
    </row>
    <row r="573" spans="2:11" x14ac:dyDescent="0.25">
      <c r="B573">
        <v>875</v>
      </c>
      <c r="C573">
        <v>-293</v>
      </c>
      <c r="D573">
        <v>448</v>
      </c>
      <c r="E573">
        <v>-701</v>
      </c>
      <c r="F573">
        <v>5554</v>
      </c>
      <c r="G573">
        <v>983</v>
      </c>
      <c r="H573">
        <v>1149</v>
      </c>
      <c r="I573">
        <v>-256</v>
      </c>
      <c r="J573">
        <v>759</v>
      </c>
      <c r="K573">
        <v>1151</v>
      </c>
    </row>
    <row r="574" spans="2:11" x14ac:dyDescent="0.25">
      <c r="B574">
        <v>-1070</v>
      </c>
      <c r="C574">
        <v>3395</v>
      </c>
      <c r="D574">
        <v>3429</v>
      </c>
      <c r="E574">
        <v>-1120</v>
      </c>
      <c r="F574">
        <v>2613</v>
      </c>
      <c r="G574">
        <v>2169</v>
      </c>
      <c r="H574">
        <v>274</v>
      </c>
      <c r="I574">
        <v>-110</v>
      </c>
      <c r="J574">
        <v>1955</v>
      </c>
      <c r="K574">
        <v>458</v>
      </c>
    </row>
    <row r="575" spans="2:11" x14ac:dyDescent="0.25">
      <c r="B575">
        <v>-4181</v>
      </c>
      <c r="C575">
        <v>7553</v>
      </c>
      <c r="D575">
        <v>722</v>
      </c>
      <c r="E575">
        <v>687</v>
      </c>
      <c r="F575">
        <v>960</v>
      </c>
      <c r="G575">
        <v>720</v>
      </c>
      <c r="H575">
        <v>-224</v>
      </c>
      <c r="I575">
        <v>1574</v>
      </c>
      <c r="J575">
        <v>124</v>
      </c>
      <c r="K575">
        <v>-6358</v>
      </c>
    </row>
    <row r="576" spans="2:11" x14ac:dyDescent="0.25">
      <c r="B576">
        <v>-2925</v>
      </c>
      <c r="C576">
        <v>-2333</v>
      </c>
      <c r="D576">
        <v>2440</v>
      </c>
      <c r="E576">
        <v>96</v>
      </c>
      <c r="F576">
        <v>-18252</v>
      </c>
      <c r="G576">
        <v>3078</v>
      </c>
      <c r="H576">
        <v>659</v>
      </c>
      <c r="I576">
        <v>-41211</v>
      </c>
      <c r="J576">
        <v>0</v>
      </c>
      <c r="K576">
        <v>0</v>
      </c>
    </row>
    <row r="577" spans="2:11" x14ac:dyDescent="0.25">
      <c r="B577">
        <v>1160</v>
      </c>
      <c r="C577">
        <v>0</v>
      </c>
      <c r="D577">
        <v>-1443</v>
      </c>
      <c r="E577">
        <v>-690</v>
      </c>
      <c r="F577">
        <v>1091</v>
      </c>
      <c r="G577">
        <v>-808</v>
      </c>
      <c r="H577">
        <v>-16473</v>
      </c>
      <c r="I577">
        <v>10487</v>
      </c>
      <c r="J577">
        <v>4792</v>
      </c>
      <c r="K577">
        <v>0</v>
      </c>
    </row>
    <row r="578" spans="2:11" x14ac:dyDescent="0.25">
      <c r="B578">
        <v>3823</v>
      </c>
      <c r="C578">
        <v>4134</v>
      </c>
      <c r="D578">
        <v>3112</v>
      </c>
      <c r="E578">
        <v>975</v>
      </c>
      <c r="F578">
        <v>-4696</v>
      </c>
      <c r="G578">
        <v>0</v>
      </c>
      <c r="H578">
        <v>236</v>
      </c>
      <c r="I578">
        <v>0</v>
      </c>
      <c r="J578">
        <v>-5857</v>
      </c>
      <c r="K578">
        <v>-8817</v>
      </c>
    </row>
    <row r="579" spans="2:11" x14ac:dyDescent="0.25">
      <c r="B579">
        <v>-5747</v>
      </c>
      <c r="C579">
        <v>0</v>
      </c>
      <c r="D579">
        <v>-5012</v>
      </c>
      <c r="E579">
        <v>-24732</v>
      </c>
      <c r="F579">
        <v>-2333</v>
      </c>
      <c r="G579">
        <v>-3720</v>
      </c>
      <c r="H579">
        <v>-2553</v>
      </c>
      <c r="I579">
        <v>0</v>
      </c>
      <c r="J579">
        <v>-3380</v>
      </c>
      <c r="K579">
        <v>0</v>
      </c>
    </row>
    <row r="580" spans="2:11" x14ac:dyDescent="0.25">
      <c r="B580">
        <v>0</v>
      </c>
      <c r="C580">
        <v>0</v>
      </c>
      <c r="D580">
        <v>0</v>
      </c>
      <c r="E580">
        <v>0</v>
      </c>
      <c r="F580">
        <v>37864</v>
      </c>
      <c r="G580">
        <v>0</v>
      </c>
      <c r="H580">
        <v>0</v>
      </c>
      <c r="I580">
        <v>2711</v>
      </c>
      <c r="J580">
        <v>811</v>
      </c>
      <c r="K580">
        <v>1745</v>
      </c>
    </row>
    <row r="581" spans="2:11" x14ac:dyDescent="0.25">
      <c r="B581">
        <v>1497</v>
      </c>
      <c r="C581">
        <v>-936</v>
      </c>
      <c r="D581">
        <v>-1278</v>
      </c>
      <c r="E581">
        <v>-1033</v>
      </c>
      <c r="F581">
        <v>888</v>
      </c>
      <c r="G581">
        <v>1824</v>
      </c>
      <c r="H581">
        <v>416</v>
      </c>
      <c r="I581">
        <v>-420</v>
      </c>
      <c r="J581">
        <v>-754</v>
      </c>
      <c r="K581">
        <v>1928</v>
      </c>
    </row>
    <row r="582" spans="2:11" x14ac:dyDescent="0.25">
      <c r="B582">
        <v>1070</v>
      </c>
      <c r="C582">
        <v>4603</v>
      </c>
      <c r="D582">
        <v>0</v>
      </c>
      <c r="E582">
        <v>0</v>
      </c>
      <c r="F582">
        <v>0</v>
      </c>
      <c r="G582">
        <v>-626</v>
      </c>
      <c r="H582">
        <v>383</v>
      </c>
      <c r="I582">
        <v>-419</v>
      </c>
      <c r="J582">
        <v>-91</v>
      </c>
      <c r="K582">
        <v>-534</v>
      </c>
    </row>
    <row r="583" spans="2:11" x14ac:dyDescent="0.25">
      <c r="B583">
        <v>4223</v>
      </c>
      <c r="C583">
        <v>666</v>
      </c>
      <c r="D583">
        <v>909</v>
      </c>
      <c r="E583">
        <v>-3</v>
      </c>
      <c r="F583">
        <v>448</v>
      </c>
      <c r="G583">
        <v>1647</v>
      </c>
      <c r="H583">
        <v>-736</v>
      </c>
      <c r="I583">
        <v>2552</v>
      </c>
      <c r="J583">
        <v>2595</v>
      </c>
      <c r="K583">
        <v>-834</v>
      </c>
    </row>
    <row r="584" spans="2:11" x14ac:dyDescent="0.25">
      <c r="B584">
        <v>1945</v>
      </c>
      <c r="C584">
        <v>1796</v>
      </c>
      <c r="D584">
        <v>380</v>
      </c>
      <c r="E584">
        <v>265</v>
      </c>
      <c r="F584">
        <v>1367</v>
      </c>
      <c r="G584">
        <v>1086</v>
      </c>
      <c r="H584">
        <v>-3045</v>
      </c>
      <c r="I584">
        <v>5692</v>
      </c>
      <c r="J584">
        <v>712</v>
      </c>
      <c r="K584">
        <v>653</v>
      </c>
    </row>
    <row r="585" spans="2:11" x14ac:dyDescent="0.25">
      <c r="B585">
        <v>985</v>
      </c>
      <c r="C585">
        <v>461</v>
      </c>
      <c r="D585">
        <v>530</v>
      </c>
      <c r="E585">
        <v>1259</v>
      </c>
      <c r="F585">
        <v>3054</v>
      </c>
      <c r="G585">
        <v>-4582</v>
      </c>
      <c r="H585">
        <v>86</v>
      </c>
      <c r="I585">
        <v>-522</v>
      </c>
      <c r="J585">
        <v>1919</v>
      </c>
      <c r="K585">
        <v>-4836</v>
      </c>
    </row>
    <row r="586" spans="2:11" x14ac:dyDescent="0.25">
      <c r="B586">
        <v>-17521</v>
      </c>
      <c r="C586">
        <v>45684</v>
      </c>
      <c r="D586">
        <v>-464</v>
      </c>
      <c r="E586">
        <v>-30484</v>
      </c>
      <c r="F586">
        <v>0</v>
      </c>
      <c r="G586">
        <v>0</v>
      </c>
      <c r="H586">
        <v>889</v>
      </c>
      <c r="I586">
        <v>0</v>
      </c>
      <c r="J586">
        <v>-1045</v>
      </c>
      <c r="K586">
        <v>-475</v>
      </c>
    </row>
    <row r="587" spans="2:11" x14ac:dyDescent="0.25">
      <c r="B587">
        <v>774</v>
      </c>
      <c r="C587">
        <v>-588</v>
      </c>
      <c r="D587">
        <v>-12084</v>
      </c>
      <c r="E587">
        <v>7854</v>
      </c>
      <c r="F587">
        <v>3634</v>
      </c>
      <c r="G587">
        <v>0</v>
      </c>
      <c r="H587">
        <v>2927</v>
      </c>
      <c r="I587">
        <v>3131</v>
      </c>
      <c r="J587">
        <v>2391</v>
      </c>
      <c r="K587">
        <v>755</v>
      </c>
    </row>
    <row r="588" spans="2:11" x14ac:dyDescent="0.25">
      <c r="B588">
        <v>-3390</v>
      </c>
      <c r="C588">
        <v>0</v>
      </c>
      <c r="D588">
        <v>222</v>
      </c>
      <c r="E588">
        <v>0</v>
      </c>
      <c r="F588">
        <v>-4227</v>
      </c>
      <c r="G588">
        <v>-6487</v>
      </c>
      <c r="H588">
        <v>-4158</v>
      </c>
      <c r="I588">
        <v>0</v>
      </c>
      <c r="J588">
        <v>-3685</v>
      </c>
      <c r="K588">
        <v>-18214</v>
      </c>
    </row>
    <row r="589" spans="2:11" x14ac:dyDescent="0.25">
      <c r="B589">
        <v>-1733</v>
      </c>
      <c r="C589">
        <v>-2700</v>
      </c>
      <c r="D589">
        <v>-1812</v>
      </c>
      <c r="E589">
        <v>0</v>
      </c>
      <c r="F589">
        <v>-2450</v>
      </c>
      <c r="G589">
        <v>0</v>
      </c>
      <c r="H589">
        <v>0</v>
      </c>
      <c r="I589">
        <v>0</v>
      </c>
      <c r="J589">
        <v>0</v>
      </c>
      <c r="K589">
        <v>0</v>
      </c>
    </row>
    <row r="590" spans="2:11" x14ac:dyDescent="0.25">
      <c r="B590">
        <v>29803</v>
      </c>
      <c r="C590">
        <v>0</v>
      </c>
      <c r="D590">
        <v>19496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</row>
    <row r="591" spans="2:11" x14ac:dyDescent="0.25"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</row>
    <row r="592" spans="2:11" x14ac:dyDescent="0.25"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</row>
    <row r="593" spans="2:11" x14ac:dyDescent="0.25"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</row>
    <row r="594" spans="2:11" x14ac:dyDescent="0.25"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</row>
    <row r="595" spans="2:11" x14ac:dyDescent="0.25"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</row>
    <row r="596" spans="2:11" x14ac:dyDescent="0.25"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4527</v>
      </c>
      <c r="D610">
        <v>1151</v>
      </c>
      <c r="E610">
        <v>1558</v>
      </c>
      <c r="F610">
        <v>-1117</v>
      </c>
      <c r="G610">
        <v>2270</v>
      </c>
      <c r="H610">
        <v>-1799</v>
      </c>
      <c r="I610">
        <v>-1489</v>
      </c>
      <c r="J610">
        <v>131</v>
      </c>
      <c r="K610">
        <v>2544</v>
      </c>
    </row>
    <row r="611" spans="2:11" x14ac:dyDescent="0.25">
      <c r="B611">
        <v>-314</v>
      </c>
      <c r="C611">
        <v>745</v>
      </c>
      <c r="D611">
        <v>992</v>
      </c>
      <c r="E611">
        <v>-718</v>
      </c>
      <c r="F611">
        <v>1840</v>
      </c>
      <c r="G611">
        <v>4734</v>
      </c>
      <c r="H611">
        <v>0</v>
      </c>
      <c r="I611">
        <v>0</v>
      </c>
      <c r="J611">
        <v>0</v>
      </c>
      <c r="K611">
        <v>-906</v>
      </c>
    </row>
    <row r="612" spans="2:11" x14ac:dyDescent="0.25">
      <c r="B612">
        <v>493</v>
      </c>
      <c r="C612">
        <v>-89</v>
      </c>
      <c r="D612">
        <v>1045</v>
      </c>
      <c r="E612">
        <v>-630</v>
      </c>
      <c r="F612">
        <v>4465</v>
      </c>
      <c r="G612">
        <v>436</v>
      </c>
      <c r="H612">
        <v>1094</v>
      </c>
      <c r="I612">
        <v>473</v>
      </c>
      <c r="J612">
        <v>1537</v>
      </c>
      <c r="K612">
        <v>2181</v>
      </c>
    </row>
    <row r="613" spans="2:11" x14ac:dyDescent="0.25">
      <c r="B613">
        <v>-828</v>
      </c>
      <c r="C613">
        <v>2717</v>
      </c>
      <c r="D613">
        <v>2674</v>
      </c>
      <c r="E613">
        <v>-914</v>
      </c>
      <c r="F613">
        <v>2053</v>
      </c>
      <c r="G613">
        <v>1690</v>
      </c>
      <c r="H613">
        <v>501</v>
      </c>
      <c r="I613">
        <v>553</v>
      </c>
      <c r="J613">
        <v>2282</v>
      </c>
      <c r="K613">
        <v>951</v>
      </c>
    </row>
    <row r="614" spans="2:11" x14ac:dyDescent="0.25">
      <c r="B614">
        <v>-3305</v>
      </c>
      <c r="C614">
        <v>6055</v>
      </c>
      <c r="D614">
        <v>758</v>
      </c>
      <c r="E614">
        <v>864</v>
      </c>
      <c r="F614">
        <v>1419</v>
      </c>
      <c r="G614">
        <v>1504</v>
      </c>
      <c r="H614">
        <v>487</v>
      </c>
      <c r="I614">
        <v>1455</v>
      </c>
      <c r="J614">
        <v>-1576</v>
      </c>
      <c r="K614">
        <v>-2246</v>
      </c>
    </row>
    <row r="615" spans="2:11" x14ac:dyDescent="0.25">
      <c r="B615">
        <v>-3547</v>
      </c>
      <c r="C615">
        <v>-1545</v>
      </c>
      <c r="D615">
        <v>-936</v>
      </c>
      <c r="E615">
        <v>-2899</v>
      </c>
      <c r="F615">
        <v>2265</v>
      </c>
      <c r="G615">
        <v>10974</v>
      </c>
      <c r="H615">
        <v>1138</v>
      </c>
      <c r="I615">
        <v>-33199</v>
      </c>
      <c r="J615">
        <v>0</v>
      </c>
      <c r="K615">
        <v>0</v>
      </c>
    </row>
    <row r="616" spans="2:11" x14ac:dyDescent="0.25">
      <c r="B616">
        <v>901</v>
      </c>
      <c r="C616">
        <v>0</v>
      </c>
      <c r="D616">
        <v>-1187</v>
      </c>
      <c r="E616">
        <v>-554</v>
      </c>
      <c r="F616">
        <v>845</v>
      </c>
      <c r="G616">
        <v>-644</v>
      </c>
      <c r="H616">
        <v>-13144</v>
      </c>
      <c r="I616">
        <v>8397</v>
      </c>
      <c r="J616">
        <v>3816</v>
      </c>
      <c r="K616">
        <v>0</v>
      </c>
    </row>
    <row r="617" spans="2:11" x14ac:dyDescent="0.25">
      <c r="B617">
        <v>3028</v>
      </c>
      <c r="C617">
        <v>3254</v>
      </c>
      <c r="D617">
        <v>2490</v>
      </c>
      <c r="E617">
        <v>768</v>
      </c>
      <c r="F617">
        <v>-3842</v>
      </c>
      <c r="G617">
        <v>0</v>
      </c>
      <c r="H617">
        <v>219</v>
      </c>
      <c r="I617">
        <v>0</v>
      </c>
      <c r="J617">
        <v>-4690</v>
      </c>
      <c r="K617">
        <v>-7069</v>
      </c>
    </row>
    <row r="618" spans="2:11" x14ac:dyDescent="0.25">
      <c r="B618">
        <v>-4622</v>
      </c>
      <c r="C618">
        <v>0</v>
      </c>
      <c r="D618">
        <v>-4044</v>
      </c>
      <c r="E618">
        <v>-19867</v>
      </c>
      <c r="F618">
        <v>-1926</v>
      </c>
      <c r="G618">
        <v>-3026</v>
      </c>
      <c r="H618">
        <v>-2156</v>
      </c>
      <c r="I618">
        <v>0</v>
      </c>
      <c r="J618">
        <v>-2772</v>
      </c>
      <c r="K618">
        <v>0</v>
      </c>
    </row>
    <row r="619" spans="2:11" x14ac:dyDescent="0.25">
      <c r="B619">
        <v>0</v>
      </c>
      <c r="C619">
        <v>0</v>
      </c>
      <c r="D619">
        <v>0</v>
      </c>
      <c r="E619">
        <v>0</v>
      </c>
      <c r="F619">
        <v>19433</v>
      </c>
      <c r="G619">
        <v>0</v>
      </c>
      <c r="H619">
        <v>23716</v>
      </c>
      <c r="I619">
        <v>24693</v>
      </c>
      <c r="J619">
        <v>0</v>
      </c>
      <c r="K619">
        <v>0</v>
      </c>
    </row>
    <row r="620" spans="2:11" x14ac:dyDescent="0.25">
      <c r="B620">
        <v>-1379</v>
      </c>
      <c r="C620">
        <v>-3032</v>
      </c>
      <c r="D620">
        <v>-1675</v>
      </c>
      <c r="E620">
        <v>304</v>
      </c>
      <c r="F620">
        <v>457</v>
      </c>
      <c r="G620">
        <v>20</v>
      </c>
      <c r="H620">
        <v>569</v>
      </c>
      <c r="I620">
        <v>1977</v>
      </c>
      <c r="J620">
        <v>0</v>
      </c>
      <c r="K620">
        <v>0</v>
      </c>
    </row>
  </sheetData>
  <pageMargins bottom="0.75" footer="0.3" header="0.3" left="0.7" right="0.7" top="0.75"/>
  <pageSetup orientation="portrait" r:id="rId1" verticalDpi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Y142"/>
  <sheetViews>
    <sheetView workbookViewId="0">
      <selection activeCell="Q104" sqref="M104:Q104"/>
    </sheetView>
  </sheetViews>
  <sheetFormatPr defaultRowHeight="15" x14ac:dyDescent="0.25"/>
  <cols>
    <col min="1" max="2" style="296" width="9.140625" collapsed="true"/>
    <col min="3" max="3" bestFit="true" customWidth="true" style="296" width="12.7109375" collapsed="true"/>
    <col min="4" max="4" customWidth="true" style="295" width="18.85546875" collapsed="true"/>
    <col min="5" max="5" customWidth="true" style="296" width="6.7109375" collapsed="true"/>
    <col min="6" max="6" customWidth="true" style="296" width="12.7109375" collapsed="true"/>
    <col min="7" max="8" customWidth="true" style="295" width="18.85546875" collapsed="true"/>
    <col min="9" max="9" customWidth="true" style="295" width="6.5703125" collapsed="true"/>
    <col min="10" max="10" customWidth="true" style="295" width="10.140625" collapsed="true"/>
    <col min="11" max="11" customWidth="true" style="295" width="9.85546875" collapsed="true"/>
    <col min="12" max="14" style="296" width="9.140625" collapsed="true"/>
    <col min="15" max="15" customWidth="true" style="296" width="13.0" collapsed="true"/>
    <col min="16" max="16" customWidth="true" style="298" width="19.5703125" collapsed="true"/>
    <col min="17" max="17" customWidth="true" style="334" width="19.5703125" collapsed="true"/>
    <col min="18" max="18" style="296" width="9.140625" collapsed="true"/>
    <col min="19" max="19" customWidth="true" style="296" width="9.140625" collapsed="true"/>
    <col min="20" max="16384" style="296" width="9.140625" collapsed="true"/>
  </cols>
  <sheetData>
    <row r="1" spans="3:24" x14ac:dyDescent="0.25">
      <c r="C1" s="10" t="s">
        <v>41</v>
      </c>
      <c r="F1" s="10" t="s">
        <v>42</v>
      </c>
      <c r="N1" s="297" t="s">
        <v>261</v>
      </c>
      <c r="S1" s="297"/>
      <c r="T1" s="297" t="s">
        <v>261</v>
      </c>
      <c r="U1" s="321"/>
      <c r="V1" s="321"/>
      <c r="W1" s="321"/>
      <c r="X1" s="321"/>
    </row>
    <row ht="15.75" r="2" spans="3:24" thickBot="1" x14ac:dyDescent="0.3">
      <c r="C2" s="297" t="s">
        <v>44</v>
      </c>
      <c r="M2" s="10" t="s">
        <v>92</v>
      </c>
      <c r="N2" s="10" t="s">
        <v>255</v>
      </c>
      <c r="O2" s="10" t="s">
        <v>262</v>
      </c>
      <c r="P2" s="363" t="s">
        <v>263</v>
      </c>
      <c r="Q2" s="364" t="s">
        <v>264</v>
      </c>
      <c r="T2" s="321"/>
      <c r="U2" s="297" t="s">
        <v>265</v>
      </c>
      <c r="V2"/>
      <c r="W2" s="321"/>
      <c r="X2" s="321"/>
    </row>
    <row r="3" spans="3:24" x14ac:dyDescent="0.25">
      <c r="C3" s="299" t="s">
        <v>3</v>
      </c>
      <c r="D3" s="300" t="s">
        <v>45</v>
      </c>
      <c r="F3" s="299" t="s">
        <v>3</v>
      </c>
      <c r="G3" s="300" t="s">
        <v>45</v>
      </c>
      <c r="H3" s="350"/>
      <c r="I3" s="350"/>
      <c r="J3" s="350"/>
      <c r="K3" s="350"/>
      <c r="L3" s="301"/>
      <c r="M3" s="296" t="str">
        <f>VLOOKUP(N3,Coeff_Descr!$A:$D,3,FALSE)</f>
        <v>ALL</v>
      </c>
      <c r="N3" s="296">
        <f>OtherTourDestination!B11</f>
        <v>1</v>
      </c>
      <c r="O3" s="296" t="str">
        <f>OtherTourDestination!C11</f>
        <v>Beta000001</v>
      </c>
      <c r="P3" s="298">
        <f>OtherTourDestination!E11</f>
        <v>1</v>
      </c>
      <c r="Q3" s="337">
        <f>_xlfn.IFNA(VLOOKUP(N3,$B$43:$D$46,3,FALSE),P3)</f>
        <v>1</v>
      </c>
      <c r="T3">
        <v>1</v>
      </c>
      <c r="U3" s="294" t="s">
        <v>266</v>
      </c>
      <c r="V3"/>
      <c r="W3" s="321"/>
      <c r="X3" s="321"/>
    </row>
    <row r="4" spans="3:24" x14ac:dyDescent="0.25">
      <c r="C4" s="302" t="s">
        <v>48</v>
      </c>
      <c r="D4" s="303">
        <f>TLFD!B11</f>
        <v>65228.093953775817</v>
      </c>
      <c r="F4" s="302" t="s">
        <v>48</v>
      </c>
      <c r="G4" s="303">
        <f>TLFD!F11</f>
        <v>34694</v>
      </c>
      <c r="H4" s="303"/>
      <c r="I4" s="303"/>
      <c r="J4" s="303"/>
      <c r="K4" s="303"/>
      <c r="L4" s="304"/>
      <c r="M4" s="296" t="str">
        <f>VLOOKUP(N4,Coeff_Descr!$A:$D,3,FALSE)</f>
        <v>ALL</v>
      </c>
      <c r="N4" s="296">
        <f>OtherTourDestination!B12</f>
        <v>2</v>
      </c>
      <c r="O4" s="296" t="str">
        <f>OtherTourDestination!C12</f>
        <v>Beta000002</v>
      </c>
      <c r="P4" s="298">
        <f>OtherTourDestination!E12</f>
        <v>14.842474747500001</v>
      </c>
      <c r="Q4" s="337">
        <f>_xlfn.IFNA(VLOOKUP(N4,$B$43:$D$46,3,FALSE),P4)</f>
        <v>14.842474747500001</v>
      </c>
      <c r="T4">
        <v>2</v>
      </c>
      <c r="U4" s="294" t="s">
        <v>267</v>
      </c>
      <c r="V4"/>
      <c r="W4" s="321"/>
      <c r="X4" s="321"/>
    </row>
    <row r="5" spans="3:24" x14ac:dyDescent="0.25">
      <c r="C5" s="305" t="s">
        <v>51</v>
      </c>
      <c r="D5" s="306">
        <f>TLFD!B12+TLFD!B13+(TLFD!B14/2)</f>
        <v>120384.59963780543</v>
      </c>
      <c r="F5" s="305" t="s">
        <v>51</v>
      </c>
      <c r="G5" s="306">
        <f>TLFD!F12+TLFD!F13+(TLFD!F14/2)</f>
        <v>146111.5</v>
      </c>
      <c r="H5" s="306"/>
      <c r="I5" s="306"/>
      <c r="J5" s="306"/>
      <c r="K5" s="306"/>
      <c r="L5" s="304"/>
      <c r="M5" s="296" t="str">
        <f>VLOOKUP(N5,Coeff_Descr!$A:$D,3,FALSE)</f>
        <v>ALL</v>
      </c>
      <c r="N5" s="296">
        <f>OtherTourDestination!B13</f>
        <v>3</v>
      </c>
      <c r="O5" s="296" t="str">
        <f>OtherTourDestination!C13</f>
        <v>Beta000003</v>
      </c>
      <c r="P5" s="298">
        <f>OtherTourDestination!E13</f>
        <v>5.2231850982500001E-2</v>
      </c>
      <c r="Q5" s="337">
        <f ref="Q5:Q68" si="0" t="shared">_xlfn.IFNA(VLOOKUP(N5,$B$43:$D$46,3,FALSE),P5)</f>
        <v>5.2231850982500001E-2</v>
      </c>
      <c r="T5">
        <v>3</v>
      </c>
      <c r="U5" s="321" t="s">
        <v>268</v>
      </c>
      <c r="V5" s="321"/>
      <c r="W5" s="321"/>
      <c r="X5" s="321"/>
    </row>
    <row r="6" spans="3:24" x14ac:dyDescent="0.25">
      <c r="C6" s="305" t="s">
        <v>54</v>
      </c>
      <c r="D6" s="306">
        <f>(TLFD!B14/2)+SUM(TLFD!B15:B20)</f>
        <v>96663.107669526886</v>
      </c>
      <c r="F6" s="305" t="s">
        <v>54</v>
      </c>
      <c r="G6" s="306">
        <f>(TLFD!F14/2)+SUM(TLFD!F15:F20)</f>
        <v>109259.5</v>
      </c>
      <c r="H6" s="306"/>
      <c r="I6" s="306"/>
      <c r="J6" s="306"/>
      <c r="K6" s="306"/>
      <c r="L6" s="307"/>
      <c r="M6" s="296" t="str">
        <f>VLOOKUP(N6,Coeff_Descr!$A:$D,3,FALSE)</f>
        <v>ALL</v>
      </c>
      <c r="N6" s="296">
        <f>OtherTourDestination!B14</f>
        <v>4</v>
      </c>
      <c r="O6" s="296" t="str">
        <f>OtherTourDestination!C14</f>
        <v>Beta000004</v>
      </c>
      <c r="P6" s="298">
        <f>OtherTourDestination!E14</f>
        <v>-0.28042629390099999</v>
      </c>
      <c r="Q6" s="337">
        <f si="0" t="shared"/>
        <v>-0.28042629390099999</v>
      </c>
      <c r="T6">
        <v>4</v>
      </c>
      <c r="U6" s="321" t="s">
        <v>269</v>
      </c>
      <c r="V6" s="321"/>
      <c r="W6" s="321"/>
      <c r="X6" s="321"/>
    </row>
    <row r="7" spans="3:24" x14ac:dyDescent="0.25">
      <c r="C7" s="308" t="s">
        <v>57</v>
      </c>
      <c r="D7" s="309">
        <f>SUM(TLFD!B21:B101)</f>
        <v>35328.134738467808</v>
      </c>
      <c r="F7" s="308" t="s">
        <v>57</v>
      </c>
      <c r="G7" s="309">
        <f>SUM(TLFD!F21:F101)</f>
        <v>32452</v>
      </c>
      <c r="H7" s="351"/>
      <c r="I7" s="351"/>
      <c r="J7" s="351"/>
      <c r="K7" s="351"/>
      <c r="L7" s="310"/>
      <c r="M7" s="296" t="str">
        <f>VLOOKUP(N7,Coeff_Descr!$A:$D,3,FALSE)</f>
        <v>ALL</v>
      </c>
      <c r="N7" s="296">
        <f>OtherTourDestination!B15</f>
        <v>5</v>
      </c>
      <c r="O7" s="296" t="str">
        <f>OtherTourDestination!C15</f>
        <v>Beta000005</v>
      </c>
      <c r="P7" s="298">
        <f>OtherTourDestination!E15</f>
        <v>3.8864252169499999E-2</v>
      </c>
      <c r="Q7" s="337">
        <f si="0" t="shared"/>
        <v>3.8864252169499999E-2</v>
      </c>
      <c r="T7" s="321">
        <v>5</v>
      </c>
      <c r="U7" s="321" t="s">
        <v>270</v>
      </c>
      <c r="V7" s="321"/>
      <c r="W7" s="321"/>
      <c r="X7" s="321"/>
    </row>
    <row ht="15.75" r="8" spans="3:24" thickBot="1" x14ac:dyDescent="0.3">
      <c r="C8" s="311" t="s">
        <v>4</v>
      </c>
      <c r="D8" s="312">
        <f>SUM(D4:D7)</f>
        <v>317603.93599957594</v>
      </c>
      <c r="E8" s="313"/>
      <c r="F8" s="311" t="s">
        <v>4</v>
      </c>
      <c r="G8" s="312">
        <f>SUM(G4:G7)</f>
        <v>322517</v>
      </c>
      <c r="H8" s="352"/>
      <c r="I8" s="352"/>
      <c r="J8" s="352" t="s">
        <v>260</v>
      </c>
      <c r="K8" s="360">
        <v>1</v>
      </c>
      <c r="M8" s="296" t="str">
        <f>VLOOKUP(N8,Coeff_Descr!$A:$D,3,FALSE)</f>
        <v>ALL</v>
      </c>
      <c r="N8" s="296">
        <f>OtherTourDestination!B16</f>
        <v>6</v>
      </c>
      <c r="O8" s="296" t="str">
        <f>OtherTourDestination!C16</f>
        <v>Beta000006</v>
      </c>
      <c r="P8" s="298">
        <f>OtherTourDestination!E16</f>
        <v>-5.4105027761100002E-2</v>
      </c>
      <c r="Q8" s="337">
        <f si="0" t="shared"/>
        <v>-5.4105027761100002E-2</v>
      </c>
      <c r="T8" s="321"/>
      <c r="U8" s="321"/>
      <c r="V8" s="321"/>
      <c r="W8" s="321"/>
      <c r="X8" s="321"/>
    </row>
    <row r="9" spans="3:24" x14ac:dyDescent="0.25">
      <c r="M9" s="296" t="str">
        <f>VLOOKUP(N9,Coeff_Descr!$A:$D,3,FALSE)</f>
        <v>ALL</v>
      </c>
      <c r="N9" s="296">
        <f>OtherTourDestination!B17</f>
        <v>7</v>
      </c>
      <c r="O9" s="296" t="str">
        <f>OtherTourDestination!C17</f>
        <v>Beta000007</v>
      </c>
      <c r="P9" s="298">
        <f>OtherTourDestination!E17</f>
        <v>-1.2443107654000001</v>
      </c>
      <c r="Q9" s="337">
        <f si="0" t="shared"/>
        <v>-1.2443107654000001</v>
      </c>
      <c r="T9" s="321"/>
      <c r="U9" s="365" t="s">
        <v>271</v>
      </c>
      <c r="V9" s="321"/>
      <c r="W9" s="321"/>
      <c r="X9" s="321"/>
    </row>
    <row ht="15.75" r="10" spans="3:24" thickBot="1" x14ac:dyDescent="0.3">
      <c r="C10" s="314" t="s">
        <v>64</v>
      </c>
      <c r="I10" s="354" t="s">
        <v>256</v>
      </c>
      <c r="J10" s="355"/>
      <c r="K10" s="355"/>
      <c r="L10" s="301"/>
      <c r="M10" s="296" t="str">
        <f>VLOOKUP(N10,Coeff_Descr!$A:$D,3,FALSE)</f>
        <v>ALL</v>
      </c>
      <c r="N10" s="296">
        <f>OtherTourDestination!B18</f>
        <v>8</v>
      </c>
      <c r="O10" s="296" t="str">
        <f>OtherTourDestination!C18</f>
        <v>Beta000008</v>
      </c>
      <c r="P10" s="298">
        <f>OtherTourDestination!E18</f>
        <v>0.41298170440800003</v>
      </c>
      <c r="Q10" s="337">
        <f si="0" t="shared"/>
        <v>0.41298170440800003</v>
      </c>
      <c r="T10" s="321">
        <v>1</v>
      </c>
      <c r="U10" s="294" t="s">
        <v>266</v>
      </c>
      <c r="V10" s="321"/>
      <c r="W10" s="321"/>
      <c r="X10" s="321"/>
    </row>
    <row r="11" spans="3:24" x14ac:dyDescent="0.25">
      <c r="C11" s="299" t="s">
        <v>3</v>
      </c>
      <c r="D11" s="300" t="s">
        <v>45</v>
      </c>
      <c r="F11" s="299" t="s">
        <v>3</v>
      </c>
      <c r="G11" s="300" t="s">
        <v>45</v>
      </c>
      <c r="H11" s="350"/>
      <c r="I11" s="300" t="s">
        <v>257</v>
      </c>
      <c r="J11" s="300" t="s">
        <v>258</v>
      </c>
      <c r="K11" s="300" t="s">
        <v>259</v>
      </c>
      <c r="L11" s="315"/>
      <c r="M11" s="296" t="str">
        <f>VLOOKUP(N11,Coeff_Descr!$A:$D,3,FALSE)</f>
        <v>ALL</v>
      </c>
      <c r="N11" s="296">
        <f>OtherTourDestination!B19</f>
        <v>9</v>
      </c>
      <c r="O11" s="296" t="str">
        <f>OtherTourDestination!C19</f>
        <v>Beta000009</v>
      </c>
      <c r="P11" s="298">
        <f>OtherTourDestination!E19</f>
        <v>-0.26420630814700002</v>
      </c>
      <c r="Q11" s="337">
        <f si="0" t="shared"/>
        <v>-0.26420630814700002</v>
      </c>
      <c r="T11" s="321">
        <v>2</v>
      </c>
      <c r="U11" s="321" t="s">
        <v>272</v>
      </c>
      <c r="V11" s="321"/>
      <c r="W11" s="321"/>
      <c r="X11" s="321"/>
    </row>
    <row r="12" spans="3:24" x14ac:dyDescent="0.25">
      <c r="C12" s="302" t="s">
        <v>48</v>
      </c>
      <c r="D12" s="316">
        <f>D4/D$8</f>
        <v>0.2053755843689006</v>
      </c>
      <c r="F12" s="302" t="s">
        <v>48</v>
      </c>
      <c r="G12" s="316">
        <f>G4/G$8</f>
        <v>0.10757262407873074</v>
      </c>
      <c r="H12" s="316"/>
      <c r="I12" s="356">
        <f>D12/G12</f>
        <v>1.9091807616275067</v>
      </c>
      <c r="J12" s="357">
        <f>LN(I12)</f>
        <v>0.64667422943190944</v>
      </c>
      <c r="K12" s="357">
        <f>K8*J12</f>
        <v>0.64667422943190944</v>
      </c>
      <c r="L12" s="315"/>
      <c r="M12" s="296" t="str">
        <f>VLOOKUP(N12,Coeff_Descr!$A:$D,3,FALSE)</f>
        <v>ALL</v>
      </c>
      <c r="N12" s="296">
        <f>OtherTourDestination!B20</f>
        <v>10</v>
      </c>
      <c r="O12" s="296" t="str">
        <f>OtherTourDestination!C20</f>
        <v>Beta000010</v>
      </c>
      <c r="P12" s="298">
        <f>OtherTourDestination!E20</f>
        <v>-0.35872692861799998</v>
      </c>
      <c r="Q12" s="337">
        <f si="0" t="shared"/>
        <v>-0.35872692861799998</v>
      </c>
      <c r="T12" s="321">
        <v>3</v>
      </c>
      <c r="U12" s="321" t="s">
        <v>273</v>
      </c>
      <c r="V12" s="321"/>
      <c r="W12" s="321"/>
      <c r="X12" s="321"/>
    </row>
    <row r="13" spans="3:24" x14ac:dyDescent="0.25">
      <c r="C13" s="305" t="s">
        <v>51</v>
      </c>
      <c r="D13" s="317">
        <f ref="D13:D16" si="1" t="shared">D5/D$8</f>
        <v>0.37904001176473506</v>
      </c>
      <c r="F13" s="305" t="s">
        <v>51</v>
      </c>
      <c r="G13" s="317">
        <f ref="G13:G16" si="2" t="shared">G5/G$8</f>
        <v>0.45303503381217114</v>
      </c>
      <c r="H13" s="317"/>
      <c r="I13" s="356">
        <f ref="I13:I15" si="3" t="shared">D13/G13</f>
        <v>0.83666821211422138</v>
      </c>
      <c r="J13" s="357">
        <f ref="J13:J15" si="4" t="shared">LN(I13)</f>
        <v>-0.17832768837765139</v>
      </c>
      <c r="K13" s="357">
        <f>K8*(J13-J12)</f>
        <v>-0.82500191780956089</v>
      </c>
      <c r="L13" s="315"/>
      <c r="M13" s="296" t="str">
        <f>VLOOKUP(N13,Coeff_Descr!$A:$D,3,FALSE)</f>
        <v>ALL</v>
      </c>
      <c r="N13" s="296">
        <f>OtherTourDestination!B21</f>
        <v>11</v>
      </c>
      <c r="O13" s="296" t="str">
        <f>OtherTourDestination!C21</f>
        <v>Beta000011</v>
      </c>
      <c r="P13" s="298">
        <f>OtherTourDestination!E21</f>
        <v>0.20317681554899999</v>
      </c>
      <c r="Q13" s="337">
        <f si="0" t="shared"/>
        <v>0.20317681554899999</v>
      </c>
      <c r="T13" s="321">
        <v>4</v>
      </c>
      <c r="U13" s="321" t="s">
        <v>274</v>
      </c>
      <c r="V13" s="321"/>
      <c r="W13" s="321"/>
      <c r="X13" s="321"/>
    </row>
    <row r="14" spans="3:24" x14ac:dyDescent="0.25">
      <c r="C14" s="305" t="s">
        <v>54</v>
      </c>
      <c r="D14" s="317">
        <f si="1" t="shared"/>
        <v>0.30435110120819142</v>
      </c>
      <c r="F14" s="305" t="s">
        <v>54</v>
      </c>
      <c r="G14" s="317">
        <f si="2" t="shared"/>
        <v>0.33877128957543323</v>
      </c>
      <c r="H14" s="317"/>
      <c r="I14" s="356">
        <f si="3" t="shared"/>
        <v>0.89839697333744228</v>
      </c>
      <c r="J14" s="357">
        <f si="4" t="shared"/>
        <v>-0.10714324451121625</v>
      </c>
      <c r="K14" s="357">
        <f>K8*(J14-J13-J12)</f>
        <v>-0.57548978556547425</v>
      </c>
      <c r="L14" s="318"/>
      <c r="M14" s="296" t="str">
        <f>VLOOKUP(N14,Coeff_Descr!$A:$D,3,FALSE)</f>
        <v>ALL</v>
      </c>
      <c r="N14" s="296">
        <f>OtherTourDestination!B22</f>
        <v>12</v>
      </c>
      <c r="O14" s="296" t="str">
        <f>OtherTourDestination!C22</f>
        <v>Beta000012</v>
      </c>
      <c r="P14" s="298">
        <f>OtherTourDestination!E22</f>
        <v>-0.25772334575</v>
      </c>
      <c r="Q14" s="337">
        <f si="0" t="shared"/>
        <v>-0.25772334575</v>
      </c>
      <c r="T14" s="321">
        <v>5</v>
      </c>
      <c r="U14" s="294" t="s">
        <v>275</v>
      </c>
      <c r="V14" s="321"/>
      <c r="W14" s="321"/>
      <c r="X14" s="321"/>
    </row>
    <row ht="15.75" r="15" spans="3:24" thickBot="1" x14ac:dyDescent="0.3">
      <c r="C15" s="308" t="s">
        <v>57</v>
      </c>
      <c r="D15" s="317">
        <f si="1" t="shared"/>
        <v>0.11123330265817291</v>
      </c>
      <c r="F15" s="308" t="s">
        <v>57</v>
      </c>
      <c r="G15" s="317">
        <f si="2" t="shared"/>
        <v>0.10062105253366489</v>
      </c>
      <c r="H15" s="317"/>
      <c r="I15" s="358">
        <f si="3" t="shared"/>
        <v>1.1054674927094155</v>
      </c>
      <c r="J15" s="359">
        <f si="4" t="shared"/>
        <v>0.10026831582596252</v>
      </c>
      <c r="K15" s="359">
        <f>K8*(J15-J14-J13-J12)</f>
        <v>-0.26093498071707927</v>
      </c>
      <c r="M15" s="296" t="str">
        <f>VLOOKUP(N15,Coeff_Descr!$A:$D,3,FALSE)</f>
        <v>ALL</v>
      </c>
      <c r="N15" s="296">
        <f>OtherTourDestination!B23</f>
        <v>13</v>
      </c>
      <c r="O15" s="296" t="str">
        <f>OtherTourDestination!C23</f>
        <v>Beta000013</v>
      </c>
      <c r="P15" s="298">
        <f>OtherTourDestination!E23</f>
        <v>-1.51291507531</v>
      </c>
      <c r="Q15" s="337">
        <f si="0" t="shared"/>
        <v>-1.51291507531</v>
      </c>
      <c r="T15" s="321">
        <v>6</v>
      </c>
      <c r="U15" s="321" t="s">
        <v>276</v>
      </c>
      <c r="V15" s="321"/>
      <c r="W15" s="321"/>
      <c r="X15" s="321"/>
    </row>
    <row ht="15.75" r="16" spans="3:24" thickBot="1" x14ac:dyDescent="0.3">
      <c r="C16" s="311" t="s">
        <v>4</v>
      </c>
      <c r="D16" s="319">
        <f si="1" t="shared"/>
        <v>1</v>
      </c>
      <c r="E16" s="313"/>
      <c r="F16" s="311" t="s">
        <v>4</v>
      </c>
      <c r="G16" s="319">
        <f si="2" t="shared"/>
        <v>1</v>
      </c>
      <c r="H16" s="353"/>
      <c r="I16" s="356"/>
      <c r="J16" s="356"/>
      <c r="K16" s="356"/>
      <c r="M16" s="296" t="str">
        <f>VLOOKUP(N16,Coeff_Descr!$A:$D,3,FALSE)</f>
        <v>ALL</v>
      </c>
      <c r="N16" s="296">
        <f>OtherTourDestination!B24</f>
        <v>14</v>
      </c>
      <c r="O16" s="296" t="str">
        <f>OtherTourDestination!C24</f>
        <v>Beta000014</v>
      </c>
      <c r="P16" s="298">
        <f>OtherTourDestination!E24</f>
        <v>-0.21776561918199999</v>
      </c>
      <c r="Q16" s="337">
        <f si="0" t="shared"/>
        <v>-0.21776561918199999</v>
      </c>
      <c r="T16" s="321">
        <v>7</v>
      </c>
      <c r="U16" s="321" t="s">
        <v>269</v>
      </c>
      <c r="V16" s="321"/>
      <c r="W16" s="321"/>
      <c r="X16" s="321"/>
    </row>
    <row r="17" spans="2:24" x14ac:dyDescent="0.25">
      <c r="M17" s="296" t="str">
        <f>VLOOKUP(N17,Coeff_Descr!$A:$D,3,FALSE)</f>
        <v>ALL</v>
      </c>
      <c r="N17" s="296">
        <f>OtherTourDestination!B25</f>
        <v>15</v>
      </c>
      <c r="O17" s="296" t="str">
        <f>OtherTourDestination!C25</f>
        <v>Beta000015</v>
      </c>
      <c r="P17" s="298">
        <f>OtherTourDestination!E25</f>
        <v>-1.27163179208</v>
      </c>
      <c r="Q17" s="337">
        <f si="0" t="shared"/>
        <v>-1.27163179208</v>
      </c>
      <c r="T17" s="321">
        <v>8</v>
      </c>
      <c r="U17" s="321" t="s">
        <v>277</v>
      </c>
      <c r="V17" s="321"/>
      <c r="W17" s="321"/>
      <c r="X17" s="321"/>
    </row>
    <row r="18" spans="2:24" x14ac:dyDescent="0.25">
      <c r="I18" s="361"/>
      <c r="J18" s="361"/>
      <c r="K18" s="357"/>
      <c r="M18" s="296" t="str">
        <f>VLOOKUP(N18,Coeff_Descr!$A:$D,3,FALSE)</f>
        <v>ALL</v>
      </c>
      <c r="N18" s="296">
        <f>OtherTourDestination!B26</f>
        <v>16</v>
      </c>
      <c r="O18" s="296" t="str">
        <f>OtherTourDestination!C26</f>
        <v>Beta000016</v>
      </c>
      <c r="P18" s="298">
        <f>OtherTourDestination!E26</f>
        <v>-0.54089688480800002</v>
      </c>
      <c r="Q18" s="337">
        <f si="0" t="shared"/>
        <v>-0.54089688480800002</v>
      </c>
    </row>
    <row r="19" spans="2:24" x14ac:dyDescent="0.25">
      <c r="C19" s="320" t="s">
        <v>83</v>
      </c>
      <c r="I19" s="361"/>
      <c r="J19" s="361"/>
      <c r="K19" s="357"/>
      <c r="M19" s="296" t="str">
        <f>VLOOKUP(N19,Coeff_Descr!$A:$D,3,FALSE)</f>
        <v>ALL</v>
      </c>
      <c r="N19" s="296">
        <f>OtherTourDestination!B27</f>
        <v>17</v>
      </c>
      <c r="O19" s="296" t="str">
        <f>OtherTourDestination!C27</f>
        <v>Beta000017</v>
      </c>
      <c r="P19" s="298">
        <f>OtherTourDestination!E27</f>
        <v>0</v>
      </c>
      <c r="Q19" s="337">
        <f si="0" t="shared"/>
        <v>0</v>
      </c>
    </row>
    <row r="20" spans="2:24" x14ac:dyDescent="0.25">
      <c r="C20" s="320" t="s">
        <v>86</v>
      </c>
      <c r="I20" s="361"/>
      <c r="J20" s="361"/>
      <c r="K20" s="357"/>
      <c r="M20" s="296" t="str">
        <f>VLOOKUP(N20,Coeff_Descr!$A:$D,3,FALSE)</f>
        <v>ALL</v>
      </c>
      <c r="N20" s="296">
        <f>OtherTourDestination!B28</f>
        <v>18</v>
      </c>
      <c r="O20" s="296" t="str">
        <f>OtherTourDestination!C28</f>
        <v>Beta000018</v>
      </c>
      <c r="P20" s="298">
        <f>OtherTourDestination!E28</f>
        <v>0</v>
      </c>
      <c r="Q20" s="337">
        <f si="0" t="shared"/>
        <v>0</v>
      </c>
    </row>
    <row ht="15.75" r="21" spans="2:24" thickBot="1" x14ac:dyDescent="0.3">
      <c r="C21" s="321"/>
      <c r="I21" s="361"/>
      <c r="J21" s="361"/>
      <c r="K21" s="357"/>
      <c r="M21" s="296" t="str">
        <f>VLOOKUP(N21,Coeff_Descr!$A:$D,3,FALSE)</f>
        <v>ALL</v>
      </c>
      <c r="N21" s="296">
        <f>OtherTourDestination!B29</f>
        <v>19</v>
      </c>
      <c r="O21" s="296" t="str">
        <f>OtherTourDestination!C29</f>
        <v>Beta000019</v>
      </c>
      <c r="P21" s="298">
        <f>OtherTourDestination!E29</f>
        <v>0</v>
      </c>
      <c r="Q21" s="337">
        <f si="0" t="shared"/>
        <v>0</v>
      </c>
    </row>
    <row r="22" spans="2:24" x14ac:dyDescent="0.25">
      <c r="B22" s="345" t="s">
        <v>255</v>
      </c>
      <c r="C22" s="322" t="s">
        <v>92</v>
      </c>
      <c r="D22" s="323"/>
      <c r="M22" s="296" t="str">
        <f>VLOOKUP(N22,Coeff_Descr!$A:$D,3,FALSE)</f>
        <v>ESCORT</v>
      </c>
      <c r="N22" s="296">
        <f>OtherTourDestination!B30</f>
        <v>20</v>
      </c>
      <c r="O22" s="296" t="str">
        <f>OtherTourDestination!C30</f>
        <v>Beta000020</v>
      </c>
      <c r="P22" s="298">
        <f>OtherTourDestination!E30</f>
        <v>0.43763139961699998</v>
      </c>
      <c r="Q22" s="337">
        <f si="0" t="shared"/>
        <v>0.43763139961699998</v>
      </c>
    </row>
    <row r="23" spans="2:24" x14ac:dyDescent="0.25">
      <c r="B23" s="346">
        <v>37</v>
      </c>
      <c r="C23" s="302" t="s">
        <v>48</v>
      </c>
      <c r="D23" s="376">
        <f>VLOOKUP($B23,$N:$P,3,FALSE)</f>
        <v>-7.2225250615199998</v>
      </c>
      <c r="I23" s="362"/>
      <c r="J23" s="362"/>
      <c r="K23" s="362"/>
      <c r="M23" s="296" t="str">
        <f>VLOOKUP(N23,Coeff_Descr!$A:$D,3,FALSE)</f>
        <v>ESCORT</v>
      </c>
      <c r="N23" s="296">
        <f>OtherTourDestination!B31</f>
        <v>21</v>
      </c>
      <c r="O23" s="296" t="str">
        <f>OtherTourDestination!C31</f>
        <v>Beta000021</v>
      </c>
      <c r="P23" s="298">
        <f>OtherTourDestination!E31</f>
        <v>-5.1729505125899999</v>
      </c>
      <c r="Q23" s="337">
        <f si="0" t="shared"/>
        <v>-5.1729505125899999</v>
      </c>
    </row>
    <row r="24" spans="2:24" x14ac:dyDescent="0.25">
      <c r="B24" s="346">
        <v>38</v>
      </c>
      <c r="C24" s="305" t="s">
        <v>51</v>
      </c>
      <c r="D24" s="376">
        <f ref="D24:D26" si="5" t="shared">VLOOKUP($B24,$N:$P,3,FALSE)</f>
        <v>-5.4693439766900003</v>
      </c>
      <c r="M24" s="296" t="str">
        <f>VLOOKUP(N24,Coeff_Descr!$A:$D,3,FALSE)</f>
        <v>ESCORT</v>
      </c>
      <c r="N24" s="296">
        <f>OtherTourDestination!B32</f>
        <v>22</v>
      </c>
      <c r="O24" s="296" t="str">
        <f>OtherTourDestination!C32</f>
        <v>Beta000022</v>
      </c>
      <c r="P24" s="298">
        <f>OtherTourDestination!E32</f>
        <v>-5.9112646193599998</v>
      </c>
      <c r="Q24" s="337">
        <f si="0" t="shared"/>
        <v>-5.9112646193599998</v>
      </c>
    </row>
    <row r="25" spans="2:24" x14ac:dyDescent="0.25">
      <c r="B25" s="346">
        <v>39</v>
      </c>
      <c r="C25" s="305" t="s">
        <v>54</v>
      </c>
      <c r="D25" s="376">
        <f si="5" t="shared"/>
        <v>-2.4179033783600001</v>
      </c>
      <c r="M25" s="296" t="str">
        <f>VLOOKUP(N25,Coeff_Descr!$A:$D,3,FALSE)</f>
        <v>ESCORT</v>
      </c>
      <c r="N25" s="296">
        <f>OtherTourDestination!B33</f>
        <v>23</v>
      </c>
      <c r="O25" s="296" t="str">
        <f>OtherTourDestination!C33</f>
        <v>Beta000023</v>
      </c>
      <c r="P25" s="298">
        <f>OtherTourDestination!E33</f>
        <v>-4.3510480079200002</v>
      </c>
      <c r="Q25" s="337">
        <f si="0" t="shared"/>
        <v>-4.3510480079200002</v>
      </c>
    </row>
    <row ht="15.75" r="26" spans="2:24" thickBot="1" x14ac:dyDescent="0.3">
      <c r="B26" s="347">
        <v>40</v>
      </c>
      <c r="C26" s="325" t="s">
        <v>57</v>
      </c>
      <c r="D26" s="377">
        <f si="5" t="shared"/>
        <v>-0.24529497763800001</v>
      </c>
      <c r="M26" s="296" t="str">
        <f>VLOOKUP(N26,Coeff_Descr!$A:$D,3,FALSE)</f>
        <v>ESCORT</v>
      </c>
      <c r="N26" s="296">
        <f>OtherTourDestination!B34</f>
        <v>24</v>
      </c>
      <c r="O26" s="296" t="str">
        <f>OtherTourDestination!C34</f>
        <v>Beta000024</v>
      </c>
      <c r="P26" s="298">
        <f>OtherTourDestination!E34</f>
        <v>0.219929989326</v>
      </c>
      <c r="Q26" s="337">
        <f si="0" t="shared"/>
        <v>0.219929989326</v>
      </c>
    </row>
    <row r="27" spans="2:24" x14ac:dyDescent="0.25">
      <c r="C27" s="321"/>
      <c r="D27" s="327"/>
      <c r="M27" s="296" t="str">
        <f>VLOOKUP(N27,Coeff_Descr!$A:$D,3,FALSE)</f>
        <v>ESCORT</v>
      </c>
      <c r="N27" s="296">
        <f>OtherTourDestination!B35</f>
        <v>25</v>
      </c>
      <c r="O27" s="296" t="str">
        <f>OtherTourDestination!C35</f>
        <v>Beta000025</v>
      </c>
      <c r="P27" s="298">
        <f>OtherTourDestination!E35</f>
        <v>-0.19965371290799999</v>
      </c>
      <c r="Q27" s="337">
        <f si="0" t="shared"/>
        <v>-0.19965371290799999</v>
      </c>
    </row>
    <row r="28" spans="2:24" x14ac:dyDescent="0.25">
      <c r="C28" s="321"/>
      <c r="D28" s="327"/>
      <c r="M28" s="296" t="str">
        <f>VLOOKUP(N28,Coeff_Descr!$A:$D,3,FALSE)</f>
        <v>PERSBUS/MED</v>
      </c>
      <c r="N28" s="296">
        <f>OtherTourDestination!B36</f>
        <v>26</v>
      </c>
      <c r="O28" s="296" t="str">
        <f>OtherTourDestination!C36</f>
        <v>Beta000026</v>
      </c>
      <c r="P28" s="298">
        <f>OtherTourDestination!E36</f>
        <v>0.456947594269</v>
      </c>
      <c r="Q28" s="337">
        <f si="0" t="shared"/>
        <v>0.456947594269</v>
      </c>
    </row>
    <row r="29" spans="2:24" x14ac:dyDescent="0.25">
      <c r="C29" s="320" t="s">
        <v>83</v>
      </c>
      <c r="D29" s="328"/>
      <c r="M29" s="296" t="str">
        <f>VLOOKUP(N29,Coeff_Descr!$A:$D,3,FALSE)</f>
        <v>PERSBUS/MED</v>
      </c>
      <c r="N29" s="296">
        <f>OtherTourDestination!B37</f>
        <v>27</v>
      </c>
      <c r="O29" s="296" t="str">
        <f>OtherTourDestination!C37</f>
        <v>Beta000027</v>
      </c>
      <c r="P29" s="298">
        <f>OtherTourDestination!E37</f>
        <v>-16.041405463699999</v>
      </c>
      <c r="Q29" s="337">
        <f si="0" t="shared"/>
        <v>-16.041405463699999</v>
      </c>
    </row>
    <row r="30" spans="2:24" x14ac:dyDescent="0.25">
      <c r="C30" s="320" t="s">
        <v>108</v>
      </c>
      <c r="D30" s="328"/>
      <c r="M30" s="296" t="str">
        <f>VLOOKUP(N30,Coeff_Descr!$A:$D,3,FALSE)</f>
        <v>PERSBUS/MED</v>
      </c>
      <c r="N30" s="296">
        <f>OtherTourDestination!B38</f>
        <v>28</v>
      </c>
      <c r="O30" s="296" t="str">
        <f>OtherTourDestination!C38</f>
        <v>Beta000028</v>
      </c>
      <c r="P30" s="298">
        <f>OtherTourDestination!E38</f>
        <v>-4.0058838759500004</v>
      </c>
      <c r="Q30" s="337">
        <f si="0" t="shared"/>
        <v>-4.0058838759500004</v>
      </c>
    </row>
    <row ht="15.75" r="31" spans="2:24" thickBot="1" x14ac:dyDescent="0.3">
      <c r="C31" s="321"/>
      <c r="D31" s="327"/>
      <c r="M31" s="296" t="str">
        <f>VLOOKUP(N31,Coeff_Descr!$A:$D,3,FALSE)</f>
        <v>PERSBUS/MED</v>
      </c>
      <c r="N31" s="296">
        <f>OtherTourDestination!B39</f>
        <v>29</v>
      </c>
      <c r="O31" s="296" t="str">
        <f>OtherTourDestination!C39</f>
        <v>Beta000029</v>
      </c>
      <c r="P31" s="298">
        <f>OtherTourDestination!E39</f>
        <v>-2.2602358254700001</v>
      </c>
      <c r="Q31" s="337">
        <f si="0" t="shared"/>
        <v>-2.2602358254700001</v>
      </c>
    </row>
    <row r="32" spans="2:24" x14ac:dyDescent="0.25">
      <c r="B32" s="345" t="s">
        <v>255</v>
      </c>
      <c r="C32" s="322" t="s">
        <v>92</v>
      </c>
      <c r="D32" s="323"/>
      <c r="M32" s="296" t="str">
        <f>VLOOKUP(N32,Coeff_Descr!$A:$D,3,FALSE)</f>
        <v>PERSBUS/MED</v>
      </c>
      <c r="N32" s="296">
        <f>OtherTourDestination!B40</f>
        <v>30</v>
      </c>
      <c r="O32" s="296" t="str">
        <f>OtherTourDestination!C40</f>
        <v>Beta000030</v>
      </c>
      <c r="P32" s="298">
        <f>OtherTourDestination!E40</f>
        <v>-0.57131171698200001</v>
      </c>
      <c r="Q32" s="337">
        <f si="0" t="shared"/>
        <v>-0.57131171698200001</v>
      </c>
    </row>
    <row r="33" spans="2:18" x14ac:dyDescent="0.25">
      <c r="B33" s="346">
        <f>B23</f>
        <v>37</v>
      </c>
      <c r="C33" s="302" t="s">
        <v>48</v>
      </c>
      <c r="D33" s="378">
        <f>K12</f>
        <v>0.64667422943190944</v>
      </c>
      <c r="M33" s="296" t="str">
        <f>VLOOKUP(N33,Coeff_Descr!$A:$D,3,FALSE)</f>
        <v>PERSBUS/MED</v>
      </c>
      <c r="N33" s="296">
        <f>OtherTourDestination!B41</f>
        <v>31</v>
      </c>
      <c r="O33" s="296" t="str">
        <f>OtherTourDestination!C41</f>
        <v>Beta000031</v>
      </c>
      <c r="P33" s="298">
        <f>OtherTourDestination!E41</f>
        <v>-9.1432405138999993E-3</v>
      </c>
      <c r="Q33" s="337">
        <f si="0" t="shared"/>
        <v>-9.1432405138999993E-3</v>
      </c>
    </row>
    <row r="34" spans="2:18" x14ac:dyDescent="0.25">
      <c r="B34" s="346">
        <f ref="B34:B36" si="6" t="shared">B24</f>
        <v>38</v>
      </c>
      <c r="C34" s="305" t="s">
        <v>51</v>
      </c>
      <c r="D34" s="379">
        <f ref="D34:D36" si="7" t="shared">K13</f>
        <v>-0.82500191780956089</v>
      </c>
      <c r="M34" s="296" t="str">
        <f>VLOOKUP(N34,Coeff_Descr!$A:$D,3,FALSE)</f>
        <v>PERSBUS/MED</v>
      </c>
      <c r="N34" s="296">
        <f>OtherTourDestination!B42</f>
        <v>32</v>
      </c>
      <c r="O34" s="296" t="str">
        <f>OtherTourDestination!C42</f>
        <v>Beta000032</v>
      </c>
      <c r="P34" s="298">
        <f>OtherTourDestination!E42</f>
        <v>-0.11638214876</v>
      </c>
      <c r="Q34" s="337">
        <f si="0" t="shared"/>
        <v>-0.11638214876</v>
      </c>
    </row>
    <row r="35" spans="2:18" x14ac:dyDescent="0.25">
      <c r="B35" s="346">
        <f si="6" t="shared"/>
        <v>39</v>
      </c>
      <c r="C35" s="305" t="s">
        <v>54</v>
      </c>
      <c r="D35" s="379">
        <f si="7" t="shared"/>
        <v>-0.57548978556547425</v>
      </c>
      <c r="G35" s="329"/>
      <c r="H35" s="329"/>
      <c r="I35" s="329"/>
      <c r="J35" s="329"/>
      <c r="K35" s="329"/>
      <c r="M35" s="296" t="str">
        <f>VLOOKUP(N35,Coeff_Descr!$A:$D,3,FALSE)</f>
        <v>PERSBUS/MED</v>
      </c>
      <c r="N35" s="296">
        <f>OtherTourDestination!B43</f>
        <v>33</v>
      </c>
      <c r="O35" s="296" t="str">
        <f>OtherTourDestination!C43</f>
        <v>Beta000033</v>
      </c>
      <c r="P35" s="298">
        <f>OtherTourDestination!E43</f>
        <v>5.6920874310099998E-2</v>
      </c>
      <c r="Q35" s="337">
        <f si="0" t="shared"/>
        <v>5.6920874310099998E-2</v>
      </c>
    </row>
    <row ht="15.75" r="36" spans="2:18" thickBot="1" x14ac:dyDescent="0.3">
      <c r="B36" s="348">
        <f si="6" t="shared"/>
        <v>40</v>
      </c>
      <c r="C36" s="325" t="s">
        <v>57</v>
      </c>
      <c r="D36" s="326">
        <f si="7" t="shared"/>
        <v>-0.26093498071707927</v>
      </c>
      <c r="G36" s="330"/>
      <c r="H36" s="330"/>
      <c r="I36" s="330"/>
      <c r="J36" s="330"/>
      <c r="K36" s="330"/>
      <c r="M36" s="296" t="str">
        <f>VLOOKUP(N36,Coeff_Descr!$A:$D,3,FALSE)</f>
        <v>PERSBUS/MED</v>
      </c>
      <c r="N36" s="296">
        <f>OtherTourDestination!B44</f>
        <v>34</v>
      </c>
      <c r="O36" s="296" t="str">
        <f>OtherTourDestination!C44</f>
        <v>Beta000034</v>
      </c>
      <c r="P36" s="298">
        <f>OtherTourDestination!E44</f>
        <v>-1.9362324458399999E-2</v>
      </c>
      <c r="Q36" s="337">
        <f si="0" t="shared"/>
        <v>-1.9362324458399999E-2</v>
      </c>
    </row>
    <row ht="15.75" r="37" spans="2:18" thickTop="1" x14ac:dyDescent="0.25">
      <c r="C37" s="321"/>
      <c r="D37" s="324"/>
      <c r="M37" s="296" t="str">
        <f>VLOOKUP(N37,Coeff_Descr!$A:$D,3,FALSE)</f>
        <v>PERSBUS/MED</v>
      </c>
      <c r="N37" s="296">
        <f>OtherTourDestination!B45</f>
        <v>35</v>
      </c>
      <c r="O37" s="296" t="str">
        <f>OtherTourDestination!C45</f>
        <v>Beta000035</v>
      </c>
      <c r="P37" s="298">
        <f>OtherTourDestination!E45</f>
        <v>1.8323476485999999E-2</v>
      </c>
      <c r="Q37" s="337">
        <f si="0" t="shared"/>
        <v>1.8323476485999999E-2</v>
      </c>
    </row>
    <row r="38" spans="2:18" x14ac:dyDescent="0.25">
      <c r="C38" s="321"/>
      <c r="D38" s="324"/>
      <c r="M38" s="296" t="str">
        <f>VLOOKUP(N38,Coeff_Descr!$A:$D,3,FALSE)</f>
        <v>SHOP</v>
      </c>
      <c r="N38" s="296">
        <f>OtherTourDestination!B46</f>
        <v>36</v>
      </c>
      <c r="O38" s="296" t="str">
        <f>OtherTourDestination!C46</f>
        <v>Beta000036</v>
      </c>
      <c r="P38" s="298">
        <f>OtherTourDestination!E46</f>
        <v>2.3040582229000002</v>
      </c>
      <c r="Q38" s="337">
        <f si="0" t="shared"/>
        <v>2.3040582229000002</v>
      </c>
    </row>
    <row r="39" spans="2:18" x14ac:dyDescent="0.25">
      <c r="C39" s="320" t="s">
        <v>83</v>
      </c>
      <c r="D39" s="331"/>
      <c r="M39" s="296" t="str">
        <f>VLOOKUP(N39,Coeff_Descr!$A:$D,3,FALSE)</f>
        <v>SHOP</v>
      </c>
      <c r="N39" s="338">
        <f>OtherTourDestination!B47</f>
        <v>37</v>
      </c>
      <c r="O39" s="338" t="str">
        <f>OtherTourDestination!C47</f>
        <v>Beta000037</v>
      </c>
      <c r="P39" s="339">
        <f>OtherTourDestination!E47</f>
        <v>-7.2225250615199998</v>
      </c>
      <c r="Q39" s="340">
        <f si="0" t="shared"/>
        <v>-6.57585083208809</v>
      </c>
      <c r="R39" s="296" t="str">
        <f>VLOOKUP(N39,Coeff_Descr!$A$2:$E$104,4,FALSE)</f>
        <v>distanceFromOrigin4</v>
      </c>
    </row>
    <row r="40" spans="2:18" x14ac:dyDescent="0.25">
      <c r="C40" s="320" t="s">
        <v>126</v>
      </c>
      <c r="D40" s="331"/>
      <c r="M40" s="296" t="str">
        <f>VLOOKUP(N40,Coeff_Descr!$A:$D,3,FALSE)</f>
        <v>SHOP</v>
      </c>
      <c r="N40" s="338">
        <f>OtherTourDestination!B48</f>
        <v>38</v>
      </c>
      <c r="O40" s="338" t="str">
        <f>OtherTourDestination!C48</f>
        <v>Beta000038</v>
      </c>
      <c r="P40" s="339">
        <f>OtherTourDestination!E48</f>
        <v>-5.4693439766900003</v>
      </c>
      <c r="Q40" s="340">
        <f si="0" t="shared"/>
        <v>-6.2943458944995614</v>
      </c>
      <c r="R40" s="296" t="str">
        <f>VLOOKUP(N40,Coeff_Descr!$A$2:$E$104,4,FALSE)</f>
        <v>distanceFromOrigin8</v>
      </c>
    </row>
    <row ht="15.75" r="41" spans="2:18" thickBot="1" x14ac:dyDescent="0.3">
      <c r="B41" s="349"/>
      <c r="C41" s="321"/>
      <c r="D41" s="324"/>
      <c r="M41" s="296" t="str">
        <f>VLOOKUP(N41,Coeff_Descr!$A:$D,3,FALSE)</f>
        <v>SHOP</v>
      </c>
      <c r="N41" s="338">
        <f>OtherTourDestination!B49</f>
        <v>39</v>
      </c>
      <c r="O41" s="338" t="str">
        <f>OtherTourDestination!C49</f>
        <v>Beta000039</v>
      </c>
      <c r="P41" s="339">
        <f>OtherTourDestination!E49</f>
        <v>-2.4179033783600001</v>
      </c>
      <c r="Q41" s="340">
        <f si="0" t="shared"/>
        <v>-2.9933931639254743</v>
      </c>
      <c r="R41" s="296" t="str">
        <f>VLOOKUP(N41,Coeff_Descr!$A$2:$E$104,4,FALSE)</f>
        <v>distanceFromOrigin9</v>
      </c>
    </row>
    <row r="42" spans="2:18" x14ac:dyDescent="0.25">
      <c r="B42" s="345" t="s">
        <v>255</v>
      </c>
      <c r="C42" s="322" t="s">
        <v>92</v>
      </c>
      <c r="D42" s="332"/>
      <c r="M42" s="296" t="str">
        <f>VLOOKUP(N42,Coeff_Descr!$A:$D,3,FALSE)</f>
        <v>SHOP</v>
      </c>
      <c r="N42" s="338">
        <f>OtherTourDestination!B50</f>
        <v>40</v>
      </c>
      <c r="O42" s="338" t="str">
        <f>OtherTourDestination!C50</f>
        <v>Beta000040</v>
      </c>
      <c r="P42" s="339">
        <f>OtherTourDestination!E50</f>
        <v>-0.24529497763800001</v>
      </c>
      <c r="Q42" s="340">
        <f si="0" t="shared"/>
        <v>-0.50622995835507933</v>
      </c>
      <c r="R42" s="296" t="str">
        <f>VLOOKUP(N42,Coeff_Descr!$A$2:$E$104,4,FALSE)</f>
        <v>distanceFromOrigin3</v>
      </c>
    </row>
    <row r="43" spans="2:18" x14ac:dyDescent="0.25">
      <c r="B43" s="346">
        <f>B33</f>
        <v>37</v>
      </c>
      <c r="C43" s="302" t="s">
        <v>48</v>
      </c>
      <c r="D43" s="380">
        <f>D23+D33</f>
        <v>-6.57585083208809</v>
      </c>
      <c r="M43" s="296" t="str">
        <f>VLOOKUP(N43,Coeff_Descr!$A:$D,3,FALSE)</f>
        <v>SHOP</v>
      </c>
      <c r="N43" s="296">
        <f>OtherTourDestination!B51</f>
        <v>41</v>
      </c>
      <c r="O43" s="296" t="str">
        <f>OtherTourDestination!C51</f>
        <v>Beta000041</v>
      </c>
      <c r="P43" s="298">
        <f>OtherTourDestination!E51</f>
        <v>-0.100545011408</v>
      </c>
      <c r="Q43" s="337">
        <f si="0" t="shared"/>
        <v>-0.100545011408</v>
      </c>
    </row>
    <row r="44" spans="2:18" x14ac:dyDescent="0.25">
      <c r="B44" s="346">
        <f ref="B44:B46" si="8" t="shared">B34</f>
        <v>38</v>
      </c>
      <c r="C44" s="305" t="s">
        <v>51</v>
      </c>
      <c r="D44" s="380">
        <f ref="D44:D46" si="9" t="shared">D24+D34</f>
        <v>-6.2943458944995614</v>
      </c>
      <c r="M44" s="296" t="str">
        <f>VLOOKUP(N44,Coeff_Descr!$A:$D,3,FALSE)</f>
        <v>SHOP</v>
      </c>
      <c r="N44" s="296">
        <f>OtherTourDestination!B52</f>
        <v>42</v>
      </c>
      <c r="O44" s="296" t="str">
        <f>OtherTourDestination!C52</f>
        <v>Beta000042</v>
      </c>
      <c r="P44" s="298">
        <f>OtherTourDestination!E52</f>
        <v>0.10049185695100001</v>
      </c>
      <c r="Q44" s="337">
        <f si="0" t="shared"/>
        <v>0.10049185695100001</v>
      </c>
    </row>
    <row r="45" spans="2:18" x14ac:dyDescent="0.25">
      <c r="B45" s="346">
        <f si="8" t="shared"/>
        <v>39</v>
      </c>
      <c r="C45" s="305" t="s">
        <v>54</v>
      </c>
      <c r="D45" s="380">
        <f si="9" t="shared"/>
        <v>-2.9933931639254743</v>
      </c>
      <c r="M45" s="296" t="str">
        <f>VLOOKUP(N45,Coeff_Descr!$A:$D,3,FALSE)</f>
        <v>MEAL</v>
      </c>
      <c r="N45" s="296">
        <f>OtherTourDestination!B53</f>
        <v>43</v>
      </c>
      <c r="O45" s="296" t="str">
        <f>OtherTourDestination!C53</f>
        <v>Beta000043</v>
      </c>
      <c r="P45" s="298">
        <f>OtherTourDestination!E53</f>
        <v>1.7655971612000001</v>
      </c>
      <c r="Q45" s="337">
        <f si="0" t="shared"/>
        <v>1.7655971612000001</v>
      </c>
    </row>
    <row ht="15.75" r="46" spans="2:18" thickBot="1" x14ac:dyDescent="0.3">
      <c r="B46" s="348">
        <f si="8" t="shared"/>
        <v>40</v>
      </c>
      <c r="C46" s="325" t="s">
        <v>57</v>
      </c>
      <c r="D46" s="381">
        <f si="9" t="shared"/>
        <v>-0.50622995835507933</v>
      </c>
      <c r="M46" s="296" t="str">
        <f>VLOOKUP(N46,Coeff_Descr!$A:$D,3,FALSE)</f>
        <v>MEAL</v>
      </c>
      <c r="N46" s="296">
        <f>OtherTourDestination!B54</f>
        <v>44</v>
      </c>
      <c r="O46" s="296" t="str">
        <f>OtherTourDestination!C54</f>
        <v>Beta000044</v>
      </c>
      <c r="P46" s="298">
        <f>OtherTourDestination!E54</f>
        <v>-13.482142205440001</v>
      </c>
      <c r="Q46" s="337">
        <f si="0" t="shared"/>
        <v>-13.482142205440001</v>
      </c>
    </row>
    <row ht="15.75" r="47" spans="2:18" thickTop="1" x14ac:dyDescent="0.25">
      <c r="M47" s="296" t="str">
        <f>VLOOKUP(N47,Coeff_Descr!$A:$D,3,FALSE)</f>
        <v>MEAL</v>
      </c>
      <c r="N47" s="296">
        <f>OtherTourDestination!B55</f>
        <v>45</v>
      </c>
      <c r="O47" s="296" t="str">
        <f>OtherTourDestination!C55</f>
        <v>Beta000045</v>
      </c>
      <c r="P47" s="298">
        <f>OtherTourDestination!E55</f>
        <v>-5.7740636752999999</v>
      </c>
      <c r="Q47" s="337">
        <f si="0" t="shared"/>
        <v>-5.7740636752999999</v>
      </c>
    </row>
    <row r="48" spans="2:18" x14ac:dyDescent="0.25">
      <c r="M48" s="296" t="str">
        <f>VLOOKUP(N48,Coeff_Descr!$A:$D,3,FALSE)</f>
        <v>MEAL</v>
      </c>
      <c r="N48" s="296">
        <f>OtherTourDestination!B56</f>
        <v>46</v>
      </c>
      <c r="O48" s="296" t="str">
        <f>OtherTourDestination!C56</f>
        <v>Beta000046</v>
      </c>
      <c r="P48" s="298">
        <f>OtherTourDestination!E56</f>
        <v>-3.2513620839500001</v>
      </c>
      <c r="Q48" s="337">
        <f si="0" t="shared"/>
        <v>-3.2513620839500001</v>
      </c>
    </row>
    <row r="49" spans="1:17" x14ac:dyDescent="0.25">
      <c r="F49" s="386"/>
      <c r="G49" s="387"/>
      <c r="H49" s="387"/>
      <c r="M49" s="296" t="str">
        <f>VLOOKUP(N49,Coeff_Descr!$A:$D,3,FALSE)</f>
        <v>MEAL</v>
      </c>
      <c r="N49" s="296">
        <f>OtherTourDestination!B57</f>
        <v>47</v>
      </c>
      <c r="O49" s="296" t="str">
        <f>OtherTourDestination!C57</f>
        <v>Beta000047</v>
      </c>
      <c r="P49" s="298">
        <f>OtherTourDestination!E57</f>
        <v>-0.81757689945000001</v>
      </c>
      <c r="Q49" s="337">
        <f si="0" t="shared"/>
        <v>-0.81757689945000001</v>
      </c>
    </row>
    <row ht="15.75" r="50" spans="1:17" thickBot="1" x14ac:dyDescent="0.3">
      <c r="F50" s="386"/>
      <c r="G50" s="387"/>
      <c r="H50" s="387"/>
      <c r="M50" s="296" t="str">
        <f>VLOOKUP(N50,Coeff_Descr!$A:$D,3,FALSE)</f>
        <v>MEAL</v>
      </c>
      <c r="N50" s="296">
        <f>OtherTourDestination!B58</f>
        <v>48</v>
      </c>
      <c r="O50" s="296" t="str">
        <f>OtherTourDestination!C58</f>
        <v>Beta000048</v>
      </c>
      <c r="P50" s="298">
        <f>OtherTourDestination!E58</f>
        <v>0.63335958983999996</v>
      </c>
      <c r="Q50" s="337">
        <f si="0" t="shared"/>
        <v>0.63335958983999996</v>
      </c>
    </row>
    <row r="51" spans="1:17" x14ac:dyDescent="0.25">
      <c r="A51" s="6"/>
      <c r="B51" s="6"/>
      <c r="C51" s="5"/>
      <c r="D51" s="5"/>
      <c r="E51" s="3" t="s">
        <v>345</v>
      </c>
      <c r="F51" s="388"/>
      <c r="G51" s="387"/>
      <c r="H51" s="389"/>
      <c r="M51" s="296" t="str">
        <f>VLOOKUP(N51,Coeff_Descr!$A:$D,3,FALSE)</f>
        <v>SOCREC</v>
      </c>
      <c r="N51" s="296">
        <f>OtherTourDestination!B59</f>
        <v>49</v>
      </c>
      <c r="O51" s="296" t="str">
        <f>OtherTourDestination!C59</f>
        <v>Beta000049</v>
      </c>
      <c r="P51" s="298">
        <f>OtherTourDestination!E59</f>
        <v>0.54194850979700004</v>
      </c>
      <c r="Q51" s="337">
        <f si="0" t="shared"/>
        <v>0.54194850979700004</v>
      </c>
    </row>
    <row r="52" spans="1:17" x14ac:dyDescent="0.25">
      <c r="A52" s="382" t="s">
        <v>346</v>
      </c>
      <c r="B52" s="382" t="s">
        <v>347</v>
      </c>
      <c r="C52" s="382" t="s">
        <v>36</v>
      </c>
      <c r="D52" s="382" t="s">
        <v>348</v>
      </c>
      <c r="E52" s="383"/>
      <c r="F52" s="6"/>
      <c r="G52" s="387"/>
      <c r="H52" s="388"/>
      <c r="M52" s="296" t="str">
        <f>VLOOKUP(N52,Coeff_Descr!$A:$D,3,FALSE)</f>
        <v>SOCREC</v>
      </c>
      <c r="N52" s="333">
        <f>OtherTourDestination!B60</f>
        <v>50</v>
      </c>
      <c r="O52" s="333" t="str">
        <f>OtherTourDestination!C60</f>
        <v>Beta000050</v>
      </c>
      <c r="P52" s="375">
        <f>OtherTourDestination!E60</f>
        <v>-26.641935956609998</v>
      </c>
      <c r="Q52" s="337">
        <f si="0" t="shared"/>
        <v>-26.641935956609998</v>
      </c>
    </row>
    <row r="53" spans="1:17" x14ac:dyDescent="0.25">
      <c r="A53">
        <f>TLFD!A11+0.5</f>
        <v>0.5</v>
      </c>
      <c r="B53" s="384">
        <f>LN(1+A53)</f>
        <v>0.40546510810816438</v>
      </c>
      <c r="C53" s="385">
        <f>TLFD!B11/SUM(TLFD!$B$11:$B$100)</f>
        <v>0.20537558436890072</v>
      </c>
      <c r="D53" s="385">
        <f>TLFD!F11/SUM(TLFD!$F$11:FI$100)</f>
        <v>0.10756922374074467</v>
      </c>
      <c r="E53">
        <f ref="E53:E84" si="10" t="shared">IF(AND(C53&gt;0, D53&gt;0),LN(C53/D53),0)</f>
        <v>0.6467058396278883</v>
      </c>
      <c r="F53" s="390"/>
      <c r="G53" s="387"/>
      <c r="H53" s="6"/>
      <c r="M53" s="296" t="str">
        <f>VLOOKUP(N53,Coeff_Descr!$A:$D,3,FALSE)</f>
        <v>SOCREC</v>
      </c>
      <c r="N53" s="333">
        <f>OtherTourDestination!B61</f>
        <v>51</v>
      </c>
      <c r="O53" s="333" t="str">
        <f>OtherTourDestination!C61</f>
        <v>Beta000051</v>
      </c>
      <c r="P53" s="375">
        <f>OtherTourDestination!E61</f>
        <v>-5.8569921168899999</v>
      </c>
      <c r="Q53" s="337">
        <f si="0" t="shared"/>
        <v>-5.8569921168899999</v>
      </c>
    </row>
    <row r="54" spans="1:17" x14ac:dyDescent="0.25">
      <c r="A54">
        <f>TLFD!A12+0.5</f>
        <v>1.5</v>
      </c>
      <c r="B54" s="384">
        <f ref="B54:B117" si="11" t="shared">LN(1+A54)</f>
        <v>0.91629073187415511</v>
      </c>
      <c r="C54" s="385">
        <f>TLFD!B12/SUM(TLFD!$B$11:$B$100)</f>
        <v>0.18275924172713642</v>
      </c>
      <c r="D54" s="385">
        <f>TLFD!F12/SUM(TLFD!$F$11:FI$100)</f>
        <v>0.20802586895894168</v>
      </c>
      <c r="E54">
        <f si="10" t="shared"/>
        <v>-0.12949277428534328</v>
      </c>
      <c r="F54" s="390"/>
      <c r="G54" s="387"/>
      <c r="H54" s="6"/>
      <c r="M54" s="296" t="str">
        <f>VLOOKUP(N54,Coeff_Descr!$A:$D,3,FALSE)</f>
        <v>SOCREC</v>
      </c>
      <c r="N54" s="333">
        <f>OtherTourDestination!B62</f>
        <v>52</v>
      </c>
      <c r="O54" s="333" t="str">
        <f>OtherTourDestination!C62</f>
        <v>Beta000052</v>
      </c>
      <c r="P54" s="375">
        <f>OtherTourDestination!E62</f>
        <v>-3.0622160410500001</v>
      </c>
      <c r="Q54" s="337">
        <f si="0" t="shared"/>
        <v>-3.0622160410500001</v>
      </c>
    </row>
    <row r="55" spans="1:17" x14ac:dyDescent="0.25">
      <c r="A55">
        <f>TLFD!A13+0.5</f>
        <v>2.5</v>
      </c>
      <c r="B55" s="384">
        <f si="11" t="shared"/>
        <v>1.2527629684953681</v>
      </c>
      <c r="C55" s="385">
        <f>TLFD!B13/SUM(TLFD!$B$11:$B$100)</f>
        <v>0.13066785795283159</v>
      </c>
      <c r="D55" s="385">
        <f>TLFD!F13/SUM(TLFD!$F$11:FI$100)</f>
        <v>0.18477821692665647</v>
      </c>
      <c r="E55">
        <f si="10" t="shared"/>
        <v>-0.34649761041967125</v>
      </c>
      <c r="F55" s="385"/>
      <c r="H55"/>
      <c r="M55" s="296" t="str">
        <f>VLOOKUP(N55,Coeff_Descr!$A:$D,3,FALSE)</f>
        <v>SOCREC</v>
      </c>
      <c r="N55" s="333">
        <f>OtherTourDestination!B63</f>
        <v>53</v>
      </c>
      <c r="O55" s="333" t="str">
        <f>OtherTourDestination!C63</f>
        <v>Beta000053</v>
      </c>
      <c r="P55" s="375">
        <f>OtherTourDestination!E63</f>
        <v>-1.4592147580599999</v>
      </c>
      <c r="Q55" s="337">
        <f si="0" t="shared"/>
        <v>-1.4592147580599999</v>
      </c>
    </row>
    <row r="56" spans="1:17" x14ac:dyDescent="0.25">
      <c r="A56">
        <f>TLFD!A14+0.5</f>
        <v>3.5</v>
      </c>
      <c r="B56" s="384">
        <f si="11" t="shared"/>
        <v>1.5040773967762742</v>
      </c>
      <c r="C56" s="385">
        <f>TLFD!B14/SUM(TLFD!$B$11:$B$100)</f>
        <v>0.13122582416953446</v>
      </c>
      <c r="D56" s="385">
        <f>TLFD!F14/SUM(TLFD!$F$11:FI$100)</f>
        <v>0.12043325525340823</v>
      </c>
      <c r="E56">
        <f si="10" t="shared"/>
        <v>8.5823986541466155E-2</v>
      </c>
      <c r="F56" s="385"/>
      <c r="H56"/>
      <c r="M56" s="296" t="str">
        <f>VLOOKUP(N56,Coeff_Descr!$A:$D,3,FALSE)</f>
        <v>SOCREC</v>
      </c>
      <c r="N56" s="296">
        <f>OtherTourDestination!B64</f>
        <v>54</v>
      </c>
      <c r="O56" s="296" t="str">
        <f>OtherTourDestination!C64</f>
        <v>Beta000054</v>
      </c>
      <c r="P56" s="298">
        <f>OtherTourDestination!E64</f>
        <v>-0.160744421114</v>
      </c>
      <c r="Q56" s="337">
        <f si="0" t="shared"/>
        <v>-0.160744421114</v>
      </c>
    </row>
    <row r="57" spans="1:17" x14ac:dyDescent="0.25">
      <c r="A57">
        <f>TLFD!A15+0.5</f>
        <v>4.5</v>
      </c>
      <c r="B57" s="384">
        <f si="11" t="shared"/>
        <v>1.7047480922384253</v>
      </c>
      <c r="C57" s="385">
        <f>TLFD!B15/SUM(TLFD!$B$11:$B$100)</f>
        <v>6.2545757378655156E-2</v>
      </c>
      <c r="D57" s="385">
        <f>TLFD!F15/SUM(TLFD!$F$11:FI$100)</f>
        <v>8.498818216283946E-2</v>
      </c>
      <c r="E57">
        <f si="10" t="shared"/>
        <v>-0.30661380651277592</v>
      </c>
      <c r="F57" s="385"/>
      <c r="H57"/>
      <c r="M57" s="296" t="str">
        <f>VLOOKUP(N57,Coeff_Descr!$A:$D,3,FALSE)</f>
        <v>SOCREC</v>
      </c>
      <c r="N57" s="296">
        <f>OtherTourDestination!B65</f>
        <v>55</v>
      </c>
      <c r="O57" s="296" t="str">
        <f>OtherTourDestination!C65</f>
        <v>Beta000055</v>
      </c>
      <c r="P57" s="298">
        <f>OtherTourDestination!E65</f>
        <v>0.101769944302</v>
      </c>
      <c r="Q57" s="337">
        <f si="0" t="shared"/>
        <v>0.101769944302</v>
      </c>
    </row>
    <row r="58" spans="1:17" x14ac:dyDescent="0.25">
      <c r="A58">
        <f>TLFD!A16+0.5</f>
        <v>5.5</v>
      </c>
      <c r="B58" s="384">
        <f si="11" t="shared"/>
        <v>1.8718021769015913</v>
      </c>
      <c r="C58" s="385">
        <f>TLFD!B16/SUM(TLFD!$B$11:$B$100)</f>
        <v>5.4886256731657042E-2</v>
      </c>
      <c r="D58" s="385">
        <f>TLFD!F16/SUM(TLFD!$F$11:FI$100)</f>
        <v>6.5951027791242858E-2</v>
      </c>
      <c r="E58">
        <f si="10" t="shared"/>
        <v>-0.18364947902253329</v>
      </c>
      <c r="F58" s="385"/>
      <c r="H58"/>
      <c r="M58" s="296" t="str">
        <f>VLOOKUP(N58,Coeff_Descr!$A:$D,3,FALSE)</f>
        <v>SOCREC</v>
      </c>
      <c r="N58" s="296">
        <f>OtherTourDestination!B66</f>
        <v>56</v>
      </c>
      <c r="O58" s="296" t="str">
        <f>OtherTourDestination!C66</f>
        <v>Beta000056</v>
      </c>
      <c r="P58" s="298">
        <f>OtherTourDestination!E66</f>
        <v>-7.3004796389399995E-2</v>
      </c>
      <c r="Q58" s="337">
        <f si="0" t="shared"/>
        <v>-7.3004796389399995E-2</v>
      </c>
    </row>
    <row r="59" spans="1:17" x14ac:dyDescent="0.25">
      <c r="A59">
        <f>TLFD!A17+0.5</f>
        <v>6.5</v>
      </c>
      <c r="B59" s="384">
        <f si="11" t="shared"/>
        <v>2.0149030205422647</v>
      </c>
      <c r="C59" s="385">
        <f>TLFD!B17/SUM(TLFD!$B$11:$B$100)</f>
        <v>4.6111755551511716E-2</v>
      </c>
      <c r="D59" s="385">
        <f>TLFD!F17/SUM(TLFD!$F$11:FI$100)</f>
        <v>4.811997326501289E-2</v>
      </c>
      <c r="E59">
        <f si="10" t="shared"/>
        <v>-4.2629416903665687E-2</v>
      </c>
      <c r="F59" s="385"/>
      <c r="H59"/>
      <c r="M59" s="296" t="str">
        <f>VLOOKUP(N59,Coeff_Descr!$A:$D,3,FALSE)</f>
        <v>SOCREC</v>
      </c>
      <c r="N59" s="296">
        <f>OtherTourDestination!B67</f>
        <v>57</v>
      </c>
      <c r="O59" s="296" t="str">
        <f>OtherTourDestination!C67</f>
        <v>Beta000057</v>
      </c>
      <c r="P59" s="298">
        <f>OtherTourDestination!E67</f>
        <v>4.7664283443500002E-2</v>
      </c>
      <c r="Q59" s="337">
        <f si="0" t="shared"/>
        <v>4.7664283443500002E-2</v>
      </c>
    </row>
    <row r="60" spans="1:17" x14ac:dyDescent="0.25">
      <c r="A60">
        <f>TLFD!A18+0.5</f>
        <v>7.5</v>
      </c>
      <c r="B60" s="384">
        <f si="11" t="shared"/>
        <v>2.1400661634962708</v>
      </c>
      <c r="C60" s="385">
        <f>TLFD!B18/SUM(TLFD!$B$11:$B$100)</f>
        <v>2.5906786976567765E-2</v>
      </c>
      <c r="D60" s="385">
        <f>TLFD!F18/SUM(TLFD!$F$11:FI$100)</f>
        <v>3.422967170397824E-2</v>
      </c>
      <c r="E60">
        <f si="10" t="shared"/>
        <v>-0.2785878818053642</v>
      </c>
      <c r="F60" s="385"/>
      <c r="H60"/>
      <c r="M60" s="296" t="str">
        <f>VLOOKUP(N60,Coeff_Descr!$A:$D,3,FALSE)</f>
        <v>ESCORT</v>
      </c>
      <c r="N60" s="296">
        <f>OtherTourDestination!B68</f>
        <v>70</v>
      </c>
      <c r="O60" s="296" t="str">
        <f>OtherTourDestination!C68</f>
        <v>LSM_0070</v>
      </c>
      <c r="P60" s="298">
        <f>OtherTourDestination!E68</f>
        <v>0.70165957865100004</v>
      </c>
      <c r="Q60" s="337">
        <f si="0" t="shared"/>
        <v>0.70165957865100004</v>
      </c>
    </row>
    <row r="61" spans="1:17" x14ac:dyDescent="0.25">
      <c r="A61">
        <f>TLFD!A19+0.5</f>
        <v>8.5</v>
      </c>
      <c r="B61" s="384">
        <f si="11" t="shared"/>
        <v>2.2512917986064953</v>
      </c>
      <c r="C61" s="385">
        <f>TLFD!B19/SUM(TLFD!$B$11:$B$100)</f>
        <v>2.7143271068123167E-2</v>
      </c>
      <c r="D61" s="385">
        <f>TLFD!F19/SUM(TLFD!$F$11:FI$100)</f>
        <v>2.6785338211111235E-2</v>
      </c>
      <c r="E61">
        <f si="10" t="shared"/>
        <v>1.3274516729041569E-2</v>
      </c>
      <c r="F61" s="385"/>
      <c r="H61"/>
      <c r="M61" s="296" t="str">
        <f>VLOOKUP(N61,Coeff_Descr!$A:$D,3,FALSE)</f>
        <v>ESCORT</v>
      </c>
      <c r="N61" s="296">
        <f>OtherTourDestination!B69</f>
        <v>71</v>
      </c>
      <c r="O61" s="296" t="str">
        <f>OtherTourDestination!C69</f>
        <v>Gamma071</v>
      </c>
      <c r="P61" s="298">
        <f>OtherTourDestination!E69</f>
        <v>0</v>
      </c>
      <c r="Q61" s="337">
        <f si="0" t="shared"/>
        <v>0</v>
      </c>
    </row>
    <row r="62" spans="1:17" x14ac:dyDescent="0.25">
      <c r="A62">
        <f>TLFD!A20+0.5</f>
        <v>9.5</v>
      </c>
      <c r="B62" s="384">
        <f si="11" t="shared"/>
        <v>2.3513752571634776</v>
      </c>
      <c r="C62" s="385">
        <f>TLFD!B20/SUM(TLFD!$B$11:$B$100)</f>
        <v>2.2144361416909474E-2</v>
      </c>
      <c r="D62" s="385">
        <f>TLFD!F20/SUM(TLFD!$F$11:FI$100)</f>
        <v>1.8469760356938258E-2</v>
      </c>
      <c r="E62">
        <f si="10" t="shared"/>
        <v>0.1814480811057825</v>
      </c>
      <c r="F62" s="385"/>
      <c r="H62"/>
      <c r="M62" s="296" t="str">
        <f>VLOOKUP(N62,Coeff_Descr!$A:$D,3,FALSE)</f>
        <v>ESCORT</v>
      </c>
      <c r="N62" s="296">
        <f>OtherTourDestination!B70</f>
        <v>72</v>
      </c>
      <c r="O62" s="296" t="str">
        <f>OtherTourDestination!C70</f>
        <v>Gamma072</v>
      </c>
      <c r="P62" s="298">
        <f>OtherTourDestination!E70</f>
        <v>0</v>
      </c>
      <c r="Q62" s="337">
        <f si="0" t="shared"/>
        <v>0</v>
      </c>
    </row>
    <row r="63" spans="1:17" x14ac:dyDescent="0.25">
      <c r="A63">
        <f>TLFD!A21+0.5</f>
        <v>10.5</v>
      </c>
      <c r="B63" s="384">
        <f si="11" t="shared"/>
        <v>2.4423470353692043</v>
      </c>
      <c r="C63" s="385">
        <f>TLFD!B21/SUM(TLFD!$B$11:$B$100)</f>
        <v>1.1220564567833454E-2</v>
      </c>
      <c r="D63" s="385">
        <f>TLFD!F21/SUM(TLFD!$F$11:FI$100)</f>
        <v>1.5102602433883878E-2</v>
      </c>
      <c r="E63">
        <f si="10" t="shared"/>
        <v>-0.29711885876836919</v>
      </c>
      <c r="F63" s="385"/>
      <c r="H63"/>
      <c r="M63" s="296" t="str">
        <f>VLOOKUP(N63,Coeff_Descr!$A:$D,3,FALSE)</f>
        <v>ESCORT</v>
      </c>
      <c r="N63" s="296">
        <f>OtherTourDestination!B71</f>
        <v>73</v>
      </c>
      <c r="O63" s="296" t="str">
        <f>OtherTourDestination!C71</f>
        <v>Gamma073</v>
      </c>
      <c r="P63" s="298">
        <f>OtherTourDestination!E71</f>
        <v>-1.0451393946200001</v>
      </c>
      <c r="Q63" s="337">
        <f si="0" t="shared"/>
        <v>-1.0451393946200001</v>
      </c>
    </row>
    <row r="64" spans="1:17" x14ac:dyDescent="0.25">
      <c r="A64">
        <f>TLFD!A22+0.5</f>
        <v>11.5</v>
      </c>
      <c r="B64" s="384">
        <f si="11" t="shared"/>
        <v>2.5257286443082556</v>
      </c>
      <c r="C64" s="385">
        <f>TLFD!B22/SUM(TLFD!$B$11:$B$100)</f>
        <v>1.532144586831851E-2</v>
      </c>
      <c r="D64" s="385">
        <f>TLFD!F22/SUM(TLFD!$F$11:FI$100)</f>
        <v>1.2771016100424491E-2</v>
      </c>
      <c r="E64">
        <f si="10" t="shared"/>
        <v>0.18207530147144568</v>
      </c>
      <c r="F64" s="385"/>
      <c r="H64"/>
      <c r="M64" s="296" t="str">
        <f>VLOOKUP(N64,Coeff_Descr!$A:$D,3,FALSE)</f>
        <v>ESCORT</v>
      </c>
      <c r="N64" s="296">
        <f>OtherTourDestination!B72</f>
        <v>74</v>
      </c>
      <c r="O64" s="296" t="str">
        <f>OtherTourDestination!C72</f>
        <v>Gamma074</v>
      </c>
      <c r="P64" s="298">
        <f>OtherTourDestination!E72</f>
        <v>0</v>
      </c>
      <c r="Q64" s="337">
        <f si="0" t="shared"/>
        <v>0</v>
      </c>
    </row>
    <row r="65" spans="1:17" x14ac:dyDescent="0.25">
      <c r="A65">
        <f>TLFD!A23+0.5</f>
        <v>12.5</v>
      </c>
      <c r="B65" s="384">
        <f si="11" t="shared"/>
        <v>2.6026896854443837</v>
      </c>
      <c r="C65" s="385">
        <f>TLFD!B23/SUM(TLFD!$B$11:$B$100)</f>
        <v>1.6901464866370283E-2</v>
      </c>
      <c r="D65" s="385">
        <f>TLFD!F23/SUM(TLFD!$F$11:FI$100)</f>
        <v>1.0613058536478037E-2</v>
      </c>
      <c r="E65">
        <f si="10" t="shared"/>
        <v>0.46531511634673756</v>
      </c>
      <c r="F65" s="385"/>
      <c r="H65"/>
      <c r="M65" s="296" t="str">
        <f>VLOOKUP(N65,Coeff_Descr!$A:$D,3,FALSE)</f>
        <v>ESCORT</v>
      </c>
      <c r="N65" s="296">
        <f>OtherTourDestination!B73</f>
        <v>75</v>
      </c>
      <c r="O65" s="296" t="str">
        <f>OtherTourDestination!C73</f>
        <v>Gamma075</v>
      </c>
      <c r="P65" s="298">
        <f>OtherTourDestination!E73</f>
        <v>-0.200987204384</v>
      </c>
      <c r="Q65" s="337">
        <f si="0" t="shared"/>
        <v>-0.200987204384</v>
      </c>
    </row>
    <row r="66" spans="1:17" x14ac:dyDescent="0.25">
      <c r="A66">
        <f>TLFD!A24+0.5</f>
        <v>13.5</v>
      </c>
      <c r="B66" s="384">
        <f si="11" t="shared"/>
        <v>2.6741486494265287</v>
      </c>
      <c r="C66" s="385">
        <f>TLFD!B24/SUM(TLFD!$B$11:$B$100)</f>
        <v>5.2920227430139598E-3</v>
      </c>
      <c r="D66" s="385">
        <f>TLFD!F24/SUM(TLFD!$F$11:FI$100)</f>
        <v>9.3728530399570867E-3</v>
      </c>
      <c r="E66">
        <f si="10" t="shared"/>
        <v>-0.57161699269348887</v>
      </c>
      <c r="F66" s="385"/>
      <c r="H66"/>
      <c r="M66" s="296" t="str">
        <f>VLOOKUP(N66,Coeff_Descr!$A:$D,3,FALSE)</f>
        <v>ESCORT</v>
      </c>
      <c r="N66" s="296">
        <f>OtherTourDestination!B74</f>
        <v>76</v>
      </c>
      <c r="O66" s="296" t="str">
        <f>OtherTourDestination!C74</f>
        <v>Gamma076</v>
      </c>
      <c r="P66" s="298">
        <f>OtherTourDestination!E74</f>
        <v>-0.24680877359100001</v>
      </c>
      <c r="Q66" s="337">
        <f si="0" t="shared"/>
        <v>-0.24680877359100001</v>
      </c>
    </row>
    <row r="67" spans="1:17" x14ac:dyDescent="0.25">
      <c r="A67">
        <f>TLFD!A25+0.5</f>
        <v>14.5</v>
      </c>
      <c r="B67" s="384">
        <f si="11" t="shared"/>
        <v>2.7408400239252009</v>
      </c>
      <c r="C67" s="385">
        <f>TLFD!B25/SUM(TLFD!$B$11:$B$100)</f>
        <v>1.2627631015369418E-2</v>
      </c>
      <c r="D67" s="385">
        <f>TLFD!F25/SUM(TLFD!$F$11:FI$100)</f>
        <v>7.6582689410168714E-3</v>
      </c>
      <c r="E67">
        <f si="10" t="shared"/>
        <v>0.50010137930550147</v>
      </c>
      <c r="F67" s="385"/>
      <c r="H67"/>
      <c r="M67" s="296" t="str">
        <f>VLOOKUP(N67,Coeff_Descr!$A:$D,3,FALSE)</f>
        <v>ESCORT</v>
      </c>
      <c r="N67" s="296">
        <f>OtherTourDestination!B75</f>
        <v>77</v>
      </c>
      <c r="O67" s="296" t="str">
        <f>OtherTourDestination!C75</f>
        <v>Gamma077</v>
      </c>
      <c r="P67" s="298">
        <f>OtherTourDestination!E75</f>
        <v>0.105207287565</v>
      </c>
      <c r="Q67" s="337">
        <f si="0" t="shared"/>
        <v>0.105207287565</v>
      </c>
    </row>
    <row r="68" spans="1:17" x14ac:dyDescent="0.25">
      <c r="A68">
        <f>TLFD!A26+0.5</f>
        <v>15.5</v>
      </c>
      <c r="B68" s="384">
        <f si="11" t="shared"/>
        <v>2.8033603809065348</v>
      </c>
      <c r="C68" s="385">
        <f>TLFD!B26/SUM(TLFD!$B$11:$B$100)</f>
        <v>1.1154429211487193E-2</v>
      </c>
      <c r="D68" s="385">
        <f>TLFD!F26/SUM(TLFD!$F$11:FI$100)</f>
        <v>6.6475014613522967E-3</v>
      </c>
      <c r="E68">
        <f si="10" t="shared"/>
        <v>0.51759559375624387</v>
      </c>
      <c r="F68" s="385"/>
      <c r="H68"/>
      <c r="M68" s="296" t="str">
        <f>VLOOKUP(N68,Coeff_Descr!$A:$D,3,FALSE)</f>
        <v>ESCORT</v>
      </c>
      <c r="N68" s="296">
        <f>OtherTourDestination!B76</f>
        <v>78</v>
      </c>
      <c r="O68" s="296" t="str">
        <f>OtherTourDestination!C76</f>
        <v>Gamma078</v>
      </c>
      <c r="P68" s="298">
        <f>OtherTourDestination!E76</f>
        <v>-3.0261765923500001</v>
      </c>
      <c r="Q68" s="337">
        <f si="0" t="shared"/>
        <v>-3.0261765923500001</v>
      </c>
    </row>
    <row r="69" spans="1:17" x14ac:dyDescent="0.25">
      <c r="A69">
        <f>TLFD!A27+0.5</f>
        <v>16.5</v>
      </c>
      <c r="B69" s="384">
        <f si="11" t="shared"/>
        <v>2.8622008809294686</v>
      </c>
      <c r="C69" s="385">
        <f>TLFD!B27/SUM(TLFD!$B$11:$B$100)</f>
        <v>2.0270304653809659E-3</v>
      </c>
      <c r="D69" s="385">
        <f>TLFD!F27/SUM(TLFD!$F$11:FI$100)</f>
        <v>5.5034118908117192E-3</v>
      </c>
      <c r="E69">
        <f si="10" t="shared"/>
        <v>-0.99879634654344973</v>
      </c>
      <c r="F69" s="385"/>
      <c r="H69"/>
      <c r="M69" s="296" t="str">
        <f>VLOOKUP(N69,Coeff_Descr!$A:$D,3,FALSE)</f>
        <v>ESCORT</v>
      </c>
      <c r="N69" s="296">
        <f>OtherTourDestination!B77</f>
        <v>79</v>
      </c>
      <c r="O69" s="296" t="str">
        <f>OtherTourDestination!C77</f>
        <v>Gamma079</v>
      </c>
      <c r="P69" s="298">
        <f>OtherTourDestination!E77</f>
        <v>-3.16760127533</v>
      </c>
      <c r="Q69" s="337">
        <f ref="Q69:Q103" si="12" t="shared">_xlfn.IFNA(VLOOKUP(N69,$B$43:$D$46,3,FALSE),P69)</f>
        <v>-3.16760127533</v>
      </c>
    </row>
    <row r="70" spans="1:17" x14ac:dyDescent="0.25">
      <c r="A70">
        <f>TLFD!A28+0.5</f>
        <v>17.5</v>
      </c>
      <c r="B70" s="384">
        <f si="11" t="shared"/>
        <v>2.917770732084279</v>
      </c>
      <c r="C70" s="385">
        <f>TLFD!B28/SUM(TLFD!$B$11:$B$100)</f>
        <v>7.2175332430542702E-3</v>
      </c>
      <c r="D70" s="385">
        <f>TLFD!F28/SUM(TLFD!$F$11:FI$100)</f>
        <v>4.2291007431364425E-3</v>
      </c>
      <c r="E70">
        <f si="10" t="shared"/>
        <v>0.53452385825773252</v>
      </c>
      <c r="F70" s="385"/>
      <c r="H70"/>
      <c r="M70" s="296" t="str">
        <f>VLOOKUP(N70,Coeff_Descr!$A:$D,3,FALSE)</f>
        <v>ESCORT</v>
      </c>
      <c r="N70" s="296">
        <f>OtherTourDestination!B78</f>
        <v>80</v>
      </c>
      <c r="O70" s="296" t="str">
        <f>OtherTourDestination!C78</f>
        <v>Gamma080</v>
      </c>
      <c r="P70" s="298">
        <f>OtherTourDestination!E78</f>
        <v>3.88384299801</v>
      </c>
      <c r="Q70" s="337">
        <f si="12" t="shared"/>
        <v>3.88384299801</v>
      </c>
    </row>
    <row r="71" spans="1:17" x14ac:dyDescent="0.25">
      <c r="A71">
        <f>TLFD!A29+0.5</f>
        <v>18.5</v>
      </c>
      <c r="B71" s="384">
        <f si="11" t="shared"/>
        <v>2.9704144655697009</v>
      </c>
      <c r="C71" s="385">
        <f>TLFD!B29/SUM(TLFD!$B$11:$B$100)</f>
        <v>1.1907049574486324E-3</v>
      </c>
      <c r="D71" s="385">
        <f>TLFD!F29/SUM(TLFD!$F$11:FI$100)</f>
        <v>3.6400031322889907E-3</v>
      </c>
      <c r="E71">
        <f si="10" t="shared"/>
        <v>-1.1174390092267894</v>
      </c>
      <c r="F71" s="385"/>
      <c r="H71"/>
      <c r="M71" s="296" t="str">
        <f>VLOOKUP(N71,Coeff_Descr!$A:$D,3,FALSE)</f>
        <v>ESCORT</v>
      </c>
      <c r="N71" s="296">
        <f>OtherTourDestination!B79</f>
        <v>81</v>
      </c>
      <c r="O71" s="296" t="str">
        <f>OtherTourDestination!C79</f>
        <v>Gamma081</v>
      </c>
      <c r="P71" s="298">
        <f>OtherTourDestination!E79</f>
        <v>1.2853400619999999</v>
      </c>
      <c r="Q71" s="337">
        <f si="12" t="shared"/>
        <v>1.2853400619999999</v>
      </c>
    </row>
    <row r="72" spans="1:17" x14ac:dyDescent="0.25">
      <c r="A72">
        <f>TLFD!A30+0.5</f>
        <v>19.5</v>
      </c>
      <c r="B72" s="384">
        <f si="11" t="shared"/>
        <v>3.0204248861443626</v>
      </c>
      <c r="C72" s="385">
        <f>TLFD!B30/SUM(TLFD!$B$11:$B$100)</f>
        <v>1.4723501721389961E-3</v>
      </c>
      <c r="D72" s="385">
        <f>TLFD!F30/SUM(TLFD!$F$11:FI$100)</f>
        <v>3.3609568955717769E-3</v>
      </c>
      <c r="E72">
        <f si="10" t="shared"/>
        <v>-0.82536584308174032</v>
      </c>
      <c r="F72" s="385"/>
      <c r="H72"/>
      <c r="M72" s="296" t="str">
        <f>VLOOKUP(N72,Coeff_Descr!$A:$D,3,FALSE)</f>
        <v>ESCORT</v>
      </c>
      <c r="N72" s="296">
        <f>OtherTourDestination!B80</f>
        <v>82</v>
      </c>
      <c r="O72" s="296" t="str">
        <f>OtherTourDestination!C80</f>
        <v>Gamma082</v>
      </c>
      <c r="P72" s="298">
        <f>OtherTourDestination!E80</f>
        <v>0</v>
      </c>
      <c r="Q72" s="337">
        <f si="12" t="shared"/>
        <v>0</v>
      </c>
    </row>
    <row r="73" spans="1:17" x14ac:dyDescent="0.25">
      <c r="A73">
        <f>TLFD!A31+0.5</f>
        <v>20.5</v>
      </c>
      <c r="B73" s="384">
        <f si="11" t="shared"/>
        <v>3.068052935133617</v>
      </c>
      <c r="C73" s="385">
        <f>TLFD!B31/SUM(TLFD!$B$11:$B$100)</f>
        <v>2.4657487024274663E-3</v>
      </c>
      <c r="D73" s="385">
        <f>TLFD!F31/SUM(TLFD!$F$11:FI$100)</f>
        <v>2.6943464411917657E-3</v>
      </c>
      <c r="E73">
        <f si="10" t="shared"/>
        <v>-8.8660172431236084E-2</v>
      </c>
      <c r="F73" s="385"/>
      <c r="H73"/>
      <c r="M73" s="296" t="str">
        <f>VLOOKUP(N73,Coeff_Descr!$A:$D,3,FALSE)</f>
        <v>ESCORT</v>
      </c>
      <c r="N73" s="296">
        <f>OtherTourDestination!B81</f>
        <v>83</v>
      </c>
      <c r="O73" s="296" t="str">
        <f>OtherTourDestination!C81</f>
        <v>Gamma083</v>
      </c>
      <c r="P73" s="298">
        <f>OtherTourDestination!E81</f>
        <v>1.5962822273599999</v>
      </c>
      <c r="Q73" s="337">
        <f si="12" t="shared"/>
        <v>1.5962822273599999</v>
      </c>
    </row>
    <row r="74" spans="1:17" x14ac:dyDescent="0.25">
      <c r="A74">
        <f>TLFD!A32+0.5</f>
        <v>21.5</v>
      </c>
      <c r="B74" s="384">
        <f si="11" t="shared"/>
        <v>3.1135153092103742</v>
      </c>
      <c r="C74" s="385">
        <f>TLFD!B32/SUM(TLFD!$B$11:$B$100)</f>
        <v>1.1802485249092316E-2</v>
      </c>
      <c r="D74" s="385">
        <f>TLFD!F32/SUM(TLFD!$F$11:FI$100)</f>
        <v>2.6943464411917657E-3</v>
      </c>
      <c r="E74">
        <f si="10" t="shared"/>
        <v>1.4771544565808092</v>
      </c>
      <c r="F74" s="385"/>
      <c r="H74"/>
      <c r="M74" s="296" t="str">
        <f>VLOOKUP(N74,Coeff_Descr!$A:$D,3,FALSE)</f>
        <v>ESCORT</v>
      </c>
      <c r="N74" s="296">
        <f>OtherTourDestination!B82</f>
        <v>84</v>
      </c>
      <c r="O74" s="296" t="str">
        <f>OtherTourDestination!C82</f>
        <v>Gamma084</v>
      </c>
      <c r="P74" s="298">
        <f>OtherTourDestination!E82</f>
        <v>1.8203743806399999</v>
      </c>
      <c r="Q74" s="337">
        <f si="12" t="shared"/>
        <v>1.8203743806399999</v>
      </c>
    </row>
    <row r="75" spans="1:17" x14ac:dyDescent="0.25">
      <c r="A75">
        <f>TLFD!A33+0.5</f>
        <v>22.5</v>
      </c>
      <c r="B75" s="384">
        <f si="11" t="shared"/>
        <v>3.1570004211501135</v>
      </c>
      <c r="C75" s="385">
        <f>TLFD!B33/SUM(TLFD!$B$11:$B$100)</f>
        <v>1.3160690217897561E-4</v>
      </c>
      <c r="D75" s="385">
        <f>TLFD!F33/SUM(TLFD!$F$11:FI$100)</f>
        <v>2.1424549952399423E-3</v>
      </c>
      <c r="E75">
        <f si="10" t="shared"/>
        <v>-2.7898881788446301</v>
      </c>
      <c r="F75" s="385"/>
      <c r="H75"/>
      <c r="M75" s="296" t="str">
        <f>VLOOKUP(N75,Coeff_Descr!$A:$D,3,FALSE)</f>
        <v>ESCORT</v>
      </c>
      <c r="N75" s="296">
        <f>OtherTourDestination!B83</f>
        <v>85</v>
      </c>
      <c r="O75" s="296" t="str">
        <f>OtherTourDestination!C83</f>
        <v>Gamma085</v>
      </c>
      <c r="P75" s="298">
        <f>OtherTourDestination!E83</f>
        <v>0.36845448573400003</v>
      </c>
      <c r="Q75" s="337">
        <f si="12" t="shared"/>
        <v>0.36845448573400003</v>
      </c>
    </row>
    <row r="76" spans="1:17" x14ac:dyDescent="0.25">
      <c r="A76">
        <f>TLFD!A34+0.5</f>
        <v>23.5</v>
      </c>
      <c r="B76" s="384">
        <f si="11" t="shared"/>
        <v>3.1986731175506815</v>
      </c>
      <c r="C76" s="385">
        <f>TLFD!B34/SUM(TLFD!$B$11:$B$100)</f>
        <v>2.2594146593858129E-4</v>
      </c>
      <c r="D76" s="385">
        <f>TLFD!F34/SUM(TLFD!$F$11:FI$100)</f>
        <v>1.8044989974379834E-3</v>
      </c>
      <c r="E76">
        <f si="10" t="shared"/>
        <v>-2.077762303038607</v>
      </c>
      <c r="F76" s="385"/>
      <c r="H76"/>
      <c r="M76" s="296" t="str">
        <f>VLOOKUP(N76,Coeff_Descr!$A:$D,3,FALSE)</f>
        <v>ESCORT</v>
      </c>
      <c r="N76" s="296">
        <f>OtherTourDestination!B84</f>
        <v>86</v>
      </c>
      <c r="O76" s="296" t="str">
        <f>OtherTourDestination!C84</f>
        <v>Gamma086</v>
      </c>
      <c r="P76" s="298">
        <f>OtherTourDestination!E84</f>
        <v>-0.89988004259099996</v>
      </c>
      <c r="Q76" s="337">
        <f si="12" t="shared"/>
        <v>-0.89988004259099996</v>
      </c>
    </row>
    <row r="77" spans="1:17" x14ac:dyDescent="0.25">
      <c r="A77">
        <f>TLFD!A35+0.5</f>
        <v>24.5</v>
      </c>
      <c r="B77" s="384">
        <f si="11" t="shared"/>
        <v>3.2386784521643803</v>
      </c>
      <c r="C77" s="385">
        <f>TLFD!B35/SUM(TLFD!$B$11:$B$100)</f>
        <v>1.3152789319181548E-4</v>
      </c>
      <c r="D77" s="385">
        <f>TLFD!F35/SUM(TLFD!$F$11:FI$100)</f>
        <v>1.7579912913184479E-3</v>
      </c>
      <c r="E77">
        <f si="10" t="shared"/>
        <v>-2.5927081798374645</v>
      </c>
      <c r="F77" s="385"/>
      <c r="H77"/>
      <c r="M77" s="296" t="str">
        <f>VLOOKUP(N77,Coeff_Descr!$A:$D,3,FALSE)</f>
        <v>ESCORT</v>
      </c>
      <c r="N77" s="296">
        <f>OtherTourDestination!B85</f>
        <v>87</v>
      </c>
      <c r="O77" s="296" t="str">
        <f>OtherTourDestination!C85</f>
        <v>Gamma087</v>
      </c>
      <c r="P77" s="298">
        <f>OtherTourDestination!E85</f>
        <v>-1.54651800243</v>
      </c>
      <c r="Q77" s="337">
        <f si="12" t="shared"/>
        <v>-1.54651800243</v>
      </c>
    </row>
    <row r="78" spans="1:17" x14ac:dyDescent="0.25">
      <c r="A78">
        <f>TLFD!A36+0.5</f>
        <v>25.5</v>
      </c>
      <c r="B78" s="384">
        <f si="11" t="shared"/>
        <v>3.2771447329921766</v>
      </c>
      <c r="C78" s="385">
        <f>TLFD!B36/SUM(TLFD!$B$11:$B$100)</f>
        <v>0</v>
      </c>
      <c r="D78" s="385">
        <f>TLFD!F36/SUM(TLFD!$F$11:FI$100)</f>
        <v>1.6184681729598408E-3</v>
      </c>
      <c r="E78">
        <f si="10" t="shared"/>
        <v>0</v>
      </c>
      <c r="F78" s="385"/>
      <c r="H78"/>
      <c r="M78" s="296" t="str">
        <f>VLOOKUP(N78,Coeff_Descr!$A:$D,3,FALSE)</f>
        <v>ESCORT</v>
      </c>
      <c r="N78" s="296">
        <f>OtherTourDestination!B86</f>
        <v>88</v>
      </c>
      <c r="O78" s="296" t="str">
        <f>OtherTourDestination!C86</f>
        <v>Gamma088</v>
      </c>
      <c r="P78" s="298">
        <f>OtherTourDestination!E86</f>
        <v>0</v>
      </c>
      <c r="Q78" s="337">
        <f si="12" t="shared"/>
        <v>0</v>
      </c>
    </row>
    <row r="79" spans="1:17" x14ac:dyDescent="0.25">
      <c r="A79">
        <f>TLFD!A37+0.5</f>
        <v>26.5</v>
      </c>
      <c r="B79" s="384">
        <f si="11" t="shared"/>
        <v>3.3141860046725258</v>
      </c>
      <c r="C79" s="385">
        <f>TLFD!B37/SUM(TLFD!$B$11:$B$100)</f>
        <v>2.7000560823681593E-3</v>
      </c>
      <c r="D79" s="385">
        <f>TLFD!F37/SUM(TLFD!$F$11:FI$100)</f>
        <v>1.1843962491775079E-3</v>
      </c>
      <c r="E79">
        <f si="10" t="shared"/>
        <v>0.82403939365626466</v>
      </c>
      <c r="F79" s="385"/>
      <c r="H79"/>
      <c r="M79" s="296" t="str">
        <f>VLOOKUP(N79,Coeff_Descr!$A:$D,3,FALSE)</f>
        <v>PERSBUS/MED</v>
      </c>
      <c r="N79" s="296">
        <f>OtherTourDestination!B87</f>
        <v>89</v>
      </c>
      <c r="O79" s="296" t="str">
        <f>OtherTourDestination!C87</f>
        <v>Gamma089</v>
      </c>
      <c r="P79" s="298">
        <f>OtherTourDestination!E87</f>
        <v>-1.3661763944</v>
      </c>
      <c r="Q79" s="337">
        <f si="12" t="shared"/>
        <v>-1.3661763944</v>
      </c>
    </row>
    <row r="80" spans="1:17" x14ac:dyDescent="0.25">
      <c r="A80">
        <f>TLFD!A38+0.5</f>
        <v>27.5</v>
      </c>
      <c r="B80" s="384">
        <f si="11" t="shared"/>
        <v>3.3499040872746049</v>
      </c>
      <c r="C80" s="385">
        <f>TLFD!B38/SUM(TLFD!$B$11:$B$100)</f>
        <v>0</v>
      </c>
      <c r="D80" s="385">
        <f>TLFD!F38/SUM(TLFD!$F$11:FI$100)</f>
        <v>1.0634762132667153E-3</v>
      </c>
      <c r="E80">
        <f si="10" t="shared"/>
        <v>0</v>
      </c>
      <c r="F80" s="385"/>
      <c r="H80"/>
      <c r="M80" s="296" t="str">
        <f>VLOOKUP(N80,Coeff_Descr!$A:$D,3,FALSE)</f>
        <v>PERSBUS/MED</v>
      </c>
      <c r="N80" s="296">
        <f>OtherTourDestination!B88</f>
        <v>90</v>
      </c>
      <c r="O80" s="296" t="str">
        <f>OtherTourDestination!C88</f>
        <v>Gamma090</v>
      </c>
      <c r="P80" s="298">
        <f>OtherTourDestination!E88</f>
        <v>0</v>
      </c>
      <c r="Q80" s="337">
        <f si="12" t="shared"/>
        <v>0</v>
      </c>
    </row>
    <row r="81" spans="1:17" x14ac:dyDescent="0.25">
      <c r="A81">
        <f>TLFD!A39+0.5</f>
        <v>28.5</v>
      </c>
      <c r="B81" s="384">
        <f si="11" t="shared"/>
        <v>3.3843902633457743</v>
      </c>
      <c r="C81" s="385">
        <f>TLFD!B39/SUM(TLFD!$B$11:$B$100)</f>
        <v>4.5807018186700095E-5</v>
      </c>
      <c r="D81" s="385">
        <f>TLFD!F39/SUM(TLFD!$F$11:FI$100)</f>
        <v>8.9914898497768937E-4</v>
      </c>
      <c r="E81">
        <f si="10" t="shared"/>
        <v>-2.9770114288436016</v>
      </c>
      <c r="F81" s="385"/>
      <c r="H81"/>
      <c r="M81" s="296" t="str">
        <f>VLOOKUP(N81,Coeff_Descr!$A:$D,3,FALSE)</f>
        <v>PERSBUS/MED</v>
      </c>
      <c r="N81" s="296">
        <f>OtherTourDestination!B89</f>
        <v>91</v>
      </c>
      <c r="O81" s="296" t="str">
        <f>OtherTourDestination!C89</f>
        <v>Gamma091</v>
      </c>
      <c r="P81" s="298">
        <f>OtherTourDestination!E89</f>
        <v>-0.69659049737500001</v>
      </c>
      <c r="Q81" s="337">
        <f si="12" t="shared"/>
        <v>-0.69659049737500001</v>
      </c>
    </row>
    <row r="82" spans="1:17" x14ac:dyDescent="0.25">
      <c r="A82">
        <f>TLFD!A40+0.5</f>
        <v>29.5</v>
      </c>
      <c r="B82" s="384">
        <f si="11" t="shared"/>
        <v>3.417726683613366</v>
      </c>
      <c r="C82" s="385">
        <f>TLFD!B40/SUM(TLFD!$B$11:$B$100)</f>
        <v>1.1987665811821411E-5</v>
      </c>
      <c r="D82" s="385">
        <f>TLFD!F40/SUM(TLFD!$F$11:FI$100)</f>
        <v>9.2395309490810832E-4</v>
      </c>
      <c r="E82">
        <f si="10" t="shared"/>
        <v>-4.3447830350926573</v>
      </c>
      <c r="F82" s="385"/>
      <c r="H82"/>
      <c r="M82" s="296" t="str">
        <f>VLOOKUP(N82,Coeff_Descr!$A:$D,3,FALSE)</f>
        <v>PERSBUS/MED</v>
      </c>
      <c r="N82" s="296">
        <f>OtherTourDestination!B90</f>
        <v>92</v>
      </c>
      <c r="O82" s="296" t="str">
        <f>OtherTourDestination!C90</f>
        <v>Gamma092</v>
      </c>
      <c r="P82" s="298">
        <f>OtherTourDestination!E90</f>
        <v>-1.8309142732699999</v>
      </c>
      <c r="Q82" s="337">
        <f si="12" t="shared"/>
        <v>-1.8309142732699999</v>
      </c>
    </row>
    <row r="83" spans="1:17" x14ac:dyDescent="0.25">
      <c r="A83">
        <f>TLFD!A41+0.5</f>
        <v>30.5</v>
      </c>
      <c r="B83" s="384">
        <f si="11" t="shared"/>
        <v>3.4499875458315872</v>
      </c>
      <c r="C83" s="385">
        <f>TLFD!B41/SUM(TLFD!$B$11:$B$100)</f>
        <v>6.9843279168234647E-5</v>
      </c>
      <c r="D83" s="385">
        <f>TLFD!F41/SUM(TLFD!$F$11:FI$100)</f>
        <v>8.3093768266903709E-4</v>
      </c>
      <c r="E83">
        <f si="10" t="shared"/>
        <v>-2.4763009382623964</v>
      </c>
      <c r="F83" s="385"/>
      <c r="H83"/>
      <c r="M83" s="296" t="str">
        <f>VLOOKUP(N83,Coeff_Descr!$A:$D,3,FALSE)</f>
        <v>PERSBUS/MED</v>
      </c>
      <c r="N83" s="296">
        <f>OtherTourDestination!B91</f>
        <v>93</v>
      </c>
      <c r="O83" s="296" t="str">
        <f>OtherTourDestination!C91</f>
        <v>Gamma093</v>
      </c>
      <c r="P83" s="298">
        <f>OtherTourDestination!E91</f>
        <v>-1.59616837557</v>
      </c>
      <c r="Q83" s="337">
        <f si="12" t="shared"/>
        <v>-1.59616837557</v>
      </c>
    </row>
    <row r="84" spans="1:17" x14ac:dyDescent="0.25">
      <c r="A84">
        <f>TLFD!A42+0.5</f>
        <v>31.5</v>
      </c>
      <c r="B84" s="384">
        <f si="11" t="shared"/>
        <v>3.4812400893356918</v>
      </c>
      <c r="C84" s="385">
        <f>TLFD!B42/SUM(TLFD!$B$11:$B$100)</f>
        <v>0</v>
      </c>
      <c r="D84" s="385">
        <f>TLFD!F42/SUM(TLFD!$F$11:FI$100)</f>
        <v>4.8678065738447322E-4</v>
      </c>
      <c r="E84">
        <f si="10" t="shared"/>
        <v>0</v>
      </c>
      <c r="F84" s="385"/>
      <c r="H84"/>
      <c r="M84" s="296" t="str">
        <f>VLOOKUP(N84,Coeff_Descr!$A:$D,3,FALSE)</f>
        <v>PERSBUS/MED</v>
      </c>
      <c r="N84" s="296">
        <f>OtherTourDestination!B92</f>
        <v>94</v>
      </c>
      <c r="O84" s="296" t="str">
        <f>OtherTourDestination!C92</f>
        <v>Gamma094</v>
      </c>
      <c r="P84" s="298">
        <f>OtherTourDestination!E92</f>
        <v>0</v>
      </c>
      <c r="Q84" s="337">
        <f si="12" t="shared"/>
        <v>0</v>
      </c>
    </row>
    <row r="85" spans="1:17" x14ac:dyDescent="0.25">
      <c r="A85">
        <f>TLFD!A43+0.5</f>
        <v>32.5</v>
      </c>
      <c r="B85" s="384">
        <f si="11" t="shared"/>
        <v>3.5115454388310208</v>
      </c>
      <c r="C85" s="385">
        <f>TLFD!B43/SUM(TLFD!$B$11:$B$100)</f>
        <v>0</v>
      </c>
      <c r="D85" s="385">
        <f>TLFD!F43/SUM(TLFD!$F$11:FI$100)</f>
        <v>4.5577551997144942E-4</v>
      </c>
      <c r="E85">
        <f ref="E85:E116" si="13" t="shared">IF(AND(C85&gt;0, D85&gt;0),LN(C85/D85),0)</f>
        <v>0</v>
      </c>
      <c r="F85" s="385"/>
      <c r="H85"/>
      <c r="M85" s="296" t="str">
        <f>VLOOKUP(N85,Coeff_Descr!$A:$D,3,FALSE)</f>
        <v>PERSBUS/MED</v>
      </c>
      <c r="N85" s="296">
        <f>OtherTourDestination!B93</f>
        <v>95</v>
      </c>
      <c r="O85" s="296" t="str">
        <f>OtherTourDestination!C93</f>
        <v>Gamma095</v>
      </c>
      <c r="P85" s="298">
        <f>OtherTourDestination!E93</f>
        <v>-3.7524312125899999</v>
      </c>
      <c r="Q85" s="337">
        <f si="12" t="shared"/>
        <v>-3.7524312125899999</v>
      </c>
    </row>
    <row r="86" spans="1:17" x14ac:dyDescent="0.25">
      <c r="A86">
        <f>TLFD!A44+0.5</f>
        <v>33.5</v>
      </c>
      <c r="B86" s="384">
        <f si="11" t="shared"/>
        <v>3.5409593240373143</v>
      </c>
      <c r="C86" s="385">
        <f>TLFD!B44/SUM(TLFD!$B$11:$B$100)</f>
        <v>7.6832118984312568E-5</v>
      </c>
      <c r="D86" s="385">
        <f>TLFD!F44/SUM(TLFD!$F$11:FI$100)</f>
        <v>4.4647397874754229E-4</v>
      </c>
      <c r="E86">
        <f si="13" t="shared"/>
        <v>-1.7597583516700439</v>
      </c>
      <c r="F86" s="385"/>
      <c r="H86"/>
      <c r="M86" s="296" t="str">
        <f>VLOOKUP(N86,Coeff_Descr!$A:$D,3,FALSE)</f>
        <v>PERSBUS/MED</v>
      </c>
      <c r="N86" s="296">
        <f>OtherTourDestination!B94</f>
        <v>96</v>
      </c>
      <c r="O86" s="296" t="str">
        <f>OtherTourDestination!C94</f>
        <v>Gamma096</v>
      </c>
      <c r="P86" s="298">
        <f>OtherTourDestination!E94</f>
        <v>-5.15903380474</v>
      </c>
      <c r="Q86" s="337">
        <f si="12" t="shared"/>
        <v>-5.15903380474</v>
      </c>
    </row>
    <row r="87" spans="1:17" x14ac:dyDescent="0.25">
      <c r="A87">
        <f>TLFD!A45+0.5</f>
        <v>34.5</v>
      </c>
      <c r="B87" s="384">
        <f si="11" t="shared"/>
        <v>3.5695326964813701</v>
      </c>
      <c r="C87" s="385">
        <f>TLFD!B45/SUM(TLFD!$B$11:$B$100)</f>
        <v>4.2651945962264943E-3</v>
      </c>
      <c r="D87" s="385">
        <f>TLFD!F45/SUM(TLFD!$F$11:FI$100)</f>
        <v>3.7826267643889001E-4</v>
      </c>
      <c r="E87">
        <f si="13" t="shared"/>
        <v>2.42265421970371</v>
      </c>
      <c r="F87" s="385"/>
      <c r="H87"/>
      <c r="M87" s="296" t="str">
        <f>VLOOKUP(N87,Coeff_Descr!$A:$D,3,FALSE)</f>
        <v>PERSBUS/MED</v>
      </c>
      <c r="N87" s="296">
        <f>OtherTourDestination!B95</f>
        <v>97</v>
      </c>
      <c r="O87" s="296" t="str">
        <f>OtherTourDestination!C95</f>
        <v>Gamma097</v>
      </c>
      <c r="P87" s="298">
        <f>OtherTourDestination!E95</f>
        <v>-4.5752497230499998</v>
      </c>
      <c r="Q87" s="337">
        <f si="12" t="shared"/>
        <v>-4.5752497230499998</v>
      </c>
    </row>
    <row r="88" spans="1:17" x14ac:dyDescent="0.25">
      <c r="A88">
        <f>TLFD!A46+0.5</f>
        <v>35.5</v>
      </c>
      <c r="B88" s="384">
        <f si="11" t="shared"/>
        <v>3.597312260588446</v>
      </c>
      <c r="C88" s="385">
        <f>TLFD!B46/SUM(TLFD!$B$11:$B$100)</f>
        <v>0</v>
      </c>
      <c r="D88" s="385">
        <f>TLFD!F46/SUM(TLFD!$F$11:FI$100)</f>
        <v>2.5114161304549254E-4</v>
      </c>
      <c r="E88">
        <f si="13" t="shared"/>
        <v>0</v>
      </c>
      <c r="F88" s="385"/>
      <c r="H88"/>
      <c r="M88" s="296" t="str">
        <f>VLOOKUP(N88,Coeff_Descr!$A:$D,3,FALSE)</f>
        <v>SHOP</v>
      </c>
      <c r="N88" s="296">
        <f>OtherTourDestination!B96</f>
        <v>98</v>
      </c>
      <c r="O88" s="296" t="str">
        <f>OtherTourDestination!C96</f>
        <v>Gamma098</v>
      </c>
      <c r="P88" s="298">
        <f>OtherTourDestination!E96</f>
        <v>-1.55830930615</v>
      </c>
      <c r="Q88" s="337">
        <f si="12" t="shared"/>
        <v>-1.55830930615</v>
      </c>
    </row>
    <row r="89" spans="1:17" x14ac:dyDescent="0.25">
      <c r="A89">
        <f>TLFD!A47+0.5</f>
        <v>36.5</v>
      </c>
      <c r="B89" s="384">
        <f si="11" t="shared"/>
        <v>3.6243409329763652</v>
      </c>
      <c r="C89" s="385">
        <f>TLFD!B47/SUM(TLFD!$B$11:$B$100)</f>
        <v>1.7209010472868017E-4</v>
      </c>
      <c r="D89" s="385">
        <f>TLFD!F47/SUM(TLFD!$F$11:FI$100)</f>
        <v>2.8214675045851629E-4</v>
      </c>
      <c r="E89">
        <f si="13" t="shared"/>
        <v>-0.49440912293230527</v>
      </c>
      <c r="F89" s="385"/>
      <c r="H89"/>
      <c r="M89" s="296" t="str">
        <f>VLOOKUP(N89,Coeff_Descr!$A:$D,3,FALSE)</f>
        <v>SHOP</v>
      </c>
      <c r="N89" s="296">
        <f>OtherTourDestination!B97</f>
        <v>99</v>
      </c>
      <c r="O89" s="296" t="str">
        <f>OtherTourDestination!C97</f>
        <v>Gamma099</v>
      </c>
      <c r="P89" s="298">
        <f>OtherTourDestination!E97</f>
        <v>-6.7687936642300004</v>
      </c>
      <c r="Q89" s="337">
        <f si="12" t="shared"/>
        <v>-6.7687936642300004</v>
      </c>
    </row>
    <row r="90" spans="1:17" x14ac:dyDescent="0.25">
      <c r="A90">
        <f>TLFD!A48+0.5</f>
        <v>37.5</v>
      </c>
      <c r="B90" s="384">
        <f si="11" t="shared"/>
        <v>3.6506582412937387</v>
      </c>
      <c r="C90" s="385">
        <f>TLFD!B48/SUM(TLFD!$B$11:$B$100)</f>
        <v>3.4700864435359771E-4</v>
      </c>
      <c r="D90" s="385">
        <f>TLFD!F48/SUM(TLFD!$F$11:FI$100)</f>
        <v>2.1703596189116641E-4</v>
      </c>
      <c r="E90">
        <f si="13" t="shared"/>
        <v>0.46928662850771935</v>
      </c>
      <c r="F90" s="385"/>
      <c r="H90"/>
      <c r="M90" s="296" t="str">
        <f>VLOOKUP(N90,Coeff_Descr!$A:$D,3,FALSE)</f>
        <v>SHOP</v>
      </c>
      <c r="N90" s="296">
        <f>OtherTourDestination!B98</f>
        <v>100</v>
      </c>
      <c r="O90" s="296" t="str">
        <f>OtherTourDestination!C98</f>
        <v>Gamma100</v>
      </c>
      <c r="P90" s="298">
        <f>OtherTourDestination!E98</f>
        <v>0</v>
      </c>
      <c r="Q90" s="337">
        <f si="12" t="shared"/>
        <v>0</v>
      </c>
    </row>
    <row r="91" spans="1:17" x14ac:dyDescent="0.25">
      <c r="A91">
        <f>TLFD!A49+0.5</f>
        <v>38.5</v>
      </c>
      <c r="B91" s="384">
        <f si="11" t="shared"/>
        <v>3.6763006719070761</v>
      </c>
      <c r="C91" s="385">
        <f>TLFD!B49/SUM(TLFD!$B$11:$B$100)</f>
        <v>1.5884030189181309E-3</v>
      </c>
      <c r="D91" s="385">
        <f>TLFD!F49/SUM(TLFD!$F$11:FI$100)</f>
        <v>2.1703596189116641E-4</v>
      </c>
      <c r="E91">
        <f si="13" t="shared"/>
        <v>1.9904213370478083</v>
      </c>
      <c r="F91" s="385"/>
      <c r="H91"/>
      <c r="M91" s="296" t="str">
        <f>VLOOKUP(N91,Coeff_Descr!$A:$D,3,FALSE)</f>
        <v>SHOP</v>
      </c>
      <c r="N91" s="296">
        <f>OtherTourDestination!B99</f>
        <v>101</v>
      </c>
      <c r="O91" s="296" t="str">
        <f>OtherTourDestination!C99</f>
        <v>Gamma101</v>
      </c>
      <c r="P91" s="298">
        <f>OtherTourDestination!E99</f>
        <v>-4.6092008435</v>
      </c>
      <c r="Q91" s="337">
        <f si="12" t="shared"/>
        <v>-4.6092008435</v>
      </c>
    </row>
    <row r="92" spans="1:17" x14ac:dyDescent="0.25">
      <c r="A92">
        <f>TLFD!A50+0.5</f>
        <v>39.5</v>
      </c>
      <c r="B92" s="384">
        <f si="11" t="shared"/>
        <v>3.7013019741124933</v>
      </c>
      <c r="C92" s="385">
        <f>TLFD!B50/SUM(TLFD!$B$11:$B$100)</f>
        <v>0</v>
      </c>
      <c r="D92" s="385">
        <f>TLFD!F50/SUM(TLFD!$F$11:FI$100)</f>
        <v>1.6432722828902598E-4</v>
      </c>
      <c r="E92">
        <f si="13" t="shared"/>
        <v>0</v>
      </c>
      <c r="F92" s="385"/>
      <c r="H92"/>
      <c r="M92" s="296" t="str">
        <f>VLOOKUP(N92,Coeff_Descr!$A:$D,3,FALSE)</f>
        <v>MEAL</v>
      </c>
      <c r="N92" s="296">
        <f>OtherTourDestination!B100</f>
        <v>102</v>
      </c>
      <c r="O92" s="296" t="str">
        <f>OtherTourDestination!C100</f>
        <v>Gamma102</v>
      </c>
      <c r="P92" s="298">
        <f>OtherTourDestination!E100</f>
        <v>0</v>
      </c>
      <c r="Q92" s="337">
        <f si="12" t="shared"/>
        <v>0</v>
      </c>
    </row>
    <row r="93" spans="1:17" x14ac:dyDescent="0.25">
      <c r="A93">
        <f>TLFD!A51+0.5</f>
        <v>40.5</v>
      </c>
      <c r="B93" s="384">
        <f si="11" t="shared"/>
        <v>3.7256934272366524</v>
      </c>
      <c r="C93" s="385">
        <f>TLFD!B51/SUM(TLFD!$B$11:$B$100)</f>
        <v>0</v>
      </c>
      <c r="D93" s="385">
        <f>TLFD!F51/SUM(TLFD!$F$11:FI$100)</f>
        <v>1.5502568706511884E-4</v>
      </c>
      <c r="E93">
        <f si="13" t="shared"/>
        <v>0</v>
      </c>
      <c r="F93" s="385"/>
      <c r="H93"/>
      <c r="M93" s="296" t="str">
        <f>VLOOKUP(N93,Coeff_Descr!$A:$D,3,FALSE)</f>
        <v>MEAL</v>
      </c>
      <c r="N93" s="296">
        <f>OtherTourDestination!B101</f>
        <v>103</v>
      </c>
      <c r="O93" s="296" t="str">
        <f>OtherTourDestination!C101</f>
        <v>Gamma103</v>
      </c>
      <c r="P93" s="298">
        <f>OtherTourDestination!E101</f>
        <v>0</v>
      </c>
      <c r="Q93" s="337">
        <f si="12" t="shared"/>
        <v>0</v>
      </c>
    </row>
    <row r="94" spans="1:17" x14ac:dyDescent="0.25">
      <c r="A94">
        <f>TLFD!A52+0.5</f>
        <v>41.5</v>
      </c>
      <c r="B94" s="384">
        <f si="11" t="shared"/>
        <v>3.7495040759303713</v>
      </c>
      <c r="C94" s="385">
        <f>TLFD!B52/SUM(TLFD!$B$11:$B$100)</f>
        <v>2.6928717967525453E-3</v>
      </c>
      <c r="D94" s="385">
        <f>TLFD!F52/SUM(TLFD!$F$11:FI$100)</f>
        <v>1.2092003591079271E-4</v>
      </c>
      <c r="E94">
        <f si="13" t="shared"/>
        <v>3.1032340186799341</v>
      </c>
      <c r="F94" s="385"/>
      <c r="H94"/>
      <c r="M94" s="296" t="str">
        <f>VLOOKUP(N94,Coeff_Descr!$A:$D,3,FALSE)</f>
        <v>MEAL</v>
      </c>
      <c r="N94" s="296">
        <f>OtherTourDestination!B102</f>
        <v>104</v>
      </c>
      <c r="O94" s="296" t="str">
        <f>OtherTourDestination!C102</f>
        <v>Gamma104</v>
      </c>
      <c r="P94" s="298">
        <f>OtherTourDestination!E102</f>
        <v>5</v>
      </c>
      <c r="Q94" s="337">
        <f si="12" t="shared"/>
        <v>5</v>
      </c>
    </row>
    <row r="95" spans="1:17" x14ac:dyDescent="0.25">
      <c r="A95">
        <f>TLFD!A53+0.5</f>
        <v>42.5</v>
      </c>
      <c r="B95" s="384">
        <f si="11" t="shared"/>
        <v>3.7727609380946383</v>
      </c>
      <c r="C95" s="385">
        <f>TLFD!B53/SUM(TLFD!$B$11:$B$100)</f>
        <v>0</v>
      </c>
      <c r="D95" s="385">
        <f>TLFD!F53/SUM(TLFD!$F$11:FI$100)</f>
        <v>1.2712106339339747E-4</v>
      </c>
      <c r="E95">
        <f si="13" t="shared"/>
        <v>0</v>
      </c>
      <c r="F95" s="385"/>
      <c r="H95"/>
      <c r="M95" s="296" t="str">
        <f>VLOOKUP(N95,Coeff_Descr!$A:$D,3,FALSE)</f>
        <v>MEAL</v>
      </c>
      <c r="N95" s="296">
        <f>OtherTourDestination!B103</f>
        <v>105</v>
      </c>
      <c r="O95" s="296" t="str">
        <f>OtherTourDestination!C103</f>
        <v>Gamma105</v>
      </c>
      <c r="P95" s="298">
        <f>OtherTourDestination!E103</f>
        <v>5</v>
      </c>
      <c r="Q95" s="337">
        <f si="12" t="shared"/>
        <v>5</v>
      </c>
    </row>
    <row r="96" spans="1:17" x14ac:dyDescent="0.25">
      <c r="A96">
        <f>TLFD!A54+0.5</f>
        <v>43.5</v>
      </c>
      <c r="B96" s="384">
        <f si="11" t="shared"/>
        <v>3.7954891891721947</v>
      </c>
      <c r="C96" s="385">
        <f>TLFD!B54/SUM(TLFD!$B$11:$B$100)</f>
        <v>0</v>
      </c>
      <c r="D96" s="385">
        <f>TLFD!F54/SUM(TLFD!$F$11:FI$100)</f>
        <v>9.6115925980373688E-5</v>
      </c>
      <c r="E96">
        <f si="13" t="shared"/>
        <v>0</v>
      </c>
      <c r="F96" s="385"/>
      <c r="H96"/>
      <c r="M96" s="296" t="str">
        <f>VLOOKUP(N96,Coeff_Descr!$A:$D,3,FALSE)</f>
        <v>SOCREC</v>
      </c>
      <c r="N96" s="296">
        <f>OtherTourDestination!B104</f>
        <v>106</v>
      </c>
      <c r="O96" s="296" t="str">
        <f>OtherTourDestination!C104</f>
        <v>Gamma106</v>
      </c>
      <c r="P96" s="298">
        <f>OtherTourDestination!E104</f>
        <v>0</v>
      </c>
      <c r="Q96" s="337">
        <f si="12" t="shared"/>
        <v>0</v>
      </c>
    </row>
    <row r="97" spans="1:17" x14ac:dyDescent="0.25">
      <c r="A97">
        <f>TLFD!A55+0.5</f>
        <v>44.5</v>
      </c>
      <c r="B97" s="384">
        <f si="11" t="shared"/>
        <v>3.8177123259569048</v>
      </c>
      <c r="C97" s="385">
        <f>TLFD!B55/SUM(TLFD!$B$11:$B$100)</f>
        <v>0</v>
      </c>
      <c r="D97" s="385">
        <f>TLFD!F55/SUM(TLFD!$F$11:FI$100)</f>
        <v>7.131181604995467E-5</v>
      </c>
      <c r="E97">
        <f si="13" t="shared"/>
        <v>0</v>
      </c>
      <c r="F97" s="385"/>
      <c r="H97"/>
      <c r="M97" s="296" t="str">
        <f>VLOOKUP(N97,Coeff_Descr!$A:$D,3,FALSE)</f>
        <v>SOCREC</v>
      </c>
      <c r="N97" s="296">
        <f>OtherTourDestination!B105</f>
        <v>107</v>
      </c>
      <c r="O97" s="296" t="str">
        <f>OtherTourDestination!C105</f>
        <v>Gamma107</v>
      </c>
      <c r="P97" s="298">
        <f>OtherTourDestination!E105</f>
        <v>3.2721559987400002</v>
      </c>
      <c r="Q97" s="337">
        <f si="12" t="shared"/>
        <v>3.2721559987400002</v>
      </c>
    </row>
    <row r="98" spans="1:17" x14ac:dyDescent="0.25">
      <c r="A98">
        <f>TLFD!A56+0.5</f>
        <v>45.5</v>
      </c>
      <c r="B98" s="384">
        <f si="11" t="shared"/>
        <v>3.8394523125933104</v>
      </c>
      <c r="C98" s="385">
        <f>TLFD!B56/SUM(TLFD!$B$11:$B$100)</f>
        <v>0</v>
      </c>
      <c r="D98" s="385">
        <f>TLFD!F56/SUM(TLFD!$F$11:FI$100)</f>
        <v>5.8909761084745162E-5</v>
      </c>
      <c r="E98">
        <f si="13" t="shared"/>
        <v>0</v>
      </c>
      <c r="F98" s="385"/>
      <c r="H98"/>
      <c r="M98" s="296" t="str">
        <f>VLOOKUP(N98,Coeff_Descr!$A:$D,3,FALSE)</f>
        <v>SOCREC</v>
      </c>
      <c r="N98" s="296">
        <f>OtherTourDestination!B106</f>
        <v>108</v>
      </c>
      <c r="O98" s="296" t="str">
        <f>OtherTourDestination!C106</f>
        <v>Gamma108</v>
      </c>
      <c r="P98" s="298">
        <f>OtherTourDestination!E106</f>
        <v>0</v>
      </c>
      <c r="Q98" s="337">
        <f si="12" t="shared"/>
        <v>0</v>
      </c>
    </row>
    <row r="99" spans="1:17" x14ac:dyDescent="0.25">
      <c r="A99">
        <f>TLFD!A57+0.5</f>
        <v>46.5</v>
      </c>
      <c r="B99" s="384">
        <f si="11" t="shared"/>
        <v>3.8607297110405954</v>
      </c>
      <c r="C99" s="385">
        <f>TLFD!B57/SUM(TLFD!$B$11:$B$100)</f>
        <v>0</v>
      </c>
      <c r="D99" s="385">
        <f>TLFD!F57/SUM(TLFD!$F$11:FI$100)</f>
        <v>2.1703596189116639E-5</v>
      </c>
      <c r="E99">
        <f si="13" t="shared"/>
        <v>0</v>
      </c>
      <c r="F99" s="385"/>
      <c r="H99"/>
      <c r="M99" s="296" t="str">
        <f>VLOOKUP(N99,Coeff_Descr!$A:$D,3,FALSE)</f>
        <v>SOCREC</v>
      </c>
      <c r="N99" s="296">
        <f>OtherTourDestination!B107</f>
        <v>109</v>
      </c>
      <c r="O99" s="296" t="str">
        <f>OtherTourDestination!C107</f>
        <v>Gamma109</v>
      </c>
      <c r="P99" s="298">
        <f>OtherTourDestination!E107</f>
        <v>3.7780647491999999</v>
      </c>
      <c r="Q99" s="337">
        <f si="12" t="shared"/>
        <v>3.7780647491999999</v>
      </c>
    </row>
    <row r="100" spans="1:17" x14ac:dyDescent="0.25">
      <c r="A100">
        <f>TLFD!A58+0.5</f>
        <v>47.5</v>
      </c>
      <c r="B100" s="384">
        <f si="11" t="shared"/>
        <v>3.8815637979434374</v>
      </c>
      <c r="C100" s="385">
        <f>TLFD!B58/SUM(TLFD!$B$11:$B$100)</f>
        <v>0</v>
      </c>
      <c r="D100" s="385">
        <f>TLFD!F58/SUM(TLFD!$F$11:FI$100)</f>
        <v>4.3407192378233277E-5</v>
      </c>
      <c r="E100">
        <f si="13" t="shared"/>
        <v>0</v>
      </c>
      <c r="F100" s="385"/>
      <c r="H100"/>
      <c r="M100" s="296" t="str">
        <f>VLOOKUP(N100,Coeff_Descr!$A:$D,3,FALSE)</f>
        <v>SOCREC</v>
      </c>
      <c r="N100" s="296">
        <f>OtherTourDestination!B108</f>
        <v>110</v>
      </c>
      <c r="O100" s="296" t="str">
        <f>OtherTourDestination!C108</f>
        <v>Gamma110</v>
      </c>
      <c r="P100" s="298">
        <f>OtherTourDestination!E108</f>
        <v>3.6698694381700001</v>
      </c>
      <c r="Q100" s="337">
        <f si="12" t="shared"/>
        <v>3.6698694381700001</v>
      </c>
    </row>
    <row r="101" spans="1:17" x14ac:dyDescent="0.25">
      <c r="A101">
        <f>TLFD!A59+0.5</f>
        <v>48.5</v>
      </c>
      <c r="B101" s="384">
        <f si="11" t="shared"/>
        <v>3.9019726695746448</v>
      </c>
      <c r="C101" s="385">
        <f>TLFD!B59/SUM(TLFD!$B$11:$B$100)</f>
        <v>0</v>
      </c>
      <c r="D101" s="385">
        <f>TLFD!F59/SUM(TLFD!$F$11:FI$100)</f>
        <v>4.6507706119535653E-5</v>
      </c>
      <c r="E101">
        <f si="13" t="shared"/>
        <v>0</v>
      </c>
      <c r="F101" s="385"/>
      <c r="H101"/>
      <c r="M101" s="296" t="str">
        <f>VLOOKUP(N101,Coeff_Descr!$A:$D,3,FALSE)</f>
        <v>SOCREC</v>
      </c>
      <c r="N101" s="296">
        <f>OtherTourDestination!B109</f>
        <v>111</v>
      </c>
      <c r="O101" s="296" t="str">
        <f>OtherTourDestination!C109</f>
        <v>Gamma111</v>
      </c>
      <c r="P101" s="298">
        <f>OtherTourDestination!E109</f>
        <v>0</v>
      </c>
      <c r="Q101" s="337">
        <f si="12" t="shared"/>
        <v>0</v>
      </c>
    </row>
    <row r="102" spans="1:17" x14ac:dyDescent="0.25">
      <c r="A102">
        <f>TLFD!A60+0.5</f>
        <v>49.5</v>
      </c>
      <c r="B102" s="384">
        <f si="11" t="shared"/>
        <v>3.9219733362813143</v>
      </c>
      <c r="C102" s="385">
        <f>TLFD!B60/SUM(TLFD!$B$11:$B$100)</f>
        <v>0</v>
      </c>
      <c r="D102" s="385">
        <f>TLFD!F60/SUM(TLFD!$F$11:FI$100)</f>
        <v>2.4804109930419018E-5</v>
      </c>
      <c r="E102">
        <f si="13" t="shared"/>
        <v>0</v>
      </c>
      <c r="F102" s="385"/>
      <c r="H102"/>
      <c r="M102" s="296" t="str">
        <f>VLOOKUP(N102,Coeff_Descr!$A:$D,3,FALSE)</f>
        <v>SOCREC</v>
      </c>
      <c r="N102" s="296">
        <f>OtherTourDestination!B110</f>
        <v>112</v>
      </c>
      <c r="O102" s="296" t="str">
        <f>OtherTourDestination!C110</f>
        <v>Gamma112</v>
      </c>
      <c r="P102" s="298">
        <f>OtherTourDestination!E110</f>
        <v>0</v>
      </c>
      <c r="Q102" s="337">
        <f si="12" t="shared"/>
        <v>0</v>
      </c>
    </row>
    <row r="103" spans="1:17" x14ac:dyDescent="0.25">
      <c r="A103">
        <f>TLFD!A61+0.5</f>
        <v>50.5</v>
      </c>
      <c r="B103" s="384">
        <f si="11" t="shared"/>
        <v>3.9415818076696905</v>
      </c>
      <c r="C103" s="385">
        <f>TLFD!B61/SUM(TLFD!$B$11:$B$100)</f>
        <v>0</v>
      </c>
      <c r="D103" s="385">
        <f>TLFD!F61/SUM(TLFD!$F$11:FI$100)</f>
        <v>3.4105651154326151E-5</v>
      </c>
      <c r="E103">
        <f si="13" t="shared"/>
        <v>0</v>
      </c>
      <c r="F103" s="385"/>
      <c r="H103"/>
      <c r="M103" s="296" t="str">
        <f>VLOOKUP(N103,Coeff_Descr!$A:$D,3,FALSE)</f>
        <v>SOCREC</v>
      </c>
      <c r="N103" s="296">
        <f>OtherTourDestination!B111</f>
        <v>113</v>
      </c>
      <c r="O103" s="296" t="str">
        <f>OtherTourDestination!C111</f>
        <v>Gamma113</v>
      </c>
      <c r="P103" s="298">
        <f>OtherTourDestination!E111</f>
        <v>1.3908719595400001</v>
      </c>
      <c r="Q103" s="337">
        <f si="12" t="shared"/>
        <v>1.3908719595400001</v>
      </c>
    </row>
    <row r="104" spans="1:17" x14ac:dyDescent="0.25">
      <c r="A104">
        <f>TLFD!A62+0.5</f>
        <v>51.5</v>
      </c>
      <c r="B104" s="384">
        <f si="11" t="shared"/>
        <v>3.9608131695975781</v>
      </c>
      <c r="C104" s="385">
        <f>TLFD!B62/SUM(TLFD!$B$11:$B$100)</f>
        <v>0</v>
      </c>
      <c r="D104" s="385">
        <f>TLFD!F62/SUM(TLFD!$F$11:FI$100)</f>
        <v>3.1005137413023769E-5</v>
      </c>
      <c r="E104">
        <f si="13" t="shared"/>
        <v>0</v>
      </c>
      <c r="F104" s="385"/>
      <c r="H104"/>
      <c r="Q104" s="337"/>
    </row>
    <row r="105" spans="1:17" x14ac:dyDescent="0.25">
      <c r="A105">
        <f>TLFD!A63+0.5</f>
        <v>52.5</v>
      </c>
      <c r="B105" s="384">
        <f si="11" t="shared"/>
        <v>3.9796816539019608</v>
      </c>
      <c r="C105" s="385">
        <f>TLFD!B63/SUM(TLFD!$B$11:$B$100)</f>
        <v>0</v>
      </c>
      <c r="D105" s="385">
        <f>TLFD!F63/SUM(TLFD!$F$11:FI$100)</f>
        <v>2.7904623671721393E-5</v>
      </c>
      <c r="E105">
        <f si="13" t="shared"/>
        <v>0</v>
      </c>
      <c r="F105" s="385"/>
      <c r="H105"/>
    </row>
    <row r="106" spans="1:17" x14ac:dyDescent="0.25">
      <c r="A106">
        <f>TLFD!A64+0.5</f>
        <v>53.5</v>
      </c>
      <c r="B106" s="384">
        <f si="11" t="shared"/>
        <v>3.9982007016691985</v>
      </c>
      <c r="C106" s="385">
        <f>TLFD!B64/SUM(TLFD!$B$11:$B$100)</f>
        <v>0</v>
      </c>
      <c r="D106" s="385">
        <f>TLFD!F64/SUM(TLFD!$F$11:FI$100)</f>
        <v>9.3015412239071316E-6</v>
      </c>
      <c r="E106">
        <f si="13" t="shared"/>
        <v>0</v>
      </c>
      <c r="F106" s="385"/>
      <c r="H106"/>
    </row>
    <row r="107" spans="1:17" x14ac:dyDescent="0.25">
      <c r="A107">
        <f>TLFD!A65+0.5</f>
        <v>54.5</v>
      </c>
      <c r="B107" s="384">
        <f si="11" t="shared"/>
        <v>4.0163830207523885</v>
      </c>
      <c r="C107" s="385">
        <f>TLFD!B65/SUM(TLFD!$B$11:$B$100)</f>
        <v>8.07210094294261E-5</v>
      </c>
      <c r="D107" s="385">
        <f>TLFD!F65/SUM(TLFD!$F$11:FI$100)</f>
        <v>9.3015412239071306E-5</v>
      </c>
      <c r="E107">
        <f si="13" t="shared"/>
        <v>-0.14176632113637369</v>
      </c>
      <c r="F107" s="385"/>
      <c r="H107"/>
    </row>
    <row r="108" spans="1:17" x14ac:dyDescent="0.25">
      <c r="A108">
        <f>TLFD!A66+0.5</f>
        <v>55.5</v>
      </c>
      <c r="B108" s="384">
        <f si="11" t="shared"/>
        <v>4.0342406381523954</v>
      </c>
      <c r="C108" s="385">
        <f>TLFD!B66/SUM(TLFD!$B$11:$B$100)</f>
        <v>0</v>
      </c>
      <c r="D108" s="385">
        <f>TLFD!F66/SUM(TLFD!$F$11:FI$100)</f>
        <v>5.8909761084745162E-5</v>
      </c>
      <c r="E108">
        <f si="13" t="shared"/>
        <v>0</v>
      </c>
      <c r="F108" s="385"/>
      <c r="H108"/>
    </row>
    <row r="109" spans="1:17" x14ac:dyDescent="0.25">
      <c r="A109">
        <f>TLFD!A67+0.5</f>
        <v>56.5</v>
      </c>
      <c r="B109" s="384">
        <f si="11" t="shared"/>
        <v>4.0517849478033048</v>
      </c>
      <c r="C109" s="385">
        <f>TLFD!B67/SUM(TLFD!$B$11:$B$100)</f>
        <v>0</v>
      </c>
      <c r="D109" s="385">
        <f>TLFD!F67/SUM(TLFD!$F$11:FI$100)</f>
        <v>4.6507706119535653E-5</v>
      </c>
      <c r="E109">
        <f si="13" t="shared"/>
        <v>0</v>
      </c>
      <c r="F109" s="385"/>
      <c r="H109"/>
    </row>
    <row r="110" spans="1:17" x14ac:dyDescent="0.25">
      <c r="A110">
        <f>TLFD!A68+0.5</f>
        <v>57.5</v>
      </c>
      <c r="B110" s="384">
        <f si="11" t="shared"/>
        <v>4.0690267542378109</v>
      </c>
      <c r="C110" s="385">
        <f>TLFD!B68/SUM(TLFD!$B$11:$B$100)</f>
        <v>0</v>
      </c>
      <c r="D110" s="385">
        <f>TLFD!F68/SUM(TLFD!$F$11:FI$100)</f>
        <v>6.2010274826047544E-6</v>
      </c>
      <c r="E110">
        <f si="13" t="shared"/>
        <v>0</v>
      </c>
      <c r="F110" s="385"/>
      <c r="H110"/>
    </row>
    <row r="111" spans="1:17" x14ac:dyDescent="0.25">
      <c r="A111">
        <f>TLFD!A69+0.5</f>
        <v>58.5</v>
      </c>
      <c r="B111" s="384">
        <f si="11" t="shared"/>
        <v>4.0859763125515842</v>
      </c>
      <c r="C111" s="385">
        <f>TLFD!B69/SUM(TLFD!$B$11:$B$100)</f>
        <v>0</v>
      </c>
      <c r="D111" s="385">
        <f>TLFD!F69/SUM(TLFD!$F$11:FI$100)</f>
        <v>0</v>
      </c>
      <c r="E111">
        <f si="13" t="shared"/>
        <v>0</v>
      </c>
      <c r="F111" s="385"/>
      <c r="H111"/>
    </row>
    <row r="112" spans="1:17" x14ac:dyDescent="0.25">
      <c r="A112">
        <f>TLFD!A70+0.5</f>
        <v>59.5</v>
      </c>
      <c r="B112" s="384">
        <f si="11" t="shared"/>
        <v>4.1026433650367959</v>
      </c>
      <c r="C112" s="385">
        <f>TLFD!B70/SUM(TLFD!$B$11:$B$100)</f>
        <v>0</v>
      </c>
      <c r="D112" s="385">
        <f>TLFD!F70/SUM(TLFD!$F$11:FI$100)</f>
        <v>9.3015412239071316E-6</v>
      </c>
      <c r="E112">
        <f si="13" t="shared"/>
        <v>0</v>
      </c>
      <c r="F112" s="385"/>
      <c r="H112"/>
    </row>
    <row r="113" spans="1:8" x14ac:dyDescent="0.25">
      <c r="A113">
        <f>TLFD!A71+0.5</f>
        <v>60.5</v>
      </c>
      <c r="B113" s="384">
        <f si="11" t="shared"/>
        <v>4.1190371748124726</v>
      </c>
      <c r="C113" s="385">
        <f>TLFD!B71/SUM(TLFD!$B$11:$B$100)</f>
        <v>0</v>
      </c>
      <c r="D113" s="385">
        <f>TLFD!F71/SUM(TLFD!$F$11:FI$100)</f>
        <v>3.1005137413023772E-6</v>
      </c>
      <c r="E113">
        <f si="13" t="shared"/>
        <v>0</v>
      </c>
      <c r="F113" s="385"/>
      <c r="H113"/>
    </row>
    <row r="114" spans="1:8" x14ac:dyDescent="0.25">
      <c r="A114">
        <f>TLFD!A72+0.5</f>
        <v>61.5</v>
      </c>
      <c r="B114" s="384">
        <f si="11" t="shared"/>
        <v>4.1351665567423561</v>
      </c>
      <c r="C114" s="385">
        <f>TLFD!B72/SUM(TLFD!$B$11:$B$100)</f>
        <v>0</v>
      </c>
      <c r="D114" s="385">
        <f>TLFD!F72/SUM(TLFD!$F$11:FI$100)</f>
        <v>3.1005137413023772E-6</v>
      </c>
      <c r="E114">
        <f si="13" t="shared"/>
        <v>0</v>
      </c>
      <c r="F114" s="385"/>
      <c r="H114"/>
    </row>
    <row r="115" spans="1:8" x14ac:dyDescent="0.25">
      <c r="A115">
        <f>TLFD!A73+0.5</f>
        <v>62.5</v>
      </c>
      <c r="B115" s="384">
        <f si="11" t="shared"/>
        <v>4.1510399058986458</v>
      </c>
      <c r="C115" s="385">
        <f>TLFD!B73/SUM(TLFD!$B$11:$B$100)</f>
        <v>0</v>
      </c>
      <c r="D115" s="385">
        <f>TLFD!F73/SUM(TLFD!$F$11:FI$100)</f>
        <v>3.1005137413023772E-6</v>
      </c>
      <c r="E115">
        <f si="13" t="shared"/>
        <v>0</v>
      </c>
      <c r="F115" s="385"/>
      <c r="H115"/>
    </row>
    <row r="116" spans="1:8" x14ac:dyDescent="0.25">
      <c r="A116">
        <f>TLFD!A74+0.5</f>
        <v>63.5</v>
      </c>
      <c r="B116" s="384">
        <f si="11" t="shared"/>
        <v>4.1666652238017265</v>
      </c>
      <c r="C116" s="385">
        <f>TLFD!B74/SUM(TLFD!$B$11:$B$100)</f>
        <v>0</v>
      </c>
      <c r="D116" s="385">
        <f>TLFD!F74/SUM(TLFD!$F$11:FI$100)</f>
        <v>0</v>
      </c>
      <c r="E116">
        <f si="13" t="shared"/>
        <v>0</v>
      </c>
      <c r="F116" s="385"/>
      <c r="H116"/>
    </row>
    <row r="117" spans="1:8" x14ac:dyDescent="0.25">
      <c r="A117">
        <f>TLFD!A75+0.5</f>
        <v>64.5</v>
      </c>
      <c r="B117" s="384">
        <f si="11" t="shared"/>
        <v>4.1820501426412067</v>
      </c>
      <c r="C117" s="385">
        <f>TLFD!B75/SUM(TLFD!$B$11:$B$100)</f>
        <v>0</v>
      </c>
      <c r="D117" s="385">
        <f>TLFD!F75/SUM(TLFD!$F$11:FI$100)</f>
        <v>6.2010274826047544E-6</v>
      </c>
      <c r="E117">
        <f ref="E117:E142" si="14" t="shared">IF(AND(C117&gt;0, D117&gt;0),LN(C117/D117),0)</f>
        <v>0</v>
      </c>
      <c r="F117" s="385"/>
      <c r="H117"/>
    </row>
    <row r="118" spans="1:8" x14ac:dyDescent="0.25">
      <c r="A118">
        <f>TLFD!A76+0.5</f>
        <v>65.5</v>
      </c>
      <c r="B118" s="384">
        <f ref="B118:B142" si="15" t="shared">LN(1+A118)</f>
        <v>4.1972019476618083</v>
      </c>
      <c r="C118" s="385">
        <f>TLFD!B76/SUM(TLFD!$B$11:$B$100)</f>
        <v>0</v>
      </c>
      <c r="D118" s="385">
        <f>TLFD!F76/SUM(TLFD!$F$11:FI$100)</f>
        <v>3.1005137413023772E-6</v>
      </c>
      <c r="E118">
        <f si="14" t="shared"/>
        <v>0</v>
      </c>
      <c r="F118" s="385"/>
      <c r="H118"/>
    </row>
    <row r="119" spans="1:8" x14ac:dyDescent="0.25">
      <c r="A119">
        <f>TLFD!A77+0.5</f>
        <v>66.5</v>
      </c>
      <c r="B119" s="384">
        <f si="15" t="shared"/>
        <v>4.2121275978784842</v>
      </c>
      <c r="C119" s="385">
        <f>TLFD!B77/SUM(TLFD!$B$11:$B$100)</f>
        <v>0</v>
      </c>
      <c r="D119" s="385">
        <f>TLFD!F77/SUM(TLFD!$F$11:FI$100)</f>
        <v>9.3015412239071316E-6</v>
      </c>
      <c r="E119">
        <f si="14" t="shared"/>
        <v>0</v>
      </c>
      <c r="F119" s="385"/>
      <c r="H119"/>
    </row>
    <row r="120" spans="1:8" x14ac:dyDescent="0.25">
      <c r="A120">
        <f>TLFD!A78+0.5</f>
        <v>67.5</v>
      </c>
      <c r="B120" s="384">
        <f si="15" t="shared"/>
        <v>4.2268337452681797</v>
      </c>
      <c r="C120" s="385">
        <f>TLFD!B78/SUM(TLFD!$B$11:$B$100)</f>
        <v>0</v>
      </c>
      <c r="D120" s="385">
        <f>TLFD!F78/SUM(TLFD!$F$11:FI$100)</f>
        <v>9.3015412239071316E-6</v>
      </c>
      <c r="E120">
        <f si="14" t="shared"/>
        <v>0</v>
      </c>
      <c r="F120" s="385"/>
      <c r="H120"/>
    </row>
    <row r="121" spans="1:8" x14ac:dyDescent="0.25">
      <c r="A121">
        <f>TLFD!A79+0.5</f>
        <v>68.5</v>
      </c>
      <c r="B121" s="384">
        <f si="15" t="shared"/>
        <v>4.2413267525707461</v>
      </c>
      <c r="C121" s="385">
        <f>TLFD!B79/SUM(TLFD!$B$11:$B$100)</f>
        <v>0</v>
      </c>
      <c r="D121" s="385">
        <f>TLFD!F79/SUM(TLFD!$F$11:FI$100)</f>
        <v>0</v>
      </c>
      <c r="E121">
        <f si="14" t="shared"/>
        <v>0</v>
      </c>
      <c r="F121" s="385"/>
      <c r="H121"/>
    </row>
    <row r="122" spans="1:8" x14ac:dyDescent="0.25">
      <c r="A122">
        <f>TLFD!A80+0.5</f>
        <v>69.5</v>
      </c>
      <c r="B122" s="384">
        <f si="15" t="shared"/>
        <v>4.255612709818223</v>
      </c>
      <c r="C122" s="385">
        <f>TLFD!B80/SUM(TLFD!$B$11:$B$100)</f>
        <v>0</v>
      </c>
      <c r="D122" s="385">
        <f>TLFD!F80/SUM(TLFD!$F$11:FI$100)</f>
        <v>0</v>
      </c>
      <c r="E122">
        <f si="14" t="shared"/>
        <v>0</v>
      </c>
      <c r="F122" s="385"/>
      <c r="H122"/>
    </row>
    <row r="123" spans="1:8" x14ac:dyDescent="0.25">
      <c r="A123">
        <f>TLFD!A81+0.5</f>
        <v>70.5</v>
      </c>
      <c r="B123" s="384">
        <f si="15" t="shared"/>
        <v>4.2696974496999616</v>
      </c>
      <c r="C123" s="385">
        <f>TLFD!B81/SUM(TLFD!$B$11:$B$100)</f>
        <v>0</v>
      </c>
      <c r="D123" s="385">
        <f>TLFD!F81/SUM(TLFD!$F$11:FI$100)</f>
        <v>2.1703596189116639E-5</v>
      </c>
      <c r="E123">
        <f si="14" t="shared"/>
        <v>0</v>
      </c>
      <c r="F123" s="385"/>
      <c r="H123"/>
    </row>
    <row r="124" spans="1:8" x14ac:dyDescent="0.25">
      <c r="A124">
        <f>TLFD!A82+0.5</f>
        <v>71.5</v>
      </c>
      <c r="B124" s="384">
        <f si="15" t="shared"/>
        <v>4.2835865618606288</v>
      </c>
      <c r="C124" s="385">
        <f>TLFD!B82/SUM(TLFD!$B$11:$B$100)</f>
        <v>0</v>
      </c>
      <c r="D124" s="385">
        <f>TLFD!F82/SUM(TLFD!$F$11:FI$100)</f>
        <v>6.2010274826047544E-6</v>
      </c>
      <c r="E124">
        <f si="14" t="shared"/>
        <v>0</v>
      </c>
      <c r="F124" s="385"/>
      <c r="H124"/>
    </row>
    <row r="125" spans="1:8" x14ac:dyDescent="0.25">
      <c r="A125">
        <f>TLFD!A83+0.5</f>
        <v>72.5</v>
      </c>
      <c r="B125" s="384">
        <f si="15" t="shared"/>
        <v>4.2972854062187906</v>
      </c>
      <c r="C125" s="385">
        <f>TLFD!B83/SUM(TLFD!$B$11:$B$100)</f>
        <v>0</v>
      </c>
      <c r="D125" s="385">
        <f>TLFD!F83/SUM(TLFD!$F$11:FI$100)</f>
        <v>3.1005137413023772E-6</v>
      </c>
      <c r="E125">
        <f si="14" t="shared"/>
        <v>0</v>
      </c>
      <c r="F125" s="385"/>
      <c r="H125"/>
    </row>
    <row r="126" spans="1:8" x14ac:dyDescent="0.25">
      <c r="A126">
        <f>TLFD!A84+0.5</f>
        <v>73.5</v>
      </c>
      <c r="B126" s="384">
        <f si="15" t="shared"/>
        <v>4.3107991253855138</v>
      </c>
      <c r="C126" s="385">
        <f>TLFD!B84/SUM(TLFD!$B$11:$B$100)</f>
        <v>0</v>
      </c>
      <c r="D126" s="385">
        <f>TLFD!F84/SUM(TLFD!$F$11:FI$100)</f>
        <v>1.2402054965209509E-5</v>
      </c>
      <c r="E126">
        <f si="14" t="shared"/>
        <v>0</v>
      </c>
      <c r="F126" s="385"/>
      <c r="H126"/>
    </row>
    <row r="127" spans="1:8" x14ac:dyDescent="0.25">
      <c r="A127">
        <f>TLFD!A85+0.5</f>
        <v>74.5</v>
      </c>
      <c r="B127" s="384">
        <f si="15" t="shared"/>
        <v>4.3241326562549789</v>
      </c>
      <c r="C127" s="385">
        <f>TLFD!B85/SUM(TLFD!$B$11:$B$100)</f>
        <v>0</v>
      </c>
      <c r="D127" s="385">
        <f>TLFD!F85/SUM(TLFD!$F$11:FI$100)</f>
        <v>3.1005137413023772E-6</v>
      </c>
      <c r="E127">
        <f si="14" t="shared"/>
        <v>0</v>
      </c>
      <c r="F127" s="385"/>
      <c r="H127"/>
    </row>
    <row r="128" spans="1:8" x14ac:dyDescent="0.25">
      <c r="A128">
        <f>TLFD!A86+0.5</f>
        <v>75.5</v>
      </c>
      <c r="B128" s="384">
        <f si="15" t="shared"/>
        <v>4.3372907408324899</v>
      </c>
      <c r="C128" s="385">
        <f>TLFD!B86/SUM(TLFD!$B$11:$B$100)</f>
        <v>0</v>
      </c>
      <c r="D128" s="385">
        <f>TLFD!F86/SUM(TLFD!$F$11:FI$100)</f>
        <v>9.3015412239071316E-6</v>
      </c>
      <c r="E128">
        <f si="14" t="shared"/>
        <v>0</v>
      </c>
      <c r="F128" s="385"/>
      <c r="H128"/>
    </row>
    <row r="129" spans="1:8" x14ac:dyDescent="0.25">
      <c r="A129">
        <f>TLFD!A87+0.5</f>
        <v>76.5</v>
      </c>
      <c r="B129" s="384">
        <f si="15" t="shared"/>
        <v>4.3502779363593014</v>
      </c>
      <c r="C129" s="385">
        <f>TLFD!B87/SUM(TLFD!$B$11:$B$100)</f>
        <v>0</v>
      </c>
      <c r="D129" s="385">
        <f>TLFD!F87/SUM(TLFD!$F$11:FI$100)</f>
        <v>0</v>
      </c>
      <c r="E129">
        <f si="14" t="shared"/>
        <v>0</v>
      </c>
      <c r="F129" s="385"/>
      <c r="H129"/>
    </row>
    <row r="130" spans="1:8" x14ac:dyDescent="0.25">
      <c r="A130">
        <f>TLFD!A88+0.5</f>
        <v>77.5</v>
      </c>
      <c r="B130" s="384">
        <f si="15" t="shared"/>
        <v>4.3630986247883632</v>
      </c>
      <c r="C130" s="385">
        <f>TLFD!B88/SUM(TLFD!$B$11:$B$100)</f>
        <v>0</v>
      </c>
      <c r="D130" s="385">
        <f>TLFD!F88/SUM(TLFD!$F$11:FI$100)</f>
        <v>3.1005137413023772E-6</v>
      </c>
      <c r="E130">
        <f si="14" t="shared"/>
        <v>0</v>
      </c>
      <c r="F130" s="385"/>
      <c r="H130"/>
    </row>
    <row r="131" spans="1:8" x14ac:dyDescent="0.25">
      <c r="A131">
        <f>TLFD!A89+0.5</f>
        <v>78.5</v>
      </c>
      <c r="B131" s="384">
        <f si="15" t="shared"/>
        <v>4.3757570216602861</v>
      </c>
      <c r="C131" s="385">
        <f>TLFD!B89/SUM(TLFD!$B$11:$B$100)</f>
        <v>0</v>
      </c>
      <c r="D131" s="385">
        <f>TLFD!F89/SUM(TLFD!$F$11:FI$100)</f>
        <v>0</v>
      </c>
      <c r="E131">
        <f si="14" t="shared"/>
        <v>0</v>
      </c>
      <c r="F131" s="385"/>
      <c r="H131"/>
    </row>
    <row r="132" spans="1:8" x14ac:dyDescent="0.25">
      <c r="A132">
        <f>TLFD!A90+0.5</f>
        <v>79.5</v>
      </c>
      <c r="B132" s="384">
        <f si="15" t="shared"/>
        <v>4.3882571844245177</v>
      </c>
      <c r="C132" s="385">
        <f>TLFD!B90/SUM(TLFD!$B$11:$B$100)</f>
        <v>0</v>
      </c>
      <c r="D132" s="385">
        <f>TLFD!F90/SUM(TLFD!$F$11:FI$100)</f>
        <v>0</v>
      </c>
      <c r="E132">
        <f si="14" t="shared"/>
        <v>0</v>
      </c>
      <c r="F132" s="385"/>
      <c r="H132"/>
    </row>
    <row r="133" spans="1:8" x14ac:dyDescent="0.25">
      <c r="A133">
        <f>TLFD!A91+0.5</f>
        <v>80.5</v>
      </c>
      <c r="B133" s="384">
        <f si="15" t="shared"/>
        <v>4.4006030202468169</v>
      </c>
      <c r="C133" s="385">
        <f>TLFD!B91/SUM(TLFD!$B$11:$B$100)</f>
        <v>0</v>
      </c>
      <c r="D133" s="385">
        <f>TLFD!F91/SUM(TLFD!$F$11:FI$100)</f>
        <v>0</v>
      </c>
      <c r="E133">
        <f si="14" t="shared"/>
        <v>0</v>
      </c>
      <c r="F133" s="385"/>
      <c r="H133"/>
    </row>
    <row r="134" spans="1:8" x14ac:dyDescent="0.25">
      <c r="A134">
        <f>TLFD!A92+0.5</f>
        <v>81.5</v>
      </c>
      <c r="B134" s="384">
        <f si="15" t="shared"/>
        <v>4.4127982933406349</v>
      </c>
      <c r="C134" s="385">
        <f>TLFD!B92/SUM(TLFD!$B$11:$B$100)</f>
        <v>0</v>
      </c>
      <c r="D134" s="385">
        <f>TLFD!F92/SUM(TLFD!$F$11:FI$100)</f>
        <v>3.1005137413023772E-6</v>
      </c>
      <c r="E134">
        <f si="14" t="shared"/>
        <v>0</v>
      </c>
      <c r="F134" s="385"/>
      <c r="H134"/>
    </row>
    <row r="135" spans="1:8" x14ac:dyDescent="0.25">
      <c r="A135">
        <f>TLFD!A93+0.5</f>
        <v>82.5</v>
      </c>
      <c r="B135" s="384">
        <f si="15" t="shared"/>
        <v>4.42484663185681</v>
      </c>
      <c r="C135" s="385">
        <f>TLFD!B93/SUM(TLFD!$B$11:$B$100)</f>
        <v>0</v>
      </c>
      <c r="D135" s="385">
        <f>TLFD!F93/SUM(TLFD!$F$11:FI$100)</f>
        <v>3.1005137413023772E-6</v>
      </c>
      <c r="E135">
        <f si="14" t="shared"/>
        <v>0</v>
      </c>
      <c r="F135" s="385"/>
      <c r="H135"/>
    </row>
    <row r="136" spans="1:8" x14ac:dyDescent="0.25">
      <c r="A136">
        <f>TLFD!A94+0.5</f>
        <v>83.5</v>
      </c>
      <c r="B136" s="384">
        <f si="15" t="shared"/>
        <v>4.4367515343631281</v>
      </c>
      <c r="C136" s="385">
        <f>TLFD!B94/SUM(TLFD!$B$11:$B$100)</f>
        <v>0</v>
      </c>
      <c r="D136" s="385">
        <f>TLFD!F94/SUM(TLFD!$F$11:FI$100)</f>
        <v>0</v>
      </c>
      <c r="E136">
        <f si="14" t="shared"/>
        <v>0</v>
      </c>
      <c r="F136" s="385"/>
      <c r="H136"/>
    </row>
    <row r="137" spans="1:8" x14ac:dyDescent="0.25">
      <c r="A137">
        <f>TLFD!A95+0.5</f>
        <v>84.5</v>
      </c>
      <c r="B137" s="384">
        <f si="15" t="shared"/>
        <v>4.4485163759427149</v>
      </c>
      <c r="C137" s="385">
        <f>TLFD!B95/SUM(TLFD!$B$11:$B$100)</f>
        <v>0</v>
      </c>
      <c r="D137" s="385">
        <f>TLFD!F95/SUM(TLFD!$F$11:FI$100)</f>
        <v>0</v>
      </c>
      <c r="E137">
        <f si="14" t="shared"/>
        <v>0</v>
      </c>
      <c r="F137" s="385"/>
      <c r="H137"/>
    </row>
    <row r="138" spans="1:8" x14ac:dyDescent="0.25">
      <c r="A138">
        <f>TLFD!A96+0.5</f>
        <v>85.5</v>
      </c>
      <c r="B138" s="384">
        <f si="15" t="shared"/>
        <v>4.4601444139378339</v>
      </c>
      <c r="C138" s="385">
        <f>TLFD!B96/SUM(TLFD!$B$11:$B$100)</f>
        <v>0</v>
      </c>
      <c r="D138" s="385">
        <f>TLFD!F96/SUM(TLFD!$F$11:FI$100)</f>
        <v>6.2010274826047544E-6</v>
      </c>
      <c r="E138">
        <f si="14" t="shared"/>
        <v>0</v>
      </c>
      <c r="F138" s="385"/>
      <c r="H138"/>
    </row>
    <row r="139" spans="1:8" x14ac:dyDescent="0.25">
      <c r="A139">
        <f>TLFD!A97+0.5</f>
        <v>86.5</v>
      </c>
      <c r="B139" s="384">
        <f si="15" t="shared"/>
        <v>4.4716387933635691</v>
      </c>
      <c r="C139" s="385">
        <f>TLFD!B97/SUM(TLFD!$B$11:$B$100)</f>
        <v>0</v>
      </c>
      <c r="D139" s="385">
        <f>TLFD!F97/SUM(TLFD!$F$11:FI$100)</f>
        <v>0</v>
      </c>
      <c r="E139">
        <f si="14" t="shared"/>
        <v>0</v>
      </c>
      <c r="F139" s="385"/>
      <c r="H139"/>
    </row>
    <row r="140" spans="1:8" x14ac:dyDescent="0.25">
      <c r="A140">
        <f>TLFD!A98+0.5</f>
        <v>87.5</v>
      </c>
      <c r="B140" s="384">
        <f si="15" t="shared"/>
        <v>4.4830025520138834</v>
      </c>
      <c r="C140" s="385">
        <f>TLFD!B98/SUM(TLFD!$B$11:$B$100)</f>
        <v>0</v>
      </c>
      <c r="D140" s="385">
        <f>TLFD!F98/SUM(TLFD!$F$11:FI$100)</f>
        <v>0</v>
      </c>
      <c r="E140">
        <f si="14" t="shared"/>
        <v>0</v>
      </c>
      <c r="F140" s="385"/>
      <c r="H140"/>
    </row>
    <row r="141" spans="1:8" x14ac:dyDescent="0.25">
      <c r="A141">
        <f>TLFD!A99+0.5</f>
        <v>88.5</v>
      </c>
      <c r="B141" s="384">
        <f si="15" t="shared"/>
        <v>4.4942386252808095</v>
      </c>
      <c r="C141" s="385">
        <f>TLFD!B99/SUM(TLFD!$B$11:$B$100)</f>
        <v>0</v>
      </c>
      <c r="D141" s="385">
        <f>TLFD!F99/SUM(TLFD!$F$11:FI$100)</f>
        <v>0</v>
      </c>
      <c r="E141">
        <f si="14" t="shared"/>
        <v>0</v>
      </c>
      <c r="F141" s="385"/>
      <c r="H141"/>
    </row>
    <row r="142" spans="1:8" x14ac:dyDescent="0.25">
      <c r="A142">
        <f>TLFD!A100+0.5</f>
        <v>89.5</v>
      </c>
      <c r="B142" s="384">
        <f si="15" t="shared"/>
        <v>4.5053498507058807</v>
      </c>
      <c r="C142" s="385">
        <f>TLFD!B100/SUM(TLFD!$B$11:$B$100)</f>
        <v>0</v>
      </c>
      <c r="D142" s="385">
        <f>TLFD!F100/SUM(TLFD!$F$11:FI$100)</f>
        <v>1.5502568706511884E-5</v>
      </c>
      <c r="E142">
        <f si="14" t="shared"/>
        <v>0</v>
      </c>
      <c r="F142" s="385"/>
      <c r="H142"/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baseType="lpstr" size="3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2022-03-10T16:24:45Z</dcterms:modified>
</cp:coreProperties>
</file>