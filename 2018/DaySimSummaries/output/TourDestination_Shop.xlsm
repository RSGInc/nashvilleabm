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F26" s="1"/>
  <c i="1" r="S15"/>
  <c i="1" r="S28" s="1"/>
  <c i="1" r="H15"/>
  <c i="1" r="J13"/>
  <c i="1" l="1" r="U26"/>
  <c i="1" r="E26"/>
  <c i="1" r="G26"/>
  <c i="1" r="C26"/>
  <c i="1" r="H26"/>
  <c i="1" r="B26"/>
  <c i="1" r="D26"/>
  <c i="1" r="I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l="1" r="J26"/>
  <c i="6" r="B141"/>
  <c i="6" r="B140"/>
  <c i="6" r="A140" s="1"/>
  <c i="6" r="B139"/>
  <c i="6" r="A139" s="1"/>
  <c i="6" r="B138"/>
  <c i="6" r="A138" s="1"/>
  <c i="6" r="B137"/>
  <c i="6" r="A137" s="1"/>
  <c i="6" r="B136"/>
  <c i="6" r="A136" s="1"/>
  <c i="6" r="B135"/>
  <c i="6" r="A135" s="1"/>
  <c i="6" r="B134"/>
  <c i="6" r="A134" s="1"/>
  <c i="6" r="B133"/>
  <c i="6" r="A133" s="1"/>
  <c i="6" r="B132"/>
  <c i="6" r="A132" s="1"/>
  <c i="6" r="B131"/>
  <c i="6" r="A131" s="1"/>
  <c i="6" r="B130"/>
  <c i="6" r="A130" s="1"/>
  <c i="6" r="B129"/>
  <c i="6" r="A129" s="1"/>
  <c i="6" r="B128"/>
  <c i="6" r="A128" s="1"/>
  <c i="6" r="B127"/>
  <c i="6" r="A127" s="1"/>
  <c i="6" r="B126"/>
  <c i="6" r="A126" s="1"/>
  <c i="6" r="B125"/>
  <c i="6" r="A125" s="1"/>
  <c i="6" r="B124"/>
  <c i="6" r="A124" s="1"/>
  <c i="6" r="B123"/>
  <c i="6" r="A123" s="1"/>
  <c i="6" r="B122"/>
  <c i="6" r="A122" s="1"/>
  <c i="6" r="B121"/>
  <c i="6" r="A121" s="1"/>
  <c i="6" r="B120"/>
  <c i="6" r="A120" s="1"/>
  <c i="6" r="B119"/>
  <c i="6" r="A119" s="1"/>
  <c i="6" r="B118"/>
  <c i="6" r="A118" s="1"/>
  <c i="6" r="B117"/>
  <c i="6" r="A117" s="1"/>
  <c i="6" r="B116"/>
  <c i="6" r="A116" s="1"/>
  <c i="6" r="B115"/>
  <c i="6" r="A115" s="1"/>
  <c i="6" r="B114"/>
  <c i="6" r="A114" s="1"/>
  <c i="6" r="B113"/>
  <c i="6" r="A113" s="1"/>
  <c i="6" r="B112"/>
  <c i="6" r="A112" s="1"/>
  <c i="6" r="B111"/>
  <c i="6" r="A111" s="1"/>
  <c i="6" r="B110"/>
  <c i="6" r="A110" s="1"/>
  <c i="6" r="B109"/>
  <c i="6" r="A109" s="1"/>
  <c i="6" r="B108"/>
  <c i="6" r="A108" s="1"/>
  <c i="6" r="B107"/>
  <c i="6" r="A107" s="1"/>
  <c i="6" r="B106"/>
  <c i="6" r="A106" s="1"/>
  <c i="6" r="B105"/>
  <c i="6" r="A105" s="1"/>
  <c i="6" r="B104"/>
  <c i="6" r="A104" s="1"/>
  <c i="6" r="B103"/>
  <c i="6" r="A103" s="1"/>
  <c i="6" r="B102"/>
  <c i="6" r="A102" s="1"/>
  <c i="6" r="B101"/>
  <c i="6" r="A101" s="1"/>
  <c i="6" r="B100"/>
  <c i="6" r="A100" s="1"/>
  <c i="6" r="B99"/>
  <c i="6" r="A99" s="1"/>
  <c i="6" r="B98"/>
  <c i="6" r="A98" s="1"/>
  <c i="6" r="B97"/>
  <c i="6" r="A97" s="1"/>
  <c i="6" r="B96"/>
  <c i="6" r="A96" s="1"/>
  <c i="6" r="B95"/>
  <c i="6" r="A95" s="1"/>
  <c i="6" r="B94"/>
  <c i="6" r="A94" s="1"/>
  <c i="6" r="B93"/>
  <c i="6" r="B92"/>
  <c i="6" r="B91"/>
  <c i="6" r="A91" s="1"/>
  <c i="6" r="B90"/>
  <c i="6" r="A90" s="1"/>
  <c i="6" r="B89"/>
  <c i="6" r="A89" s="1"/>
  <c i="6" r="B88"/>
  <c i="6" r="A88" s="1"/>
  <c i="6" r="B87"/>
  <c i="6" r="A87" s="1"/>
  <c i="6" r="B86"/>
  <c i="6" r="A86" s="1"/>
  <c i="6" r="B85"/>
  <c i="6" r="A85" s="1"/>
  <c i="6" r="B84"/>
  <c i="6" r="A84" s="1"/>
  <c i="6" r="B83"/>
  <c i="6" r="A83" s="1"/>
  <c i="6" r="B82"/>
  <c i="6" r="A82" s="1"/>
  <c i="6" r="B81"/>
  <c i="6" r="A81" s="1"/>
  <c i="6" r="B80"/>
  <c i="6" r="A80" s="1"/>
  <c i="6" r="B79"/>
  <c i="6" r="A79" s="1"/>
  <c i="6" r="B78"/>
  <c i="6" r="A78" s="1"/>
  <c i="6" r="B77"/>
  <c i="6" r="A77" s="1"/>
  <c i="6" r="B76"/>
  <c i="6" r="A76" s="1"/>
  <c i="6" r="B75"/>
  <c i="6" r="A75" s="1"/>
  <c i="6" r="B74"/>
  <c i="6" r="A74" s="1"/>
  <c i="6" r="B73"/>
  <c i="6" r="A73" s="1"/>
  <c i="6" r="B72"/>
  <c i="6" r="A72" s="1"/>
  <c i="6" r="B71"/>
  <c i="6" r="A71" s="1"/>
  <c i="6" r="B70"/>
  <c i="6" r="A70" s="1"/>
  <c i="6" r="B69"/>
  <c i="6" r="A69" s="1"/>
  <c i="6" r="B68"/>
  <c i="6" r="A68" s="1"/>
  <c i="6" r="B67"/>
  <c i="6" r="A67" s="1"/>
  <c i="6" r="B66"/>
  <c i="6" r="A66" s="1"/>
  <c i="6" r="B65"/>
  <c i="6" r="A65" s="1"/>
  <c i="6" r="B64"/>
  <c i="6" r="A64" s="1"/>
  <c i="6" r="B63"/>
  <c i="6" r="A63" s="1"/>
  <c i="6" r="B62"/>
  <c i="6" r="A62" s="1"/>
  <c i="6" r="B61"/>
  <c i="6" r="A61" s="1"/>
  <c i="6" r="B60"/>
  <c i="6" r="A60" s="1"/>
  <c i="6" r="B59"/>
  <c i="6" r="A59" s="1"/>
  <c i="6" r="B58"/>
  <c i="6" r="A58" s="1"/>
  <c i="6" r="B57"/>
  <c i="6" r="A57" s="1"/>
  <c i="6" r="B56"/>
  <c i="6" r="A56" s="1"/>
  <c i="6" r="B55"/>
  <c i="6" r="A55" s="1"/>
  <c i="6" r="B54"/>
  <c i="6" r="A54" s="1"/>
  <c i="6" r="B53"/>
  <c i="6" r="A53" s="1"/>
  <c i="6" r="B52"/>
  <c i="6" r="A52" s="1"/>
  <c i="6" r="B51"/>
  <c i="6" r="A51" s="1"/>
  <c i="6" r="A141"/>
  <c i="6" r="A93"/>
  <c i="6" r="A92"/>
  <c i="6" r="H53"/>
  <c i="6" r="H52"/>
  <c i="6" r="H51"/>
  <c i="6" l="1" r="S105"/>
  <c i="6" r="R105" s="1"/>
  <c i="6" r="T105"/>
  <c i="6" r="U105"/>
  <c i="6" r="S106"/>
  <c i="6" r="R106" s="1"/>
  <c i="6" r="T106"/>
  <c i="6" r="U106"/>
  <c i="6" r="S107"/>
  <c i="6" r="R107" s="1"/>
  <c i="6" r="T107"/>
  <c i="6" r="U107"/>
  <c i="6" r="S108"/>
  <c i="6" r="R108" s="1"/>
  <c i="6" r="T108"/>
  <c i="6" r="U108"/>
  <c i="6" r="S109"/>
  <c i="6" r="T109"/>
  <c i="6" r="U109"/>
  <c i="6" l="1" r="R109"/>
  <c i="6" l="1" r="U104"/>
  <c i="6" r="T104"/>
  <c i="6" r="S104"/>
  <c i="6" r="R104" s="1"/>
  <c i="6" r="U103"/>
  <c i="6" r="T103"/>
  <c i="6" r="S103"/>
  <c i="6" r="R103" s="1"/>
  <c i="6" r="U102"/>
  <c i="6" r="T102"/>
  <c i="6" r="S102"/>
  <c i="6" r="R102" s="1"/>
  <c i="6" r="U101"/>
  <c i="6" r="T101"/>
  <c i="6" r="S101"/>
  <c i="6" r="R101" s="1"/>
  <c i="6" r="U100"/>
  <c i="6" r="T100"/>
  <c i="6" r="S100"/>
  <c i="6" r="R100" s="1"/>
  <c i="6" r="U99"/>
  <c i="6" r="T99"/>
  <c i="6" r="S99"/>
  <c i="6" r="R99" s="1"/>
  <c i="6" r="U98"/>
  <c i="6" r="T98"/>
  <c i="6" r="S98"/>
  <c i="6" r="R98" s="1"/>
  <c i="6" r="U97"/>
  <c i="6" r="T97"/>
  <c i="6" r="S97"/>
  <c i="6" r="R97" s="1"/>
  <c i="6" r="U96"/>
  <c i="6" r="T96"/>
  <c i="6" r="S96"/>
  <c i="6" r="R96" s="1"/>
  <c i="6" r="U95"/>
  <c i="6" r="T95"/>
  <c i="6" r="S95"/>
  <c i="6" r="R95" s="1"/>
  <c i="6" r="U94"/>
  <c i="6" r="T94"/>
  <c i="6" r="S94"/>
  <c i="6" r="R94" s="1"/>
  <c i="6" r="U93"/>
  <c i="6" r="T93"/>
  <c i="6" r="S93"/>
  <c i="6" r="U92"/>
  <c i="6" r="T92"/>
  <c i="6" r="S92"/>
  <c i="6" r="R92" s="1"/>
  <c i="6" r="U91"/>
  <c i="6" r="T91"/>
  <c i="6" r="S91"/>
  <c i="6" r="R91" s="1"/>
  <c i="6" r="U90"/>
  <c i="6" r="T90"/>
  <c i="6" r="S90"/>
  <c i="6" r="R90" s="1"/>
  <c i="6" r="U89"/>
  <c i="6" r="T89"/>
  <c i="6" r="S89"/>
  <c i="6" r="R89" s="1"/>
  <c i="6" r="U88"/>
  <c i="6" r="T88"/>
  <c i="6" r="S88"/>
  <c i="6" r="R88" s="1"/>
  <c i="6" r="U87"/>
  <c i="6" r="T87"/>
  <c i="6" r="S87"/>
  <c i="6" r="R87" s="1"/>
  <c i="6" r="U86"/>
  <c i="6" r="T86"/>
  <c i="6" r="S86"/>
  <c i="6" r="R86" s="1"/>
  <c i="6" r="U85"/>
  <c i="6" r="T85"/>
  <c i="6" r="S85"/>
  <c i="6" r="U84"/>
  <c i="6" r="T84"/>
  <c i="6" r="S84"/>
  <c i="6" r="R84" s="1"/>
  <c i="6" r="U83"/>
  <c i="6" r="T83"/>
  <c i="6" r="S83"/>
  <c i="6" r="U82"/>
  <c i="6" r="T82"/>
  <c i="6" r="S82"/>
  <c i="6" r="R82" s="1"/>
  <c i="6" r="U81"/>
  <c i="6" r="T81"/>
  <c i="6" r="S81"/>
  <c i="6" r="R81" s="1"/>
  <c i="6" r="U80"/>
  <c i="6" r="T80"/>
  <c i="6" r="S80"/>
  <c i="6" r="R80" s="1"/>
  <c i="6" r="U79"/>
  <c i="6" r="T79"/>
  <c i="6" r="S79"/>
  <c i="6" r="R79" s="1"/>
  <c i="6" r="U78"/>
  <c i="6" r="T78"/>
  <c i="6" r="S78"/>
  <c i="6" r="R78" s="1"/>
  <c i="6" r="U77"/>
  <c i="6" r="T77"/>
  <c i="6" r="S77"/>
  <c i="6" r="R77" s="1"/>
  <c i="6" r="U76"/>
  <c i="6" r="T76"/>
  <c i="6" r="S76"/>
  <c i="6" r="R76" s="1"/>
  <c i="6" r="U75"/>
  <c i="6" r="T75"/>
  <c i="6" r="S75"/>
  <c i="6" r="R75" s="1"/>
  <c i="6" r="U74"/>
  <c i="6" r="T74"/>
  <c i="6" r="S74"/>
  <c i="6" r="R74" s="1"/>
  <c i="6" r="U73"/>
  <c i="6" r="T73"/>
  <c i="6" r="S73"/>
  <c i="6" r="R73" s="1"/>
  <c i="6" r="U72"/>
  <c i="6" r="T72"/>
  <c i="6" r="S72"/>
  <c i="6" r="R72" s="1"/>
  <c i="6" r="U71"/>
  <c i="6" r="T71"/>
  <c i="6" r="S71"/>
  <c i="6" r="R71" s="1"/>
  <c i="6" r="U70"/>
  <c i="6" r="T70"/>
  <c i="6" r="S70"/>
  <c i="6" r="R70" s="1"/>
  <c i="6" r="U69"/>
  <c i="6" r="T69"/>
  <c i="6" r="S69"/>
  <c i="6" r="R69" s="1"/>
  <c i="6" r="U68"/>
  <c i="6" r="T68"/>
  <c i="6" r="S68"/>
  <c i="6" r="R68" s="1"/>
  <c i="6" r="U67"/>
  <c i="6" r="T67"/>
  <c i="6" r="S67"/>
  <c i="6" r="R67" s="1"/>
  <c i="6" r="U66"/>
  <c i="6" r="T66"/>
  <c i="6" r="S66"/>
  <c i="6" r="R66" s="1"/>
  <c i="6" r="U65"/>
  <c i="6" r="T65"/>
  <c i="6" r="S65"/>
  <c i="6" r="R65" s="1"/>
  <c i="6" r="U64"/>
  <c i="6" r="T64"/>
  <c i="6" r="S64"/>
  <c i="6" r="R64" s="1"/>
  <c i="6" r="U63"/>
  <c i="6" r="T63"/>
  <c i="6" r="S63"/>
  <c i="6" r="R63" s="1"/>
  <c i="6" r="U62"/>
  <c i="6" r="T62"/>
  <c i="6" r="S62"/>
  <c i="6" r="R62" s="1"/>
  <c i="6" r="U61"/>
  <c i="6" r="T61"/>
  <c i="6" r="S61"/>
  <c i="6" r="R61" s="1"/>
  <c i="6" r="U60"/>
  <c i="6" r="T60"/>
  <c i="6" r="S60"/>
  <c i="6" r="R60" s="1"/>
  <c i="6" r="U59"/>
  <c i="6" r="T59"/>
  <c i="6" r="S59"/>
  <c i="6" r="R59" s="1"/>
  <c i="6" r="U58"/>
  <c i="6" r="T58"/>
  <c i="6" r="S58"/>
  <c i="6" r="R58" s="1"/>
  <c i="6" r="U57"/>
  <c i="6" r="T57"/>
  <c i="6" r="S57"/>
  <c i="6" r="R57" s="1"/>
  <c i="6" r="U56"/>
  <c i="6" r="T56"/>
  <c i="6" r="S56"/>
  <c i="6" r="R56" s="1"/>
  <c i="6" r="U55"/>
  <c i="6" r="T55"/>
  <c i="6" r="S55"/>
  <c i="6" r="U54"/>
  <c i="6" r="T54"/>
  <c i="6" r="S54"/>
  <c i="6" r="R54" s="1"/>
  <c i="6" r="U53"/>
  <c i="6" r="T53"/>
  <c i="6" r="S53"/>
  <c i="6" r="U52"/>
  <c i="6" r="T52"/>
  <c i="6" r="S52"/>
  <c i="6" r="R52" s="1"/>
  <c i="6" r="U51"/>
  <c i="6" r="T51"/>
  <c i="6" r="S51"/>
  <c i="6" r="R51" s="1"/>
  <c i="6" r="U50"/>
  <c i="6" r="T50"/>
  <c i="6" r="S50"/>
  <c i="6" r="R50" s="1"/>
  <c i="6" r="U49"/>
  <c i="6" r="T49"/>
  <c i="6" r="S49"/>
  <c i="6" r="R49" s="1"/>
  <c i="6" r="U48"/>
  <c i="6" r="T48"/>
  <c i="6" r="S48"/>
  <c i="6" r="R48" s="1"/>
  <c i="6" r="U47"/>
  <c i="6" r="T47"/>
  <c i="6" r="S47"/>
  <c i="6" r="U46"/>
  <c i="6" r="T46"/>
  <c i="6" r="S46"/>
  <c i="6" r="U45"/>
  <c i="6" r="T45"/>
  <c i="6" r="S45"/>
  <c i="6" r="R45" s="1"/>
  <c i="6" r="U44"/>
  <c i="6" r="T44"/>
  <c i="6" r="S44"/>
  <c i="6" r="R44" s="1"/>
  <c i="6" r="U43"/>
  <c i="6" r="T43"/>
  <c i="6" r="S43"/>
  <c i="6" r="R43" s="1"/>
  <c i="6" r="U42"/>
  <c i="6" r="T42"/>
  <c i="6" r="S42"/>
  <c i="6" r="R42" s="1"/>
  <c i="6" r="U41"/>
  <c i="6" r="T41"/>
  <c i="6" r="S41"/>
  <c i="6" r="R41" s="1"/>
  <c i="6" r="U40"/>
  <c i="6" r="T40"/>
  <c i="6" r="S40"/>
  <c i="6" r="W40" s="1"/>
  <c i="6" r="U39"/>
  <c i="6" r="T39"/>
  <c i="6" r="S39"/>
  <c i="6" r="R39" s="1"/>
  <c i="6" r="U38"/>
  <c i="6" r="T38"/>
  <c i="6" r="S38"/>
  <c i="6" r="R38" s="1"/>
  <c i="6" r="U37"/>
  <c i="6" r="T37"/>
  <c i="6" r="S37"/>
  <c i="6" r="R37" s="1"/>
  <c i="6" r="U36"/>
  <c i="6" r="T36"/>
  <c i="6" r="S36"/>
  <c i="6" r="R36" s="1"/>
  <c i="6" r="U35"/>
  <c i="6" r="T35"/>
  <c i="6" r="S35"/>
  <c i="6" r="U34"/>
  <c i="6" r="T34"/>
  <c i="6" r="S34"/>
  <c i="6" r="R34" s="1"/>
  <c i="6" r="U33"/>
  <c i="6" r="T33"/>
  <c i="6" r="S33"/>
  <c i="6" r="R33" s="1"/>
  <c i="6" r="U32"/>
  <c i="6" r="T32"/>
  <c i="6" r="S32"/>
  <c i="6" r="R32" s="1"/>
  <c i="6" r="U31"/>
  <c i="6" r="T31"/>
  <c i="6" r="S31"/>
  <c i="6" r="U30"/>
  <c i="6" r="T30"/>
  <c i="6" r="S30"/>
  <c i="6" r="R30" s="1"/>
  <c i="6" r="U29"/>
  <c i="6" r="T29"/>
  <c i="6" r="S29"/>
  <c i="6" r="R29" s="1"/>
  <c i="6" r="U28"/>
  <c i="6" r="T28"/>
  <c i="6" r="S28"/>
  <c i="6" r="U27"/>
  <c i="6" r="T27"/>
  <c i="6" r="S27"/>
  <c i="6" r="R27" s="1"/>
  <c i="6" r="U26"/>
  <c i="6" r="T26"/>
  <c i="6" r="S26"/>
  <c i="6" r="R26" s="1"/>
  <c i="6" r="U25"/>
  <c i="6" r="T25"/>
  <c i="6" r="S25"/>
  <c i="6" r="R25" s="1"/>
  <c i="6" r="U24"/>
  <c i="6" r="T24"/>
  <c i="6" r="S24"/>
  <c i="6" r="R24" s="1"/>
  <c i="6" r="U23"/>
  <c i="6" r="T23"/>
  <c i="6" r="S23"/>
  <c i="6" r="U22"/>
  <c i="6" r="T22"/>
  <c i="6" r="S22"/>
  <c i="6" r="R22" s="1"/>
  <c i="6" r="U21"/>
  <c i="6" r="T21"/>
  <c i="6" r="S21"/>
  <c i="6" r="U20"/>
  <c i="6" r="T20"/>
  <c i="6" r="S20"/>
  <c i="6" r="R20" s="1"/>
  <c i="6" r="U19"/>
  <c i="6" r="T19"/>
  <c i="6" r="S19"/>
  <c i="6" r="R19" s="1"/>
  <c i="6" r="U18"/>
  <c i="6" r="T18"/>
  <c i="6" r="S18"/>
  <c i="6" r="R18" s="1"/>
  <c i="6" r="U17"/>
  <c i="6" r="T17"/>
  <c i="6" r="S17"/>
  <c i="6" r="R17" s="1"/>
  <c i="6" r="U16"/>
  <c i="6" r="T16"/>
  <c i="6" r="S16"/>
  <c i="6" r="R16" s="1"/>
  <c i="6" r="U15"/>
  <c i="6" r="T15"/>
  <c i="6" r="S15"/>
  <c i="6" r="R15" s="1"/>
  <c i="6" r="U14"/>
  <c i="6" r="T14"/>
  <c i="6" r="S14"/>
  <c i="6" r="R14" s="1"/>
  <c i="6" r="U13"/>
  <c i="6" r="T13"/>
  <c i="6" r="S13"/>
  <c i="6" r="R13" s="1"/>
  <c i="6" r="U12"/>
  <c i="6" r="T12"/>
  <c i="6" r="S12"/>
  <c i="6" r="R12" s="1"/>
  <c i="6" r="U11"/>
  <c i="6" r="T11"/>
  <c i="6" r="S11"/>
  <c i="6" r="R11" s="1"/>
  <c i="6" r="U10"/>
  <c i="6" r="T10"/>
  <c i="6" r="S10"/>
  <c i="6" r="U9"/>
  <c i="6" r="T9"/>
  <c i="6" r="S9"/>
  <c i="6" r="R9" s="1"/>
  <c i="6" r="U8"/>
  <c i="6" r="T8"/>
  <c i="6" r="S8"/>
  <c i="6" r="R8" s="1"/>
  <c i="6" r="U7"/>
  <c i="6" r="T7"/>
  <c i="6" r="S7"/>
  <c i="6" r="R7" s="1"/>
  <c i="6" r="U6"/>
  <c i="6" r="T6"/>
  <c i="6" r="S6"/>
  <c i="6" r="R6" s="1"/>
  <c i="6" r="U5"/>
  <c i="6" r="T5"/>
  <c i="6" r="S5"/>
  <c i="6" r="U4"/>
  <c i="6" r="T4"/>
  <c i="6" r="S4"/>
  <c i="6" r="R4" s="1"/>
  <c i="6" r="U3"/>
  <c i="6" r="T3"/>
  <c i="6" r="S3"/>
  <c i="6" r="B36"/>
  <c i="6" r="B46" s="1"/>
  <c i="6" r="B35"/>
  <c i="6" r="B45" s="1"/>
  <c i="6" r="B34"/>
  <c i="6" r="B44" s="1"/>
  <c i="6" r="B33"/>
  <c i="6" r="B43" s="1"/>
  <c i="6" l="1" r="V108"/>
  <c i="6" r="V107"/>
  <c i="6" r="V105"/>
  <c i="6" r="V109"/>
  <c i="6" r="V106"/>
  <c i="6" r="D24"/>
  <c i="6" r="D44" s="1"/>
  <c i="6" r="D23"/>
  <c i="6" r="V75"/>
  <c i="6" r="V36"/>
  <c i="6" r="D25"/>
  <c i="6" r="D45" s="1"/>
  <c i="6" r="D26"/>
  <c i="6" r="D46" s="1"/>
  <c i="6" r="R40"/>
  <c i="6" r="V33"/>
  <c i="6" r="W39"/>
  <c i="6" r="W41"/>
  <c i="6" r="W42"/>
  <c i="6" r="V25"/>
  <c i="6" r="V5"/>
  <c i="6" r="V78"/>
  <c i="6" r="V79"/>
  <c i="6" r="V77"/>
  <c i="6" r="V83"/>
  <c i="6" r="V99"/>
  <c i="6" r="V21"/>
  <c i="6" r="V80"/>
  <c i="6" r="V35"/>
  <c i="6" r="V37"/>
  <c i="6" r="V20"/>
  <c i="6" r="V89"/>
  <c i="6" r="V27"/>
  <c i="6" r="V88"/>
  <c i="6" r="V85"/>
  <c i="6" r="V70"/>
  <c i="6" r="V93"/>
  <c i="6" r="V82"/>
  <c i="6" r="V95"/>
  <c i="6" r="V29"/>
  <c i="6" r="V96"/>
  <c i="6" r="V23"/>
  <c i="6" r="V28"/>
  <c i="6" r="V50"/>
  <c i="6" r="V16"/>
  <c i="6" r="V15"/>
  <c i="6" r="V102"/>
  <c i="6" r="V51"/>
  <c i="6" r="V58"/>
  <c i="6" r="V26"/>
  <c i="6" r="V49"/>
  <c i="6" r="V60"/>
  <c i="6" r="V67"/>
  <c i="6" r="V103"/>
  <c i="6" r="V87"/>
  <c i="6" r="V44"/>
  <c i="6" r="V101"/>
  <c i="6" r="V9"/>
  <c i="6" r="V68"/>
  <c i="6" r="V104"/>
  <c i="6" r="V31"/>
  <c i="6" r="V97"/>
  <c i="6" r="V11"/>
  <c i="6" r="V3"/>
  <c i="6" r="V10"/>
  <c i="6" r="V38"/>
  <c i="6" r="V59"/>
  <c i="6" r="V6"/>
  <c i="6" r="V69"/>
  <c i="6" r="V12"/>
  <c i="6" r="V71"/>
  <c i="6" r="V45"/>
  <c i="6" r="V61"/>
  <c i="6" r="V86"/>
  <c i="6" r="V94"/>
  <c i="6" r="V7"/>
  <c i="6" r="V13"/>
  <c i="6" r="V72"/>
  <c i="6" r="V46"/>
  <c i="6" r="V34"/>
  <c i="6" r="V43"/>
  <c i="6" r="V62"/>
  <c i="6" r="V66"/>
  <c i="6" r="V17"/>
  <c i="6" r="V73"/>
  <c i="6" r="V81"/>
  <c i="6" r="V22"/>
  <c i="6" r="V18"/>
  <c i="6" r="V4"/>
  <c i="6" r="V84"/>
  <c i="6" r="V90"/>
  <c i="6" r="V8"/>
  <c i="6" r="V63"/>
  <c i="6" r="V74"/>
  <c i="6" r="V19"/>
  <c i="6" r="V47"/>
  <c i="6" r="R21"/>
  <c i="6" r="R46"/>
  <c i="6" r="R85"/>
  <c i="6" r="V98"/>
  <c i="6" r="R3"/>
  <c i="6" r="R28"/>
  <c i="6" r="R47"/>
  <c i="6" r="R93"/>
  <c i="6" r="R10"/>
  <c i="6" r="R35"/>
  <c i="6" r="V14"/>
  <c i="6" r="R23"/>
  <c i="6" r="R5"/>
  <c i="6" r="R31"/>
  <c i="6" r="V91"/>
  <c i="6" r="V30"/>
  <c i="6" r="V64"/>
  <c i="6" r="V92"/>
  <c i="6" r="V32"/>
  <c i="6" r="V65"/>
  <c i="6" r="V57"/>
  <c i="6" r="R53"/>
  <c i="6" r="R83"/>
  <c i="6" r="R55"/>
  <c i="6" r="V48"/>
  <c i="6" r="V76"/>
  <c i="6" r="V100"/>
  <c i="6" r="V24"/>
  <c i="6" l="1" r="G7"/>
  <c i="6" r="D7"/>
  <c i="6" r="G6"/>
  <c i="6" r="D6"/>
  <c i="6" r="G5"/>
  <c i="6" r="D5"/>
  <c i="6" r="G4"/>
  <c i="6" r="D4"/>
  <c i="6" l="1" r="G8"/>
  <c i="6" r="G15" s="1"/>
  <c i="6" r="D8"/>
  <c i="6" r="D14" s="1"/>
  <c i="6" l="1" r="G12"/>
  <c i="6" r="G16"/>
  <c i="6" r="G13"/>
  <c i="6" r="D16"/>
  <c i="6" r="D12"/>
  <c i="6" r="I12" s="1"/>
  <c i="6" r="J12" s="1"/>
  <c i="6" r="K12" s="1"/>
  <c i="6" r="D33" s="1"/>
  <c i="6" r="D13"/>
  <c i="6" r="I13" s="1"/>
  <c i="6" r="J13" s="1"/>
  <c i="6" r="G14"/>
  <c i="6" r="I14" s="1"/>
  <c i="6" r="J14" s="1"/>
  <c i="6" r="D15"/>
  <c i="6" r="I15" s="1"/>
  <c i="6" r="J15" s="1"/>
  <c i="6" l="1" r="K14"/>
  <c i="6" r="D35" s="1"/>
  <c i="6" r="V41" s="1"/>
  <c i="6" r="K13"/>
  <c i="6" r="D34" s="1"/>
  <c i="6" r="V40" s="1"/>
  <c i="6" r="K15"/>
  <c i="6" r="D36" s="1"/>
  <c i="6" r="V42" s="1"/>
  <c i="6" r="V54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V55"/>
  <c i="6" r="V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5"/>
  <c i="1" r="H24"/>
  <c i="1" r="H23"/>
  <c i="1" r="F25"/>
  <c i="1" r="B25"/>
  <c i="1" r="D25"/>
  <c i="1" r="E25"/>
  <c i="1" r="C25"/>
  <c i="1" r="I25"/>
  <c i="1" r="G25"/>
  <c i="1" r="D24"/>
  <c i="1" r="C24"/>
  <c i="1" r="B24"/>
  <c i="1" r="E24"/>
  <c i="1" r="F24"/>
  <c i="1" r="G24"/>
  <c i="1" r="I24"/>
  <c i="1" r="F23"/>
  <c i="1" r="D23"/>
  <c i="1" r="G23"/>
  <c i="1" r="B23"/>
  <c i="1" r="C23"/>
  <c i="1" r="I23"/>
  <c i="1" r="E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6" r="C53" s="1"/>
  <c i="1" l="1" r="H21"/>
  <c i="1" r="H27"/>
  <c i="1" r="H20"/>
  <c i="1" r="H22"/>
  <c i="1" r="I22"/>
  <c i="1" r="B22"/>
  <c i="1" r="C22"/>
  <c i="1" r="D22"/>
  <c i="1" r="E22"/>
  <c i="1" r="F22"/>
  <c i="1" r="G22"/>
  <c i="1" r="E21"/>
  <c i="1" r="F21"/>
  <c i="1" r="G21"/>
  <c i="1" r="I21"/>
  <c i="1" r="B21"/>
  <c i="1" r="D21"/>
  <c i="1" r="C21"/>
  <c i="1" r="U27"/>
  <c i="1" r="B27"/>
  <c i="1" r="I27"/>
  <c i="1" r="C27"/>
  <c i="1" r="F27"/>
  <c i="1" r="E27"/>
  <c i="1" r="G27"/>
  <c i="1" r="D27"/>
  <c i="1" r="D20"/>
  <c i="1" r="E20"/>
  <c i="1" r="C20"/>
  <c i="1" r="F20"/>
  <c i="1" r="G20"/>
  <c i="1" r="I20"/>
  <c i="1" r="B20"/>
  <c i="1" r="J23"/>
  <c i="1" r="J25"/>
  <c i="1" r="J24"/>
  <c i="1" r="U20"/>
  <c i="1" r="U22"/>
  <c i="1" r="U21"/>
  <c i="1" r="J15"/>
  <c i="1" r="U15"/>
  <c i="1" r="U28" s="1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6" r="D53" s="1"/>
  <c i="6" r="E53" s="1"/>
  <c i="3" r="G17"/>
  <c i="6" r="D57" s="1"/>
  <c i="3" r="G21"/>
  <c i="6" r="D61" s="1"/>
  <c i="3" r="G25"/>
  <c i="6" r="D65" s="1"/>
  <c i="3" r="G29"/>
  <c i="6" r="D69" s="1"/>
  <c i="3" r="G33"/>
  <c i="6" r="D73" s="1"/>
  <c i="3" r="G37"/>
  <c i="6" r="D77" s="1"/>
  <c i="3" r="G41"/>
  <c i="6" r="D81" s="1"/>
  <c i="3" r="G45"/>
  <c i="6" r="D85" s="1"/>
  <c i="3" r="G49"/>
  <c i="6" r="D89" s="1"/>
  <c i="3" r="G53"/>
  <c i="6" r="D93" s="1"/>
  <c i="3" r="G57"/>
  <c i="6" r="D97" s="1"/>
  <c i="3" r="G61"/>
  <c i="6" r="D101" s="1"/>
  <c i="3" r="G65"/>
  <c i="6" r="D105" s="1"/>
  <c i="3" r="G69"/>
  <c i="6" r="D109" s="1"/>
  <c i="3" r="G73"/>
  <c i="6" r="D113" s="1"/>
  <c i="3" r="G77"/>
  <c i="6" r="D117" s="1"/>
  <c i="3" r="G81"/>
  <c i="6" r="D121" s="1"/>
  <c i="3" r="G85"/>
  <c i="6" r="D125" s="1"/>
  <c i="3" r="G89"/>
  <c i="6" r="D129" s="1"/>
  <c i="3" r="G93"/>
  <c i="6" r="D133" s="1"/>
  <c i="3" r="G97"/>
  <c i="6" r="D137" s="1"/>
  <c i="3" r="G101"/>
  <c i="6" r="D141" s="1"/>
  <c i="3" r="G11"/>
  <c i="6" r="D51" s="1"/>
  <c i="3" r="G15"/>
  <c i="6" r="D55" s="1"/>
  <c i="3" r="G19"/>
  <c i="6" r="D59" s="1"/>
  <c i="3" r="G23"/>
  <c i="6" r="D63" s="1"/>
  <c i="3" r="G27"/>
  <c i="6" r="D67" s="1"/>
  <c i="3" r="G31"/>
  <c i="6" r="D71" s="1"/>
  <c i="3" r="G35"/>
  <c i="6" r="D75" s="1"/>
  <c i="3" r="G39"/>
  <c i="6" r="D79" s="1"/>
  <c i="3" r="G43"/>
  <c i="6" r="D83" s="1"/>
  <c i="3" r="G47"/>
  <c i="6" r="D87" s="1"/>
  <c i="3" r="G51"/>
  <c i="6" r="D91" s="1"/>
  <c i="3" r="G55"/>
  <c i="6" r="D95" s="1"/>
  <c i="3" r="G59"/>
  <c i="6" r="D99" s="1"/>
  <c i="3" r="G63"/>
  <c i="6" r="D103" s="1"/>
  <c i="3" r="G67"/>
  <c i="6" r="D107" s="1"/>
  <c i="3" r="G71"/>
  <c i="6" r="D111" s="1"/>
  <c i="3" r="G75"/>
  <c i="6" r="D115" s="1"/>
  <c i="3" r="G79"/>
  <c i="6" r="D119" s="1"/>
  <c i="3" r="G83"/>
  <c i="6" r="D123" s="1"/>
  <c i="3" r="G87"/>
  <c i="6" r="D127" s="1"/>
  <c i="3" r="G91"/>
  <c i="6" r="D131" s="1"/>
  <c i="3" r="G95"/>
  <c i="6" r="D135" s="1"/>
  <c i="3" r="G99"/>
  <c i="6" r="D139" s="1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6" r="C138" s="1"/>
  <c i="6" r="E138" s="1"/>
  <c i="3" r="C94"/>
  <c i="6" r="C134" s="1"/>
  <c i="6" r="E134" s="1"/>
  <c i="3" r="C92"/>
  <c i="6" r="C132" s="1"/>
  <c i="3" r="C88"/>
  <c i="6" r="C128" s="1"/>
  <c i="3" r="C84"/>
  <c i="6" r="C124" s="1"/>
  <c i="3" r="C78"/>
  <c i="6" r="C118" s="1"/>
  <c i="3" r="C74"/>
  <c i="6" r="C114" s="1"/>
  <c i="3" r="C66"/>
  <c i="6" r="C106" s="1"/>
  <c i="3" r="C34"/>
  <c i="6" r="C74" s="1"/>
  <c i="3" r="C11"/>
  <c i="6" r="C51" s="1"/>
  <c i="3" r="C100"/>
  <c i="6" r="C140" s="1"/>
  <c i="3" r="C96"/>
  <c i="6" r="C136" s="1"/>
  <c i="3" r="C90"/>
  <c i="6" r="C130" s="1"/>
  <c i="3" r="C86"/>
  <c i="6" r="C126" s="1"/>
  <c i="3" r="C82"/>
  <c i="6" r="C122" s="1"/>
  <c i="3" r="C80"/>
  <c i="6" r="C120" s="1"/>
  <c i="3" r="C76"/>
  <c i="6" r="C116" s="1"/>
  <c i="3" r="C72"/>
  <c i="6" r="C112" s="1"/>
  <c i="3" r="C70"/>
  <c i="6" r="C110" s="1"/>
  <c i="3" r="C68"/>
  <c i="6" r="C108" s="1"/>
  <c i="3" r="C64"/>
  <c i="6" r="C104" s="1"/>
  <c i="3" r="C62"/>
  <c i="6" r="C102" s="1"/>
  <c i="3" r="C60"/>
  <c i="6" r="C100" s="1"/>
  <c i="3" r="C58"/>
  <c i="6" r="C98" s="1"/>
  <c i="3" r="C56"/>
  <c i="6" r="C96" s="1"/>
  <c i="3" r="C54"/>
  <c i="6" r="C94" s="1"/>
  <c i="3" r="C52"/>
  <c i="6" r="C92" s="1"/>
  <c i="3" r="C50"/>
  <c i="6" r="C90" s="1"/>
  <c i="3" r="C48"/>
  <c i="6" r="C88" s="1"/>
  <c i="3" r="C46"/>
  <c i="6" r="C86" s="1"/>
  <c i="3" r="C44"/>
  <c i="6" r="C84" s="1"/>
  <c i="3" r="C42"/>
  <c i="6" r="C82" s="1"/>
  <c i="3" r="C40"/>
  <c i="6" r="C80" s="1"/>
  <c i="3" r="C38"/>
  <c i="6" r="C78" s="1"/>
  <c i="3" r="C36"/>
  <c i="6" r="C76" s="1"/>
  <c i="3" r="C32"/>
  <c i="6" r="C72" s="1"/>
  <c i="3" r="C30"/>
  <c i="6" r="C70" s="1"/>
  <c i="3" r="C28"/>
  <c i="6" r="C68" s="1"/>
  <c i="3" r="C26"/>
  <c i="6" r="C66" s="1"/>
  <c i="3" r="C24"/>
  <c i="6" r="C64" s="1"/>
  <c i="3" r="C22"/>
  <c i="6" r="C62" s="1"/>
  <c i="3" r="C20"/>
  <c i="6" r="C60" s="1"/>
  <c i="3" r="C18"/>
  <c i="6" r="C58" s="1"/>
  <c i="3" r="C16"/>
  <c i="6" r="C56" s="1"/>
  <c i="3" r="C14"/>
  <c i="6" r="C54" s="1"/>
  <c i="3" r="C12"/>
  <c i="6" r="C52" s="1"/>
  <c i="3" r="C101"/>
  <c i="6" r="C141" s="1"/>
  <c i="6" r="E141" s="1"/>
  <c i="3" r="C99"/>
  <c i="6" r="C139" s="1"/>
  <c i="3" r="C97"/>
  <c i="6" r="C137" s="1"/>
  <c i="3" r="C95"/>
  <c i="6" r="C135" s="1"/>
  <c i="3" r="C93"/>
  <c i="6" r="C133" s="1"/>
  <c i="3" r="C91"/>
  <c i="6" r="C131" s="1"/>
  <c i="3" r="C89"/>
  <c i="6" r="C129" s="1"/>
  <c i="3" r="C87"/>
  <c i="6" r="C127" s="1"/>
  <c i="3" r="C85"/>
  <c i="6" r="C125" s="1"/>
  <c i="3" r="C83"/>
  <c i="6" r="C123" s="1"/>
  <c i="3" r="C81"/>
  <c i="6" r="C121" s="1"/>
  <c i="3" r="C79"/>
  <c i="6" r="C119" s="1"/>
  <c i="3" r="C77"/>
  <c i="6" r="C117" s="1"/>
  <c i="3" r="C75"/>
  <c i="6" r="C115" s="1"/>
  <c i="3" r="C73"/>
  <c i="6" r="C113" s="1"/>
  <c i="3" r="C71"/>
  <c i="6" r="C111" s="1"/>
  <c i="3" r="C69"/>
  <c i="6" r="C109" s="1"/>
  <c i="3" r="C67"/>
  <c i="6" r="C107" s="1"/>
  <c i="3" r="C65"/>
  <c i="6" r="C105" s="1"/>
  <c i="3" r="C63"/>
  <c i="6" r="C103" s="1"/>
  <c i="6" r="E103" s="1"/>
  <c i="3" r="C61"/>
  <c i="6" r="C101" s="1"/>
  <c i="3" r="C59"/>
  <c i="6" r="C99" s="1"/>
  <c i="6" r="E99" s="1"/>
  <c i="3" r="C57"/>
  <c i="6" r="C97" s="1"/>
  <c i="3" r="C55"/>
  <c i="6" r="C95" s="1"/>
  <c i="6" r="E95" s="1"/>
  <c i="3" r="C53"/>
  <c i="6" r="C93" s="1"/>
  <c i="3" r="C51"/>
  <c i="6" r="C91" s="1"/>
  <c i="6" r="E91" s="1"/>
  <c i="3" r="C49"/>
  <c i="6" r="C89" s="1"/>
  <c i="3" r="C47"/>
  <c i="6" r="C87" s="1"/>
  <c i="6" r="E87" s="1"/>
  <c i="3" r="C45"/>
  <c i="6" r="C85" s="1"/>
  <c i="6" r="E85" s="1"/>
  <c i="3" r="C43"/>
  <c i="6" r="C83" s="1"/>
  <c i="6" r="E83" s="1"/>
  <c i="3" r="C41"/>
  <c i="6" r="C81" s="1"/>
  <c i="6" r="E81" s="1"/>
  <c i="3" r="C39"/>
  <c i="6" r="C79" s="1"/>
  <c i="3" r="C37"/>
  <c i="6" r="C77" s="1"/>
  <c i="6" r="E77" s="1"/>
  <c i="3" r="C35"/>
  <c i="6" r="C75" s="1"/>
  <c i="6" r="E75" s="1"/>
  <c i="3" r="C33"/>
  <c i="6" r="C73" s="1"/>
  <c i="6" r="E73" s="1"/>
  <c i="3" r="C31"/>
  <c i="6" r="C71" s="1"/>
  <c i="6" r="E71" s="1"/>
  <c i="3" r="C29"/>
  <c i="6" r="C69" s="1"/>
  <c i="6" r="E69" s="1"/>
  <c i="3" r="C27"/>
  <c i="6" r="C67" s="1"/>
  <c i="6" r="E67" s="1"/>
  <c i="3" r="C25"/>
  <c i="6" r="C65" s="1"/>
  <c i="6" r="E65" s="1"/>
  <c i="3" r="C23"/>
  <c i="6" r="C63" s="1"/>
  <c i="6" r="E63" s="1"/>
  <c i="3" r="C21"/>
  <c i="6" r="C61" s="1"/>
  <c i="6" r="E61" s="1"/>
  <c i="3" r="C19"/>
  <c i="6" r="C59" s="1"/>
  <c i="6" r="E59" s="1"/>
  <c i="3" r="C17"/>
  <c i="6" r="C57" s="1"/>
  <c i="3" r="C15"/>
  <c i="6" r="C55" s="1"/>
  <c i="6" r="E55" s="1"/>
  <c i="3" r="G12"/>
  <c i="6" r="D52" s="1"/>
  <c i="3" r="G14"/>
  <c i="6" r="D54" s="1"/>
  <c i="3" r="G16"/>
  <c i="6" r="D56" s="1"/>
  <c i="3" r="G18"/>
  <c i="6" r="D58" s="1"/>
  <c i="3" r="G20"/>
  <c i="6" r="D60" s="1"/>
  <c i="3" r="G22"/>
  <c i="6" r="D62" s="1"/>
  <c i="3" r="G24"/>
  <c i="6" r="D64" s="1"/>
  <c i="3" r="G26"/>
  <c i="6" r="D66" s="1"/>
  <c i="3" r="G28"/>
  <c i="6" r="D68" s="1"/>
  <c i="3" r="G30"/>
  <c i="6" r="D70" s="1"/>
  <c i="3" r="G32"/>
  <c i="6" r="D72" s="1"/>
  <c i="3" r="G34"/>
  <c i="6" r="D74" s="1"/>
  <c i="3" r="G36"/>
  <c i="6" r="D76" s="1"/>
  <c i="3" r="G38"/>
  <c i="6" r="D78" s="1"/>
  <c i="3" r="G40"/>
  <c i="6" r="D80" s="1"/>
  <c i="3" r="G42"/>
  <c i="6" r="D82" s="1"/>
  <c i="3" r="G44"/>
  <c i="6" r="D84" s="1"/>
  <c i="3" r="G46"/>
  <c i="6" r="D86" s="1"/>
  <c i="3" r="G48"/>
  <c i="6" r="D88" s="1"/>
  <c i="3" r="G50"/>
  <c i="6" r="D90" s="1"/>
  <c i="3" r="G52"/>
  <c i="6" r="D92" s="1"/>
  <c i="3" r="G54"/>
  <c i="6" r="D94" s="1"/>
  <c i="3" r="G56"/>
  <c i="6" r="D96" s="1"/>
  <c i="3" r="G58"/>
  <c i="6" r="D98" s="1"/>
  <c i="3" r="G60"/>
  <c i="6" r="D100" s="1"/>
  <c i="3" r="G62"/>
  <c i="6" r="D102" s="1"/>
  <c i="3" r="G64"/>
  <c i="6" r="D104" s="1"/>
  <c i="3" r="G66"/>
  <c i="6" r="D106" s="1"/>
  <c i="3" r="G68"/>
  <c i="6" r="D108" s="1"/>
  <c i="3" r="G70"/>
  <c i="6" r="D110" s="1"/>
  <c i="3" r="G72"/>
  <c i="6" r="D112" s="1"/>
  <c i="3" r="G74"/>
  <c i="6" r="D114" s="1"/>
  <c i="3" r="G76"/>
  <c i="6" r="D116" s="1"/>
  <c i="3" r="G78"/>
  <c i="6" r="D118" s="1"/>
  <c i="3" r="G80"/>
  <c i="6" r="D120" s="1"/>
  <c i="3" r="G82"/>
  <c i="6" r="D122" s="1"/>
  <c i="3" r="G84"/>
  <c i="6" r="D124" s="1"/>
  <c i="3" r="G86"/>
  <c i="6" r="D126" s="1"/>
  <c i="3" r="G88"/>
  <c i="6" r="D128" s="1"/>
  <c i="3" r="G90"/>
  <c i="6" r="D130" s="1"/>
  <c i="3" r="G92"/>
  <c i="6" r="D132" s="1"/>
  <c i="3" r="G94"/>
  <c i="6" r="D134" s="1"/>
  <c i="3" r="G96"/>
  <c i="6" r="D136" s="1"/>
  <c i="3" r="G98"/>
  <c i="6" r="D138" s="1"/>
  <c i="3" r="G100"/>
  <c i="6" r="D140" s="1"/>
  <c i="1" l="1" r="M39"/>
  <c i="1" r="Q39"/>
  <c i="1" r="P39"/>
  <c i="1" r="R39"/>
  <c i="1" r="S36"/>
  <c i="1" r="S38"/>
  <c i="1" r="S41"/>
  <c i="1" r="T39"/>
  <c i="1" r="O39"/>
  <c i="1" r="S33"/>
  <c i="1" r="S37"/>
  <c i="1" r="S39"/>
  <c i="1" r="S35"/>
  <c i="1" r="N39"/>
  <c i="1" r="S40"/>
  <c i="1" r="S34"/>
  <c i="1" r="U39"/>
  <c i="6" r="E51"/>
  <c i="6" r="H50" s="1"/>
  <c i="6" r="D43" s="1"/>
  <c i="6" r="V39" s="1"/>
  <c i="6" r="E57"/>
  <c i="6" r="E137"/>
  <c i="6" r="E139"/>
  <c i="6" r="E128"/>
  <c i="6" r="E132"/>
  <c i="6" r="E93"/>
  <c i="6" r="E105"/>
  <c i="6" r="E98"/>
  <c i="6" r="E101"/>
  <c i="6" r="E94"/>
  <c i="6" r="E97"/>
  <c i="6" r="E109"/>
  <c i="6" r="E96"/>
  <c i="6" r="E92"/>
  <c i="6" r="E90"/>
  <c i="6" r="E122"/>
  <c i="1" r="H28"/>
  <c i="6" r="E89"/>
  <c i="6" r="E131"/>
  <c i="1" r="U40"/>
  <c i="1" r="O38"/>
  <c i="1" r="Q34"/>
  <c i="1" r="T33"/>
  <c i="1" r="O35"/>
  <c i="1" r="N36"/>
  <c i="1" r="T36"/>
  <c i="1" r="P38"/>
  <c i="1" r="O34"/>
  <c i="1" r="R34"/>
  <c i="1" r="P37"/>
  <c i="1" r="T37"/>
  <c i="1" r="Q38"/>
  <c i="1" r="M34"/>
  <c i="1" r="N33"/>
  <c i="1" r="P33"/>
  <c i="1" r="Q37"/>
  <c i="1" r="M38"/>
  <c i="1" r="R38"/>
  <c i="1" r="T34"/>
  <c i="1" r="N35"/>
  <c i="1" r="Q35"/>
  <c i="1" r="T38"/>
  <c i="1" r="R40"/>
  <c i="1" r="T40"/>
  <c i="1" r="O33"/>
  <c i="1" r="R35"/>
  <c i="1" r="P36"/>
  <c i="1" r="M40"/>
  <c i="1" r="T35"/>
  <c i="1" r="N40"/>
  <c i="1" r="R33"/>
  <c i="1" r="M33"/>
  <c i="1" r="R36"/>
  <c i="1" r="O37"/>
  <c i="1" r="R37"/>
  <c i="1" r="O40"/>
  <c i="1" r="Q33"/>
  <c i="1" r="M36"/>
  <c i="1" r="P40"/>
  <c i="1" r="N34"/>
  <c i="1" r="M35"/>
  <c i="1" r="P35"/>
  <c i="1" r="O36"/>
  <c i="1" r="Q40"/>
  <c i="1" r="P34"/>
  <c i="1" r="Q36"/>
  <c i="1" r="N38"/>
  <c i="1" r="N37"/>
  <c i="1" r="M37"/>
  <c i="6" r="E107"/>
  <c i="6" r="E78"/>
  <c i="6" r="E113"/>
  <c i="6" r="E79"/>
  <c i="6" r="E52"/>
  <c i="6" r="E120"/>
  <c i="6" r="E111"/>
  <c i="6" r="E115"/>
  <c i="6" r="E72"/>
  <c i="6" r="E135"/>
  <c i="6" r="E133"/>
  <c i="6" r="E100"/>
  <c i="6" r="E102"/>
  <c i="6" r="E54"/>
  <c i="6" r="E104"/>
  <c i="6" r="E56"/>
  <c i="6" r="E108"/>
  <c i="6" r="E58"/>
  <c i="6" r="E110"/>
  <c i="6" r="E60"/>
  <c i="6" r="E112"/>
  <c i="6" r="E62"/>
  <c i="6" r="E116"/>
  <c i="6" r="E64"/>
  <c i="6" r="E66"/>
  <c i="6" r="E68"/>
  <c i="6" r="E126"/>
  <c i="6" r="E70"/>
  <c i="6" r="E130"/>
  <c i="6" r="E136"/>
  <c i="6" r="E117"/>
  <c i="6" r="E76"/>
  <c i="6" r="E140"/>
  <c i="6" r="E121"/>
  <c i="6" r="E80"/>
  <c i="6" r="E74"/>
  <c i="6" r="E123"/>
  <c i="6" r="E82"/>
  <c i="6" r="E106"/>
  <c i="6" r="E119"/>
  <c i="6" r="E125"/>
  <c i="6" r="E84"/>
  <c i="6" r="E114"/>
  <c i="6" r="E127"/>
  <c i="6" r="E86"/>
  <c i="6" r="E118"/>
  <c i="6" r="E129"/>
  <c i="6" r="E88"/>
  <c i="6" r="E124"/>
  <c i="1" r="F28"/>
  <c i="1" r="G28"/>
  <c i="1" r="J27"/>
  <c i="1" r="U35"/>
  <c i="1" r="Q41"/>
  <c i="1" r="R41"/>
  <c i="1" r="I28"/>
  <c i="1" r="J21"/>
  <c i="1" r="N41"/>
  <c i="1" r="U34"/>
  <c i="1" r="J22"/>
  <c i="1" r="D28"/>
  <c i="1" r="U41"/>
  <c i="1" r="T41"/>
  <c i="1" r="U37"/>
  <c i="1" r="U38"/>
  <c i="1" r="E28"/>
  <c i="1" r="B28"/>
  <c i="1" r="J20"/>
  <c i="1" r="C28"/>
  <c i="1" r="U33"/>
  <c i="1" r="U36"/>
  <c i="1" r="P41"/>
  <c i="1" r="O41"/>
  <c i="1" r="M41"/>
  <c i="1" l="1" r="J28"/>
  <c i="1" l="1" r="F39"/>
  <c i="1" r="AB39" s="1"/>
  <c i="1" r="I39"/>
  <c i="1" r="AE39" s="1"/>
  <c i="1" r="B39"/>
  <c i="1" r="X39" s="1"/>
  <c i="1" r="D39"/>
  <c i="1" r="Z39" s="1"/>
  <c i="1" r="E39"/>
  <c i="1" r="AA39" s="1"/>
  <c i="1" r="H39"/>
  <c i="1" r="AD39" s="1"/>
  <c i="1" r="C39"/>
  <c i="1" r="Y39" s="1"/>
  <c i="1" r="G39"/>
  <c i="1" r="AC39" s="1"/>
  <c i="1" r="J39"/>
  <c i="1" r="AF39" s="1"/>
  <c i="1" r="H36"/>
  <c i="1" r="AD36" s="1"/>
  <c i="1" r="H37"/>
  <c i="1" r="AD37" s="1"/>
  <c i="1" r="H38"/>
  <c i="1" r="AD38" s="1"/>
  <c i="1" r="H35"/>
  <c i="1" r="AD35" s="1"/>
  <c i="1" r="H33"/>
  <c i="1" r="AD33" s="1"/>
  <c i="1" r="H40"/>
  <c i="1" r="AD40" s="1"/>
  <c i="1" r="H34"/>
  <c i="1" r="AD34" s="1"/>
  <c i="1" r="H41"/>
  <c i="1" r="AD41" s="1"/>
  <c i="1" r="D38"/>
  <c i="1" r="Z38" s="1"/>
  <c i="1" r="F37"/>
  <c i="1" r="AB37" s="1"/>
  <c i="1" r="C37"/>
  <c i="1" r="Y37" s="1"/>
  <c i="1" r="C38"/>
  <c i="1" r="Y38" s="1"/>
  <c i="1" r="E38"/>
  <c i="1" r="AA38" s="1"/>
  <c i="1" r="B36"/>
  <c i="1" r="X36" s="1"/>
  <c i="1" r="I37"/>
  <c i="1" r="AE37" s="1"/>
  <c i="1" r="I36"/>
  <c i="1" r="AE36" s="1"/>
  <c i="1" r="I38"/>
  <c i="1" r="AE38" s="1"/>
  <c i="1" r="B38"/>
  <c i="1" r="X38" s="1"/>
  <c i="1" r="F38"/>
  <c i="1" r="AB38" s="1"/>
  <c i="1" r="G37"/>
  <c i="1" r="AC37" s="1"/>
  <c i="1" r="D37"/>
  <c i="1" r="Z37" s="1"/>
  <c i="1" r="B37"/>
  <c i="1" r="X37" s="1"/>
  <c i="1" r="G38"/>
  <c i="1" r="AC38" s="1"/>
  <c i="1" r="G36"/>
  <c i="1" r="AC36" s="1"/>
  <c i="1" r="E37"/>
  <c i="1" r="AA37" s="1"/>
  <c i="1" r="E36"/>
  <c i="1" r="AA36" s="1"/>
  <c i="1" r="D36"/>
  <c i="1" r="Z36" s="1"/>
  <c i="1" r="C36"/>
  <c i="1" r="Y36" s="1"/>
  <c i="1" r="F36"/>
  <c i="1" r="AB36" s="1"/>
  <c i="1" r="I40"/>
  <c i="1" r="AE40" s="1"/>
  <c i="1" r="C34"/>
  <c i="1" r="Y34" s="1"/>
  <c i="1" r="G34"/>
  <c i="1" r="AC34" s="1"/>
  <c i="1" r="E34"/>
  <c i="1" r="AA34" s="1"/>
  <c i="1" r="F40"/>
  <c i="1" r="AB40" s="1"/>
  <c i="1" r="G40"/>
  <c i="1" r="AC40" s="1"/>
  <c i="1" r="I33"/>
  <c i="1" r="AE33" s="1"/>
  <c i="1" r="F35"/>
  <c i="1" r="AB35" s="1"/>
  <c i="1" r="C33"/>
  <c i="1" r="Y33" s="1"/>
  <c i="1" r="B35"/>
  <c i="1" r="X35" s="1"/>
  <c i="1" r="F34"/>
  <c i="1" r="AB34" s="1"/>
  <c i="1" r="F33"/>
  <c i="1" r="AB33" s="1"/>
  <c i="1" r="C35"/>
  <c i="1" r="Y35" s="1"/>
  <c i="1" r="D34"/>
  <c i="1" r="Z34" s="1"/>
  <c i="1" r="G33"/>
  <c i="1" r="AC33" s="1"/>
  <c i="1" r="D35"/>
  <c i="1" r="Z35" s="1"/>
  <c i="1" r="D33"/>
  <c i="1" r="Z33" s="1"/>
  <c i="1" r="D40"/>
  <c i="1" r="Z40" s="1"/>
  <c i="1" r="B34"/>
  <c i="1" r="X34" s="1"/>
  <c i="1" r="G35"/>
  <c i="1" r="AC35" s="1"/>
  <c i="1" r="E35"/>
  <c i="1" r="AA35" s="1"/>
  <c i="1" r="B40"/>
  <c i="1" r="X40" s="1"/>
  <c i="1" r="I34"/>
  <c i="1" r="AE34" s="1"/>
  <c i="1" r="I35"/>
  <c i="1" r="AE35" s="1"/>
  <c i="1" r="B33"/>
  <c i="1" r="E40"/>
  <c i="1" r="AA40" s="1"/>
  <c i="1" r="C40"/>
  <c i="1" r="Y40" s="1"/>
  <c i="1" r="E33"/>
  <c i="1" r="AA33" s="1"/>
  <c i="1" r="J40"/>
  <c i="1" r="AF40" s="1"/>
  <c i="1" r="J35"/>
  <c i="1" r="AF35" s="1"/>
  <c i="1" r="G41"/>
  <c i="1" r="AC41" s="1"/>
  <c i="1" r="F41"/>
  <c i="1" r="AB41" s="1"/>
  <c i="1" r="B41"/>
  <c i="1" r="X41" s="1"/>
  <c i="1" r="C41"/>
  <c i="1" r="Y41" s="1"/>
  <c i="1" r="J41"/>
  <c i="1" r="AF41" s="1"/>
  <c i="1" r="J38"/>
  <c i="1" r="AF38" s="1"/>
  <c i="1" r="J36"/>
  <c i="1" r="AF36" s="1"/>
  <c i="1" r="I41"/>
  <c i="1" r="AE41" s="1"/>
  <c i="1" r="J37"/>
  <c i="1" r="AF37" s="1"/>
  <c i="1" r="J34"/>
  <c i="1" r="AF34" s="1"/>
  <c i="1" r="X33"/>
  <c i="1" r="J33"/>
  <c i="1" r="AF33" s="1"/>
  <c i="1" r="E41"/>
  <c i="1" r="AA41" s="1"/>
  <c i="1" r="D41"/>
  <c i="1" r="Z41" s="1"/>
  <c i="6" l="1" r="V52"/>
  <c i="6" r="V53"/>
</calcChain>
</file>

<file path=xl/sharedStrings.xml><?xml version="1.0" encoding="utf-8"?>
<sst xmlns="http://schemas.openxmlformats.org/spreadsheetml/2006/main" count="818" uniqueCount="322">
  <si>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</si>
  <si>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</si>
  <si>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</si>
  <si>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</si>
  <si>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</si>
  <si>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</si>
  <si>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</si>
  <si>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</si>
  <si>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</si>
  <si>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</si>
  <si>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</si>
  <si>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</si>
  <si>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</si>
  <si>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</si>
  <si>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</si>
  <si>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</si>
  <si>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</si>
  <si>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</si>
  <si>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</si>
  <si>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</si>
  <si>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</si>
  <si>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</si>
  <si>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</si>
  <si>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</si>
  <si>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</si>
  <si>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</si>
  <si>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</si>
  <si>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</si>
  <si>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</si>
  <si>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</si>
  <si>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</si>
  <si>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</si>
  <si>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</si>
  <si>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</si>
  <si>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</si>
  <si>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</si>
  <si>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</si>
  <si>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</si>
  <si>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</si>
  <si>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</si>
  <si>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</si>
  <si>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</si>
  <si>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</si>
  <si>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</si>
  <si>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</si>
  <si>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</si>
  <si>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</si>
  <si>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</si>
  <si>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</si>
  <si>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</si>
  <si>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</si>
  <si>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</si>
  <si>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</si>
  <si>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</si>
  <si>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</si>
  <si>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</si>
  <si>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</si>
  <si>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</si>
  <si>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</si>
  <si>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</si>
  <si>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</si>
  <si>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</si>
  <si>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</si>
  <si>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</si>
  <si>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</si>
  <si>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</si>
  <si>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</si>
  <si>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</si>
  <si>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</si>
  <si>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</si>
  <si>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</si>
  <si>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</si>
  <si>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</si>
  <si>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</si>
  <si>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</si>
  <si>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</si>
  <si>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</si>
  <si>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</si>
  <si>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</si>
  <si>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</si>
  <si>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</si>
  <si>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</si>
  <si>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</si>
  <si>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</si>
  <si>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</si>
  <si>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</si>
  <si>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</si>
  <si>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</si>
  <si>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</si>
  <si>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</si>
  <si>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</si>
  <si>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</si>
  <si>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</si>
  <si>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</si>
  <si>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</si>
  <si>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</si>
  <si>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</si>
  <si>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</si>
  <si>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</si>
  <si>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</si>
  <si>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</si>
  <si>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</si>
  <si>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</si>
  <si>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</si>
  <si>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</si>
  <si>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</si>
  <si>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</si>
  <si>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</si>
  <si>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</si>
  <si>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</si>
  <si>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</si>
  <si>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</si>
  <si>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</si>
  <si>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</si>
  <si>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</si>
  <si>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</si>
  <si>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</si>
  <si>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</si>
  <si>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</si>
  <si>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</si>
  <si>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</si>
  <si>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</si>
  <si>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</si>
  <si>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</si>
  <si>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</si>
  <si>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</si>
  <si>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</si>
  <si>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</si>
  <si>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</si>
  <si>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</si>
  <si>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</si>
  <si>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</si>
  <si>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</si>
  <si>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</si>
  <si>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</si>
  <si>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</si>
  <si>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</si>
  <si>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</si>
  <si>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</si>
  <si>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</si>
  <si>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</si>
  <si>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</si>
  <si>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</si>
  <si>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</si>
  <si>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</si>
  <si>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</si>
  <si>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</si>
  <si>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</si>
  <si>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</si>
  <si>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</si>
  <si>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</si>
  <si>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</si>
  <si>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</si>
  <si>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</si>
  <si>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</si>
  <si>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</si>
  <si>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</si>
  <si>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</si>
  <si>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</si>
  <si>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</si>
  <si>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</si>
  <si>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</si>
  <si>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</si>
  <si>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</si>
  <si>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</si>
  <si>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</si>
  <si>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</si>
  <si>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</si>
  <si>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</si>
  <si>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</si>
  <si>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</si>
  <si>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</si>
  <si>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</si>
  <si>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</si>
  <si>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</si>
  <si>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</si>
  <si>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</si>
  <si>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</si>
  <si>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</si>
  <si>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</si>
  <si>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</si>
  <si>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</si>
  <si>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</si>
  <si>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</si>
  <si>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</si>
  <si>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</si>
  <si>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</si>
  <si>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</si>
  <si>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</si>
  <si>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</si>
  <si>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</si>
  <si>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</si>
  <si>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</si>
  <si>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</si>
  <si>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</si>
  <si>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</si>
  <si>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</si>
  <si>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</si>
  <si>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</si>
  <si>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</si>
  <si>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</si>
  <si>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</si>
  <si>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</si>
  <si>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</si>
  <si>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</si>
  <si>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</si>
  <si>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</si>
  <si>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</si>
  <si>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</si>
  <si>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</si>
  <si>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</si>
  <si>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</si>
  <si>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</si>
  <si>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</si>
  <si>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</si>
  <si>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</si>
  <si>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</si>
  <si>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</si>
  <si>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</si>
  <si>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</si>
  <si>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</si>
  <si>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</si>
  <si>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</si>
  <si>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</si>
  <si>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</si>
  <si>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</si>
  <si>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</si>
  <si>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</si>
  <si>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</si>
  <si>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</si>
  <si>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</si>
  <si>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</si>
  <si>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</si>
  <si>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</si>
  <si>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</si>
  <si>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</si>
  <si>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</si>
  <si>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</si>
  <si>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</si>
  <si>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</si>
  <si>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</si>
  <si>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</si>
  <si>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</si>
  <si>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</si>
  <si>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</si>
  <si>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</si>
  <si>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</si>
  <si>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</si>
  <si>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</si>
  <si>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</si>
  <si>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</si>
  <si>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</si>
  <si>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</si>
  <si>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</si>
  <si>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</si>
  <si>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</si>
  <si>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</si>
  <si>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</si>
  <si>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</si>
  <si>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</si>
  <si>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</si>
  <si>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</si>
  <si>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</si>
  <si>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</si>
  <si>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</si>
  <si>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</si>
  <si>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</si>
  <si>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</si>
  <si>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</si>
  <si>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</si>
  <si>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</si>
  <si>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</si>
  <si>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</si>
  <si>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</si>
  <si>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</si>
  <si>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</si>
  <si>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</si>
  <si>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</si>
  <si>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</si>
  <si>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</si>
  <si>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</si>
  <si>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new adjustments</t>
  </si>
  <si>
    <t>damp</t>
  </si>
  <si>
    <t>Distance</t>
  </si>
  <si>
    <t>Model</t>
  </si>
  <si>
    <t>Adjust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</si>
  <si>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</si>
  <si>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</si>
  <si>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</si>
  <si>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</si>
  <si>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</si>
  <si>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</si>
  <si>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</si>
  <si>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</si>
  <si>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</si>
  <si>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</si>
  <si>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</si>
  <si>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</si>
  <si>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</si>
  <si>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</si>
  <si>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</si>
  <si>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</si>
  <si>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</si>
  <si>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</si>
  <si>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</si>
  <si>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</si>
  <si>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</si>
  <si>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</si>
  <si>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</si>
  <si>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x</t>
  </si>
  <si>
    <t>try -0.3</t>
  </si>
  <si>
    <t>OtherTourDestinationCoefficients_model</t>
  </si>
  <si>
    <t>Copy (Ctrl-c) cells V3:V109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</si>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</sst>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  <numFmt numFmtId="173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0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ont="1" applyNumberFormat="1" borderId="0" fillId="0" fontId="0" numFmtId="1" xfId="0">
      <alignment horizontal="right"/>
    </xf>
    <xf applyBorder="1" applyFont="1" borderId="0" fillId="0" fontId="0" numFmtId="0" xfId="0"/>
    <xf applyAlignment="1" applyBorder="1" borderId="0" fillId="0" fontId="0" numFmtId="0" xfId="0">
      <alignment horizontal="center" vertical="top"/>
    </xf>
    <xf applyAlignment="1" applyBorder="1" borderId="13" fillId="0" fontId="0" numFmtId="0" xfId="0">
      <alignment horizontal="center" vertical="top"/>
    </xf>
    <xf applyAlignment="1" applyBorder="1" applyFont="1" applyNumberFormat="1" borderId="13" fillId="0" fontId="0" numFmtId="1" xfId="0">
      <alignment horizontal="right"/>
    </xf>
    <xf applyAlignment="1" applyBorder="1" applyFill="1" borderId="13" fillId="5" fontId="0" numFmtId="0" xfId="0">
      <alignment horizontal="center"/>
    </xf>
    <xf applyBorder="1" borderId="3" fillId="0" fontId="0" numFmtId="0" xfId="0"/>
    <xf applyBorder="1" applyFont="1" borderId="13" fillId="0" fontId="0" numFmtId="0" xfId="0"/>
    <xf applyAlignment="1" applyBorder="1" applyFont="1" applyNumberFormat="1" borderId="13" fillId="0" fontId="0" numFmtId="173" xfId="0">
      <alignment horizontal="right"/>
    </xf>
    <xf applyAlignment="1" applyBorder="1" applyNumberFormat="1" borderId="13" fillId="0" fontId="0" numFmtId="2" xfId="0"/>
    <xf applyBorder="1" applyFont="1" applyNumberFormat="1" borderId="3" fillId="0" fontId="0" numFmtId="10" xfId="9"/>
    <xf applyBorder="1" applyFont="1" borderId="13" fillId="0" fontId="0" numFmtId="9" xfId="9"/>
    <xf applyFont="1" applyNumberFormat="1" borderId="0" fillId="0" fontId="0" numFmtId="10" xfId="9"/>
    <xf applyFont="1" borderId="0" fillId="0" fontId="0" numFmtId="9" xfId="9"/>
    <xf applyAlignment="1" applyBorder="1" applyFill="1" applyFont="1" borderId="2" fillId="0" fontId="9" numFmtId="0" xfId="0">
      <alignment horizontal="centerContinuous"/>
    </xf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Border="1" applyFont="1" borderId="3" fillId="0" fontId="0" numFmtId="0" xfId="0"/>
    <xf applyFill="1" applyFont="1" applyNumberFormat="1" borderId="0" fillId="5" fontId="0" numFmtId="10" xfId="9"/>
    <xf applyBorder="1" applyFill="1" applyFont="1" applyNumberFormat="1" borderId="3" fillId="5" fontId="0" numFmtId="10" xfId="9"/>
    <xf applyBorder="1" applyNumberFormat="1" borderId="4" fillId="0" fontId="0" numFmtId="3" xfId="0"/>
    <xf applyBorder="1" applyNumberFormat="1" borderId="4" fillId="0" fontId="0" numFmtId="164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0.1298186968557164</c:v>
                </c:pt>
                <c:pt idx="1">
                  <c:v>0.14067562424667976</c:v>
                </c:pt>
                <c:pt idx="2">
                  <c:v>0.14963030477941341</c:v>
                </c:pt>
                <c:pt idx="3">
                  <c:v>0.11700212720945252</c:v>
                </c:pt>
                <c:pt idx="4">
                  <c:v>7.6681155831715864E-2</c:v>
                </c:pt>
                <c:pt idx="5">
                  <c:v>6.4911014702328601E-2</c:v>
                </c:pt>
                <c:pt idx="6">
                  <c:v>4.401472060905412E-2</c:v>
                </c:pt>
                <c:pt idx="7">
                  <c:v>2.2588797054413051E-2</c:v>
                </c:pt>
                <c:pt idx="8">
                  <c:v>2.0325142624034714E-2</c:v>
                </c:pt>
                <c:pt idx="9">
                  <c:v>2.4855415860775987E-2</c:v>
                </c:pt>
                <c:pt idx="10">
                  <c:v>2.282714682144233E-2</c:v>
                </c:pt>
                <c:pt idx="11">
                  <c:v>2.1039468222302963E-2</c:v>
                </c:pt>
                <c:pt idx="12">
                  <c:v>2.5259554794862735E-2</c:v>
                </c:pt>
                <c:pt idx="13">
                  <c:v>1.0957292450807911E-2</c:v>
                </c:pt>
                <c:pt idx="14">
                  <c:v>9.3011209817181334E-3</c:v>
                </c:pt>
                <c:pt idx="15">
                  <c:v>1.0601215299376193E-2</c:v>
                </c:pt>
                <c:pt idx="16">
                  <c:v>7.7152103160125539E-3</c:v>
                </c:pt>
                <c:pt idx="17">
                  <c:v>5.4837934389816165E-3</c:v>
                </c:pt>
                <c:pt idx="18">
                  <c:v>1.1926788897198729E-2</c:v>
                </c:pt>
                <c:pt idx="19">
                  <c:v>2.218896509444945E-2</c:v>
                </c:pt>
                <c:pt idx="20">
                  <c:v>4.034551920261701E-3</c:v>
                </c:pt>
                <c:pt idx="21">
                  <c:v>4.4749468548084597E-3</c:v>
                </c:pt>
                <c:pt idx="22">
                  <c:v>3.4247019033473432E-3</c:v>
                </c:pt>
                <c:pt idx="23">
                  <c:v>4.1505522969578473E-3</c:v>
                </c:pt>
                <c:pt idx="24">
                  <c:v>1.3729019841585519E-3</c:v>
                </c:pt>
                <c:pt idx="25">
                  <c:v>5.2304989338479903E-3</c:v>
                </c:pt>
                <c:pt idx="26">
                  <c:v>4.7845403668359161E-4</c:v>
                </c:pt>
                <c:pt idx="27">
                  <c:v>4.6660202411261658E-3</c:v>
                </c:pt>
                <c:pt idx="28">
                  <c:v>3.1170632308824275E-3</c:v>
                </c:pt>
                <c:pt idx="29">
                  <c:v>9.9381221581872226E-3</c:v>
                </c:pt>
                <c:pt idx="30">
                  <c:v>1.2334416009359629E-3</c:v>
                </c:pt>
                <c:pt idx="31">
                  <c:v>0</c:v>
                </c:pt>
                <c:pt idx="32">
                  <c:v>1.1720235996260981E-2</c:v>
                </c:pt>
                <c:pt idx="33">
                  <c:v>1.8060379970486192E-3</c:v>
                </c:pt>
                <c:pt idx="34">
                  <c:v>1.96876358207875E-4</c:v>
                </c:pt>
                <c:pt idx="35">
                  <c:v>2.5725922533325666E-3</c:v>
                </c:pt>
                <c:pt idx="36">
                  <c:v>0</c:v>
                </c:pt>
                <c:pt idx="37">
                  <c:v>4.0199357571683858E-4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3.1349052867271059E-3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2.4254728077207458E-4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0.1124818162033378</c:v>
                </c:pt>
                <c:pt idx="1">
                  <c:v>0.19129354088633838</c:v>
                </c:pt>
                <c:pt idx="2">
                  <c:v>0.14657571904745542</c:v>
                </c:pt>
                <c:pt idx="3">
                  <c:v>0.10186935156867462</c:v>
                </c:pt>
                <c:pt idx="4">
                  <c:v>8.0329427396538491E-2</c:v>
                </c:pt>
                <c:pt idx="5">
                  <c:v>6.0490475699575046E-2</c:v>
                </c:pt>
                <c:pt idx="6">
                  <c:v>4.71576005406458E-2</c:v>
                </c:pt>
                <c:pt idx="7">
                  <c:v>3.8956278707490008E-2</c:v>
                </c:pt>
                <c:pt idx="8">
                  <c:v>2.4701327560335842E-2</c:v>
                </c:pt>
                <c:pt idx="9">
                  <c:v>1.759962429698865E-2</c:v>
                </c:pt>
                <c:pt idx="10">
                  <c:v>1.3813958283220507E-2</c:v>
                </c:pt>
                <c:pt idx="11">
                  <c:v>1.3201150017754258E-2</c:v>
                </c:pt>
                <c:pt idx="12">
                  <c:v>1.2708612533360824E-2</c:v>
                </c:pt>
                <c:pt idx="13">
                  <c:v>1.1717810384522869E-2</c:v>
                </c:pt>
                <c:pt idx="14">
                  <c:v>1.1975533486821758E-2</c:v>
                </c:pt>
                <c:pt idx="15">
                  <c:v>1.1849535525697856E-2</c:v>
                </c:pt>
                <c:pt idx="16">
                  <c:v>9.7075701865915257E-3</c:v>
                </c:pt>
                <c:pt idx="17">
                  <c:v>8.8714018991329045E-3</c:v>
                </c:pt>
                <c:pt idx="18">
                  <c:v>8.4762264756079401E-3</c:v>
                </c:pt>
                <c:pt idx="19">
                  <c:v>7.7546017891710478E-3</c:v>
                </c:pt>
                <c:pt idx="20">
                  <c:v>7.3479720055439103E-3</c:v>
                </c:pt>
                <c:pt idx="21">
                  <c:v>6.13953701476467E-3</c:v>
                </c:pt>
                <c:pt idx="22">
                  <c:v>5.6756354306266681E-3</c:v>
                </c:pt>
                <c:pt idx="23">
                  <c:v>5.400730788174519E-3</c:v>
                </c:pt>
                <c:pt idx="24">
                  <c:v>4.7936497027593556E-3</c:v>
                </c:pt>
                <c:pt idx="25">
                  <c:v>4.6504702014821941E-3</c:v>
                </c:pt>
                <c:pt idx="26">
                  <c:v>3.556578811724683E-3</c:v>
                </c:pt>
                <c:pt idx="27">
                  <c:v>3.4878526511116456E-3</c:v>
                </c:pt>
                <c:pt idx="28">
                  <c:v>2.9323161861562605E-3</c:v>
                </c:pt>
                <c:pt idx="29">
                  <c:v>2.6745930838573701E-3</c:v>
                </c:pt>
                <c:pt idx="30">
                  <c:v>2.325235100741097E-3</c:v>
                </c:pt>
                <c:pt idx="31">
                  <c:v>2.1992371396171951E-3</c:v>
                </c:pt>
                <c:pt idx="32">
                  <c:v>1.9357868572672187E-3</c:v>
                </c:pt>
                <c:pt idx="33">
                  <c:v>1.7410627355302795E-3</c:v>
                </c:pt>
                <c:pt idx="34">
                  <c:v>1.3917047524140064E-3</c:v>
                </c:pt>
                <c:pt idx="35">
                  <c:v>1.5635201539465997E-3</c:v>
                </c:pt>
                <c:pt idx="36">
                  <c:v>1.2027078107281536E-3</c:v>
                </c:pt>
                <c:pt idx="37">
                  <c:v>1.2198893508814129E-3</c:v>
                </c:pt>
                <c:pt idx="38">
                  <c:v>8.1898674730536175E-4</c:v>
                </c:pt>
                <c:pt idx="39">
                  <c:v>9.2780316827600429E-4</c:v>
                </c:pt>
                <c:pt idx="40">
                  <c:v>6.2426262556842258E-4</c:v>
                </c:pt>
                <c:pt idx="41">
                  <c:v>7.4453340664123796E-4</c:v>
                </c:pt>
                <c:pt idx="42">
                  <c:v>5.6126364500647173E-4</c:v>
                </c:pt>
                <c:pt idx="43">
                  <c:v>5.1544620459778015E-4</c:v>
                </c:pt>
                <c:pt idx="44">
                  <c:v>5.4980928490429878E-4</c:v>
                </c:pt>
                <c:pt idx="45">
                  <c:v>4.6962876418908857E-4</c:v>
                </c:pt>
                <c:pt idx="46">
                  <c:v>5.2117338464886657E-4</c:v>
                </c:pt>
                <c:pt idx="47">
                  <c:v>4.7535594424017504E-4</c:v>
                </c:pt>
                <c:pt idx="48">
                  <c:v>2.9781336265649518E-4</c:v>
                </c:pt>
                <c:pt idx="49">
                  <c:v>2.3481438209454428E-4</c:v>
                </c:pt>
                <c:pt idx="50">
                  <c:v>2.1190566189019849E-4</c:v>
                </c:pt>
                <c:pt idx="51">
                  <c:v>2.1190566189019849E-4</c:v>
                </c:pt>
                <c:pt idx="52">
                  <c:v>1.7181540153259338E-4</c:v>
                </c:pt>
                <c:pt idx="53">
                  <c:v>9.7362060868469587E-5</c:v>
                </c:pt>
                <c:pt idx="54">
                  <c:v>8.0180520715210244E-5</c:v>
                </c:pt>
                <c:pt idx="55">
                  <c:v>1.0881642097064247E-4</c:v>
                </c:pt>
                <c:pt idx="56">
                  <c:v>1.4317950127716114E-4</c:v>
                </c:pt>
                <c:pt idx="57">
                  <c:v>6.29989805619509E-5</c:v>
                </c:pt>
                <c:pt idx="58">
                  <c:v>7.4453340664123796E-5</c:v>
                </c:pt>
                <c:pt idx="59">
                  <c:v>2.8635900255432229E-5</c:v>
                </c:pt>
                <c:pt idx="60">
                  <c:v>3.4363080306518674E-5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3.8592156096906416E-2</c:v>
                </c:pt>
                <c:pt idx="1">
                  <c:v>9.0220080430315444E-2</c:v>
                </c:pt>
                <c:pt idx="2">
                  <c:v>9.8487477271673035E-2</c:v>
                </c:pt>
                <c:pt idx="3">
                  <c:v>8.4781528526492914E-2</c:v>
                </c:pt>
                <c:pt idx="4">
                  <c:v>0.11652822502545947</c:v>
                </c:pt>
                <c:pt idx="5">
                  <c:v>0.10155436824428063</c:v>
                </c:pt>
                <c:pt idx="6">
                  <c:v>6.4169763145269176E-2</c:v>
                </c:pt>
                <c:pt idx="7">
                  <c:v>5.4656242718443181E-2</c:v>
                </c:pt>
                <c:pt idx="8">
                  <c:v>3.9627508869801875E-2</c:v>
                </c:pt>
                <c:pt idx="9">
                  <c:v>2.83203312049649E-2</c:v>
                </c:pt>
                <c:pt idx="10">
                  <c:v>2.6089310888995642E-2</c:v>
                </c:pt>
                <c:pt idx="11">
                  <c:v>1.3866623711949428E-2</c:v>
                </c:pt>
                <c:pt idx="12">
                  <c:v>1.3505645984185185E-2</c:v>
                </c:pt>
                <c:pt idx="13">
                  <c:v>2.1500544632547421E-2</c:v>
                </c:pt>
                <c:pt idx="14">
                  <c:v>2.2913482541877268E-2</c:v>
                </c:pt>
                <c:pt idx="15">
                  <c:v>2.6462535010047559E-2</c:v>
                </c:pt>
                <c:pt idx="16">
                  <c:v>7.0368326172488638E-3</c:v>
                </c:pt>
                <c:pt idx="17">
                  <c:v>5.575503450142294E-3</c:v>
                </c:pt>
                <c:pt idx="18">
                  <c:v>1.8898410775004985E-2</c:v>
                </c:pt>
                <c:pt idx="19">
                  <c:v>2.0011072716285862E-2</c:v>
                </c:pt>
                <c:pt idx="20">
                  <c:v>3.9369149919727866E-3</c:v>
                </c:pt>
                <c:pt idx="21">
                  <c:v>1.7639322653343663E-2</c:v>
                </c:pt>
                <c:pt idx="22">
                  <c:v>1.676605132551728E-2</c:v>
                </c:pt>
                <c:pt idx="23">
                  <c:v>9.1745665305605056E-3</c:v>
                </c:pt>
                <c:pt idx="24">
                  <c:v>2.9918569239298031E-3</c:v>
                </c:pt>
                <c:pt idx="25">
                  <c:v>6.9559210536702977E-3</c:v>
                </c:pt>
                <c:pt idx="26">
                  <c:v>0</c:v>
                </c:pt>
                <c:pt idx="27">
                  <c:v>1.6693427745494893E-3</c:v>
                </c:pt>
                <c:pt idx="28">
                  <c:v>3.9570651184992331E-3</c:v>
                </c:pt>
                <c:pt idx="29">
                  <c:v>3.1170632308824275E-3</c:v>
                </c:pt>
                <c:pt idx="30">
                  <c:v>1.6319098226235479E-2</c:v>
                </c:pt>
                <c:pt idx="31">
                  <c:v>0</c:v>
                </c:pt>
                <c:pt idx="32">
                  <c:v>1.3747130068091926E-2</c:v>
                </c:pt>
                <c:pt idx="33">
                  <c:v>8.6972116674729886E-4</c:v>
                </c:pt>
                <c:pt idx="34">
                  <c:v>5.0342808473385458E-4</c:v>
                </c:pt>
                <c:pt idx="35">
                  <c:v>4.44933673317346E-4</c:v>
                </c:pt>
                <c:pt idx="36">
                  <c:v>0</c:v>
                </c:pt>
                <c:pt idx="37">
                  <c:v>2.0063328162979625E-4</c:v>
                </c:pt>
                <c:pt idx="38">
                  <c:v>1.6528523941131785E-3</c:v>
                </c:pt>
                <c:pt idx="39">
                  <c:v>3.3317816449349807E-3</c:v>
                </c:pt>
                <c:pt idx="40">
                  <c:v>0</c:v>
                </c:pt>
                <c:pt idx="41">
                  <c:v>9.4969950251610222E-4</c:v>
                </c:pt>
                <c:pt idx="42">
                  <c:v>0</c:v>
                </c:pt>
                <c:pt idx="43">
                  <c:v>5.5517917865227932E-4</c:v>
                </c:pt>
                <c:pt idx="44">
                  <c:v>0</c:v>
                </c:pt>
                <c:pt idx="45">
                  <c:v>5.5517917865227932E-4</c:v>
                </c:pt>
                <c:pt idx="46">
                  <c:v>1.0519273413743218E-3</c:v>
                </c:pt>
                <c:pt idx="47">
                  <c:v>5.7014051341243812E-4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2.4976232202787992E-2</c:v>
                </c:pt>
                <c:pt idx="1">
                  <c:v>9.3330126112504727E-2</c:v>
                </c:pt>
                <c:pt idx="2">
                  <c:v>0.119583519466685</c:v>
                </c:pt>
                <c:pt idx="3">
                  <c:v>0.11728692026619933</c:v>
                </c:pt>
                <c:pt idx="4">
                  <c:v>9.8954216922671617E-2</c:v>
                </c:pt>
                <c:pt idx="5">
                  <c:v>7.4493430924481407E-2</c:v>
                </c:pt>
                <c:pt idx="6">
                  <c:v>6.5398669003356127E-2</c:v>
                </c:pt>
                <c:pt idx="7">
                  <c:v>5.3274228835206119E-2</c:v>
                </c:pt>
                <c:pt idx="8">
                  <c:v>4.8199947309943529E-2</c:v>
                </c:pt>
                <c:pt idx="9">
                  <c:v>3.6877312348945625E-2</c:v>
                </c:pt>
                <c:pt idx="10">
                  <c:v>2.9947424487131027E-2</c:v>
                </c:pt>
                <c:pt idx="11">
                  <c:v>2.653975235673459E-2</c:v>
                </c:pt>
                <c:pt idx="12">
                  <c:v>1.9512502434051521E-2</c:v>
                </c:pt>
                <c:pt idx="13">
                  <c:v>1.5692473339976861E-2</c:v>
                </c:pt>
                <c:pt idx="14">
                  <c:v>1.418049780649004E-2</c:v>
                </c:pt>
                <c:pt idx="15">
                  <c:v>1.2817428954331467E-2</c:v>
                </c:pt>
                <c:pt idx="16">
                  <c:v>1.0990458518034889E-2</c:v>
                </c:pt>
                <c:pt idx="17">
                  <c:v>1.0549465654101234E-2</c:v>
                </c:pt>
                <c:pt idx="18">
                  <c:v>1.1133638019312051E-2</c:v>
                </c:pt>
                <c:pt idx="19">
                  <c:v>1.0589555914458839E-2</c:v>
                </c:pt>
                <c:pt idx="20">
                  <c:v>1.0137108690423009E-2</c:v>
                </c:pt>
                <c:pt idx="21">
                  <c:v>8.5907700766296689E-3</c:v>
                </c:pt>
                <c:pt idx="22">
                  <c:v>8.5334982761188054E-3</c:v>
                </c:pt>
                <c:pt idx="23">
                  <c:v>7.502605866923244E-3</c:v>
                </c:pt>
                <c:pt idx="24">
                  <c:v>6.9699781221722046E-3</c:v>
                </c:pt>
                <c:pt idx="25">
                  <c:v>6.3800785769103007E-3</c:v>
                </c:pt>
                <c:pt idx="26">
                  <c:v>6.0822652142538056E-3</c:v>
                </c:pt>
                <c:pt idx="27">
                  <c:v>5.2804600071017036E-3</c:v>
                </c:pt>
                <c:pt idx="28">
                  <c:v>4.3812927390811315E-3</c:v>
                </c:pt>
                <c:pt idx="29">
                  <c:v>4.3240209385702671E-3</c:v>
                </c:pt>
                <c:pt idx="30">
                  <c:v>3.7742116536659681E-3</c:v>
                </c:pt>
                <c:pt idx="31">
                  <c:v>3.1843121084040638E-3</c:v>
                </c:pt>
                <c:pt idx="32">
                  <c:v>2.9437705462584331E-3</c:v>
                </c:pt>
                <c:pt idx="33">
                  <c:v>3.1155859477910268E-3</c:v>
                </c:pt>
                <c:pt idx="34">
                  <c:v>2.6345028234997653E-3</c:v>
                </c:pt>
                <c:pt idx="35">
                  <c:v>2.2679633002302326E-3</c:v>
                </c:pt>
                <c:pt idx="36">
                  <c:v>2.0789663585443797E-3</c:v>
                </c:pt>
                <c:pt idx="37">
                  <c:v>1.8556063365520086E-3</c:v>
                </c:pt>
                <c:pt idx="38">
                  <c:v>1.6723365749172422E-3</c:v>
                </c:pt>
                <c:pt idx="39">
                  <c:v>1.6150647744063778E-3</c:v>
                </c:pt>
                <c:pt idx="40">
                  <c:v>1.3630688521585742E-3</c:v>
                </c:pt>
                <c:pt idx="41">
                  <c:v>1.1397088301662028E-3</c:v>
                </c:pt>
                <c:pt idx="42">
                  <c:v>1.0480739493488197E-3</c:v>
                </c:pt>
                <c:pt idx="43">
                  <c:v>1.0423467692977331E-3</c:v>
                </c:pt>
                <c:pt idx="44">
                  <c:v>7.788964869477567E-4</c:v>
                </c:pt>
                <c:pt idx="45">
                  <c:v>8.2471392735644828E-4</c:v>
                </c:pt>
                <c:pt idx="46">
                  <c:v>6.1280826546624974E-4</c:v>
                </c:pt>
                <c:pt idx="47">
                  <c:v>6.8153442607928711E-4</c:v>
                </c:pt>
                <c:pt idx="48">
                  <c:v>5.4408210485321236E-4</c:v>
                </c:pt>
                <c:pt idx="49">
                  <c:v>3.8372106342279187E-4</c:v>
                </c:pt>
                <c:pt idx="50">
                  <c:v>4.9253748439343436E-4</c:v>
                </c:pt>
                <c:pt idx="51">
                  <c:v>3.8372106342279187E-4</c:v>
                </c:pt>
                <c:pt idx="52">
                  <c:v>3.6081234321844608E-4</c:v>
                </c:pt>
                <c:pt idx="53">
                  <c:v>2.4054156214563073E-4</c:v>
                </c:pt>
                <c:pt idx="54">
                  <c:v>3.0354054270758166E-4</c:v>
                </c:pt>
                <c:pt idx="55">
                  <c:v>2.1763284194128494E-4</c:v>
                </c:pt>
                <c:pt idx="56">
                  <c:v>2.1763284194128494E-4</c:v>
                </c:pt>
                <c:pt idx="57">
                  <c:v>1.8899694168585273E-4</c:v>
                </c:pt>
                <c:pt idx="58">
                  <c:v>1.374523212260747E-4</c:v>
                </c:pt>
                <c:pt idx="59">
                  <c:v>1.1454360102172892E-4</c:v>
                </c:pt>
                <c:pt idx="60">
                  <c:v>1.5463386137933404E-4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T22" sqref="T22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9899.296461</v>
      </c>
      <c r="C11" s="11">
        <f>B11/B$102</f>
        <v>0.1298186968557164</v>
      </c>
      <c r="E11" s="19">
        <v>0</v>
      </c>
      <c r="F11" s="343" t="n">
        <v>14772.0</v>
      </c>
      <c r="G11" s="11">
        <f>F11/F$102</f>
        <v>0.1124818162033378</v>
      </c>
      <c r="K11" s="8" t="n">
        <v>5.066660711751058</v>
      </c>
      <c r="L11" s="8" t="n">
        <v>5.890352515796258</v>
      </c>
    </row>
    <row r="12" spans="1:12" x14ac:dyDescent="0.25">
      <c r="A12">
        <v>1</v>
      </c>
      <c r="B12" s="341" t="n">
        <v>26903.974116</v>
      </c>
      <c r="C12" s="11">
        <f>B12/B$102</f>
        <v>0.14067562424667976</v>
      </c>
      <c r="E12" s="20">
        <v>1</v>
      </c>
      <c r="F12" s="343" t="n">
        <v>21194.0</v>
      </c>
      <c r="G12" s="11">
        <f>F12/F$102</f>
        <v>0.19129354088633838</v>
      </c>
      <c r="K12" s="8"/>
      <c r="L12" s="289"/>
    </row>
    <row r="13" spans="1:12" x14ac:dyDescent="0.25">
      <c r="A13">
        <v>2</v>
      </c>
      <c r="B13" s="341" t="n">
        <v>23192.35381</v>
      </c>
      <c r="C13" s="11">
        <f ref="C13:C76" si="0" t="shared">B13/B$102</f>
        <v>0.14963030477941341</v>
      </c>
      <c r="E13" s="21">
        <v>2</v>
      </c>
      <c r="F13" s="343" t="n">
        <v>23433.0</v>
      </c>
      <c r="G13" s="11">
        <f ref="G13:G76" si="1" t="shared">F13/F$102</f>
        <v>0.14657571904745542</v>
      </c>
    </row>
    <row r="14" spans="1:12" x14ac:dyDescent="0.25">
      <c r="A14">
        <v>3</v>
      </c>
      <c r="B14" s="341" t="n">
        <v>16760.82474</v>
      </c>
      <c r="C14" s="11">
        <f si="0" t="shared"/>
        <v>0.11700212720945252</v>
      </c>
      <c r="E14" s="22">
        <v>3</v>
      </c>
      <c r="F14" s="343" t="n">
        <v>22270.0</v>
      </c>
      <c r="G14" s="11">
        <f si="1" t="shared"/>
        <v>0.10186935156867462</v>
      </c>
    </row>
    <row r="15" spans="1:12" x14ac:dyDescent="0.25">
      <c r="A15">
        <v>4</v>
      </c>
      <c r="B15" s="341" t="n">
        <v>16026.442433</v>
      </c>
      <c r="C15" s="11">
        <f si="0" t="shared"/>
        <v>7.6681155831715864E-2</v>
      </c>
      <c r="E15" s="23">
        <v>4</v>
      </c>
      <c r="F15" s="343" t="n">
        <v>17756.0</v>
      </c>
      <c r="G15" s="11">
        <f si="1" t="shared"/>
        <v>8.0329427396538491E-2</v>
      </c>
    </row>
    <row r="16" spans="1:12" x14ac:dyDescent="0.25">
      <c r="A16">
        <v>5</v>
      </c>
      <c r="B16" s="341" t="n">
        <v>10990.998494</v>
      </c>
      <c r="C16" s="11">
        <f si="0" t="shared"/>
        <v>6.4911014702328601E-2</v>
      </c>
      <c r="E16" s="24">
        <v>5</v>
      </c>
      <c r="F16" s="343" t="n">
        <v>13798.0</v>
      </c>
      <c r="G16" s="11">
        <f si="1" t="shared"/>
        <v>6.0490475699575046E-2</v>
      </c>
    </row>
    <row r="17" spans="1:7" x14ac:dyDescent="0.25">
      <c r="A17">
        <v>6</v>
      </c>
      <c r="B17" s="341" t="n">
        <v>6295.463232</v>
      </c>
      <c r="C17" s="11">
        <f si="0" t="shared"/>
        <v>4.401472060905412E-2</v>
      </c>
      <c r="E17" s="25">
        <v>6</v>
      </c>
      <c r="F17" s="343" t="n">
        <v>10178.0</v>
      </c>
      <c r="G17" s="11">
        <f si="1" t="shared"/>
        <v>4.71576005406458E-2</v>
      </c>
    </row>
    <row r="18" spans="1:7" x14ac:dyDescent="0.25">
      <c r="A18">
        <v>7</v>
      </c>
      <c r="B18" s="341" t="n">
        <v>6341.563246</v>
      </c>
      <c r="C18" s="11">
        <f si="0" t="shared"/>
        <v>2.2588797054413051E-2</v>
      </c>
      <c r="E18" s="26">
        <v>7</v>
      </c>
      <c r="F18" s="343" t="n">
        <v>6957.0</v>
      </c>
      <c r="G18" s="11">
        <f si="1" t="shared"/>
        <v>3.8956278707490008E-2</v>
      </c>
    </row>
    <row r="19" spans="1:7" x14ac:dyDescent="0.25">
      <c r="A19">
        <v>8</v>
      </c>
      <c r="B19" s="341" t="n">
        <v>3949.419241</v>
      </c>
      <c r="C19" s="11">
        <f si="0" t="shared"/>
        <v>2.0325142624034714E-2</v>
      </c>
      <c r="E19" s="27">
        <v>8</v>
      </c>
      <c r="F19" s="343" t="n">
        <v>5279.0</v>
      </c>
      <c r="G19" s="11">
        <f si="1" t="shared"/>
        <v>2.4701327560335842E-2</v>
      </c>
    </row>
    <row r="20" spans="1:7" x14ac:dyDescent="0.25">
      <c r="A20">
        <v>9</v>
      </c>
      <c r="B20" s="341" t="n">
        <v>2055.030682</v>
      </c>
      <c r="C20" s="11">
        <f si="0" t="shared"/>
        <v>2.4855415860775987E-2</v>
      </c>
      <c r="E20" s="28">
        <v>9</v>
      </c>
      <c r="F20" s="343" t="n">
        <v>3726.0</v>
      </c>
      <c r="G20" s="11">
        <f si="1" t="shared"/>
        <v>1.759962429698865E-2</v>
      </c>
    </row>
    <row r="21" spans="1:7" x14ac:dyDescent="0.25">
      <c r="A21">
        <v>10</v>
      </c>
      <c r="B21" s="341" t="n">
        <v>2762.418296</v>
      </c>
      <c r="C21" s="11">
        <f si="0" t="shared"/>
        <v>2.282714682144233E-2</v>
      </c>
      <c r="E21" s="29">
        <v>10</v>
      </c>
      <c r="F21" s="343" t="n">
        <v>3146.0</v>
      </c>
      <c r="G21" s="11">
        <f si="1" t="shared"/>
        <v>1.3813958283220507E-2</v>
      </c>
    </row>
    <row r="22" spans="1:7" x14ac:dyDescent="0.25">
      <c r="A22">
        <v>11</v>
      </c>
      <c r="B22" s="341" t="n">
        <v>2996.148692</v>
      </c>
      <c r="C22" s="11">
        <f si="0" t="shared"/>
        <v>2.1039468222302963E-2</v>
      </c>
      <c r="E22" s="30">
        <v>11</v>
      </c>
      <c r="F22" s="343" t="n">
        <v>2633.0</v>
      </c>
      <c r="G22" s="11">
        <f si="1" t="shared"/>
        <v>1.3201150017754258E-2</v>
      </c>
    </row>
    <row r="23" spans="1:7" x14ac:dyDescent="0.25">
      <c r="A23">
        <v>12</v>
      </c>
      <c r="B23" s="341" t="n">
        <v>2099.357848</v>
      </c>
      <c r="C23" s="11">
        <f si="0" t="shared"/>
        <v>2.5259554794862735E-2</v>
      </c>
      <c r="E23" s="31">
        <v>12</v>
      </c>
      <c r="F23" s="343" t="n">
        <v>2371.0</v>
      </c>
      <c r="G23" s="11">
        <f si="1" t="shared"/>
        <v>1.2708612533360824E-2</v>
      </c>
    </row>
    <row r="24" spans="1:7" x14ac:dyDescent="0.25">
      <c r="A24">
        <v>13</v>
      </c>
      <c r="B24" s="341" t="n">
        <v>1629.300771</v>
      </c>
      <c r="C24" s="11">
        <f si="0" t="shared"/>
        <v>1.0957292450807911E-2</v>
      </c>
      <c r="E24" s="32">
        <v>13</v>
      </c>
      <c r="F24" s="343" t="n">
        <v>2033.0</v>
      </c>
      <c r="G24" s="11">
        <f si="1" t="shared"/>
        <v>1.1717810384522869E-2</v>
      </c>
    </row>
    <row r="25" spans="1:7" x14ac:dyDescent="0.25">
      <c r="A25">
        <v>14</v>
      </c>
      <c r="B25" s="341" t="n">
        <v>1601.351486</v>
      </c>
      <c r="C25" s="11">
        <f si="0" t="shared"/>
        <v>9.3011209817181334E-3</v>
      </c>
      <c r="E25" s="33">
        <v>14</v>
      </c>
      <c r="F25" s="343" t="n">
        <v>1626.0</v>
      </c>
      <c r="G25" s="11">
        <f si="1" t="shared"/>
        <v>1.1975533486821758E-2</v>
      </c>
    </row>
    <row r="26" spans="1:7" x14ac:dyDescent="0.25">
      <c r="A26">
        <v>15</v>
      </c>
      <c r="B26" s="341" t="n">
        <v>506.94098599999995</v>
      </c>
      <c r="C26" s="11">
        <f si="0" t="shared"/>
        <v>1.0601215299376193E-2</v>
      </c>
      <c r="E26" s="34">
        <v>15</v>
      </c>
      <c r="F26" s="343" t="n">
        <v>1428.0</v>
      </c>
      <c r="G26" s="11">
        <f si="1" t="shared"/>
        <v>1.1849535525697856E-2</v>
      </c>
    </row>
    <row r="27" spans="1:7" x14ac:dyDescent="0.25">
      <c r="A27">
        <v>16</v>
      </c>
      <c r="B27" s="341" t="n">
        <v>1641.9593639999998</v>
      </c>
      <c r="C27" s="11">
        <f si="0" t="shared"/>
        <v>7.7152103160125539E-3</v>
      </c>
      <c r="E27" s="35">
        <v>16</v>
      </c>
      <c r="F27" s="343" t="n">
        <v>1174.0</v>
      </c>
      <c r="G27" s="11">
        <f si="1" t="shared"/>
        <v>9.7075701865915257E-3</v>
      </c>
    </row>
    <row r="28" spans="1:7" x14ac:dyDescent="0.25">
      <c r="A28">
        <v>17</v>
      </c>
      <c r="B28" s="341" t="n">
        <v>275.55185800000004</v>
      </c>
      <c r="C28" s="11">
        <f si="0" t="shared"/>
        <v>5.4837934389816165E-3</v>
      </c>
      <c r="E28" s="36">
        <v>17</v>
      </c>
      <c r="F28" s="343" t="n">
        <v>951.0</v>
      </c>
      <c r="G28" s="11">
        <f si="1" t="shared"/>
        <v>8.8714018991329045E-3</v>
      </c>
    </row>
    <row r="29" spans="1:7" x14ac:dyDescent="0.25">
      <c r="A29">
        <v>18</v>
      </c>
      <c r="B29" s="341" t="n">
        <v>685.0482910000001</v>
      </c>
      <c r="C29" s="11">
        <f si="0" t="shared"/>
        <v>1.1926788897198729E-2</v>
      </c>
      <c r="E29" s="37">
        <v>18</v>
      </c>
      <c r="F29" s="343" t="n">
        <v>806.0</v>
      </c>
      <c r="G29" s="11">
        <f si="1" t="shared"/>
        <v>8.4762264756079401E-3</v>
      </c>
    </row>
    <row r="30" spans="1:7" x14ac:dyDescent="0.25">
      <c r="A30">
        <v>19</v>
      </c>
      <c r="B30" s="341" t="n">
        <v>312.593849</v>
      </c>
      <c r="C30" s="11">
        <f si="0" t="shared"/>
        <v>2.218896509444945E-2</v>
      </c>
      <c r="E30" s="38">
        <v>19</v>
      </c>
      <c r="F30" s="343" t="n">
        <v>710.0</v>
      </c>
      <c r="G30" s="11">
        <f si="1" t="shared"/>
        <v>7.7546017891710478E-3</v>
      </c>
    </row>
    <row r="31" spans="1:7" x14ac:dyDescent="0.25">
      <c r="A31">
        <v>20</v>
      </c>
      <c r="B31" s="341" t="n">
        <v>0.0</v>
      </c>
      <c r="C31" s="11">
        <f si="0" t="shared"/>
        <v>4.034551920261701E-3</v>
      </c>
      <c r="E31" s="39">
        <v>20</v>
      </c>
      <c r="F31" s="343" t="n">
        <v>611.0</v>
      </c>
      <c r="G31" s="11">
        <f si="1" t="shared"/>
        <v>7.3479720055439103E-3</v>
      </c>
    </row>
    <row r="32" spans="1:7" x14ac:dyDescent="0.25">
      <c r="A32">
        <v>21</v>
      </c>
      <c r="B32" s="341" t="n">
        <v>1039.492931</v>
      </c>
      <c r="C32" s="11">
        <f si="0" t="shared"/>
        <v>4.4749468548084597E-3</v>
      </c>
      <c r="E32" s="40">
        <v>21</v>
      </c>
      <c r="F32" s="343" t="n">
        <v>609.0</v>
      </c>
      <c r="G32" s="11">
        <f si="1" t="shared"/>
        <v>6.13953701476467E-3</v>
      </c>
    </row>
    <row r="33" spans="1:7" x14ac:dyDescent="0.25">
      <c r="A33">
        <v>22</v>
      </c>
      <c r="B33" s="341" t="n">
        <v>58.569585</v>
      </c>
      <c r="C33" s="11">
        <f si="0" t="shared"/>
        <v>3.4247019033473432E-3</v>
      </c>
      <c r="E33" s="41">
        <v>22</v>
      </c>
      <c r="F33" s="343" t="n">
        <v>515.0</v>
      </c>
      <c r="G33" s="11">
        <f si="1" t="shared"/>
        <v>5.6756354306266681E-3</v>
      </c>
    </row>
    <row r="34" spans="1:7" x14ac:dyDescent="0.25">
      <c r="A34">
        <v>23</v>
      </c>
      <c r="B34" s="341" t="n">
        <v>527.936824</v>
      </c>
      <c r="C34" s="11">
        <f si="0" t="shared"/>
        <v>4.1505522969578473E-3</v>
      </c>
      <c r="E34" s="42">
        <v>23</v>
      </c>
      <c r="F34" s="343" t="n">
        <v>477.0</v>
      </c>
      <c r="G34" s="11">
        <f si="1" t="shared"/>
        <v>5.400730788174519E-3</v>
      </c>
    </row>
    <row r="35" spans="1:7" x14ac:dyDescent="0.25">
      <c r="A35">
        <v>24</v>
      </c>
      <c r="B35" s="341" t="n">
        <v>290.456397</v>
      </c>
      <c r="C35" s="11">
        <f si="0" t="shared"/>
        <v>1.3729019841585519E-3</v>
      </c>
      <c r="E35" s="43">
        <v>24</v>
      </c>
      <c r="F35" s="343" t="n">
        <v>393.0</v>
      </c>
      <c r="G35" s="11">
        <f si="1" t="shared"/>
        <v>4.7936497027593556E-3</v>
      </c>
    </row>
    <row r="36" spans="1:7" x14ac:dyDescent="0.25">
      <c r="A36">
        <v>25</v>
      </c>
      <c r="B36" s="341" t="n">
        <v>0.0</v>
      </c>
      <c r="C36" s="11">
        <f si="0" t="shared"/>
        <v>5.2304989338479903E-3</v>
      </c>
      <c r="E36" s="44">
        <v>25</v>
      </c>
      <c r="F36" s="343" t="n">
        <v>382.0</v>
      </c>
      <c r="G36" s="11">
        <f si="1" t="shared"/>
        <v>4.6504702014821941E-3</v>
      </c>
    </row>
    <row r="37" spans="1:7" x14ac:dyDescent="0.25">
      <c r="A37">
        <v>26</v>
      </c>
      <c r="B37" s="341" t="n">
        <v>27.094128</v>
      </c>
      <c r="C37" s="11">
        <f si="0" t="shared"/>
        <v>4.7845403668359161E-4</v>
      </c>
      <c r="E37" s="45">
        <v>26</v>
      </c>
      <c r="F37" s="343" t="n">
        <v>341.0</v>
      </c>
      <c r="G37" s="11">
        <f si="1" t="shared"/>
        <v>3.556578811724683E-3</v>
      </c>
    </row>
    <row r="38" spans="1:7" x14ac:dyDescent="0.25">
      <c r="A38">
        <v>27</v>
      </c>
      <c r="B38" s="341" t="n">
        <v>361.133825</v>
      </c>
      <c r="C38" s="11">
        <f si="0" t="shared"/>
        <v>4.6660202411261658E-3</v>
      </c>
      <c r="E38" s="46">
        <v>27</v>
      </c>
      <c r="F38" s="343" t="n">
        <v>285.0</v>
      </c>
      <c r="G38" s="11">
        <f si="1" t="shared"/>
        <v>3.4878526511116456E-3</v>
      </c>
    </row>
    <row r="39" spans="1:7" x14ac:dyDescent="0.25">
      <c r="A39">
        <v>28</v>
      </c>
      <c r="B39" s="341" t="n">
        <v>98.120978</v>
      </c>
      <c r="C39" s="11">
        <f si="0" t="shared"/>
        <v>3.1170632308824275E-3</v>
      </c>
      <c r="E39" s="47">
        <v>28</v>
      </c>
      <c r="F39" s="343" t="n">
        <v>205.0</v>
      </c>
      <c r="G39" s="11">
        <f si="1" t="shared"/>
        <v>2.9323161861562605E-3</v>
      </c>
    </row>
    <row r="40" spans="1:7" x14ac:dyDescent="0.25">
      <c r="A40">
        <v>29</v>
      </c>
      <c r="B40" s="341" t="n">
        <v>74.388674</v>
      </c>
      <c r="C40" s="11">
        <f si="0" t="shared"/>
        <v>9.9381221581872226E-3</v>
      </c>
      <c r="E40" s="48">
        <v>29</v>
      </c>
      <c r="F40" s="343" t="n">
        <v>216.0</v>
      </c>
      <c r="G40" s="11">
        <f si="1" t="shared"/>
        <v>2.6745930838573701E-3</v>
      </c>
    </row>
    <row r="41" spans="1:7" x14ac:dyDescent="0.25">
      <c r="A41">
        <v>30</v>
      </c>
      <c r="B41" s="341" t="n">
        <v>462.366312</v>
      </c>
      <c r="C41" s="11">
        <f si="0" t="shared"/>
        <v>1.2334416009359629E-3</v>
      </c>
      <c r="E41" s="49">
        <v>30</v>
      </c>
      <c r="F41" s="343" t="n">
        <v>217.0</v>
      </c>
      <c r="G41" s="11">
        <f si="1" t="shared"/>
        <v>2.325235100741097E-3</v>
      </c>
    </row>
    <row r="42" spans="1:7" x14ac:dyDescent="0.25">
      <c r="A42">
        <v>31</v>
      </c>
      <c r="B42" s="341" t="n">
        <v>91.38179</v>
      </c>
      <c r="C42" s="11">
        <f si="0" t="shared"/>
        <v>0</v>
      </c>
      <c r="E42" s="50">
        <v>31</v>
      </c>
      <c r="F42" s="343" t="n">
        <v>186.0</v>
      </c>
      <c r="G42" s="11">
        <f si="1" t="shared"/>
        <v>2.1992371396171951E-3</v>
      </c>
    </row>
    <row r="43" spans="1:7" x14ac:dyDescent="0.25">
      <c r="A43">
        <v>32</v>
      </c>
      <c r="B43" s="341" t="n">
        <v>0.0</v>
      </c>
      <c r="C43" s="11">
        <f si="0" t="shared"/>
        <v>1.1720235996260981E-2</v>
      </c>
      <c r="E43" s="51">
        <v>32</v>
      </c>
      <c r="F43" s="343" t="n">
        <v>151.0</v>
      </c>
      <c r="G43" s="11">
        <f si="1" t="shared"/>
        <v>1.9357868572672187E-3</v>
      </c>
    </row>
    <row r="44" spans="1:7" x14ac:dyDescent="0.25">
      <c r="A44">
        <v>33</v>
      </c>
      <c r="B44" s="341" t="n">
        <v>77.636286</v>
      </c>
      <c r="C44" s="11">
        <f si="0" t="shared"/>
        <v>1.8060379970486192E-3</v>
      </c>
      <c r="E44" s="52">
        <v>33</v>
      </c>
      <c r="F44" s="343" t="n">
        <v>146.0</v>
      </c>
      <c r="G44" s="11">
        <f si="1" t="shared"/>
        <v>1.7410627355302795E-3</v>
      </c>
    </row>
    <row r="45" spans="1:7" x14ac:dyDescent="0.25">
      <c r="A45">
        <v>34</v>
      </c>
      <c r="B45" s="341" t="n">
        <v>28.392781</v>
      </c>
      <c r="C45" s="11">
        <f si="0" t="shared"/>
        <v>1.96876358207875E-4</v>
      </c>
      <c r="E45" s="53">
        <v>34</v>
      </c>
      <c r="F45" s="343" t="n">
        <v>92.0</v>
      </c>
      <c r="G45" s="11">
        <f si="1" t="shared"/>
        <v>1.3917047524140064E-3</v>
      </c>
    </row>
    <row r="46" spans="1:7" x14ac:dyDescent="0.25">
      <c r="A46">
        <v>35</v>
      </c>
      <c r="B46" s="341" t="n">
        <v>0.0</v>
      </c>
      <c r="C46" s="11">
        <f si="0" t="shared"/>
        <v>2.5725922533325666E-3</v>
      </c>
      <c r="E46" s="54">
        <v>35</v>
      </c>
      <c r="F46" s="343" t="n">
        <v>81.0</v>
      </c>
      <c r="G46" s="11">
        <f si="1" t="shared"/>
        <v>1.5635201539465997E-3</v>
      </c>
    </row>
    <row r="47" spans="1:7" x14ac:dyDescent="0.25">
      <c r="A47">
        <v>36</v>
      </c>
      <c r="B47" s="341" t="n">
        <v>0.0</v>
      </c>
      <c r="C47" s="11">
        <f si="0" t="shared"/>
        <v>0</v>
      </c>
      <c r="E47" s="55">
        <v>36</v>
      </c>
      <c r="F47" s="343" t="n">
        <v>89.0</v>
      </c>
      <c r="G47" s="11">
        <f si="1" t="shared"/>
        <v>1.2027078107281536E-3</v>
      </c>
    </row>
    <row r="48" spans="1:7" x14ac:dyDescent="0.25">
      <c r="A48">
        <v>37</v>
      </c>
      <c r="B48" s="341" t="n">
        <v>0.0</v>
      </c>
      <c r="C48" s="11">
        <f si="0" t="shared"/>
        <v>4.0199357571683858E-4</v>
      </c>
      <c r="E48" s="56">
        <v>37</v>
      </c>
      <c r="F48" s="343" t="n">
        <v>73.0</v>
      </c>
      <c r="G48" s="11">
        <f si="1" t="shared"/>
        <v>1.2198893508814129E-3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63.0</v>
      </c>
      <c r="G49" s="11">
        <f si="1" t="shared"/>
        <v>8.1898674730536175E-4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48.0</v>
      </c>
      <c r="G50" s="11">
        <f si="1" t="shared"/>
        <v>9.2780316827600429E-4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41.0</v>
      </c>
      <c r="G51" s="11">
        <f si="1" t="shared"/>
        <v>6.2426262556842258E-4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46.0</v>
      </c>
      <c r="G52" s="11">
        <f si="1" t="shared"/>
        <v>7.4453340664123796E-4</v>
      </c>
    </row>
    <row r="53" spans="1:7" x14ac:dyDescent="0.25">
      <c r="A53">
        <v>42</v>
      </c>
      <c r="B53" s="341" t="n">
        <v>0.0</v>
      </c>
      <c r="C53" s="11">
        <f si="0" t="shared"/>
        <v>3.1349052867271059E-3</v>
      </c>
      <c r="E53" s="61">
        <v>42</v>
      </c>
      <c r="F53" s="343" t="n">
        <v>61.0</v>
      </c>
      <c r="G53" s="11">
        <f si="1" t="shared"/>
        <v>5.6126364500647173E-4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84.0</v>
      </c>
      <c r="G54" s="11">
        <f si="1" t="shared"/>
        <v>5.1544620459778015E-4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11.0</v>
      </c>
      <c r="G55" s="11">
        <f si="1" t="shared"/>
        <v>5.4980928490429878E-4</v>
      </c>
    </row>
    <row r="56" spans="1:7" x14ac:dyDescent="0.25">
      <c r="A56">
        <v>45</v>
      </c>
      <c r="B56" s="341" t="n">
        <v>0.0</v>
      </c>
      <c r="C56" s="11">
        <f si="0" t="shared"/>
        <v>0</v>
      </c>
      <c r="E56" s="64">
        <v>45</v>
      </c>
      <c r="F56" s="343" t="n">
        <v>15.0</v>
      </c>
      <c r="G56" s="11">
        <f si="1" t="shared"/>
        <v>4.6962876418908857E-4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24.0</v>
      </c>
      <c r="G57" s="11">
        <f si="1" t="shared"/>
        <v>5.2117338464886657E-4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25.0</v>
      </c>
      <c r="G58" s="11">
        <f si="1" t="shared"/>
        <v>4.7535594424017504E-4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33.0</v>
      </c>
      <c r="G59" s="11">
        <f si="1" t="shared"/>
        <v>2.9781336265649518E-4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6.0</v>
      </c>
      <c r="G60" s="11">
        <f si="1" t="shared"/>
        <v>2.3481438209454428E-4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26.0</v>
      </c>
      <c r="G61" s="11">
        <f si="1" t="shared"/>
        <v>2.1190566189019849E-4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9.0</v>
      </c>
      <c r="G62" s="11">
        <f si="1" t="shared"/>
        <v>2.1190566189019849E-4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13.0</v>
      </c>
      <c r="G63" s="11">
        <f si="1" t="shared"/>
        <v>1.7181540153259338E-4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71.0</v>
      </c>
      <c r="G64" s="11">
        <f si="1" t="shared"/>
        <v>9.7362060868469587E-5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34.0</v>
      </c>
      <c r="G65" s="11">
        <f si="1" t="shared"/>
        <v>8.0180520715210244E-5</v>
      </c>
    </row>
    <row r="66" spans="1:7" x14ac:dyDescent="0.25">
      <c r="A66">
        <v>55</v>
      </c>
      <c r="B66" s="341" t="n">
        <v>0.0</v>
      </c>
      <c r="C66" s="11">
        <f si="0" t="shared"/>
        <v>2.4254728077207458E-4</v>
      </c>
      <c r="E66" s="74">
        <v>55</v>
      </c>
      <c r="F66" s="343" t="n">
        <v>10.0</v>
      </c>
      <c r="G66" s="11">
        <f si="1" t="shared"/>
        <v>1.0881642097064247E-4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41.0</v>
      </c>
      <c r="G67" s="11">
        <f si="1" t="shared"/>
        <v>1.4317950127716114E-4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2.0</v>
      </c>
      <c r="G68" s="11">
        <f si="1" t="shared"/>
        <v>6.29989805619509E-5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1.0</v>
      </c>
      <c r="G69" s="11">
        <f si="1" t="shared"/>
        <v>7.4453340664123796E-5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50.0</v>
      </c>
      <c r="G70" s="11">
        <f si="1" t="shared"/>
        <v>2.8635900255432229E-5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9.0</v>
      </c>
      <c r="G71" s="11">
        <f si="1" t="shared"/>
        <v>3.4363080306518674E-5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16.0</v>
      </c>
      <c r="G72" s="11">
        <f si="1" t="shared"/>
        <v>1.7181540153259337E-5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2.0</v>
      </c>
      <c r="G73" s="11">
        <f si="1" t="shared"/>
        <v>4.0090260357605122E-5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7.0</v>
      </c>
      <c r="G74" s="11">
        <f si="1" t="shared"/>
        <v>2.2908720204345785E-5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22.0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27.0</v>
      </c>
      <c r="G76" s="11">
        <f si="1" t="shared"/>
        <v>5.7271800510864462E-6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13.0</v>
      </c>
      <c r="G77" s="11">
        <f ref="G77:G102" si="3" t="shared">F77/F$102</f>
        <v>2.2908720204345785E-5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91.0</v>
      </c>
      <c r="G78" s="11">
        <f si="3" t="shared"/>
        <v>1.1454360102172892E-5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9.0</v>
      </c>
      <c r="G79" s="11">
        <f si="3" t="shared"/>
        <v>2.8635900255432229E-5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3.0</v>
      </c>
      <c r="G80" s="11">
        <f si="3" t="shared"/>
        <v>5.7271800510864462E-6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35.0</v>
      </c>
      <c r="G81" s="11">
        <f si="3" t="shared"/>
        <v>5.7271800510864462E-6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0.0</v>
      </c>
      <c r="G82" s="11">
        <f si="3" t="shared"/>
        <v>1.1454360102172892E-5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1.0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1.0</v>
      </c>
      <c r="G84" s="11">
        <f si="3" t="shared"/>
        <v>1.1454360102172892E-5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10.0</v>
      </c>
      <c r="G85" s="11">
        <f si="3" t="shared"/>
        <v>1.1454360102172892E-5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1.0</v>
      </c>
      <c r="G86" s="11">
        <f si="3" t="shared"/>
        <v>1.1454360102172892E-5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14.0</v>
      </c>
      <c r="G87" s="11">
        <f si="3" t="shared"/>
        <v>5.7271800510864462E-6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15.0</v>
      </c>
      <c r="G89" s="11">
        <f si="3" t="shared"/>
        <v>1.1454360102172892E-5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3.0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18.0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13.0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1.0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2.0</v>
      </c>
      <c r="G95" s="11">
        <f si="3" t="shared"/>
        <v>5.7271800510864462E-6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1.1454360102172892E-5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4.0</v>
      </c>
      <c r="G97" s="11">
        <f si="3" t="shared"/>
        <v>5.7271800510864462E-6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23.0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3.0</v>
      </c>
      <c r="G100" s="11">
        <f si="3" t="shared"/>
        <v>1.1454360102172892E-5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77.0</v>
      </c>
      <c r="G101" s="11">
        <f si="3" t="shared"/>
        <v>5.7271800510864462E-6</v>
      </c>
    </row>
    <row r="102" spans="1:7" x14ac:dyDescent="0.25">
      <c r="B102" s="341">
        <f>SUM(B11:B101)</f>
        <v>144426.68616399996</v>
      </c>
      <c r="C102" s="11">
        <f si="2" t="shared"/>
        <v>1</v>
      </c>
      <c r="F102" s="341">
        <f>SUM(F11:F101)</f>
        <v>174606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X16" sqref="X1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3.8592156096906416E-2</v>
      </c>
      <c r="E11" s="109">
        <v>0</v>
      </c>
      <c r="F11" s="199" t="n">
        <v>4501.0</v>
      </c>
      <c r="G11" s="11">
        <f>F11/F$102</f>
        <v>2.4976232202787992E-2</v>
      </c>
      <c r="K11" s="8" t="n">
        <v>12.030228565854507</v>
      </c>
      <c r="L11" s="8" t="n">
        <v>13.193130352032416</v>
      </c>
    </row>
    <row r="12" spans="1:12" x14ac:dyDescent="0.25">
      <c r="A12">
        <v>1</v>
      </c>
      <c r="B12" s="8" t="n">
        <v>0.0</v>
      </c>
      <c r="C12" s="11">
        <f>B12/B$102</f>
        <v>9.0220080430315444E-2</v>
      </c>
      <c r="E12" s="110">
        <v>1</v>
      </c>
      <c r="F12" s="200" t="n">
        <v>1618.0</v>
      </c>
      <c r="G12" s="11">
        <f>F12/F$102</f>
        <v>9.3330126112504727E-2</v>
      </c>
      <c r="K12" s="8"/>
      <c r="L12" s="290"/>
    </row>
    <row r="13" spans="1:12" x14ac:dyDescent="0.25">
      <c r="A13">
        <v>2</v>
      </c>
      <c r="B13" s="8" t="n">
        <v>57.148435</v>
      </c>
      <c r="C13" s="11">
        <f ref="C13:C76" si="0" t="shared">B13/B$102</f>
        <v>9.8487477271673035E-2</v>
      </c>
      <c r="E13" s="111">
        <v>2</v>
      </c>
      <c r="F13" s="201" t="n">
        <v>1785.0</v>
      </c>
      <c r="G13" s="11">
        <f ref="G13:G76" si="1" t="shared">F13/F$102</f>
        <v>0.119583519466685</v>
      </c>
    </row>
    <row r="14" spans="1:12" x14ac:dyDescent="0.25">
      <c r="A14">
        <v>3</v>
      </c>
      <c r="B14" s="8" t="n">
        <v>4614.824598</v>
      </c>
      <c r="C14" s="11">
        <f si="0" t="shared"/>
        <v>8.4781528526492914E-2</v>
      </c>
      <c r="E14" s="112">
        <v>3</v>
      </c>
      <c r="F14" s="202" t="n">
        <v>3464.0</v>
      </c>
      <c r="G14" s="11">
        <f si="1" t="shared"/>
        <v>0.11728692026619933</v>
      </c>
    </row>
    <row r="15" spans="1:12" x14ac:dyDescent="0.25">
      <c r="A15">
        <v>4</v>
      </c>
      <c r="B15" s="8" t="n">
        <v>8621.721134</v>
      </c>
      <c r="C15" s="11">
        <f si="0" t="shared"/>
        <v>0.11652822502545947</v>
      </c>
      <c r="E15" s="113">
        <v>4</v>
      </c>
      <c r="F15" s="203" t="n">
        <v>5702.0</v>
      </c>
      <c r="G15" s="11">
        <f si="1" t="shared"/>
        <v>9.8954216922671617E-2</v>
      </c>
    </row>
    <row r="16" spans="1:12" x14ac:dyDescent="0.25">
      <c r="A16">
        <v>5</v>
      </c>
      <c r="B16" s="8" t="n">
        <v>11452.474017</v>
      </c>
      <c r="C16" s="11">
        <f si="0" t="shared"/>
        <v>0.10155436824428063</v>
      </c>
      <c r="E16" s="114">
        <v>5</v>
      </c>
      <c r="F16" s="204" t="n">
        <v>8894.0</v>
      </c>
      <c r="G16" s="11">
        <f si="1" t="shared"/>
        <v>7.4493430924481407E-2</v>
      </c>
    </row>
    <row r="17" spans="1:7" x14ac:dyDescent="0.25">
      <c r="A17">
        <v>6</v>
      </c>
      <c r="B17" s="8" t="n">
        <v>17876.685773</v>
      </c>
      <c r="C17" s="11">
        <f si="0" t="shared"/>
        <v>6.4169763145269176E-2</v>
      </c>
      <c r="E17" s="115">
        <v>6</v>
      </c>
      <c r="F17" s="205" t="n">
        <v>11028.0</v>
      </c>
      <c r="G17" s="11">
        <f si="1" t="shared"/>
        <v>6.5398669003356127E-2</v>
      </c>
    </row>
    <row r="18" spans="1:7" x14ac:dyDescent="0.25">
      <c r="A18">
        <v>7</v>
      </c>
      <c r="B18" s="8" t="n">
        <v>14702.958311</v>
      </c>
      <c r="C18" s="11">
        <f si="0" t="shared"/>
        <v>5.4656242718443181E-2</v>
      </c>
      <c r="E18" s="116">
        <v>7</v>
      </c>
      <c r="F18" s="206" t="n">
        <v>12532.0</v>
      </c>
      <c r="G18" s="11">
        <f si="1" t="shared"/>
        <v>5.3274228835206119E-2</v>
      </c>
    </row>
    <row r="19" spans="1:7" x14ac:dyDescent="0.25">
      <c r="A19">
        <v>8</v>
      </c>
      <c r="B19" s="8" t="n">
        <v>9137.078843</v>
      </c>
      <c r="C19" s="11">
        <f si="0" t="shared"/>
        <v>3.9627508869801875E-2</v>
      </c>
      <c r="E19" s="117">
        <v>8</v>
      </c>
      <c r="F19" s="207" t="n">
        <v>13565.0</v>
      </c>
      <c r="G19" s="11">
        <f si="1" t="shared"/>
        <v>4.8199947309943529E-2</v>
      </c>
    </row>
    <row r="20" spans="1:7" x14ac:dyDescent="0.25">
      <c r="A20">
        <v>9</v>
      </c>
      <c r="B20" s="8" t="n">
        <v>7454.049315</v>
      </c>
      <c r="C20" s="11">
        <f si="0" t="shared"/>
        <v>2.83203312049649E-2</v>
      </c>
      <c r="E20" s="118">
        <v>9</v>
      </c>
      <c r="F20" s="208" t="n">
        <v>14127.0</v>
      </c>
      <c r="G20" s="11">
        <f si="1" t="shared"/>
        <v>3.6877312348945625E-2</v>
      </c>
    </row>
    <row r="21" spans="1:7" x14ac:dyDescent="0.25">
      <c r="A21">
        <v>10</v>
      </c>
      <c r="B21" s="8" t="n">
        <v>6281.002948</v>
      </c>
      <c r="C21" s="11">
        <f si="0" t="shared"/>
        <v>2.6089310888995642E-2</v>
      </c>
      <c r="E21" s="119">
        <v>10</v>
      </c>
      <c r="F21" s="209" t="n">
        <v>13311.0</v>
      </c>
      <c r="G21" s="11">
        <f si="1" t="shared"/>
        <v>2.9947424487131027E-2</v>
      </c>
    </row>
    <row r="22" spans="1:7" x14ac:dyDescent="0.25">
      <c r="A22">
        <v>11</v>
      </c>
      <c r="B22" s="8" t="n">
        <v>10407.697105</v>
      </c>
      <c r="C22" s="11">
        <f si="0" t="shared"/>
        <v>1.3866623711949428E-2</v>
      </c>
      <c r="E22" s="120">
        <v>11</v>
      </c>
      <c r="F22" s="210" t="n">
        <v>10786.0</v>
      </c>
      <c r="G22" s="11">
        <f si="1" t="shared"/>
        <v>2.653975235673459E-2</v>
      </c>
    </row>
    <row r="23" spans="1:7" x14ac:dyDescent="0.25">
      <c r="A23">
        <v>12</v>
      </c>
      <c r="B23" s="8" t="n">
        <v>7618.856640999999</v>
      </c>
      <c r="C23" s="11">
        <f si="0" t="shared"/>
        <v>1.3505645984185185E-2</v>
      </c>
      <c r="E23" s="121">
        <v>12</v>
      </c>
      <c r="F23" s="211" t="n">
        <v>9802.0</v>
      </c>
      <c r="G23" s="11">
        <f si="1" t="shared"/>
        <v>1.9512502434051521E-2</v>
      </c>
    </row>
    <row r="24" spans="1:7" x14ac:dyDescent="0.25">
      <c r="A24">
        <v>13</v>
      </c>
      <c r="B24" s="8" t="n">
        <v>5166.452481</v>
      </c>
      <c r="C24" s="11">
        <f si="0" t="shared"/>
        <v>2.1500544632547421E-2</v>
      </c>
      <c r="E24" s="122">
        <v>13</v>
      </c>
      <c r="F24" s="212" t="n">
        <v>8257.0</v>
      </c>
      <c r="G24" s="11">
        <f si="1" t="shared"/>
        <v>1.5692473339976861E-2</v>
      </c>
    </row>
    <row r="25" spans="1:7" x14ac:dyDescent="0.25">
      <c r="A25">
        <v>14</v>
      </c>
      <c r="B25" s="8" t="n">
        <v>5504.407506</v>
      </c>
      <c r="C25" s="11">
        <f si="0" t="shared"/>
        <v>2.2913482541877268E-2</v>
      </c>
      <c r="E25" s="123">
        <v>14</v>
      </c>
      <c r="F25" s="213" t="n">
        <v>6704.0</v>
      </c>
      <c r="G25" s="11">
        <f si="1" t="shared"/>
        <v>1.418049780649004E-2</v>
      </c>
    </row>
    <row r="26" spans="1:7" x14ac:dyDescent="0.25">
      <c r="A26">
        <v>15</v>
      </c>
      <c r="B26" s="8" t="n">
        <v>4389.456105</v>
      </c>
      <c r="C26" s="11">
        <f si="0" t="shared"/>
        <v>2.6462535010047559E-2</v>
      </c>
      <c r="E26" s="124">
        <v>15</v>
      </c>
      <c r="F26" s="214" t="n">
        <v>5384.0</v>
      </c>
      <c r="G26" s="11">
        <f si="1" t="shared"/>
        <v>1.2817428954331467E-2</v>
      </c>
    </row>
    <row r="27" spans="1:7" x14ac:dyDescent="0.25">
      <c r="A27">
        <v>16</v>
      </c>
      <c r="B27" s="8" t="n">
        <v>1351.800855</v>
      </c>
      <c r="C27" s="11">
        <f si="0" t="shared"/>
        <v>7.0368326172488638E-3</v>
      </c>
      <c r="E27" s="125">
        <v>16</v>
      </c>
      <c r="F27" s="215" t="n">
        <v>4132.0</v>
      </c>
      <c r="G27" s="11">
        <f si="1" t="shared"/>
        <v>1.0990458518034889E-2</v>
      </c>
    </row>
    <row r="28" spans="1:7" x14ac:dyDescent="0.25">
      <c r="A28">
        <v>17</v>
      </c>
      <c r="B28" s="8" t="n">
        <v>3988.705784</v>
      </c>
      <c r="C28" s="11">
        <f si="0" t="shared"/>
        <v>5.575503450142294E-3</v>
      </c>
      <c r="E28" s="126">
        <v>17</v>
      </c>
      <c r="F28" s="216" t="n">
        <v>3511.0</v>
      </c>
      <c r="G28" s="11">
        <f si="1" t="shared"/>
        <v>1.0549465654101234E-2</v>
      </c>
    </row>
    <row r="29" spans="1:7" x14ac:dyDescent="0.25">
      <c r="A29">
        <v>18</v>
      </c>
      <c r="B29" s="8" t="n">
        <v>2007.759649</v>
      </c>
      <c r="C29" s="11">
        <f si="0" t="shared"/>
        <v>1.8898410775004985E-2</v>
      </c>
      <c r="E29" s="127">
        <v>18</v>
      </c>
      <c r="F29" s="217" t="n">
        <v>2898.0</v>
      </c>
      <c r="G29" s="11">
        <f si="1" t="shared"/>
        <v>1.1133638019312051E-2</v>
      </c>
    </row>
    <row r="30" spans="1:7" x14ac:dyDescent="0.25">
      <c r="A30">
        <v>19</v>
      </c>
      <c r="B30" s="8" t="n">
        <v>2609.614396</v>
      </c>
      <c r="C30" s="11">
        <f si="0" t="shared"/>
        <v>2.0011072716285862E-2</v>
      </c>
      <c r="E30" s="128">
        <v>19</v>
      </c>
      <c r="F30" s="218" t="n">
        <v>2495.0</v>
      </c>
      <c r="G30" s="11">
        <f si="1" t="shared"/>
        <v>1.0589555914458839E-2</v>
      </c>
    </row>
    <row r="31" spans="1:7" x14ac:dyDescent="0.25">
      <c r="A31">
        <v>20</v>
      </c>
      <c r="B31" s="8" t="n">
        <v>1194.35347</v>
      </c>
      <c r="C31" s="11">
        <f si="0" t="shared"/>
        <v>3.9369149919727866E-3</v>
      </c>
      <c r="E31" s="129">
        <v>20</v>
      </c>
      <c r="F31" s="219" t="n">
        <v>2027.0</v>
      </c>
      <c r="G31" s="11">
        <f si="1" t="shared"/>
        <v>1.0137108690423009E-2</v>
      </c>
    </row>
    <row r="32" spans="1:7" x14ac:dyDescent="0.25">
      <c r="A32">
        <v>21</v>
      </c>
      <c r="B32" s="8" t="n">
        <v>976.577416</v>
      </c>
      <c r="C32" s="11">
        <f si="0" t="shared"/>
        <v>1.7639322653343663E-2</v>
      </c>
      <c r="E32" s="130">
        <v>21</v>
      </c>
      <c r="F32" s="220" t="n">
        <v>1710.0</v>
      </c>
      <c r="G32" s="11">
        <f si="1" t="shared"/>
        <v>8.5907700766296689E-3</v>
      </c>
    </row>
    <row r="33" spans="1:7" x14ac:dyDescent="0.25">
      <c r="A33">
        <v>22</v>
      </c>
      <c r="B33" s="8" t="n">
        <v>559.600654</v>
      </c>
      <c r="C33" s="11">
        <f si="0" t="shared"/>
        <v>1.676605132551728E-2</v>
      </c>
      <c r="E33" s="131">
        <v>22</v>
      </c>
      <c r="F33" s="221" t="n">
        <v>1612.0</v>
      </c>
      <c r="G33" s="11">
        <f si="1" t="shared"/>
        <v>8.5334982761188054E-3</v>
      </c>
    </row>
    <row r="34" spans="1:7" x14ac:dyDescent="0.25">
      <c r="A34">
        <v>23</v>
      </c>
      <c r="B34" s="8" t="n">
        <v>987.749104</v>
      </c>
      <c r="C34" s="11">
        <f si="0" t="shared"/>
        <v>9.1745665305605056E-3</v>
      </c>
      <c r="E34" s="132">
        <v>23</v>
      </c>
      <c r="F34" s="222" t="n">
        <v>1356.0</v>
      </c>
      <c r="G34" s="11">
        <f si="1" t="shared"/>
        <v>7.502605866923244E-3</v>
      </c>
    </row>
    <row r="35" spans="1:7" x14ac:dyDescent="0.25">
      <c r="A35">
        <v>24</v>
      </c>
      <c r="B35" s="8" t="n">
        <v>1555.881402</v>
      </c>
      <c r="C35" s="11">
        <f si="0" t="shared"/>
        <v>2.9918569239298031E-3</v>
      </c>
      <c r="E35" s="133">
        <v>24</v>
      </c>
      <c r="F35" s="223" t="n">
        <v>1174.0</v>
      </c>
      <c r="G35" s="11">
        <f si="1" t="shared"/>
        <v>6.9699781221722046E-3</v>
      </c>
    </row>
    <row r="36" spans="1:7" x14ac:dyDescent="0.25">
      <c r="A36">
        <v>25</v>
      </c>
      <c r="B36" s="8" t="n">
        <v>1228.121218</v>
      </c>
      <c r="C36" s="11">
        <f si="0" t="shared"/>
        <v>6.9559210536702977E-3</v>
      </c>
      <c r="E36" s="134">
        <v>25</v>
      </c>
      <c r="F36" s="224" t="n">
        <v>1099.0</v>
      </c>
      <c r="G36" s="11">
        <f si="1" t="shared"/>
        <v>6.3800785769103007E-3</v>
      </c>
    </row>
    <row r="37" spans="1:7" x14ac:dyDescent="0.25">
      <c r="A37">
        <v>26</v>
      </c>
      <c r="B37" s="8" t="n">
        <v>490.476306</v>
      </c>
      <c r="C37" s="11">
        <f si="0" t="shared"/>
        <v>0</v>
      </c>
      <c r="E37" s="135">
        <v>26</v>
      </c>
      <c r="F37" s="225" t="n">
        <v>905.0</v>
      </c>
      <c r="G37" s="11">
        <f si="1" t="shared"/>
        <v>6.0822652142538056E-3</v>
      </c>
    </row>
    <row r="38" spans="1:7" x14ac:dyDescent="0.25">
      <c r="A38">
        <v>27</v>
      </c>
      <c r="B38" s="8" t="n">
        <v>911.296188</v>
      </c>
      <c r="C38" s="11">
        <f si="0" t="shared"/>
        <v>1.6693427745494893E-3</v>
      </c>
      <c r="E38" s="136">
        <v>27</v>
      </c>
      <c r="F38" s="226" t="n">
        <v>787.0</v>
      </c>
      <c r="G38" s="11">
        <f si="1" t="shared"/>
        <v>5.2804600071017036E-3</v>
      </c>
    </row>
    <row r="39" spans="1:7" x14ac:dyDescent="0.25">
      <c r="A39">
        <v>28</v>
      </c>
      <c r="B39" s="8" t="n">
        <v>270.482365</v>
      </c>
      <c r="C39" s="11">
        <f si="0" t="shared"/>
        <v>3.9570651184992331E-3</v>
      </c>
      <c r="E39" s="137">
        <v>28</v>
      </c>
      <c r="F39" s="227" t="n">
        <v>639.0</v>
      </c>
      <c r="G39" s="11">
        <f si="1" t="shared"/>
        <v>4.3812927390811315E-3</v>
      </c>
    </row>
    <row r="40" spans="1:7" x14ac:dyDescent="0.25">
      <c r="A40">
        <v>29</v>
      </c>
      <c r="B40" s="8" t="n">
        <v>2257.105002</v>
      </c>
      <c r="C40" s="11">
        <f si="0" t="shared"/>
        <v>3.1170632308824275E-3</v>
      </c>
      <c r="E40" s="138">
        <v>29</v>
      </c>
      <c r="F40" s="228" t="n">
        <v>562.0</v>
      </c>
      <c r="G40" s="11">
        <f si="1" t="shared"/>
        <v>4.3240209385702671E-3</v>
      </c>
    </row>
    <row r="41" spans="1:7" x14ac:dyDescent="0.25">
      <c r="A41">
        <v>30</v>
      </c>
      <c r="B41" s="8" t="n">
        <v>1022.537727</v>
      </c>
      <c r="C41" s="11">
        <f si="0" t="shared"/>
        <v>1.6319098226235479E-2</v>
      </c>
      <c r="E41" s="139">
        <v>30</v>
      </c>
      <c r="F41" s="229" t="n">
        <v>496.0</v>
      </c>
      <c r="G41" s="11">
        <f si="1" t="shared"/>
        <v>3.7742116536659681E-3</v>
      </c>
    </row>
    <row r="42" spans="1:7" x14ac:dyDescent="0.25">
      <c r="A42">
        <v>31</v>
      </c>
      <c r="B42" s="8" t="n">
        <v>140.286747</v>
      </c>
      <c r="C42" s="11">
        <f si="0" t="shared"/>
        <v>0</v>
      </c>
      <c r="E42" s="140">
        <v>31</v>
      </c>
      <c r="F42" s="230" t="n">
        <v>496.0</v>
      </c>
      <c r="G42" s="11">
        <f si="1" t="shared"/>
        <v>3.1843121084040638E-3</v>
      </c>
    </row>
    <row r="43" spans="1:7" x14ac:dyDescent="0.25">
      <c r="A43">
        <v>32</v>
      </c>
      <c r="B43" s="8" t="n">
        <v>779.624367</v>
      </c>
      <c r="C43" s="11">
        <f si="0" t="shared"/>
        <v>1.3747130068091926E-2</v>
      </c>
      <c r="E43" s="141">
        <v>32</v>
      </c>
      <c r="F43" s="231" t="n">
        <v>389.0</v>
      </c>
      <c r="G43" s="11">
        <f si="1" t="shared"/>
        <v>2.9437705462584331E-3</v>
      </c>
    </row>
    <row r="44" spans="1:7" x14ac:dyDescent="0.25">
      <c r="A44">
        <v>33</v>
      </c>
      <c r="B44" s="8" t="n">
        <v>33.485045</v>
      </c>
      <c r="C44" s="11">
        <f si="0" t="shared"/>
        <v>8.6972116674729886E-4</v>
      </c>
      <c r="E44" s="142">
        <v>33</v>
      </c>
      <c r="F44" s="232" t="n">
        <v>278.0</v>
      </c>
      <c r="G44" s="11">
        <f si="1" t="shared"/>
        <v>3.1155859477910268E-3</v>
      </c>
    </row>
    <row r="45" spans="1:7" x14ac:dyDescent="0.25">
      <c r="A45">
        <v>34</v>
      </c>
      <c r="B45" s="8" t="n">
        <v>192.883763</v>
      </c>
      <c r="C45" s="11">
        <f si="0" t="shared"/>
        <v>5.0342808473385458E-4</v>
      </c>
      <c r="E45" s="143">
        <v>34</v>
      </c>
      <c r="F45" s="233" t="n">
        <v>346.0</v>
      </c>
      <c r="G45" s="11">
        <f si="1" t="shared"/>
        <v>2.6345028234997653E-3</v>
      </c>
    </row>
    <row r="46" spans="1:7" x14ac:dyDescent="0.25">
      <c r="A46">
        <v>35</v>
      </c>
      <c r="B46" s="8" t="n">
        <v>298.291266</v>
      </c>
      <c r="C46" s="11">
        <f si="0" t="shared"/>
        <v>4.44933673317346E-4</v>
      </c>
      <c r="E46" s="144">
        <v>35</v>
      </c>
      <c r="F46" s="234" t="n">
        <v>229.0</v>
      </c>
      <c r="G46" s="11">
        <f si="1" t="shared"/>
        <v>2.2679633002302326E-3</v>
      </c>
    </row>
    <row r="47" spans="1:7" x14ac:dyDescent="0.25">
      <c r="A47">
        <v>36</v>
      </c>
      <c r="B47" s="8" t="n">
        <v>414.061788</v>
      </c>
      <c r="C47" s="11">
        <f si="0" t="shared"/>
        <v>0</v>
      </c>
      <c r="E47" s="145">
        <v>36</v>
      </c>
      <c r="F47" s="235" t="n">
        <v>203.0</v>
      </c>
      <c r="G47" s="11">
        <f si="1" t="shared"/>
        <v>2.0789663585443797E-3</v>
      </c>
    </row>
    <row r="48" spans="1:7" x14ac:dyDescent="0.25">
      <c r="A48">
        <v>37</v>
      </c>
      <c r="B48" s="8" t="n">
        <v>21.137344</v>
      </c>
      <c r="C48" s="11">
        <f si="0" t="shared"/>
        <v>2.0063328162979625E-4</v>
      </c>
      <c r="E48" s="146">
        <v>37</v>
      </c>
      <c r="F48" s="236" t="n">
        <v>148.0</v>
      </c>
      <c r="G48" s="11">
        <f si="1" t="shared"/>
        <v>1.8556063365520086E-3</v>
      </c>
    </row>
    <row r="49" spans="1:7" x14ac:dyDescent="0.25">
      <c r="A49">
        <v>38</v>
      </c>
      <c r="B49" s="8" t="n">
        <v>541.739719</v>
      </c>
      <c r="C49" s="11">
        <f si="0" t="shared"/>
        <v>1.6528523941131785E-3</v>
      </c>
      <c r="E49" s="147">
        <v>38</v>
      </c>
      <c r="F49" s="237" t="n">
        <v>164.0</v>
      </c>
      <c r="G49" s="11">
        <f si="1" t="shared"/>
        <v>1.6723365749172422E-3</v>
      </c>
    </row>
    <row r="50" spans="1:7" x14ac:dyDescent="0.25">
      <c r="A50">
        <v>39</v>
      </c>
      <c r="B50" s="8" t="n">
        <v>185.463773</v>
      </c>
      <c r="C50" s="11">
        <f si="0" t="shared"/>
        <v>3.3317816449349807E-3</v>
      </c>
      <c r="E50" s="148">
        <v>39</v>
      </c>
      <c r="F50" s="238" t="n">
        <v>134.0</v>
      </c>
      <c r="G50" s="11">
        <f si="1" t="shared"/>
        <v>1.6150647744063778E-3</v>
      </c>
    </row>
    <row r="51" spans="1:7" x14ac:dyDescent="0.25">
      <c r="A51">
        <v>40</v>
      </c>
      <c r="B51" s="8" t="n">
        <v>1191.272855</v>
      </c>
      <c r="C51" s="11">
        <f si="0" t="shared"/>
        <v>0</v>
      </c>
      <c r="E51" s="149">
        <v>40</v>
      </c>
      <c r="F51" s="239" t="n">
        <v>96.0</v>
      </c>
      <c r="G51" s="11">
        <f si="1" t="shared"/>
        <v>1.3630688521585742E-3</v>
      </c>
    </row>
    <row r="52" spans="1:7" x14ac:dyDescent="0.25">
      <c r="A52">
        <v>41</v>
      </c>
      <c r="B52" s="8" t="n">
        <v>0.0</v>
      </c>
      <c r="C52" s="11">
        <f si="0" t="shared"/>
        <v>9.4969950251610222E-4</v>
      </c>
      <c r="E52" s="150">
        <v>41</v>
      </c>
      <c r="F52" s="240" t="n">
        <v>115.0</v>
      </c>
      <c r="G52" s="11">
        <f si="1" t="shared"/>
        <v>1.1397088301662028E-3</v>
      </c>
    </row>
    <row r="53" spans="1:7" x14ac:dyDescent="0.25">
      <c r="A53">
        <v>42</v>
      </c>
      <c r="B53" s="8" t="n">
        <v>312.79596300000003</v>
      </c>
      <c r="C53" s="11">
        <f si="0" t="shared"/>
        <v>0</v>
      </c>
      <c r="E53" s="151">
        <v>42</v>
      </c>
      <c r="F53" s="241" t="n">
        <v>94.0</v>
      </c>
      <c r="G53" s="11">
        <f si="1" t="shared"/>
        <v>1.0480739493488197E-3</v>
      </c>
    </row>
    <row r="54" spans="1:7" x14ac:dyDescent="0.25">
      <c r="A54">
        <v>43</v>
      </c>
      <c r="B54" s="8" t="n">
        <v>0.0</v>
      </c>
      <c r="C54" s="11">
        <f si="0" t="shared"/>
        <v>5.5517917865227932E-4</v>
      </c>
      <c r="E54" s="152">
        <v>43</v>
      </c>
      <c r="F54" s="242" t="n">
        <v>57.0</v>
      </c>
      <c r="G54" s="11">
        <f si="1" t="shared"/>
        <v>1.0423467692977331E-3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153">
        <v>44</v>
      </c>
      <c r="F55" s="243" t="n">
        <v>60.0</v>
      </c>
      <c r="G55" s="11">
        <f si="1" t="shared"/>
        <v>7.788964869477567E-4</v>
      </c>
    </row>
    <row r="56" spans="1:7" x14ac:dyDescent="0.25">
      <c r="A56">
        <v>45</v>
      </c>
      <c r="B56" s="8" t="n">
        <v>0.0</v>
      </c>
      <c r="C56" s="11">
        <f si="0" t="shared"/>
        <v>5.5517917865227932E-4</v>
      </c>
      <c r="E56" s="154">
        <v>45</v>
      </c>
      <c r="F56" s="244" t="n">
        <v>54.0</v>
      </c>
      <c r="G56" s="11">
        <f si="1" t="shared"/>
        <v>8.2471392735644828E-4</v>
      </c>
    </row>
    <row r="57" spans="1:7" x14ac:dyDescent="0.25">
      <c r="A57">
        <v>46</v>
      </c>
      <c r="B57" s="8" t="n">
        <v>520.935897</v>
      </c>
      <c r="C57" s="11">
        <f si="0" t="shared"/>
        <v>1.0519273413743218E-3</v>
      </c>
      <c r="E57" s="155">
        <v>46</v>
      </c>
      <c r="F57" s="245" t="n">
        <v>45.0</v>
      </c>
      <c r="G57" s="11">
        <f si="1" t="shared"/>
        <v>6.1280826546624974E-4</v>
      </c>
    </row>
    <row r="58" spans="1:7" x14ac:dyDescent="0.25">
      <c r="A58">
        <v>47</v>
      </c>
      <c r="B58" s="8" t="n">
        <v>34.050388</v>
      </c>
      <c r="C58" s="11">
        <f si="0" t="shared"/>
        <v>5.7014051341243812E-4</v>
      </c>
      <c r="E58" s="156">
        <v>47</v>
      </c>
      <c r="F58" s="246" t="n">
        <v>33.0</v>
      </c>
      <c r="G58" s="11">
        <f si="1" t="shared"/>
        <v>6.8153442607928711E-4</v>
      </c>
    </row>
    <row r="59" spans="1:7" x14ac:dyDescent="0.25">
      <c r="A59">
        <v>48</v>
      </c>
      <c r="B59" s="8" t="n">
        <v>134.248838</v>
      </c>
      <c r="C59" s="11">
        <f si="0" t="shared"/>
        <v>0</v>
      </c>
      <c r="E59" s="157">
        <v>48</v>
      </c>
      <c r="F59" s="247" t="n">
        <v>25.0</v>
      </c>
      <c r="G59" s="11">
        <f si="1" t="shared"/>
        <v>5.4408210485321236E-4</v>
      </c>
    </row>
    <row r="60" spans="1:7" x14ac:dyDescent="0.25">
      <c r="A60">
        <v>49</v>
      </c>
      <c r="B60" s="8" t="n">
        <v>156.450833</v>
      </c>
      <c r="C60" s="11">
        <f si="0" t="shared"/>
        <v>0</v>
      </c>
      <c r="E60" s="158">
        <v>49</v>
      </c>
      <c r="F60" s="248" t="n">
        <v>27.0</v>
      </c>
      <c r="G60" s="11">
        <f si="1" t="shared"/>
        <v>3.8372106342279187E-4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21.0</v>
      </c>
      <c r="G61" s="11">
        <f si="1" t="shared"/>
        <v>4.9253748439343436E-4</v>
      </c>
    </row>
    <row r="62" spans="1:7" x14ac:dyDescent="0.25">
      <c r="A62">
        <v>51</v>
      </c>
      <c r="B62" s="8" t="n">
        <v>137.605542</v>
      </c>
      <c r="C62" s="11">
        <f si="0" t="shared"/>
        <v>0</v>
      </c>
      <c r="E62" s="160">
        <v>51</v>
      </c>
      <c r="F62" s="250" t="n">
        <v>21.0</v>
      </c>
      <c r="G62" s="11">
        <f si="1" t="shared"/>
        <v>3.8372106342279187E-4</v>
      </c>
    </row>
    <row r="63" spans="1:7" x14ac:dyDescent="0.25">
      <c r="A63">
        <v>52</v>
      </c>
      <c r="B63" s="8" t="n">
        <v>74.388674</v>
      </c>
      <c r="C63" s="11">
        <f si="0" t="shared"/>
        <v>0</v>
      </c>
      <c r="E63" s="161">
        <v>52</v>
      </c>
      <c r="F63" s="251" t="n">
        <v>21.0</v>
      </c>
      <c r="G63" s="11">
        <f si="1" t="shared"/>
        <v>3.6081234321844608E-4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16.0</v>
      </c>
      <c r="G64" s="11">
        <f si="1" t="shared"/>
        <v>2.4054156214563073E-4</v>
      </c>
    </row>
    <row r="65" spans="1:7" x14ac:dyDescent="0.25">
      <c r="A65">
        <v>54</v>
      </c>
      <c r="B65" s="8" t="n">
        <v>91.38179</v>
      </c>
      <c r="C65" s="11">
        <f si="0" t="shared"/>
        <v>0</v>
      </c>
      <c r="E65" s="163">
        <v>54</v>
      </c>
      <c r="F65" s="253" t="n">
        <v>11.0</v>
      </c>
      <c r="G65" s="11">
        <f si="1" t="shared"/>
        <v>3.0354054270758166E-4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16.0</v>
      </c>
      <c r="G66" s="11">
        <f si="1" t="shared"/>
        <v>2.1763284194128494E-4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8.0</v>
      </c>
      <c r="G67" s="11">
        <f si="1" t="shared"/>
        <v>2.1763284194128494E-4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13.0</v>
      </c>
      <c r="G68" s="11">
        <f si="1" t="shared"/>
        <v>1.8899694168585273E-4</v>
      </c>
    </row>
    <row r="69" spans="1:7" x14ac:dyDescent="0.25">
      <c r="A69">
        <v>58</v>
      </c>
      <c r="B69" s="8" t="n">
        <v>28.392781</v>
      </c>
      <c r="C69" s="11">
        <f si="0" t="shared"/>
        <v>0</v>
      </c>
      <c r="E69" s="167">
        <v>58</v>
      </c>
      <c r="F69" s="257" t="n">
        <v>13.0</v>
      </c>
      <c r="G69" s="11">
        <f si="1" t="shared"/>
        <v>1.374523212260747E-4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10.0</v>
      </c>
      <c r="G70" s="11">
        <f si="1" t="shared"/>
        <v>1.1454360102172892E-4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22.0</v>
      </c>
      <c r="G71" s="11">
        <f si="1" t="shared"/>
        <v>1.5463386137933404E-4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6.0</v>
      </c>
      <c r="G72" s="11">
        <f si="1" t="shared"/>
        <v>1.4890668132824759E-4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15.0</v>
      </c>
      <c r="G73" s="11">
        <f si="1" t="shared"/>
        <v>1.3172514117498825E-4</v>
      </c>
    </row>
    <row r="74" spans="1:7" x14ac:dyDescent="0.25">
      <c r="A74">
        <v>63</v>
      </c>
      <c r="B74" s="8" t="n">
        <v>30.573918</v>
      </c>
      <c r="C74" s="11">
        <f si="0" t="shared"/>
        <v>0</v>
      </c>
      <c r="E74" s="172">
        <v>63</v>
      </c>
      <c r="F74" s="262" t="n">
        <v>5.0</v>
      </c>
      <c r="G74" s="11">
        <f si="1" t="shared"/>
        <v>8.5907700766296692E-5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11.0</v>
      </c>
      <c r="G75" s="11">
        <f si="1" t="shared"/>
        <v>8.5907700766296692E-5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20.0</v>
      </c>
      <c r="G76" s="11">
        <f si="1" t="shared"/>
        <v>8.0180520715210244E-5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9.0</v>
      </c>
      <c r="G77" s="11">
        <f ref="G77:G102" si="3" t="shared">F77/F$102</f>
        <v>7.4453340664123796E-5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12.0</v>
      </c>
      <c r="G78" s="11">
        <f si="3" t="shared"/>
        <v>2.8635900255432229E-5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10.0</v>
      </c>
      <c r="G79" s="11">
        <f si="3" t="shared"/>
        <v>7.4453340664123796E-5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13.0</v>
      </c>
      <c r="G80" s="11">
        <f si="3" t="shared"/>
        <v>5.7271800510864459E-5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10.0</v>
      </c>
      <c r="G81" s="11">
        <f si="3" t="shared"/>
        <v>3.4363080306518674E-5</v>
      </c>
    </row>
    <row r="82" spans="1:7" x14ac:dyDescent="0.25">
      <c r="A82">
        <v>71</v>
      </c>
      <c r="B82" s="8" t="n">
        <v>0.0</v>
      </c>
      <c r="C82" s="11">
        <f si="2" t="shared"/>
        <v>2.4254728077207458E-4</v>
      </c>
      <c r="E82" s="180">
        <v>71</v>
      </c>
      <c r="F82" s="270" t="n">
        <v>18.0</v>
      </c>
      <c r="G82" s="11">
        <f si="3" t="shared"/>
        <v>2.8635900255432229E-5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15.0</v>
      </c>
      <c r="G83" s="11">
        <f si="3" t="shared"/>
        <v>5.1544620459778018E-5</v>
      </c>
    </row>
    <row r="84" spans="1:7" x14ac:dyDescent="0.25">
      <c r="A84">
        <v>73</v>
      </c>
      <c r="B84" s="8" t="n">
        <v>47.062368</v>
      </c>
      <c r="C84" s="11">
        <f si="2" t="shared"/>
        <v>0</v>
      </c>
      <c r="E84" s="182">
        <v>73</v>
      </c>
      <c r="F84" s="272" t="n">
        <v>19.0</v>
      </c>
      <c r="G84" s="11">
        <f si="3" t="shared"/>
        <v>1.7181540153259337E-5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35.0</v>
      </c>
      <c r="G85" s="11">
        <f si="3" t="shared"/>
        <v>1.7181540153259337E-5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9.0</v>
      </c>
      <c r="G86" s="11">
        <f si="3" t="shared"/>
        <v>2.8635900255432229E-5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9.0</v>
      </c>
      <c r="G87" s="11">
        <f si="3" t="shared"/>
        <v>2.2908720204345785E-5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12.0</v>
      </c>
      <c r="G88" s="11">
        <f si="3" t="shared"/>
        <v>1.1454360102172892E-5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13.0</v>
      </c>
      <c r="G89" s="11">
        <f si="3" t="shared"/>
        <v>1.7181540153259337E-5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2.0</v>
      </c>
      <c r="G90" s="11">
        <f si="3" t="shared"/>
        <v>1.7181540153259337E-5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31.0</v>
      </c>
      <c r="G91" s="11">
        <f si="3" t="shared"/>
        <v>5.7271800510864462E-6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10.0</v>
      </c>
      <c r="G92" s="11">
        <f si="3" t="shared"/>
        <v>1.1454360102172892E-5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16.0</v>
      </c>
      <c r="G93" s="11">
        <f si="3" t="shared"/>
        <v>5.7271800510864462E-6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13.0</v>
      </c>
      <c r="G94" s="11">
        <f si="3" t="shared"/>
        <v>1.1454360102172892E-5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13.0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4.0</v>
      </c>
      <c r="G96" s="11">
        <f si="3" t="shared"/>
        <v>5.7271800510864462E-6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3.0</v>
      </c>
      <c r="G97" s="11">
        <f si="3" t="shared"/>
        <v>5.7271800510864462E-6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2.0</v>
      </c>
      <c r="G98" s="11">
        <f si="3" t="shared"/>
        <v>5.7271800510864462E-6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8.0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4.0</v>
      </c>
      <c r="G100" s="11">
        <f si="3" t="shared"/>
        <v>5.7271800510864462E-6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2069.0</v>
      </c>
      <c r="G101" s="11">
        <f si="3" t="shared"/>
        <v>4.581744040869157E-5</v>
      </c>
    </row>
    <row r="102" spans="1:7" x14ac:dyDescent="0.25">
      <c r="B102" s="8">
        <f>SUM(B11:B101)</f>
        <v>144426.68616399996</v>
      </c>
      <c r="C102" s="11">
        <f si="2" t="shared"/>
        <v>1</v>
      </c>
      <c r="F102" s="8">
        <f>SUM(F11:F101)</f>
        <v>174606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abSelected="1" topLeftCell="F16" workbookViewId="0" zoomScaleNormal="100">
      <selection activeCell="P45" sqref="P4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53052.247988</v>
      </c>
      <c r="C7" s="12" t="n">
        <v>0.0</v>
      </c>
      <c r="D7" s="12" t="n">
        <v>0.0</v>
      </c>
      <c r="E7" s="12" t="n">
        <v>230.307428</v>
      </c>
      <c r="F7" s="12" t="n">
        <v>1414.621934</v>
      </c>
      <c r="G7" s="12" t="n">
        <v>1974.430737</v>
      </c>
      <c r="H7" s="12" t="n">
        <v>237.834127</v>
      </c>
      <c r="I7" s="12"/>
      <c r="J7" s="12">
        <f ref="J7:J14" si="0" t="shared">SUM(B7:I7)</f>
        <v>14473</v>
      </c>
      <c r="K7" s="12"/>
      <c r="L7">
        <f>$A$7</f>
        <v>1</v>
      </c>
      <c r="M7" s="343" t="n">
        <v>60711.0</v>
      </c>
      <c r="N7" s="343" t="n">
        <v>0.0</v>
      </c>
      <c r="O7" s="343" t="n">
        <v>21.0</v>
      </c>
      <c r="P7" s="343" t="n">
        <v>1123.0</v>
      </c>
      <c r="Q7" s="343" t="n">
        <v>249.0</v>
      </c>
      <c r="R7" s="343" t="n">
        <v>3213.0</v>
      </c>
      <c r="S7" s="343" t="n">
        <v>1242.0</v>
      </c>
      <c r="T7" s="291"/>
      <c r="U7" s="12">
        <f ref="U7:U14" si="1" t="shared">SUM(M7:T7)</f>
        <v>16105</v>
      </c>
    </row>
    <row r="8" spans="1:21" x14ac:dyDescent="0.25">
      <c r="A8">
        <v>2</v>
      </c>
      <c r="B8" s="12" t="n">
        <v>0.0</v>
      </c>
      <c r="C8" s="12" t="n">
        <v>7362.074943</v>
      </c>
      <c r="D8" s="12" t="n">
        <v>0.0</v>
      </c>
      <c r="E8" s="12" t="n">
        <v>0.0</v>
      </c>
      <c r="F8" s="12" t="n">
        <v>0.0</v>
      </c>
      <c r="G8" s="12" t="n">
        <v>778.4306359999999</v>
      </c>
      <c r="H8" s="12" t="n">
        <v>0.0</v>
      </c>
      <c r="I8" s="12"/>
      <c r="J8" s="12">
        <f si="0" t="shared"/>
        <v>23181</v>
      </c>
      <c r="K8" s="12"/>
      <c r="L8">
        <f>$A$8</f>
        <v>2</v>
      </c>
      <c r="M8" s="343" t="n">
        <v>52.0</v>
      </c>
      <c r="N8" s="343" t="n">
        <v>8138.0</v>
      </c>
      <c r="O8" s="343" t="n">
        <v>0.0</v>
      </c>
      <c r="P8" s="343" t="n">
        <v>15.0</v>
      </c>
      <c r="Q8" s="343" t="n">
        <v>0.0</v>
      </c>
      <c r="R8" s="343" t="n">
        <v>1221.0</v>
      </c>
      <c r="S8" s="343" t="n">
        <v>0.0</v>
      </c>
      <c r="T8" s="291"/>
      <c r="U8" s="12">
        <f si="1" t="shared"/>
        <v>22018</v>
      </c>
    </row>
    <row r="9" spans="1:21" x14ac:dyDescent="0.25">
      <c r="A9">
        <v>3</v>
      </c>
      <c r="B9" s="12" t="n">
        <v>417.620652</v>
      </c>
      <c r="C9" s="12" t="n">
        <v>0.0</v>
      </c>
      <c r="D9" s="12" t="n">
        <v>4644.250832</v>
      </c>
      <c r="E9" s="12" t="n">
        <v>0.0</v>
      </c>
      <c r="F9" s="12" t="n">
        <v>65.242152</v>
      </c>
      <c r="G9" s="12" t="n">
        <v>0.0</v>
      </c>
      <c r="H9" s="12" t="n">
        <v>0.0</v>
      </c>
      <c r="I9" s="12"/>
      <c r="J9" s="12">
        <f si="0" t="shared"/>
        <v>16850</v>
      </c>
      <c r="K9" s="13"/>
      <c r="L9">
        <f>$A$9</f>
        <v>3</v>
      </c>
      <c r="M9" s="343" t="n">
        <v>1659.0</v>
      </c>
      <c r="N9" s="343" t="n">
        <v>0.0</v>
      </c>
      <c r="O9" s="343" t="n">
        <v>4781.0</v>
      </c>
      <c r="P9" s="343" t="n">
        <v>3.0</v>
      </c>
      <c r="Q9" s="343" t="n">
        <v>329.0</v>
      </c>
      <c r="R9" s="343" t="n">
        <v>9.0</v>
      </c>
      <c r="S9" s="343" t="n">
        <v>10.0</v>
      </c>
      <c r="T9" s="291"/>
      <c r="U9" s="12">
        <f si="1" t="shared"/>
        <v>14573</v>
      </c>
    </row>
    <row r="10" spans="1:21" x14ac:dyDescent="0.25">
      <c r="A10">
        <v>4</v>
      </c>
      <c r="B10" s="12" t="n">
        <v>462.344373</v>
      </c>
      <c r="C10" s="12" t="n">
        <v>0.0</v>
      </c>
      <c r="D10" s="12" t="n">
        <v>0.0</v>
      </c>
      <c r="E10" s="12" t="n">
        <v>22335.262543</v>
      </c>
      <c r="F10" s="12" t="n">
        <v>0.0</v>
      </c>
      <c r="G10" s="12" t="n">
        <v>1089.315345</v>
      </c>
      <c r="H10" s="12" t="n">
        <v>56.768877</v>
      </c>
      <c r="I10" s="12"/>
      <c r="J10" s="12">
        <f si="0" t="shared"/>
        <v>5363</v>
      </c>
      <c r="K10" s="13"/>
      <c r="L10">
        <f>$A$10</f>
        <v>4</v>
      </c>
      <c r="M10" s="343" t="n">
        <v>640.0</v>
      </c>
      <c r="N10" s="343" t="n">
        <v>2.0</v>
      </c>
      <c r="O10" s="343" t="n">
        <v>0.0</v>
      </c>
      <c r="P10" s="343" t="n">
        <v>27006.0</v>
      </c>
      <c r="Q10" s="343" t="n">
        <v>0.0</v>
      </c>
      <c r="R10" s="343" t="n">
        <v>76.0</v>
      </c>
      <c r="S10" s="343" t="n">
        <v>94.0</v>
      </c>
      <c r="T10" s="291"/>
      <c r="U10" s="12">
        <f si="1" t="shared"/>
        <v>5682</v>
      </c>
    </row>
    <row r="11" spans="1:21" x14ac:dyDescent="0.25">
      <c r="A11">
        <v>5</v>
      </c>
      <c r="B11" s="12" t="n">
        <v>692.388643</v>
      </c>
      <c r="C11" s="12" t="n">
        <v>0.0</v>
      </c>
      <c r="D11" s="12" t="n">
        <v>870.868481</v>
      </c>
      <c r="E11" s="12" t="n">
        <v>0.0</v>
      </c>
      <c r="F11" s="12" t="n">
        <v>16143.278277</v>
      </c>
      <c r="G11" s="12" t="n">
        <v>30.573918</v>
      </c>
      <c r="H11" s="12" t="n">
        <v>0.0</v>
      </c>
      <c r="I11" s="12"/>
      <c r="J11" s="12">
        <f si="0" t="shared"/>
        <v>57371</v>
      </c>
      <c r="K11" s="13"/>
      <c r="L11">
        <f>$A$11</f>
        <v>5</v>
      </c>
      <c r="M11" s="343" t="n">
        <v>3467.0</v>
      </c>
      <c r="N11" s="343" t="n">
        <v>0.0</v>
      </c>
      <c r="O11" s="343" t="n">
        <v>648.0</v>
      </c>
      <c r="P11" s="343" t="n">
        <v>10.0</v>
      </c>
      <c r="Q11" s="343" t="n">
        <v>13359.0</v>
      </c>
      <c r="R11" s="343" t="n">
        <v>7.0</v>
      </c>
      <c r="S11" s="343" t="n">
        <v>295.0</v>
      </c>
      <c r="T11" s="291"/>
      <c r="U11" s="12">
        <f si="1" t="shared"/>
        <v>57787</v>
      </c>
    </row>
    <row r="12" spans="1:21" x14ac:dyDescent="0.25">
      <c r="A12">
        <v>6</v>
      </c>
      <c r="B12" s="12" t="n">
        <v>1103.452837</v>
      </c>
      <c r="C12" s="12" t="n">
        <v>0.0</v>
      </c>
      <c r="D12" s="12" t="n">
        <v>0.0</v>
      </c>
      <c r="E12" s="12" t="n">
        <v>1906.0314</v>
      </c>
      <c r="F12" s="12" t="n">
        <v>0.0</v>
      </c>
      <c r="G12" s="12" t="n">
        <v>12057.382329</v>
      </c>
      <c r="H12" s="12" t="n">
        <v>0.0</v>
      </c>
      <c r="I12" s="12"/>
      <c r="J12" s="12">
        <f si="0" t="shared"/>
        <v>8411</v>
      </c>
      <c r="K12" s="13"/>
      <c r="L12">
        <f>$A$12</f>
        <v>6</v>
      </c>
      <c r="M12" s="343" t="n">
        <v>1914.0</v>
      </c>
      <c r="N12" s="343" t="n">
        <v>1124.0</v>
      </c>
      <c r="O12" s="343" t="n">
        <v>0.0</v>
      </c>
      <c r="P12" s="343" t="n">
        <v>539.0</v>
      </c>
      <c r="Q12" s="343" t="n">
        <v>0.0</v>
      </c>
      <c r="R12" s="343" t="n">
        <v>17820.0</v>
      </c>
      <c r="S12" s="343" t="n">
        <v>7.0</v>
      </c>
      <c r="T12" s="291"/>
      <c r="U12" s="12">
        <f si="1" t="shared"/>
        <v>7626</v>
      </c>
    </row>
    <row r="13" spans="1:21" x14ac:dyDescent="0.25">
      <c r="A13">
        <v>7</v>
      </c>
      <c r="B13" s="12" t="n">
        <v>3742.036445</v>
      </c>
      <c r="C13" s="12" t="n">
        <v>0.0</v>
      </c>
      <c r="D13" s="12" t="n">
        <v>0.0</v>
      </c>
      <c r="E13" s="12" t="n">
        <v>119.811999</v>
      </c>
      <c r="F13" s="12" t="n">
        <v>0.0</v>
      </c>
      <c r="G13" s="12" t="n">
        <v>58.569585</v>
      </c>
      <c r="H13" s="12" t="n">
        <v>9217.861926</v>
      </c>
      <c r="I13" s="12"/>
      <c r="J13" s="12">
        <f si="0" t="shared"/>
        <v>13749</v>
      </c>
      <c r="K13" s="13"/>
      <c r="L13">
        <v>7</v>
      </c>
      <c r="M13" s="343" t="n">
        <v>1235.0</v>
      </c>
      <c r="N13" s="343" t="n">
        <v>0.0</v>
      </c>
      <c r="O13" s="343" t="n">
        <v>1.0</v>
      </c>
      <c r="P13" s="343" t="n">
        <v>516.0</v>
      </c>
      <c r="Q13" s="343" t="n">
        <v>72.0</v>
      </c>
      <c r="R13" s="343" t="n">
        <v>13.0</v>
      </c>
      <c r="S13" s="343" t="n">
        <v>10823.0</v>
      </c>
      <c r="T13" s="291"/>
      <c r="U13" s="12">
        <f si="1" t="shared"/>
        <v>10202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15353</v>
      </c>
      <c r="C15" s="15">
        <f si="2" t="shared"/>
        <v>23900</v>
      </c>
      <c r="D15" s="15">
        <f si="2" t="shared"/>
        <v>16574</v>
      </c>
      <c r="E15" s="15">
        <f si="2" t="shared"/>
        <v>5699</v>
      </c>
      <c r="F15" s="15">
        <f si="2" t="shared"/>
        <v>60277</v>
      </c>
      <c r="G15" s="15">
        <f si="2" t="shared"/>
        <v>7695</v>
      </c>
      <c r="H15" s="15">
        <f si="2" t="shared"/>
        <v>9900</v>
      </c>
      <c r="I15" s="15">
        <f si="2" t="shared"/>
        <v>0</v>
      </c>
      <c r="J15" s="15">
        <f si="2" t="shared"/>
        <v>139398</v>
      </c>
      <c r="K15" s="12"/>
      <c r="L15" s="15" t="s">
        <v>4</v>
      </c>
      <c r="M15" s="15">
        <f ref="M15:U15" si="3" t="shared">SUM(M7:M14)</f>
        <v>15218</v>
      </c>
      <c r="N15" s="15">
        <f si="3" t="shared"/>
        <v>22381</v>
      </c>
      <c r="O15" s="15">
        <f si="3" t="shared"/>
        <v>12504</v>
      </c>
      <c r="P15" s="15">
        <f si="3" t="shared"/>
        <v>5601</v>
      </c>
      <c r="Q15" s="15">
        <f si="3" t="shared"/>
        <v>61562</v>
      </c>
      <c r="R15" s="15">
        <f si="3" t="shared"/>
        <v>7819</v>
      </c>
      <c r="S15" s="15">
        <f si="3" t="shared"/>
        <v>8908</v>
      </c>
      <c r="T15" s="15">
        <f si="3" t="shared"/>
        <v>0</v>
      </c>
      <c r="U15" s="15">
        <f si="3" t="shared"/>
        <v>133993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12860.186899744351</v>
      </c>
      <c r="C20" s="12">
        <f si="4" t="shared"/>
        <v>2113.1344572652524</v>
      </c>
      <c r="D20" s="12">
        <f si="4" t="shared"/>
        <v>0</v>
      </c>
      <c r="E20" s="12">
        <f si="4" t="shared"/>
        <v>0</v>
      </c>
      <c r="F20" s="12">
        <f si="4" t="shared"/>
        <v>1131.6786429903959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16105</v>
      </c>
      <c r="K20" s="12"/>
      <c r="L20">
        <f>$A$7</f>
        <v>1</v>
      </c>
      <c r="M20" s="12">
        <f>M7</f>
        <v>13040</v>
      </c>
      <c r="N20" s="12">
        <f ref="N20:T20" si="6" t="shared">N7</f>
        <v>343</v>
      </c>
      <c r="O20" s="12">
        <f si="6" t="shared"/>
        <v>0</v>
      </c>
      <c r="P20" s="12">
        <f si="6" t="shared"/>
        <v>0</v>
      </c>
      <c r="Q20" s="12">
        <f si="6" t="shared"/>
        <v>2089</v>
      </c>
      <c r="R20" s="12">
        <f si="6" t="shared"/>
        <v>631</v>
      </c>
      <c r="S20" s="12">
        <f si="6" t="shared"/>
        <v>2</v>
      </c>
      <c r="T20" s="12">
        <f si="6" t="shared"/>
        <v>0</v>
      </c>
      <c r="U20" s="12">
        <f ref="U20:U26" si="7" t="shared">U7</f>
        <v>16105</v>
      </c>
    </row>
    <row r="21" spans="1:32" x14ac:dyDescent="0.25">
      <c r="A21">
        <f>$A$8</f>
        <v>2</v>
      </c>
      <c r="B21" s="12">
        <f ref="B21:G25" si="8" t="shared">IFERROR(($U8/$J8)*B8,0)</f>
        <v>926.08386178335707</v>
      </c>
      <c r="C21" s="12">
        <f si="8" t="shared"/>
        <v>20552.412924377724</v>
      </c>
      <c r="D21" s="12">
        <f si="8" t="shared"/>
        <v>0</v>
      </c>
      <c r="E21" s="12">
        <f si="8" t="shared"/>
        <v>0</v>
      </c>
      <c r="F21" s="12">
        <f si="8" t="shared"/>
        <v>482.51343772917477</v>
      </c>
      <c r="G21" s="12">
        <f si="8" t="shared"/>
        <v>0</v>
      </c>
      <c r="H21" s="12">
        <f ref="H21:H27" si="9" t="shared">IFERROR(($U8/$J8)*H8,0)</f>
        <v>56.989776109745051</v>
      </c>
      <c r="I21" s="12">
        <f ref="I21:I27" si="10" t="shared">IFERROR(($U8/$J8)*I8,0)</f>
        <v>0</v>
      </c>
      <c r="J21" s="12">
        <f si="5" t="shared"/>
        <v>22018.000000000004</v>
      </c>
      <c r="K21" s="12"/>
      <c r="L21">
        <f>$A$8</f>
        <v>2</v>
      </c>
      <c r="M21" s="12">
        <f ref="M21:T21" si="11" t="shared">M8</f>
        <v>153</v>
      </c>
      <c r="N21" s="12">
        <f si="11" t="shared"/>
        <v>21043</v>
      </c>
      <c r="O21" s="12">
        <f si="11" t="shared"/>
        <v>0</v>
      </c>
      <c r="P21" s="12">
        <f si="11" t="shared"/>
        <v>0</v>
      </c>
      <c r="Q21" s="12">
        <f si="11" t="shared"/>
        <v>712</v>
      </c>
      <c r="R21" s="12">
        <f si="11" t="shared"/>
        <v>5</v>
      </c>
      <c r="S21" s="12">
        <f si="11" t="shared"/>
        <v>105</v>
      </c>
      <c r="T21" s="12">
        <f si="11" t="shared"/>
        <v>0</v>
      </c>
      <c r="U21" s="12">
        <f si="7" t="shared"/>
        <v>22018</v>
      </c>
    </row>
    <row r="22" spans="1:32" x14ac:dyDescent="0.25">
      <c r="A22">
        <f>$A$9</f>
        <v>3</v>
      </c>
      <c r="B22" s="12">
        <f si="8" t="shared"/>
        <v>29.405459940652818</v>
      </c>
      <c r="C22" s="12">
        <f si="8" t="shared"/>
        <v>0</v>
      </c>
      <c r="D22" s="12">
        <f si="8" t="shared"/>
        <v>13235.051572700297</v>
      </c>
      <c r="E22" s="12">
        <f si="8" t="shared"/>
        <v>736.00136498516326</v>
      </c>
      <c r="F22" s="12">
        <f si="8" t="shared"/>
        <v>572.54160237388726</v>
      </c>
      <c r="G22" s="12">
        <f si="8" t="shared"/>
        <v>0</v>
      </c>
      <c r="H22" s="12">
        <f si="9" t="shared"/>
        <v>0</v>
      </c>
      <c r="I22" s="12">
        <f si="10" t="shared"/>
        <v>0</v>
      </c>
      <c r="J22" s="12">
        <f si="5" t="shared"/>
        <v>14573</v>
      </c>
      <c r="K22" s="13"/>
      <c r="L22">
        <f>$A$9</f>
        <v>3</v>
      </c>
      <c r="M22" s="12">
        <f ref="M22:T22" si="12" t="shared">M9</f>
        <v>1</v>
      </c>
      <c r="N22" s="12">
        <f si="12" t="shared"/>
        <v>0</v>
      </c>
      <c r="O22" s="12">
        <f si="12" t="shared"/>
        <v>11624</v>
      </c>
      <c r="P22" s="12">
        <f si="12" t="shared"/>
        <v>721</v>
      </c>
      <c r="Q22" s="12">
        <f si="12" t="shared"/>
        <v>2152</v>
      </c>
      <c r="R22" s="12">
        <f si="12" t="shared"/>
        <v>0</v>
      </c>
      <c r="S22" s="12">
        <f si="12" t="shared"/>
        <v>75</v>
      </c>
      <c r="T22" s="12">
        <f si="12" t="shared"/>
        <v>0</v>
      </c>
      <c r="U22" s="12">
        <f si="7" t="shared"/>
        <v>14573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74.163714338989379</v>
      </c>
      <c r="E23" s="12">
        <f si="8" t="shared"/>
        <v>5136.3669587917211</v>
      </c>
      <c r="F23" s="12">
        <f si="8" t="shared"/>
        <v>471.4693268692896</v>
      </c>
      <c r="G23" s="12">
        <f si="8" t="shared"/>
        <v>0</v>
      </c>
      <c r="H23" s="12">
        <f si="9" t="shared"/>
        <v>0</v>
      </c>
      <c r="I23" s="12">
        <f si="10" t="shared"/>
        <v>0</v>
      </c>
      <c r="J23" s="12">
        <f si="5" t="shared"/>
        <v>5682</v>
      </c>
      <c r="K23" s="13"/>
      <c r="L23">
        <f>$A$10</f>
        <v>4</v>
      </c>
      <c r="M23" s="12">
        <f ref="M23:T23" si="13" t="shared">M10</f>
        <v>0</v>
      </c>
      <c r="N23" s="12">
        <f si="13" t="shared"/>
        <v>0</v>
      </c>
      <c r="O23" s="12">
        <f si="13" t="shared"/>
        <v>393</v>
      </c>
      <c r="P23" s="12">
        <f si="13" t="shared"/>
        <v>4801</v>
      </c>
      <c r="Q23" s="12">
        <f si="13" t="shared"/>
        <v>487</v>
      </c>
      <c r="R23" s="12">
        <f si="13" t="shared"/>
        <v>0</v>
      </c>
      <c r="S23" s="12">
        <f si="13" t="shared"/>
        <v>1</v>
      </c>
      <c r="T23" s="12">
        <f si="13" t="shared"/>
        <v>0</v>
      </c>
      <c r="U23" s="12">
        <f si="7" t="shared"/>
        <v>5682</v>
      </c>
    </row>
    <row r="24" spans="1:32" x14ac:dyDescent="0.25">
      <c r="A24">
        <f>$A$11</f>
        <v>5</v>
      </c>
      <c r="B24" s="12">
        <f si="8" t="shared"/>
        <v>2025.581861916299</v>
      </c>
      <c r="C24" s="12">
        <f si="8" t="shared"/>
        <v>249.79826044517262</v>
      </c>
      <c r="D24" s="12">
        <f si="8" t="shared"/>
        <v>1209.7085112687594</v>
      </c>
      <c r="E24" s="12">
        <f si="8" t="shared"/>
        <v>0</v>
      </c>
      <c r="F24" s="12">
        <f si="8" t="shared"/>
        <v>54098.446654232968</v>
      </c>
      <c r="G24" s="12">
        <f si="8" t="shared"/>
        <v>0</v>
      </c>
      <c r="H24" s="12">
        <f si="9" t="shared"/>
        <v>203.46471213679382</v>
      </c>
      <c r="I24" s="12">
        <f si="10" t="shared"/>
        <v>0</v>
      </c>
      <c r="J24" s="12">
        <f si="5" t="shared"/>
        <v>57786.999999999993</v>
      </c>
      <c r="K24" s="13"/>
      <c r="L24">
        <f>$A$11</f>
        <v>5</v>
      </c>
      <c r="M24" s="12">
        <f ref="M24:T24" si="14" t="shared">M11</f>
        <v>1584</v>
      </c>
      <c r="N24" s="12">
        <f si="14" t="shared"/>
        <v>719</v>
      </c>
      <c r="O24" s="12">
        <f si="14" t="shared"/>
        <v>314</v>
      </c>
      <c r="P24" s="12">
        <f si="14" t="shared"/>
        <v>79</v>
      </c>
      <c r="Q24" s="12">
        <f si="14" t="shared"/>
        <v>54480</v>
      </c>
      <c r="R24" s="12">
        <f si="14" t="shared"/>
        <v>0</v>
      </c>
      <c r="S24" s="12">
        <f si="14" t="shared"/>
        <v>611</v>
      </c>
      <c r="T24" s="12">
        <f si="14" t="shared"/>
        <v>0</v>
      </c>
      <c r="U24" s="12">
        <f si="7" t="shared"/>
        <v>57787</v>
      </c>
    </row>
    <row r="25" spans="1:32" x14ac:dyDescent="0.25">
      <c r="A25">
        <f>$A$12</f>
        <v>6</v>
      </c>
      <c r="B25" s="12">
        <f si="8" t="shared"/>
        <v>649.17560337653072</v>
      </c>
      <c r="C25" s="12">
        <f si="8" t="shared"/>
        <v>0</v>
      </c>
      <c r="D25" s="12">
        <f si="8" t="shared"/>
        <v>0</v>
      </c>
      <c r="E25" s="12">
        <f si="8" t="shared"/>
        <v>0</v>
      </c>
      <c r="F25" s="12">
        <f si="8" t="shared"/>
        <v>0</v>
      </c>
      <c r="G25" s="12">
        <f si="8" t="shared"/>
        <v>6976.8243966234695</v>
      </c>
      <c r="H25" s="12">
        <f si="9" t="shared"/>
        <v>0</v>
      </c>
      <c r="I25" s="12">
        <f si="10" t="shared"/>
        <v>0</v>
      </c>
      <c r="J25" s="12">
        <f si="5" t="shared"/>
        <v>7626</v>
      </c>
      <c r="K25" s="13"/>
      <c r="L25">
        <f>$A$12</f>
        <v>6</v>
      </c>
      <c r="M25" s="12">
        <f ref="M25:T26" si="15" t="shared">M12</f>
        <v>433</v>
      </c>
      <c r="N25" s="12">
        <f si="15" t="shared"/>
        <v>3</v>
      </c>
      <c r="O25" s="12">
        <f si="15" t="shared"/>
        <v>0</v>
      </c>
      <c r="P25" s="12">
        <f si="15" t="shared"/>
        <v>0</v>
      </c>
      <c r="Q25" s="12">
        <f si="15" t="shared"/>
        <v>7</v>
      </c>
      <c r="R25" s="12">
        <f si="15" t="shared"/>
        <v>7183</v>
      </c>
      <c r="S25" s="12">
        <f si="15" t="shared"/>
        <v>0</v>
      </c>
      <c r="T25" s="12">
        <f si="15" t="shared"/>
        <v>0</v>
      </c>
      <c r="U25" s="12">
        <f si="7" t="shared"/>
        <v>7626</v>
      </c>
    </row>
    <row r="26" spans="1:32" x14ac:dyDescent="0.25">
      <c r="A26">
        <v>7</v>
      </c>
      <c r="B26" s="12">
        <f>IFERROR(($U13/$J13)*B13,0)</f>
        <v>44.521056076805586</v>
      </c>
      <c r="C26" s="12">
        <f ref="C26:G26" si="16" t="shared">IFERROR(($U13/$J13)*C13,0)</f>
        <v>85.332024147210703</v>
      </c>
      <c r="D26" s="12">
        <f si="16" t="shared"/>
        <v>0</v>
      </c>
      <c r="E26" s="12">
        <f si="16" t="shared"/>
        <v>0</v>
      </c>
      <c r="F26" s="12">
        <f si="16" t="shared"/>
        <v>2920.5812786384463</v>
      </c>
      <c r="G26" s="12">
        <f si="16" t="shared"/>
        <v>0</v>
      </c>
      <c r="H26" s="12">
        <f si="9" t="shared"/>
        <v>7151.5656411375376</v>
      </c>
      <c r="I26" s="12">
        <f si="10" t="shared"/>
        <v>0</v>
      </c>
      <c r="J26" s="12">
        <f si="5" t="shared"/>
        <v>10202</v>
      </c>
      <c r="K26" s="13"/>
      <c r="L26">
        <v>7</v>
      </c>
      <c r="M26" s="12">
        <f si="15" t="shared"/>
        <v>7</v>
      </c>
      <c r="N26" s="12">
        <f si="15" t="shared"/>
        <v>273</v>
      </c>
      <c r="O26" s="12">
        <f si="15" t="shared"/>
        <v>173</v>
      </c>
      <c r="P26" s="12">
        <f si="15" t="shared"/>
        <v>0</v>
      </c>
      <c r="Q26" s="12">
        <f si="15" t="shared"/>
        <v>1635</v>
      </c>
      <c r="R26" s="12">
        <f si="15" t="shared"/>
        <v>0</v>
      </c>
      <c r="S26" s="12">
        <f si="15" t="shared"/>
        <v>8114</v>
      </c>
      <c r="T26" s="12">
        <f si="15" t="shared"/>
        <v>0</v>
      </c>
      <c r="U26" s="12">
        <f si="7" t="shared"/>
        <v>10202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 si="10" t="shared"/>
        <v>0</v>
      </c>
      <c r="J27" s="14">
        <f si="5" t="shared"/>
        <v>0</v>
      </c>
      <c r="K27" s="12"/>
      <c r="L27" s="293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2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16534.954742837999</v>
      </c>
      <c r="C28" s="15">
        <f si="19" t="shared"/>
        <v>23000.677666235359</v>
      </c>
      <c r="D28" s="15">
        <f si="19" t="shared"/>
        <v>14518.923798308046</v>
      </c>
      <c r="E28" s="15">
        <f si="19" t="shared"/>
        <v>5872.3683237768846</v>
      </c>
      <c r="F28" s="15">
        <f si="19" t="shared"/>
        <v>59677.230942834161</v>
      </c>
      <c r="G28" s="15">
        <f si="19" t="shared"/>
        <v>6976.8243966234695</v>
      </c>
      <c r="H28" s="402">
        <f si="19" t="shared"/>
        <v>7412.0201293840764</v>
      </c>
      <c r="I28" s="15">
        <f si="19" t="shared"/>
        <v>0</v>
      </c>
      <c r="J28" s="15">
        <f si="19" t="shared"/>
        <v>133993</v>
      </c>
      <c r="K28" s="12"/>
      <c r="L28" s="15" t="s">
        <v>4</v>
      </c>
      <c r="M28" s="15">
        <f ref="M28:T28" si="20" t="shared">M15</f>
        <v>15218</v>
      </c>
      <c r="N28" s="15">
        <f si="20" t="shared"/>
        <v>22381</v>
      </c>
      <c r="O28" s="15">
        <f si="20" t="shared"/>
        <v>12504</v>
      </c>
      <c r="P28" s="15">
        <f si="20" t="shared"/>
        <v>5601</v>
      </c>
      <c r="Q28" s="15">
        <f si="20" t="shared"/>
        <v>61562</v>
      </c>
      <c r="R28" s="15">
        <f si="20" t="shared"/>
        <v>7819</v>
      </c>
      <c r="S28" s="402">
        <f si="20" t="shared"/>
        <v>8908</v>
      </c>
      <c r="T28" s="15">
        <f si="20" t="shared"/>
        <v>0</v>
      </c>
      <c r="U28" s="15">
        <f si="18" t="shared"/>
        <v>133993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9.5976557728719783E-2</v>
      </c>
      <c r="C33" s="16">
        <f si="21" t="shared"/>
        <v>1.5770483960096813E-2</v>
      </c>
      <c r="D33" s="16">
        <f si="21" t="shared"/>
        <v>0</v>
      </c>
      <c r="E33" s="16">
        <f si="21" t="shared"/>
        <v>0</v>
      </c>
      <c r="F33" s="16">
        <f si="21" t="shared"/>
        <v>8.4458042061182001E-3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0.12019284589493481</v>
      </c>
      <c r="K33" s="12"/>
      <c r="L33">
        <f>$A$7</f>
        <v>1</v>
      </c>
      <c r="M33" s="16">
        <f ref="M33:T33" si="23" t="shared">IFERROR(M20/$U$28,0)</f>
        <v>9.7318516638928904E-2</v>
      </c>
      <c r="N33" s="16">
        <f si="23" t="shared"/>
        <v>2.5598352152724395E-3</v>
      </c>
      <c r="O33" s="16">
        <f si="23" t="shared"/>
        <v>0</v>
      </c>
      <c r="P33" s="16">
        <f si="23" t="shared"/>
        <v>0</v>
      </c>
      <c r="Q33" s="16">
        <f si="23" t="shared"/>
        <v>1.5590366660944975E-2</v>
      </c>
      <c r="R33" s="16">
        <f si="23" t="shared"/>
        <v>4.7092012269297646E-3</v>
      </c>
      <c r="S33" s="16">
        <f si="23" t="shared"/>
        <v>1.4926152858731426E-5</v>
      </c>
      <c r="T33" s="16">
        <f si="23" t="shared"/>
        <v>0</v>
      </c>
      <c r="U33" s="16">
        <f ref="U33:U41" si="24" t="shared">U20/$U$28</f>
        <v>0.12019284589493481</v>
      </c>
      <c r="W33">
        <f>$A$7</f>
        <v>1</v>
      </c>
      <c r="X33" s="16">
        <f ref="X33:AD33" si="25" t="shared">M33-B33</f>
        <v>1.3419589102091206E-3</v>
      </c>
      <c r="Y33" s="16">
        <f si="25" t="shared"/>
        <v>-1.3210648744824374E-2</v>
      </c>
      <c r="Z33" s="16">
        <f si="25" t="shared"/>
        <v>0</v>
      </c>
      <c r="AA33" s="16">
        <f si="25" t="shared"/>
        <v>0</v>
      </c>
      <c r="AB33" s="16">
        <f si="25" t="shared"/>
        <v>7.1445624548267753E-3</v>
      </c>
      <c r="AC33" s="16">
        <f si="25" t="shared"/>
        <v>4.7092012269297646E-3</v>
      </c>
      <c r="AD33" s="16">
        <f si="25" t="shared"/>
        <v>1.4926152858731426E-5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6.9114346404913467E-3</v>
      </c>
      <c r="C34" s="16">
        <f si="28" t="shared"/>
        <v>0.15338422846251465</v>
      </c>
      <c r="D34" s="16">
        <f si="28" t="shared"/>
        <v>0</v>
      </c>
      <c r="E34" s="16">
        <f si="28" t="shared"/>
        <v>0</v>
      </c>
      <c r="F34" s="16">
        <f si="28" t="shared"/>
        <v>3.6010346639688252E-3</v>
      </c>
      <c r="G34" s="16">
        <f si="28" t="shared"/>
        <v>0</v>
      </c>
      <c r="H34" s="16">
        <f ref="H34:H40" si="29" t="shared">IFERROR(H21/$J$28,0)</f>
        <v>4.2531905479946749E-4</v>
      </c>
      <c r="I34" s="16">
        <f>IFERROR(I21/$J$28,0)</f>
        <v>0</v>
      </c>
      <c r="J34" s="16">
        <f si="22" t="shared"/>
        <v>0.1643220168217743</v>
      </c>
      <c r="K34" s="12"/>
      <c r="L34">
        <f>$A$8</f>
        <v>2</v>
      </c>
      <c r="M34" s="16">
        <f ref="M34:R38" si="30" t="shared">IFERROR(M21/$U$28,0)</f>
        <v>1.141850693692954E-3</v>
      </c>
      <c r="N34" s="16">
        <f si="30" t="shared"/>
        <v>0.1570455173031427</v>
      </c>
      <c r="O34" s="16">
        <f si="30" t="shared"/>
        <v>0</v>
      </c>
      <c r="P34" s="16">
        <f si="30" t="shared"/>
        <v>0</v>
      </c>
      <c r="Q34" s="16">
        <f si="30" t="shared"/>
        <v>5.313710417708388E-3</v>
      </c>
      <c r="R34" s="16">
        <f si="30" t="shared"/>
        <v>3.7315382146828563E-5</v>
      </c>
      <c r="S34" s="16">
        <f ref="S34:S40" si="31" t="shared">IFERROR(S21/$U$28,0)</f>
        <v>7.8362302508339988E-4</v>
      </c>
      <c r="T34" s="16">
        <f ref="T34:T40" si="32" t="shared">IFERROR(T21/$U$28,0)</f>
        <v>0</v>
      </c>
      <c r="U34" s="16">
        <f si="24" t="shared"/>
        <v>0.16432201682177427</v>
      </c>
      <c r="W34">
        <f>$A$8</f>
        <v>2</v>
      </c>
      <c r="X34" s="16">
        <f ref="X34:X40" si="33" t="shared">M34-B34</f>
        <v>-5.7695839467983932E-3</v>
      </c>
      <c r="Y34" s="16">
        <f ref="Y34:Y40" si="34" t="shared">N34-C34</f>
        <v>3.6612888406280519E-3</v>
      </c>
      <c r="Z34" s="16">
        <f ref="Z34:Z40" si="35" t="shared">O34-D34</f>
        <v>0</v>
      </c>
      <c r="AA34" s="16">
        <f ref="AA34:AA40" si="36" t="shared">P34-E34</f>
        <v>0</v>
      </c>
      <c r="AB34" s="16">
        <f ref="AB34:AB40" si="37" t="shared">Q34-F34</f>
        <v>1.7126757537395628E-3</v>
      </c>
      <c r="AC34" s="16">
        <f ref="AC34:AC40" si="38" t="shared">R34-G34</f>
        <v>3.7315382146828563E-5</v>
      </c>
      <c r="AD34" s="16">
        <f ref="AD34:AD40" si="39" t="shared">S34-H34</f>
        <v>3.5830397028393238E-4</v>
      </c>
      <c r="AE34" s="16">
        <f ref="AE34:AE40" si="40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2.1945519497774374E-4</v>
      </c>
      <c r="C35" s="16">
        <f si="28" t="shared"/>
        <v>0</v>
      </c>
      <c r="D35" s="16">
        <f si="28" t="shared"/>
        <v>9.8774201433659198E-2</v>
      </c>
      <c r="E35" s="16">
        <f si="28" t="shared"/>
        <v>5.4928344390017632E-3</v>
      </c>
      <c r="F35" s="16">
        <f si="28" t="shared"/>
        <v>4.2729217375078342E-3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0.10875941280514653</v>
      </c>
      <c r="K35" s="13"/>
      <c r="L35">
        <f>$A$9</f>
        <v>3</v>
      </c>
      <c r="M35" s="16">
        <f si="30" t="shared"/>
        <v>7.4630764293657129E-6</v>
      </c>
      <c r="N35" s="16">
        <f si="30" t="shared"/>
        <v>0</v>
      </c>
      <c r="O35" s="16">
        <f si="30" t="shared"/>
        <v>8.6750800414947052E-2</v>
      </c>
      <c r="P35" s="16">
        <f si="30" t="shared"/>
        <v>5.3808781055726795E-3</v>
      </c>
      <c r="Q35" s="16">
        <f si="30" t="shared"/>
        <v>1.6060540475995016E-2</v>
      </c>
      <c r="R35" s="16">
        <f si="30" t="shared"/>
        <v>0</v>
      </c>
      <c r="S35" s="16">
        <f si="31" t="shared"/>
        <v>5.597307322024285E-4</v>
      </c>
      <c r="T35" s="16">
        <f si="32" t="shared"/>
        <v>0</v>
      </c>
      <c r="U35" s="16">
        <f si="24" t="shared"/>
        <v>0.10875941280514653</v>
      </c>
      <c r="W35">
        <f>$A$9</f>
        <v>3</v>
      </c>
      <c r="X35" s="16">
        <f si="33" t="shared"/>
        <v>-2.1199211854837802E-4</v>
      </c>
      <c r="Y35" s="16">
        <f si="34" t="shared"/>
        <v>0</v>
      </c>
      <c r="Z35" s="16">
        <f si="35" t="shared"/>
        <v>-1.2023401018712146E-2</v>
      </c>
      <c r="AA35" s="16">
        <f si="36" t="shared"/>
        <v>-1.1195633342908368E-4</v>
      </c>
      <c r="AB35" s="16">
        <f si="37" t="shared"/>
        <v>1.1787618738487181E-2</v>
      </c>
      <c r="AC35" s="16">
        <f si="38" t="shared"/>
        <v>0</v>
      </c>
      <c r="AD35" s="16">
        <f si="39" t="shared"/>
        <v>5.597307322024285E-4</v>
      </c>
      <c r="AE35" s="16">
        <f si="40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0</v>
      </c>
      <c r="C36" s="16">
        <f si="28" t="shared"/>
        <v>0</v>
      </c>
      <c r="D36" s="16">
        <f si="28" t="shared"/>
        <v>5.5348946839752357E-4</v>
      </c>
      <c r="E36" s="16">
        <f si="28" t="shared"/>
        <v>3.8333099182731346E-2</v>
      </c>
      <c r="F36" s="16">
        <f si="28" t="shared"/>
        <v>3.5186116205271141E-3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4.2405200271655979E-2</v>
      </c>
      <c r="K36" s="13"/>
      <c r="L36">
        <f>$A$10</f>
        <v>4</v>
      </c>
      <c r="M36" s="16">
        <f si="30" t="shared"/>
        <v>0</v>
      </c>
      <c r="N36" s="16">
        <f si="30" t="shared"/>
        <v>0</v>
      </c>
      <c r="O36" s="16">
        <f si="30" t="shared"/>
        <v>2.9329890367407255E-3</v>
      </c>
      <c r="P36" s="16">
        <f si="30" t="shared"/>
        <v>3.5830229937384786E-2</v>
      </c>
      <c r="Q36" s="16">
        <f si="30" t="shared"/>
        <v>3.6345182211011025E-3</v>
      </c>
      <c r="R36" s="16">
        <f si="30" t="shared"/>
        <v>0</v>
      </c>
      <c r="S36" s="16">
        <f si="31" t="shared"/>
        <v>7.4630764293657129E-6</v>
      </c>
      <c r="T36" s="16">
        <f si="32" t="shared"/>
        <v>0</v>
      </c>
      <c r="U36" s="16">
        <f si="24" t="shared"/>
        <v>4.2405200271655979E-2</v>
      </c>
      <c r="W36">
        <f>$A$10</f>
        <v>4</v>
      </c>
      <c r="X36" s="16">
        <f si="33" t="shared"/>
        <v>0</v>
      </c>
      <c r="Y36" s="16">
        <f si="34" t="shared"/>
        <v>0</v>
      </c>
      <c r="Z36" s="16">
        <f si="35" t="shared"/>
        <v>2.3794995683432017E-3</v>
      </c>
      <c r="AA36" s="16">
        <f si="36" t="shared"/>
        <v>-2.5028692453465604E-3</v>
      </c>
      <c r="AB36" s="16">
        <f si="37" t="shared"/>
        <v>1.1590660057398837E-4</v>
      </c>
      <c r="AC36" s="16">
        <f si="38" t="shared"/>
        <v>0</v>
      </c>
      <c r="AD36" s="16">
        <f si="39" t="shared"/>
        <v>7.4630764293657129E-6</v>
      </c>
      <c r="AE36" s="16">
        <f si="40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1.5117072249418245E-2</v>
      </c>
      <c r="C37" s="16">
        <f si="28" t="shared"/>
        <v>1.8642635096249253E-3</v>
      </c>
      <c r="D37" s="16">
        <f si="28" t="shared"/>
        <v>9.0281470768529652E-3</v>
      </c>
      <c r="E37" s="16">
        <f si="28" t="shared"/>
        <v>0</v>
      </c>
      <c r="F37" s="16">
        <f si="28" t="shared"/>
        <v>0.40374084209050448</v>
      </c>
      <c r="G37" s="16">
        <f si="28" t="shared"/>
        <v>0</v>
      </c>
      <c r="H37" s="16">
        <f si="29" t="shared"/>
        <v>1.5184726973557858E-3</v>
      </c>
      <c r="I37" s="16">
        <f>IFERROR(I24/$J$28,0)</f>
        <v>0</v>
      </c>
      <c r="J37" s="16">
        <f si="22" t="shared"/>
        <v>0.43126879762375642</v>
      </c>
      <c r="K37" s="13"/>
      <c r="L37">
        <f>$A$11</f>
        <v>5</v>
      </c>
      <c r="M37" s="16">
        <f si="30" t="shared"/>
        <v>1.182151306411529E-2</v>
      </c>
      <c r="N37" s="16">
        <f si="30" t="shared"/>
        <v>5.3659519527139475E-3</v>
      </c>
      <c r="O37" s="16">
        <f si="30" t="shared"/>
        <v>2.343405998820834E-3</v>
      </c>
      <c r="P37" s="16">
        <f si="30" t="shared"/>
        <v>5.8958303791989137E-4</v>
      </c>
      <c r="Q37" s="16">
        <f si="30" t="shared"/>
        <v>0.40658840387184403</v>
      </c>
      <c r="R37" s="16">
        <f si="30" t="shared"/>
        <v>0</v>
      </c>
      <c r="S37" s="16">
        <f si="31" t="shared"/>
        <v>4.5599396983424505E-3</v>
      </c>
      <c r="T37" s="16">
        <f si="32" t="shared"/>
        <v>0</v>
      </c>
      <c r="U37" s="16">
        <f si="24" t="shared"/>
        <v>0.43126879762375647</v>
      </c>
      <c r="W37">
        <f>$A$11</f>
        <v>5</v>
      </c>
      <c r="X37" s="16">
        <f si="33" t="shared"/>
        <v>-3.2955591853029553E-3</v>
      </c>
      <c r="Y37" s="16">
        <f si="34" t="shared"/>
        <v>3.5016884430890223E-3</v>
      </c>
      <c r="Z37" s="16">
        <f si="35" t="shared"/>
        <v>-6.6847410780321312E-3</v>
      </c>
      <c r="AA37" s="16">
        <f si="36" t="shared"/>
        <v>5.8958303791989137E-4</v>
      </c>
      <c r="AB37" s="16">
        <f si="37" t="shared"/>
        <v>2.8475617813395471E-3</v>
      </c>
      <c r="AC37" s="16">
        <f si="38" t="shared"/>
        <v>0</v>
      </c>
      <c r="AD37" s="16">
        <f si="39" t="shared"/>
        <v>3.0414670009866647E-3</v>
      </c>
      <c r="AE37" s="16">
        <f si="40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4.8448471440786511E-3</v>
      </c>
      <c r="C38" s="16">
        <f si="28" t="shared"/>
        <v>0</v>
      </c>
      <c r="D38" s="16">
        <f si="28" t="shared"/>
        <v>0</v>
      </c>
      <c r="E38" s="16">
        <f si="28" t="shared"/>
        <v>0</v>
      </c>
      <c r="F38" s="16">
        <f si="28" t="shared"/>
        <v>0</v>
      </c>
      <c r="G38" s="16">
        <f si="28" t="shared"/>
        <v>5.2068573706264276E-2</v>
      </c>
      <c r="H38" s="16">
        <f si="29" t="shared"/>
        <v>0</v>
      </c>
      <c r="I38" s="16">
        <f>IFERROR(I25/$J$28,0)</f>
        <v>0</v>
      </c>
      <c r="J38" s="16">
        <f si="22" t="shared"/>
        <v>5.6913420850342927E-2</v>
      </c>
      <c r="K38" s="13"/>
      <c r="L38">
        <f>$A$12</f>
        <v>6</v>
      </c>
      <c r="M38" s="16">
        <f si="30" t="shared"/>
        <v>3.231512093915354E-3</v>
      </c>
      <c r="N38" s="16">
        <f si="30" t="shared"/>
        <v>2.2389229288097141E-5</v>
      </c>
      <c r="O38" s="16">
        <f si="30" t="shared"/>
        <v>0</v>
      </c>
      <c r="P38" s="16">
        <f si="30" t="shared"/>
        <v>0</v>
      </c>
      <c r="Q38" s="16">
        <f si="30" t="shared"/>
        <v>5.2241535005559992E-5</v>
      </c>
      <c r="R38" s="16">
        <f si="30" t="shared"/>
        <v>5.3607277992133918E-2</v>
      </c>
      <c r="S38" s="16">
        <f si="31" t="shared"/>
        <v>0</v>
      </c>
      <c r="T38" s="16">
        <f si="32" t="shared"/>
        <v>0</v>
      </c>
      <c r="U38" s="16">
        <f si="24" t="shared"/>
        <v>5.6913420850342927E-2</v>
      </c>
      <c r="W38">
        <f>$A$12</f>
        <v>6</v>
      </c>
      <c r="X38" s="16">
        <f si="33" t="shared"/>
        <v>-1.6133350501632972E-3</v>
      </c>
      <c r="Y38" s="16">
        <f si="34" t="shared"/>
        <v>2.2389229288097141E-5</v>
      </c>
      <c r="Z38" s="16">
        <f si="35" t="shared"/>
        <v>0</v>
      </c>
      <c r="AA38" s="16">
        <f si="36" t="shared"/>
        <v>0</v>
      </c>
      <c r="AB38" s="16">
        <f si="37" t="shared"/>
        <v>5.2241535005559992E-5</v>
      </c>
      <c r="AC38" s="16">
        <f si="38" t="shared"/>
        <v>1.5387042858696423E-3</v>
      </c>
      <c r="AD38" s="16">
        <f si="39" t="shared"/>
        <v>0</v>
      </c>
      <c r="AE38" s="16">
        <f si="40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3.322640442172769E-4</v>
      </c>
      <c r="C39" s="16">
        <f ref="C39:J39" si="41" t="shared">IFERROR(C26/$J$28,0)</f>
        <v>6.3683941808311407E-4</v>
      </c>
      <c r="D39" s="16">
        <f si="41" t="shared"/>
        <v>0</v>
      </c>
      <c r="E39" s="16">
        <f si="41" t="shared"/>
        <v>0</v>
      </c>
      <c r="F39" s="16">
        <f si="41" t="shared"/>
        <v>2.1796521300653366E-2</v>
      </c>
      <c r="G39" s="16">
        <f si="41" t="shared"/>
        <v>0</v>
      </c>
      <c r="H39" s="16">
        <f si="29" t="shared"/>
        <v>5.3372680969435253E-2</v>
      </c>
      <c r="I39" s="16">
        <f si="41" t="shared"/>
        <v>0</v>
      </c>
      <c r="J39" s="16">
        <f si="41" t="shared"/>
        <v>7.6138305732389E-2</v>
      </c>
      <c r="K39" s="13"/>
      <c r="L39">
        <v>7</v>
      </c>
      <c r="M39" s="16">
        <f>IFERROR(M26/$U$28,0)</f>
        <v>5.2241535005559992E-5</v>
      </c>
      <c r="N39" s="16">
        <f ref="N39:R39" si="42" t="shared">IFERROR(N26/$U$28,0)</f>
        <v>2.0374198652168395E-3</v>
      </c>
      <c r="O39" s="16">
        <f si="42" t="shared"/>
        <v>1.2911122222802683E-3</v>
      </c>
      <c r="P39" s="16">
        <f si="42" t="shared"/>
        <v>0</v>
      </c>
      <c r="Q39" s="16">
        <f si="42" t="shared"/>
        <v>1.2202129962012941E-2</v>
      </c>
      <c r="R39" s="16">
        <f si="42" t="shared"/>
        <v>0</v>
      </c>
      <c r="S39" s="16">
        <f si="31" t="shared"/>
        <v>6.0555402147873395E-2</v>
      </c>
      <c r="T39" s="16">
        <f si="32" t="shared"/>
        <v>0</v>
      </c>
      <c r="U39" s="16">
        <f si="24" t="shared"/>
        <v>7.6138305732389E-2</v>
      </c>
      <c r="W39">
        <v>7</v>
      </c>
      <c r="X39" s="16">
        <f si="33" t="shared"/>
        <v>-2.800225092117169E-4</v>
      </c>
      <c r="Y39" s="16">
        <f si="34" t="shared"/>
        <v>1.4005804471337255E-3</v>
      </c>
      <c r="Z39" s="16">
        <f si="35" t="shared"/>
        <v>1.2911122222802683E-3</v>
      </c>
      <c r="AA39" s="16">
        <f si="36" t="shared"/>
        <v>0</v>
      </c>
      <c r="AB39" s="16">
        <f si="37" t="shared"/>
        <v>-9.5943913386404255E-3</v>
      </c>
      <c r="AC39" s="16">
        <f si="38" t="shared"/>
        <v>0</v>
      </c>
      <c r="AD39" s="16">
        <f si="39" t="shared"/>
        <v>7.1827211784381423E-3</v>
      </c>
      <c r="AE39" s="16">
        <f si="40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>IFERROR(C27/$J$28,0)</f>
        <v>0</v>
      </c>
      <c r="D40" s="17">
        <f>IFERROR(D27/$J$28,0)</f>
        <v>0</v>
      </c>
      <c r="E40" s="17">
        <f>IFERROR(E27/$J$28,0)</f>
        <v>0</v>
      </c>
      <c r="F40" s="17">
        <f>IFERROR(F27/$J$28,0)</f>
        <v>0</v>
      </c>
      <c r="G40" s="17">
        <f>IFERROR(G27/$J$28,0)</f>
        <v>0</v>
      </c>
      <c r="H40" s="16">
        <f si="29" t="shared"/>
        <v>0</v>
      </c>
      <c r="I40" s="17">
        <f>IFERROR(I27/$J$28,0)</f>
        <v>0</v>
      </c>
      <c r="J40" s="17">
        <f>J27/$J$28</f>
        <v>0</v>
      </c>
      <c r="K40" s="12"/>
      <c r="L40" s="293" t="s">
        <v>13</v>
      </c>
      <c r="M40" s="17">
        <f>IFERROR(M27/$U$28,0)</f>
        <v>0</v>
      </c>
      <c r="N40" s="17">
        <f>IFERROR(N27/$U$28,0)</f>
        <v>0</v>
      </c>
      <c r="O40" s="17">
        <f>IFERROR(O27/$U$28,0)</f>
        <v>0</v>
      </c>
      <c r="P40" s="17">
        <f>IFERROR(P27/$U$28,0)</f>
        <v>0</v>
      </c>
      <c r="Q40" s="17">
        <f>IFERROR(Q27/$U$28,0)</f>
        <v>0</v>
      </c>
      <c r="R40" s="17">
        <f>IFERROR(R27/$U$28,0)</f>
        <v>0</v>
      </c>
      <c r="S40" s="16">
        <f si="31" t="shared"/>
        <v>0</v>
      </c>
      <c r="T40" s="17">
        <f si="32" t="shared"/>
        <v>0</v>
      </c>
      <c r="U40" s="17">
        <f si="24" t="shared"/>
        <v>0</v>
      </c>
      <c r="W40" s="293" t="s">
        <v>13</v>
      </c>
      <c r="X40" s="17">
        <f si="33" t="shared"/>
        <v>0</v>
      </c>
      <c r="Y40" s="17">
        <f si="34" t="shared"/>
        <v>0</v>
      </c>
      <c r="Z40" s="17">
        <f si="35" t="shared"/>
        <v>0</v>
      </c>
      <c r="AA40" s="17">
        <f si="36" t="shared"/>
        <v>0</v>
      </c>
      <c r="AB40" s="17">
        <f si="37" t="shared"/>
        <v>0</v>
      </c>
      <c r="AC40" s="17">
        <f si="38" t="shared"/>
        <v>0</v>
      </c>
      <c r="AD40" s="16">
        <f si="39" t="shared"/>
        <v>0</v>
      </c>
      <c r="AE40" s="17">
        <f si="40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3" t="shared">B28/$J$28</f>
        <v>0.12340163100190307</v>
      </c>
      <c r="C41" s="18">
        <f si="43" t="shared"/>
        <v>0.17165581535031949</v>
      </c>
      <c r="D41" s="18">
        <f si="43" t="shared"/>
        <v>0.10835583797890969</v>
      </c>
      <c r="E41" s="18">
        <f si="43" t="shared"/>
        <v>4.3825933621733107E-2</v>
      </c>
      <c r="F41" s="18">
        <f si="43" t="shared"/>
        <v>0.44537573561927984</v>
      </c>
      <c r="G41" s="18">
        <f si="43" t="shared"/>
        <v>5.2068573706264276E-2</v>
      </c>
      <c r="H41" s="403">
        <f si="43" t="shared"/>
        <v>5.5316472721590501E-2</v>
      </c>
      <c r="I41" s="18">
        <f si="43" t="shared"/>
        <v>0</v>
      </c>
      <c r="J41" s="18">
        <f>J28/$J$28</f>
        <v>1</v>
      </c>
      <c r="K41" s="12"/>
      <c r="L41" s="15" t="s">
        <v>4</v>
      </c>
      <c r="M41" s="18">
        <f ref="M41:T41" si="44" t="shared">M28/$U$28</f>
        <v>0.11357309710208742</v>
      </c>
      <c r="N41" s="18">
        <f si="44" t="shared"/>
        <v>0.16703111356563402</v>
      </c>
      <c r="O41" s="18">
        <f si="44" t="shared"/>
        <v>9.3318307672788883E-2</v>
      </c>
      <c r="P41" s="18">
        <f si="44" t="shared"/>
        <v>4.1800691080877361E-2</v>
      </c>
      <c r="Q41" s="18">
        <f si="44" t="shared"/>
        <v>0.45944191114461203</v>
      </c>
      <c r="R41" s="18">
        <f si="44" t="shared"/>
        <v>5.8353794601210512E-2</v>
      </c>
      <c r="S41" s="403">
        <f si="44" t="shared"/>
        <v>6.6481084832789777E-2</v>
      </c>
      <c r="T41" s="18">
        <f si="44" t="shared"/>
        <v>0</v>
      </c>
      <c r="U41" s="18">
        <f si="24" t="shared"/>
        <v>1</v>
      </c>
      <c r="W41" s="15" t="s">
        <v>4</v>
      </c>
      <c r="X41" s="18">
        <f ref="X41:AD41" si="45" t="shared">M41-B41</f>
        <v>-9.828533899815653E-3</v>
      </c>
      <c r="Y41" s="18">
        <f si="45" t="shared"/>
        <v>-4.6247017846854643E-3</v>
      </c>
      <c r="Z41" s="18">
        <f si="45" t="shared"/>
        <v>-1.5037530306120803E-2</v>
      </c>
      <c r="AA41" s="18">
        <f si="45" t="shared"/>
        <v>-2.0252425408557456E-3</v>
      </c>
      <c r="AB41" s="18">
        <f si="45" t="shared"/>
        <v>1.4066175525332181E-2</v>
      </c>
      <c r="AC41" s="18">
        <f si="45" t="shared"/>
        <v>6.2852208949462363E-3</v>
      </c>
      <c r="AD41" s="18">
        <f si="45" t="shared"/>
        <v>1.1164612111199276E-2</v>
      </c>
      <c r="AE41" s="18">
        <f ref="AE41" si="46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K26" sqref="K26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311</v>
      </c>
    </row>
    <row r="2" spans="1:4" x14ac:dyDescent="0.25">
      <c r="A2" t="s">
        <v>247</v>
      </c>
      <c r="B2" t="s">
        <v>254</v>
      </c>
      <c r="C2" t="s">
        <v>91</v>
      </c>
      <c r="D2" t="s">
        <v>269</v>
      </c>
    </row>
    <row r="3" spans="1:4" x14ac:dyDescent="0.25">
      <c r="A3">
        <v>1</v>
      </c>
      <c r="B3" t="s">
        <v>45</v>
      </c>
      <c r="C3" t="s">
        <v>270</v>
      </c>
      <c r="D3" t="s">
        <v>46</v>
      </c>
    </row>
    <row r="4" spans="1:4" x14ac:dyDescent="0.25">
      <c r="A4">
        <v>2</v>
      </c>
      <c r="B4" t="s">
        <v>48</v>
      </c>
      <c r="C4" t="s">
        <v>270</v>
      </c>
      <c r="D4" t="s">
        <v>49</v>
      </c>
    </row>
    <row r="5" spans="1:4" x14ac:dyDescent="0.25">
      <c r="A5">
        <v>3</v>
      </c>
      <c r="B5" t="s">
        <v>51</v>
      </c>
      <c r="C5" t="s">
        <v>270</v>
      </c>
      <c r="D5" t="s">
        <v>52</v>
      </c>
    </row>
    <row r="6" spans="1:4" x14ac:dyDescent="0.25">
      <c r="A6">
        <v>4</v>
      </c>
      <c r="B6" t="s">
        <v>54</v>
      </c>
      <c r="C6" t="s">
        <v>270</v>
      </c>
      <c r="D6" t="s">
        <v>55</v>
      </c>
    </row>
    <row r="7" spans="1:4" x14ac:dyDescent="0.25">
      <c r="A7">
        <v>5</v>
      </c>
      <c r="B7" t="s">
        <v>57</v>
      </c>
      <c r="C7" t="s">
        <v>270</v>
      </c>
      <c r="D7" t="s">
        <v>58</v>
      </c>
    </row>
    <row r="8" spans="1:4" x14ac:dyDescent="0.25">
      <c r="A8">
        <v>6</v>
      </c>
      <c r="B8" t="s">
        <v>59</v>
      </c>
      <c r="C8" t="s">
        <v>270</v>
      </c>
      <c r="D8" t="s">
        <v>60</v>
      </c>
    </row>
    <row r="9" spans="1:4" x14ac:dyDescent="0.25">
      <c r="A9">
        <v>7</v>
      </c>
      <c r="B9" t="s">
        <v>61</v>
      </c>
      <c r="C9" t="s">
        <v>270</v>
      </c>
      <c r="D9" t="s">
        <v>62</v>
      </c>
    </row>
    <row r="10" spans="1:4" x14ac:dyDescent="0.25">
      <c r="A10">
        <v>8</v>
      </c>
      <c r="B10" t="s">
        <v>64</v>
      </c>
      <c r="C10" t="s">
        <v>270</v>
      </c>
      <c r="D10" t="s">
        <v>65</v>
      </c>
    </row>
    <row r="11" spans="1:4" x14ac:dyDescent="0.25">
      <c r="A11">
        <v>9</v>
      </c>
      <c r="B11" t="s">
        <v>66</v>
      </c>
      <c r="C11" t="s">
        <v>270</v>
      </c>
      <c r="D11" t="s">
        <v>67</v>
      </c>
    </row>
    <row r="12" spans="1:4" x14ac:dyDescent="0.25">
      <c r="A12">
        <v>10</v>
      </c>
      <c r="B12" t="s">
        <v>68</v>
      </c>
      <c r="C12" t="s">
        <v>270</v>
      </c>
      <c r="D12" t="s">
        <v>69</v>
      </c>
    </row>
    <row r="13" spans="1:4" x14ac:dyDescent="0.25">
      <c r="A13">
        <v>11</v>
      </c>
      <c r="B13" t="s">
        <v>70</v>
      </c>
      <c r="C13" t="s">
        <v>270</v>
      </c>
      <c r="D13" t="s">
        <v>71</v>
      </c>
    </row>
    <row r="14" spans="1:4" x14ac:dyDescent="0.25">
      <c r="A14">
        <v>12</v>
      </c>
      <c r="B14" t="s">
        <v>72</v>
      </c>
      <c r="C14" t="s">
        <v>270</v>
      </c>
      <c r="D14" t="s">
        <v>73</v>
      </c>
    </row>
    <row r="15" spans="1:4" x14ac:dyDescent="0.25">
      <c r="A15">
        <v>13</v>
      </c>
      <c r="B15" t="s">
        <v>74</v>
      </c>
      <c r="C15" t="s">
        <v>270</v>
      </c>
      <c r="D15" t="s">
        <v>75</v>
      </c>
    </row>
    <row r="16" spans="1:4" x14ac:dyDescent="0.25">
      <c r="A16">
        <v>14</v>
      </c>
      <c r="B16" t="s">
        <v>76</v>
      </c>
      <c r="C16" t="s">
        <v>270</v>
      </c>
      <c r="D16" t="s">
        <v>77</v>
      </c>
    </row>
    <row r="17" spans="1:4" x14ac:dyDescent="0.25">
      <c r="A17">
        <v>15</v>
      </c>
      <c r="B17" t="s">
        <v>78</v>
      </c>
      <c r="C17" t="s">
        <v>270</v>
      </c>
      <c r="D17" t="s">
        <v>79</v>
      </c>
    </row>
    <row r="18" spans="1:4" x14ac:dyDescent="0.25">
      <c r="A18">
        <v>16</v>
      </c>
      <c r="B18" t="s">
        <v>80</v>
      </c>
      <c r="C18" t="s">
        <v>270</v>
      </c>
      <c r="D18" t="s">
        <v>81</v>
      </c>
    </row>
    <row r="19" spans="1:4" x14ac:dyDescent="0.25">
      <c r="A19">
        <v>17</v>
      </c>
      <c r="B19" t="s">
        <v>83</v>
      </c>
      <c r="C19" t="s">
        <v>270</v>
      </c>
      <c r="D19" t="s">
        <v>84</v>
      </c>
    </row>
    <row r="20" spans="1:4" x14ac:dyDescent="0.25">
      <c r="A20">
        <v>18</v>
      </c>
      <c r="B20" t="s">
        <v>86</v>
      </c>
      <c r="C20" t="s">
        <v>270</v>
      </c>
      <c r="D20" t="s">
        <v>87</v>
      </c>
    </row>
    <row r="21" spans="1:4" x14ac:dyDescent="0.25">
      <c r="A21">
        <v>19</v>
      </c>
      <c r="B21" t="s">
        <v>89</v>
      </c>
      <c r="C21" t="s">
        <v>270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271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66" t="s">
        <v>227</v>
      </c>
      <c r="B1" s="367"/>
      <c r="C1" s="367"/>
      <c r="D1" s="367"/>
      <c r="E1" s="367"/>
      <c r="F1" s="367"/>
      <c r="G1" s="367"/>
      <c r="H1" s="367" t="s">
        <v>228</v>
      </c>
      <c r="I1" s="367"/>
      <c r="J1" s="367"/>
      <c r="K1" s="368"/>
    </row>
    <row r="2" spans="1:11" x14ac:dyDescent="0.25">
      <c r="A2" s="369">
        <v>1</v>
      </c>
      <c r="B2" s="370" t="s">
        <v>272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229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230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231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B8" t="s">
        <v>232</v>
      </c>
      <c r="C8" t="s">
        <v>233</v>
      </c>
      <c r="D8" t="s">
        <v>234</v>
      </c>
      <c r="E8" t="s">
        <v>273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0.63901620370370371</v>
      </c>
      <c r="G9" t="s">
        <v>239</v>
      </c>
      <c r="H9">
        <v>5</v>
      </c>
      <c r="I9" t="s">
        <v>274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</row>
    <row r="12" spans="1:11" x14ac:dyDescent="0.25">
      <c r="B12">
        <v>2</v>
      </c>
      <c r="C12" t="s">
        <v>48</v>
      </c>
      <c r="D12" t="s">
        <v>242</v>
      </c>
      <c r="E12">
        <v>14.646264049799999</v>
      </c>
    </row>
    <row r="13" spans="1:11" x14ac:dyDescent="0.25">
      <c r="B13">
        <v>3</v>
      </c>
      <c r="C13" t="s">
        <v>51</v>
      </c>
      <c r="D13" t="s">
        <v>242</v>
      </c>
      <c r="E13" s="336">
        <v>0.22200781244000001</v>
      </c>
    </row>
    <row r="14" spans="1:11" x14ac:dyDescent="0.25">
      <c r="B14">
        <v>4</v>
      </c>
      <c r="C14" t="s">
        <v>54</v>
      </c>
      <c r="D14" t="s">
        <v>242</v>
      </c>
      <c r="E14" s="336">
        <v>-2.8145955800000001E-2</v>
      </c>
    </row>
    <row r="15" spans="1:11" x14ac:dyDescent="0.25">
      <c r="B15">
        <v>5</v>
      </c>
      <c r="C15" t="s">
        <v>57</v>
      </c>
      <c r="D15" t="s">
        <v>242</v>
      </c>
      <c r="E15">
        <v>9.8040262330000003E-2</v>
      </c>
    </row>
    <row r="16" spans="1:11" x14ac:dyDescent="0.25">
      <c r="B16">
        <v>6</v>
      </c>
      <c r="C16" t="s">
        <v>59</v>
      </c>
      <c r="D16" t="s">
        <v>242</v>
      </c>
      <c r="E16" s="336">
        <v>0.42673478574000001</v>
      </c>
    </row>
    <row r="17" spans="2:6" x14ac:dyDescent="0.25">
      <c r="B17">
        <v>7</v>
      </c>
      <c r="C17" t="s">
        <v>61</v>
      </c>
      <c r="D17" t="s">
        <v>242</v>
      </c>
      <c r="E17">
        <v>-1.7969923454700001</v>
      </c>
    </row>
    <row r="18" spans="2:6" x14ac:dyDescent="0.25">
      <c r="B18">
        <v>8</v>
      </c>
      <c r="C18" t="s">
        <v>64</v>
      </c>
      <c r="D18" t="s">
        <v>242</v>
      </c>
      <c r="E18" s="336">
        <v>1.4351261662999999</v>
      </c>
    </row>
    <row r="19" spans="2:6" x14ac:dyDescent="0.25">
      <c r="B19">
        <v>9</v>
      </c>
      <c r="C19" t="s">
        <v>66</v>
      </c>
      <c r="D19" t="s">
        <v>242</v>
      </c>
      <c r="E19" s="336">
        <v>0.75752967669000004</v>
      </c>
    </row>
    <row r="20" spans="2:6" x14ac:dyDescent="0.25">
      <c r="B20">
        <v>10</v>
      </c>
      <c r="C20" t="s">
        <v>68</v>
      </c>
      <c r="D20" t="s">
        <v>242</v>
      </c>
      <c r="E20">
        <v>-0.30290505894999997</v>
      </c>
    </row>
    <row r="21" spans="2:6" x14ac:dyDescent="0.25">
      <c r="B21">
        <v>11</v>
      </c>
      <c r="C21" t="s">
        <v>70</v>
      </c>
      <c r="D21" t="s">
        <v>242</v>
      </c>
      <c r="E21">
        <v>-0.87303985647000004</v>
      </c>
    </row>
    <row r="22" spans="2:6" x14ac:dyDescent="0.25">
      <c r="B22">
        <v>12</v>
      </c>
      <c r="C22" t="s">
        <v>72</v>
      </c>
      <c r="D22" t="s">
        <v>242</v>
      </c>
      <c r="E22">
        <v>-1.0505382935000001</v>
      </c>
    </row>
    <row r="23" spans="2:6" x14ac:dyDescent="0.25">
      <c r="B23">
        <v>13</v>
      </c>
      <c r="C23" t="s">
        <v>74</v>
      </c>
      <c r="D23" t="s">
        <v>242</v>
      </c>
      <c r="E23">
        <v>-0.48292853740000002</v>
      </c>
    </row>
    <row r="24" spans="2:6" x14ac:dyDescent="0.25">
      <c r="B24">
        <v>14</v>
      </c>
      <c r="C24" t="s">
        <v>76</v>
      </c>
      <c r="D24" t="s">
        <v>242</v>
      </c>
      <c r="E24">
        <v>-0.23954858711999999</v>
      </c>
    </row>
    <row r="25" spans="2:6" x14ac:dyDescent="0.25">
      <c r="B25">
        <v>15</v>
      </c>
      <c r="C25" t="s">
        <v>78</v>
      </c>
      <c r="D25" t="s">
        <v>242</v>
      </c>
      <c r="E25">
        <v>1.8108489737</v>
      </c>
    </row>
    <row r="26" spans="2:6" x14ac:dyDescent="0.25">
      <c r="B26">
        <v>16</v>
      </c>
      <c r="C26" t="s">
        <v>80</v>
      </c>
      <c r="D26" t="s">
        <v>242</v>
      </c>
      <c r="E26">
        <v>0.83658874170999997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0.62608089853000004</v>
      </c>
      <c r="F30" s="336"/>
    </row>
    <row r="31" spans="2:6" x14ac:dyDescent="0.25">
      <c r="B31">
        <v>21</v>
      </c>
      <c r="C31" t="s">
        <v>94</v>
      </c>
      <c r="D31" t="s">
        <v>242</v>
      </c>
      <c r="E31">
        <v>-8.6146833141499997</v>
      </c>
    </row>
    <row r="32" spans="2:6" x14ac:dyDescent="0.25">
      <c r="B32">
        <v>22</v>
      </c>
      <c r="C32" t="s">
        <v>96</v>
      </c>
      <c r="D32" t="s">
        <v>242</v>
      </c>
      <c r="E32">
        <v>-4.7070055634400001</v>
      </c>
    </row>
    <row r="33" spans="2:6" x14ac:dyDescent="0.25">
      <c r="B33">
        <v>23</v>
      </c>
      <c r="C33" t="s">
        <v>98</v>
      </c>
      <c r="D33" t="s">
        <v>242</v>
      </c>
      <c r="E33">
        <v>-4.09326880388</v>
      </c>
    </row>
    <row r="34" spans="2:6" x14ac:dyDescent="0.25">
      <c r="B34">
        <v>24</v>
      </c>
      <c r="C34" t="s">
        <v>100</v>
      </c>
      <c r="D34" t="s">
        <v>242</v>
      </c>
      <c r="E34">
        <v>0.20798702908</v>
      </c>
      <c r="F34" s="336"/>
    </row>
    <row r="35" spans="2:6" x14ac:dyDescent="0.25">
      <c r="B35">
        <v>25</v>
      </c>
      <c r="C35" t="s">
        <v>103</v>
      </c>
      <c r="D35" t="s">
        <v>242</v>
      </c>
      <c r="E35">
        <v>-0.13975410125000001</v>
      </c>
      <c r="F35" s="336"/>
    </row>
    <row r="36" spans="2:6" x14ac:dyDescent="0.25">
      <c r="B36">
        <v>26</v>
      </c>
      <c r="C36" t="s">
        <v>105</v>
      </c>
      <c r="D36" t="s">
        <v>242</v>
      </c>
      <c r="E36">
        <v>0.83837490119000002</v>
      </c>
      <c r="F36" s="336"/>
    </row>
    <row r="37" spans="2:6" x14ac:dyDescent="0.25">
      <c r="B37">
        <v>27</v>
      </c>
      <c r="C37" t="s">
        <v>106</v>
      </c>
      <c r="D37" t="s">
        <v>242</v>
      </c>
      <c r="E37">
        <v>-9.2935231723499996</v>
      </c>
    </row>
    <row r="38" spans="2:6" x14ac:dyDescent="0.25">
      <c r="B38">
        <v>28</v>
      </c>
      <c r="C38" t="s">
        <v>108</v>
      </c>
      <c r="D38" t="s">
        <v>242</v>
      </c>
      <c r="E38">
        <v>-3.4981009168599999</v>
      </c>
    </row>
    <row r="39" spans="2:6" x14ac:dyDescent="0.25">
      <c r="B39">
        <v>29</v>
      </c>
      <c r="C39" t="s">
        <v>109</v>
      </c>
      <c r="D39" t="s">
        <v>242</v>
      </c>
      <c r="E39">
        <v>-3.66532113402</v>
      </c>
    </row>
    <row r="40" spans="2:6" x14ac:dyDescent="0.25">
      <c r="B40">
        <v>30</v>
      </c>
      <c r="C40" t="s">
        <v>110</v>
      </c>
      <c r="D40" t="s">
        <v>242</v>
      </c>
      <c r="E40">
        <v>-0.32381248725</v>
      </c>
      <c r="F40" s="336"/>
    </row>
    <row r="41" spans="2:6" x14ac:dyDescent="0.25">
      <c r="B41">
        <v>31</v>
      </c>
      <c r="C41" t="s">
        <v>112</v>
      </c>
      <c r="D41" t="s">
        <v>242</v>
      </c>
      <c r="E41" s="336">
        <v>0.14322267177</v>
      </c>
      <c r="F41" s="336"/>
    </row>
    <row r="42" spans="2:6" x14ac:dyDescent="0.25">
      <c r="B42">
        <v>32</v>
      </c>
      <c r="C42" t="s">
        <v>114</v>
      </c>
      <c r="D42" t="s">
        <v>242</v>
      </c>
      <c r="E42">
        <v>-0.14826541710999999</v>
      </c>
      <c r="F42" s="336"/>
    </row>
    <row r="43" spans="2:6" x14ac:dyDescent="0.25">
      <c r="B43">
        <v>33</v>
      </c>
      <c r="C43" t="s">
        <v>116</v>
      </c>
      <c r="D43" t="s">
        <v>242</v>
      </c>
      <c r="E43">
        <v>0.18525614085</v>
      </c>
      <c r="F43" s="336"/>
    </row>
    <row r="44" spans="2:6" x14ac:dyDescent="0.25">
      <c r="B44">
        <v>34</v>
      </c>
      <c r="C44" t="s">
        <v>118</v>
      </c>
      <c r="D44" t="s">
        <v>242</v>
      </c>
      <c r="E44">
        <v>-0.10344899338999999</v>
      </c>
      <c r="F44" s="336"/>
    </row>
    <row r="45" spans="2:6" x14ac:dyDescent="0.25">
      <c r="B45">
        <v>35</v>
      </c>
      <c r="C45" t="s">
        <v>121</v>
      </c>
      <c r="D45" t="s">
        <v>242</v>
      </c>
      <c r="E45" s="336">
        <v>7.5098801229999998E-2</v>
      </c>
      <c r="F45" s="336"/>
    </row>
    <row r="46" spans="2:6" x14ac:dyDescent="0.25">
      <c r="B46">
        <v>36</v>
      </c>
      <c r="C46" t="s">
        <v>123</v>
      </c>
      <c r="D46" t="s">
        <v>242</v>
      </c>
      <c r="E46" s="336">
        <v>1.1126386876900001</v>
      </c>
      <c r="F46" s="336"/>
    </row>
    <row r="47" spans="2:6" x14ac:dyDescent="0.25">
      <c r="B47">
        <v>37</v>
      </c>
      <c r="C47" t="s">
        <v>124</v>
      </c>
      <c r="D47" t="s">
        <v>242</v>
      </c>
      <c r="E47">
        <v>-7.8810597731899996</v>
      </c>
    </row>
    <row r="48" spans="2:6" x14ac:dyDescent="0.25">
      <c r="B48">
        <v>38</v>
      </c>
      <c r="C48" t="s">
        <v>126</v>
      </c>
      <c r="D48" t="s">
        <v>242</v>
      </c>
      <c r="E48">
        <v>-8.0062297029800007</v>
      </c>
    </row>
    <row r="49" spans="2:6" x14ac:dyDescent="0.25">
      <c r="B49">
        <v>39</v>
      </c>
      <c r="C49" t="s">
        <v>127</v>
      </c>
      <c r="D49" t="s">
        <v>242</v>
      </c>
      <c r="E49">
        <v>-3.4078711737399998</v>
      </c>
    </row>
    <row r="50" spans="2:6" x14ac:dyDescent="0.25">
      <c r="B50">
        <v>40</v>
      </c>
      <c r="C50" t="s">
        <v>128</v>
      </c>
      <c r="D50" t="s">
        <v>242</v>
      </c>
      <c r="E50">
        <v>-0.25934246287000001</v>
      </c>
    </row>
    <row r="51" spans="2:6" x14ac:dyDescent="0.25">
      <c r="B51">
        <v>41</v>
      </c>
      <c r="C51" t="s">
        <v>129</v>
      </c>
      <c r="D51" t="s">
        <v>242</v>
      </c>
      <c r="E51">
        <v>-0.13916826495000001</v>
      </c>
      <c r="F51" s="336"/>
    </row>
    <row r="52" spans="2:6" x14ac:dyDescent="0.25">
      <c r="B52">
        <v>42</v>
      </c>
      <c r="C52" t="s">
        <v>131</v>
      </c>
      <c r="D52" t="s">
        <v>242</v>
      </c>
      <c r="E52">
        <v>0.51094315161000003</v>
      </c>
      <c r="F52" s="336"/>
    </row>
    <row r="53" spans="2:6" x14ac:dyDescent="0.25">
      <c r="B53">
        <v>43</v>
      </c>
      <c r="C53" t="s">
        <v>133</v>
      </c>
      <c r="D53" t="s">
        <v>242</v>
      </c>
      <c r="E53">
        <v>0.71812285494999994</v>
      </c>
      <c r="F53" s="336"/>
    </row>
    <row r="54" spans="2:6" x14ac:dyDescent="0.25">
      <c r="B54">
        <v>44</v>
      </c>
      <c r="C54" t="s">
        <v>134</v>
      </c>
      <c r="D54" t="s">
        <v>242</v>
      </c>
      <c r="E54">
        <v>-15.14732909554</v>
      </c>
    </row>
    <row r="55" spans="2:6" x14ac:dyDescent="0.25">
      <c r="B55">
        <v>45</v>
      </c>
      <c r="C55" t="s">
        <v>136</v>
      </c>
      <c r="D55" t="s">
        <v>242</v>
      </c>
      <c r="E55">
        <v>-4.0821681896699999</v>
      </c>
    </row>
    <row r="56" spans="2:6" x14ac:dyDescent="0.25">
      <c r="B56">
        <v>46</v>
      </c>
      <c r="C56" t="s">
        <v>138</v>
      </c>
      <c r="D56" t="s">
        <v>242</v>
      </c>
      <c r="E56">
        <v>-1.9121090734599999</v>
      </c>
    </row>
    <row r="57" spans="2:6" x14ac:dyDescent="0.25">
      <c r="B57">
        <v>47</v>
      </c>
      <c r="C57" t="s">
        <v>140</v>
      </c>
      <c r="D57" t="s">
        <v>242</v>
      </c>
      <c r="E57">
        <v>-1.3851302912200001</v>
      </c>
    </row>
    <row r="58" spans="2:6" x14ac:dyDescent="0.25">
      <c r="B58">
        <v>48</v>
      </c>
      <c r="C58" t="s">
        <v>143</v>
      </c>
      <c r="D58" t="s">
        <v>242</v>
      </c>
      <c r="E58">
        <v>0.18770524043</v>
      </c>
      <c r="F58" s="336"/>
    </row>
    <row r="59" spans="2:6" x14ac:dyDescent="0.25">
      <c r="B59">
        <v>49</v>
      </c>
      <c r="C59" t="s">
        <v>145</v>
      </c>
      <c r="D59" t="s">
        <v>242</v>
      </c>
      <c r="E59">
        <v>0.75868423218000003</v>
      </c>
      <c r="F59" s="336"/>
    </row>
    <row r="60" spans="2:6" x14ac:dyDescent="0.25">
      <c r="B60">
        <v>50</v>
      </c>
      <c r="C60" t="s">
        <v>146</v>
      </c>
      <c r="D60" t="s">
        <v>242</v>
      </c>
      <c r="E60">
        <v>-11.41930576164</v>
      </c>
    </row>
    <row r="61" spans="2:6" x14ac:dyDescent="0.25">
      <c r="B61">
        <v>51</v>
      </c>
      <c r="C61" t="s">
        <v>147</v>
      </c>
      <c r="D61" t="s">
        <v>242</v>
      </c>
      <c r="E61">
        <v>-5.0410177787699997</v>
      </c>
    </row>
    <row r="62" spans="2:6" x14ac:dyDescent="0.25">
      <c r="B62">
        <v>52</v>
      </c>
      <c r="C62" t="s">
        <v>148</v>
      </c>
      <c r="D62" t="s">
        <v>242</v>
      </c>
      <c r="E62">
        <v>-3.9034241353299999</v>
      </c>
    </row>
    <row r="63" spans="2:6" x14ac:dyDescent="0.25">
      <c r="B63">
        <v>53</v>
      </c>
      <c r="C63" t="s">
        <v>149</v>
      </c>
      <c r="D63" t="s">
        <v>242</v>
      </c>
      <c r="E63">
        <v>-0.39747668525000002</v>
      </c>
    </row>
    <row r="64" spans="2:6" x14ac:dyDescent="0.25">
      <c r="B64">
        <v>54</v>
      </c>
      <c r="C64" t="s">
        <v>150</v>
      </c>
      <c r="D64" t="s">
        <v>242</v>
      </c>
      <c r="E64">
        <v>0.21263122743000001</v>
      </c>
      <c r="F64" s="336"/>
    </row>
    <row r="65" spans="2:6" x14ac:dyDescent="0.25">
      <c r="B65">
        <v>55</v>
      </c>
      <c r="C65" t="s">
        <v>152</v>
      </c>
      <c r="D65" t="s">
        <v>242</v>
      </c>
      <c r="E65">
        <v>0.43455667627</v>
      </c>
      <c r="F65" s="336"/>
    </row>
    <row r="66" spans="2:6" x14ac:dyDescent="0.25">
      <c r="B66">
        <v>56</v>
      </c>
      <c r="C66" t="s">
        <v>153</v>
      </c>
      <c r="D66" t="s">
        <v>242</v>
      </c>
      <c r="E66">
        <v>-0.77182497547999995</v>
      </c>
      <c r="F66" s="336"/>
    </row>
    <row r="67" spans="2:6" x14ac:dyDescent="0.25">
      <c r="B67">
        <v>57</v>
      </c>
      <c r="C67" t="s">
        <v>154</v>
      </c>
      <c r="D67" t="s">
        <v>242</v>
      </c>
      <c r="E67" s="336">
        <v>7.732925786E-2</v>
      </c>
      <c r="F67" s="336"/>
    </row>
    <row r="68" spans="2:6" x14ac:dyDescent="0.25">
      <c r="B68">
        <v>70</v>
      </c>
      <c r="C68" t="s">
        <v>155</v>
      </c>
      <c r="D68" t="s">
        <v>242</v>
      </c>
      <c r="E68" s="336">
        <v>0.28212328097</v>
      </c>
      <c r="F68" s="336"/>
    </row>
    <row r="69" spans="2:6" x14ac:dyDescent="0.25">
      <c r="B69">
        <v>71</v>
      </c>
      <c r="C69" t="s">
        <v>156</v>
      </c>
      <c r="D69" t="s">
        <v>241</v>
      </c>
      <c r="E69">
        <v>0</v>
      </c>
      <c r="F69" s="336"/>
    </row>
    <row r="70" spans="2:6" x14ac:dyDescent="0.25">
      <c r="B70">
        <v>72</v>
      </c>
      <c r="C70" t="s">
        <v>158</v>
      </c>
      <c r="D70" t="s">
        <v>242</v>
      </c>
      <c r="E70">
        <v>-3.71465268105</v>
      </c>
    </row>
    <row r="71" spans="2:6" x14ac:dyDescent="0.25">
      <c r="B71">
        <v>73</v>
      </c>
      <c r="C71" t="s">
        <v>160</v>
      </c>
      <c r="D71" t="s">
        <v>242</v>
      </c>
      <c r="E71">
        <v>-2.3682469103699999</v>
      </c>
    </row>
    <row r="72" spans="2:6" x14ac:dyDescent="0.25">
      <c r="B72">
        <v>74</v>
      </c>
      <c r="C72" t="s">
        <v>162</v>
      </c>
      <c r="D72" t="s">
        <v>242</v>
      </c>
      <c r="E72">
        <v>-2.6135679522899999</v>
      </c>
    </row>
    <row r="73" spans="2:6" x14ac:dyDescent="0.25">
      <c r="B73">
        <v>75</v>
      </c>
      <c r="C73" t="s">
        <v>164</v>
      </c>
      <c r="D73" t="s">
        <v>242</v>
      </c>
      <c r="E73">
        <v>-3.2783954524199999</v>
      </c>
    </row>
    <row r="74" spans="2:6" x14ac:dyDescent="0.25">
      <c r="B74">
        <v>76</v>
      </c>
      <c r="C74" t="s">
        <v>166</v>
      </c>
      <c r="D74" t="s">
        <v>242</v>
      </c>
      <c r="E74">
        <v>-2.7864533272199998</v>
      </c>
    </row>
    <row r="75" spans="2:6" x14ac:dyDescent="0.25">
      <c r="B75">
        <v>77</v>
      </c>
      <c r="C75" t="s">
        <v>168</v>
      </c>
      <c r="D75" t="s">
        <v>242</v>
      </c>
      <c r="E75">
        <v>-2.4397388537100002</v>
      </c>
    </row>
    <row r="76" spans="2:6" x14ac:dyDescent="0.25">
      <c r="B76">
        <v>78</v>
      </c>
      <c r="C76" t="s">
        <v>170</v>
      </c>
      <c r="D76" t="s">
        <v>242</v>
      </c>
      <c r="E76">
        <v>-3.8618208476799998</v>
      </c>
    </row>
    <row r="77" spans="2:6" x14ac:dyDescent="0.25">
      <c r="B77">
        <v>79</v>
      </c>
      <c r="C77" t="s">
        <v>172</v>
      </c>
      <c r="D77" t="s">
        <v>242</v>
      </c>
      <c r="E77">
        <v>-21.721852511200002</v>
      </c>
    </row>
    <row r="78" spans="2:6" x14ac:dyDescent="0.25">
      <c r="B78">
        <v>80</v>
      </c>
      <c r="C78" t="s">
        <v>174</v>
      </c>
      <c r="D78" t="s">
        <v>242</v>
      </c>
      <c r="E78">
        <v>-1.01264089672</v>
      </c>
    </row>
    <row r="79" spans="2:6" x14ac:dyDescent="0.25">
      <c r="B79">
        <v>81</v>
      </c>
      <c r="C79" t="s">
        <v>176</v>
      </c>
      <c r="D79" t="s">
        <v>242</v>
      </c>
      <c r="E79">
        <v>-5.1766396376000001</v>
      </c>
    </row>
    <row r="80" spans="2:6" x14ac:dyDescent="0.25">
      <c r="B80">
        <v>82</v>
      </c>
      <c r="C80" t="s">
        <v>178</v>
      </c>
      <c r="D80" t="s">
        <v>242</v>
      </c>
      <c r="E80">
        <v>-2.28857439545</v>
      </c>
    </row>
    <row r="81" spans="2:5" x14ac:dyDescent="0.25">
      <c r="B81">
        <v>83</v>
      </c>
      <c r="C81" t="s">
        <v>179</v>
      </c>
      <c r="D81" t="s">
        <v>242</v>
      </c>
      <c r="E81">
        <v>-3.4002747143900001</v>
      </c>
    </row>
    <row r="82" spans="2:5" x14ac:dyDescent="0.25">
      <c r="B82">
        <v>84</v>
      </c>
      <c r="C82" t="s">
        <v>181</v>
      </c>
      <c r="D82" t="s">
        <v>242</v>
      </c>
      <c r="E82">
        <v>-1.5824120396100001</v>
      </c>
    </row>
    <row r="83" spans="2:5" x14ac:dyDescent="0.25">
      <c r="B83">
        <v>85</v>
      </c>
      <c r="C83" t="s">
        <v>183</v>
      </c>
      <c r="D83" t="s">
        <v>242</v>
      </c>
      <c r="E83">
        <v>-3.8472578798099999</v>
      </c>
    </row>
    <row r="84" spans="2:5" x14ac:dyDescent="0.25">
      <c r="B84">
        <v>86</v>
      </c>
      <c r="C84" t="s">
        <v>185</v>
      </c>
      <c r="D84" t="s">
        <v>242</v>
      </c>
      <c r="E84">
        <v>-3.1031248195800001</v>
      </c>
    </row>
    <row r="85" spans="2:5" x14ac:dyDescent="0.25">
      <c r="B85">
        <v>87</v>
      </c>
      <c r="C85" t="s">
        <v>187</v>
      </c>
      <c r="D85" t="s">
        <v>242</v>
      </c>
      <c r="E85">
        <v>-19.5604248241</v>
      </c>
    </row>
    <row r="86" spans="2:5" x14ac:dyDescent="0.25">
      <c r="B86">
        <v>88</v>
      </c>
      <c r="C86" t="s">
        <v>189</v>
      </c>
      <c r="D86" t="s">
        <v>241</v>
      </c>
      <c r="E86">
        <v>0</v>
      </c>
    </row>
    <row r="87" spans="2:5" x14ac:dyDescent="0.25">
      <c r="B87">
        <v>89</v>
      </c>
      <c r="C87" t="s">
        <v>191</v>
      </c>
      <c r="D87" t="s">
        <v>242</v>
      </c>
      <c r="E87">
        <v>-5.3998296944700002</v>
      </c>
    </row>
    <row r="88" spans="2:5" x14ac:dyDescent="0.25">
      <c r="B88">
        <v>90</v>
      </c>
      <c r="C88" t="s">
        <v>193</v>
      </c>
      <c r="D88" t="s">
        <v>242</v>
      </c>
      <c r="E88">
        <v>-17.4219403528</v>
      </c>
    </row>
    <row r="89" spans="2:5" x14ac:dyDescent="0.25">
      <c r="B89">
        <v>91</v>
      </c>
      <c r="C89" t="s">
        <v>195</v>
      </c>
      <c r="D89" t="s">
        <v>242</v>
      </c>
      <c r="E89">
        <v>-10.161549352</v>
      </c>
    </row>
    <row r="90" spans="2:5" x14ac:dyDescent="0.25">
      <c r="B90">
        <v>92</v>
      </c>
      <c r="C90" t="s">
        <v>197</v>
      </c>
      <c r="D90" t="s">
        <v>242</v>
      </c>
      <c r="E90">
        <v>-0.87415121182</v>
      </c>
    </row>
    <row r="91" spans="2:5" x14ac:dyDescent="0.25">
      <c r="B91">
        <v>93</v>
      </c>
      <c r="C91" t="s">
        <v>199</v>
      </c>
      <c r="D91" t="s">
        <v>242</v>
      </c>
      <c r="E91">
        <v>-0.74080192435000003</v>
      </c>
    </row>
    <row r="92" spans="2:5" x14ac:dyDescent="0.25">
      <c r="B92">
        <v>94</v>
      </c>
      <c r="C92" t="s">
        <v>201</v>
      </c>
      <c r="D92" t="s">
        <v>241</v>
      </c>
      <c r="E92">
        <v>0</v>
      </c>
    </row>
    <row r="93" spans="2:5" x14ac:dyDescent="0.25">
      <c r="B93">
        <v>95</v>
      </c>
      <c r="C93" t="s">
        <v>203</v>
      </c>
      <c r="D93" t="s">
        <v>242</v>
      </c>
      <c r="E93">
        <v>-10.7800625269</v>
      </c>
    </row>
    <row r="94" spans="2:5" x14ac:dyDescent="0.25">
      <c r="B94">
        <v>96</v>
      </c>
      <c r="C94" t="s">
        <v>205</v>
      </c>
      <c r="D94" t="s">
        <v>242</v>
      </c>
      <c r="E94">
        <v>-17.598302231800002</v>
      </c>
    </row>
    <row r="95" spans="2:5" x14ac:dyDescent="0.25">
      <c r="B95">
        <v>97</v>
      </c>
      <c r="C95" t="s">
        <v>207</v>
      </c>
      <c r="D95" t="s">
        <v>242</v>
      </c>
      <c r="E95">
        <v>-7.3399914692000001</v>
      </c>
    </row>
    <row r="96" spans="2:5" x14ac:dyDescent="0.25">
      <c r="B96">
        <v>98</v>
      </c>
      <c r="C96" t="s">
        <v>209</v>
      </c>
      <c r="D96" t="s">
        <v>242</v>
      </c>
      <c r="E96">
        <v>-11.813486662400001</v>
      </c>
    </row>
    <row r="97" spans="2:5" x14ac:dyDescent="0.25">
      <c r="B97">
        <v>99</v>
      </c>
      <c r="C97" t="s">
        <v>210</v>
      </c>
      <c r="D97" t="s">
        <v>242</v>
      </c>
      <c r="E97">
        <v>-12.070734291200001</v>
      </c>
    </row>
    <row r="98" spans="2:5" x14ac:dyDescent="0.25">
      <c r="B98">
        <v>100</v>
      </c>
      <c r="C98" t="s">
        <v>211</v>
      </c>
      <c r="D98" t="s">
        <v>241</v>
      </c>
      <c r="E98">
        <v>0</v>
      </c>
    </row>
    <row r="99" spans="2:5" x14ac:dyDescent="0.25">
      <c r="B99">
        <v>101</v>
      </c>
      <c r="C99" t="s">
        <v>212</v>
      </c>
      <c r="D99" t="s">
        <v>242</v>
      </c>
      <c r="E99">
        <v>-11.328569288200001</v>
      </c>
    </row>
    <row r="100" spans="2:5" x14ac:dyDescent="0.25">
      <c r="B100">
        <v>102</v>
      </c>
      <c r="C100" t="s">
        <v>213</v>
      </c>
      <c r="D100" t="s">
        <v>241</v>
      </c>
      <c r="E100">
        <v>0</v>
      </c>
    </row>
    <row r="101" spans="2:5" x14ac:dyDescent="0.25">
      <c r="B101">
        <v>103</v>
      </c>
      <c r="C101" t="s">
        <v>214</v>
      </c>
      <c r="D101" t="s">
        <v>242</v>
      </c>
      <c r="E101">
        <v>-12.623617921899999</v>
      </c>
    </row>
    <row r="102" spans="2:5" x14ac:dyDescent="0.25">
      <c r="B102">
        <v>104</v>
      </c>
      <c r="C102" t="s">
        <v>215</v>
      </c>
      <c r="D102" t="s">
        <v>242</v>
      </c>
      <c r="E102">
        <v>-12.9367414966</v>
      </c>
    </row>
    <row r="103" spans="2:5" x14ac:dyDescent="0.25">
      <c r="B103">
        <v>105</v>
      </c>
      <c r="C103" t="s">
        <v>216</v>
      </c>
      <c r="D103" t="s">
        <v>242</v>
      </c>
      <c r="E103">
        <v>-21.748737142</v>
      </c>
    </row>
    <row r="104" spans="2:5" x14ac:dyDescent="0.25">
      <c r="B104">
        <v>106</v>
      </c>
      <c r="C104" t="s">
        <v>217</v>
      </c>
      <c r="D104" t="s">
        <v>242</v>
      </c>
      <c r="E104">
        <v>-1.1770951513500001</v>
      </c>
    </row>
    <row r="105" spans="2:5" x14ac:dyDescent="0.25">
      <c r="B105">
        <v>107</v>
      </c>
      <c r="C105" t="s">
        <v>218</v>
      </c>
      <c r="D105" t="s">
        <v>242</v>
      </c>
      <c r="E105">
        <v>-1.0914895580199999</v>
      </c>
    </row>
    <row r="106" spans="2:5" x14ac:dyDescent="0.25">
      <c r="B106">
        <v>108</v>
      </c>
      <c r="C106" t="s">
        <v>220</v>
      </c>
      <c r="D106" t="s">
        <v>242</v>
      </c>
      <c r="E106">
        <v>-6.6396727717899999</v>
      </c>
    </row>
    <row r="107" spans="2:5" x14ac:dyDescent="0.25">
      <c r="B107">
        <v>109</v>
      </c>
      <c r="C107" t="s">
        <v>221</v>
      </c>
      <c r="D107" t="s">
        <v>242</v>
      </c>
      <c r="E107">
        <v>-6.1680097229099999</v>
      </c>
    </row>
    <row r="108" spans="2:5" x14ac:dyDescent="0.25">
      <c r="B108">
        <v>110</v>
      </c>
      <c r="C108" t="s">
        <v>222</v>
      </c>
      <c r="D108" t="s">
        <v>242</v>
      </c>
      <c r="E108">
        <v>-2.9287550310000001</v>
      </c>
    </row>
    <row r="109" spans="2:5" x14ac:dyDescent="0.25">
      <c r="B109">
        <v>111</v>
      </c>
      <c r="C109" t="s">
        <v>223</v>
      </c>
      <c r="D109" t="s">
        <v>241</v>
      </c>
      <c r="E109">
        <v>0</v>
      </c>
    </row>
    <row r="110" spans="2:5" x14ac:dyDescent="0.25">
      <c r="B110">
        <v>112</v>
      </c>
      <c r="C110" t="s">
        <v>224</v>
      </c>
      <c r="D110" t="s">
        <v>241</v>
      </c>
      <c r="E110">
        <v>0</v>
      </c>
    </row>
    <row r="111" spans="2:5" x14ac:dyDescent="0.25">
      <c r="B111">
        <v>113</v>
      </c>
      <c r="C111" t="s">
        <v>226</v>
      </c>
      <c r="D111" t="s">
        <v>242</v>
      </c>
      <c r="E111">
        <v>-5.4368248499099998</v>
      </c>
    </row>
    <row r="112" spans="2:5" x14ac:dyDescent="0.25">
      <c r="B112">
        <v>114</v>
      </c>
      <c r="C112" t="s">
        <v>275</v>
      </c>
      <c r="D112" t="s">
        <v>242</v>
      </c>
      <c r="E112">
        <v>-0.8</v>
      </c>
    </row>
    <row r="113" spans="2:11" x14ac:dyDescent="0.25">
      <c r="B113">
        <v>115</v>
      </c>
      <c r="C113" t="s">
        <v>276</v>
      </c>
      <c r="D113" t="s">
        <v>242</v>
      </c>
      <c r="E113">
        <v>-0.8</v>
      </c>
    </row>
    <row r="114" spans="2:11" x14ac:dyDescent="0.25">
      <c r="B114">
        <v>116</v>
      </c>
      <c r="C114" s="336" t="s">
        <v>277</v>
      </c>
      <c r="D114" s="336" t="s">
        <v>242</v>
      </c>
      <c r="E114" s="336">
        <v>-0.8</v>
      </c>
    </row>
    <row r="115" spans="2:11" x14ac:dyDescent="0.25">
      <c r="B115">
        <v>117</v>
      </c>
      <c r="C115" t="s">
        <v>278</v>
      </c>
      <c r="D115" t="s">
        <v>242</v>
      </c>
      <c r="E115">
        <v>-0.8</v>
      </c>
    </row>
    <row r="116" spans="2:11" x14ac:dyDescent="0.25">
      <c r="B116">
        <v>118</v>
      </c>
      <c r="C116" t="s">
        <v>279</v>
      </c>
      <c r="D116" t="s">
        <v>242</v>
      </c>
      <c r="E116">
        <v>-0.8</v>
      </c>
    </row>
    <row r="117" spans="2:11" x14ac:dyDescent="0.25">
      <c r="B117">
        <v>119</v>
      </c>
      <c r="C117" t="s">
        <v>279</v>
      </c>
      <c r="D117" t="s">
        <v>242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6">
        <v>-7606.4609487099997</v>
      </c>
      <c r="D119" s="336">
        <v>-24173.951410599999</v>
      </c>
      <c r="E119" s="336">
        <v>-15526.77065</v>
      </c>
    </row>
    <row r="120" spans="2:11" x14ac:dyDescent="0.25">
      <c r="B120">
        <v>2</v>
      </c>
      <c r="C120" t="s">
        <v>280</v>
      </c>
      <c r="D120" t="s">
        <v>239</v>
      </c>
      <c r="E120">
        <v>5</v>
      </c>
      <c r="F120" t="s">
        <v>274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D141"/>
  <sheetViews>
    <sheetView workbookViewId="0" zoomScale="85" zoomScaleNormal="85">
      <selection activeCell="Z10" sqref="Z10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6" customWidth="true" style="295" width="9.85546875" collapsed="true"/>
    <col min="17" max="19" style="296" width="9.140625" collapsed="true"/>
    <col min="20" max="20" customWidth="true" style="296" width="13.0" collapsed="true"/>
    <col min="21" max="21" customWidth="true" style="298" width="19.5703125" collapsed="true"/>
    <col min="22" max="22" customWidth="true" style="334" width="19.5703125" collapsed="true"/>
    <col min="23" max="23" style="296" width="9.140625" collapsed="true"/>
    <col min="24" max="24" customWidth="true" style="296" width="9.140625" collapsed="true"/>
    <col min="25" max="16384" style="296" width="9.140625" collapsed="true"/>
  </cols>
  <sheetData>
    <row r="1" spans="3:29" x14ac:dyDescent="0.25">
      <c r="C1" s="10" t="s">
        <v>41</v>
      </c>
      <c r="F1" s="10" t="s">
        <v>42</v>
      </c>
      <c r="S1" s="297" t="s">
        <v>253</v>
      </c>
      <c r="X1" s="297"/>
      <c r="Y1" s="297" t="s">
        <v>253</v>
      </c>
      <c r="Z1" s="321"/>
      <c r="AA1" s="321"/>
      <c r="AB1" s="321"/>
      <c r="AC1" s="321"/>
    </row>
    <row ht="15.75" r="2" spans="3:29" thickBot="1" x14ac:dyDescent="0.3">
      <c r="C2" s="297" t="s">
        <v>43</v>
      </c>
      <c r="R2" s="10" t="s">
        <v>91</v>
      </c>
      <c r="S2" s="10" t="s">
        <v>247</v>
      </c>
      <c r="T2" s="10" t="s">
        <v>254</v>
      </c>
      <c r="U2" s="363" t="s">
        <v>255</v>
      </c>
      <c r="V2" s="364" t="s">
        <v>256</v>
      </c>
      <c r="Y2" s="321"/>
      <c r="Z2" s="297" t="s">
        <v>257</v>
      </c>
      <c r="AA2"/>
      <c r="AB2" s="321"/>
      <c r="AC2" s="321"/>
    </row>
    <row r="3" spans="3:29" x14ac:dyDescent="0.25">
      <c r="C3" s="299" t="s">
        <v>3</v>
      </c>
      <c r="D3" s="300" t="s">
        <v>44</v>
      </c>
      <c r="F3" s="299" t="s">
        <v>3</v>
      </c>
      <c r="G3" s="300" t="s">
        <v>44</v>
      </c>
      <c r="H3" s="350"/>
      <c r="I3" s="350"/>
      <c r="J3" s="350"/>
      <c r="K3" s="350"/>
      <c r="L3" s="350"/>
      <c r="M3" s="350"/>
      <c r="N3" s="350"/>
      <c r="O3" s="350"/>
      <c r="P3" s="350"/>
      <c r="Q3" s="301"/>
      <c r="R3" s="296" t="str">
        <f>VLOOKUP(S3,Coeff_Descr!$A:$D,3,FALSE)</f>
        <v>ALL</v>
      </c>
      <c r="S3" s="296">
        <f>OtherTourDestination!B11</f>
        <v>1</v>
      </c>
      <c r="T3" s="296" t="str">
        <f>OtherTourDestination!C11</f>
        <v>Beta00001</v>
      </c>
      <c r="U3" s="298">
        <f>OtherTourDestination!E11</f>
        <v>1</v>
      </c>
      <c r="V3" s="337">
        <f>_xlfn.IFNA(VLOOKUP(S3,$B$43:$D$46,3,FALSE),U3)</f>
        <v>1</v>
      </c>
      <c r="Y3">
        <v>1</v>
      </c>
      <c r="Z3" s="294" t="s">
        <v>312</v>
      </c>
      <c r="AA3"/>
      <c r="AB3" s="321"/>
      <c r="AC3" s="321"/>
    </row>
    <row r="4" spans="3:29" x14ac:dyDescent="0.25">
      <c r="C4" s="302" t="s">
        <v>47</v>
      </c>
      <c r="D4" s="303">
        <f>TLFD!B11</f>
        <v>18749.284189000002</v>
      </c>
      <c r="F4" s="302" t="s">
        <v>47</v>
      </c>
      <c r="G4" s="303">
        <f>TLFD!F11</f>
        <v>19640</v>
      </c>
      <c r="H4" s="303"/>
      <c r="I4" s="303"/>
      <c r="J4" s="303"/>
      <c r="K4" s="303"/>
      <c r="L4" s="303"/>
      <c r="M4" s="303"/>
      <c r="N4" s="303"/>
      <c r="O4" s="303"/>
      <c r="P4" s="303"/>
      <c r="Q4" s="304"/>
      <c r="R4" s="296" t="str">
        <f>VLOOKUP(S4,Coeff_Descr!$A:$D,3,FALSE)</f>
        <v>ALL</v>
      </c>
      <c r="S4" s="296">
        <f>OtherTourDestination!B12</f>
        <v>2</v>
      </c>
      <c r="T4" s="296" t="str">
        <f>OtherTourDestination!C12</f>
        <v>Beta00002</v>
      </c>
      <c r="U4" s="298">
        <f>OtherTourDestination!E12</f>
        <v>14.646264049799999</v>
      </c>
      <c r="V4" s="337">
        <f>_xlfn.IFNA(VLOOKUP(S4,$B$43:$D$46,3,FALSE),U4)</f>
        <v>14.646264049799999</v>
      </c>
      <c r="Y4">
        <v>2</v>
      </c>
      <c r="Z4" s="294" t="s">
        <v>258</v>
      </c>
      <c r="AA4"/>
      <c r="AB4" s="321"/>
      <c r="AC4" s="321"/>
    </row>
    <row r="5" spans="3:29" x14ac:dyDescent="0.25">
      <c r="C5" s="305" t="s">
        <v>50</v>
      </c>
      <c r="D5" s="306">
        <f>TLFD!B12+TLFD!B13+(TLFD!B14/2)</f>
        <v>50377.038056500001</v>
      </c>
      <c r="F5" s="305" t="s">
        <v>50</v>
      </c>
      <c r="G5" s="306">
        <f>TLFD!F12+TLFD!F13+(TLFD!F14/2)</f>
        <v>67887.5</v>
      </c>
      <c r="H5" s="306"/>
      <c r="I5" s="306"/>
      <c r="J5" s="306"/>
      <c r="K5" s="306"/>
      <c r="L5" s="306"/>
      <c r="M5" s="306"/>
      <c r="N5" s="306"/>
      <c r="O5" s="306"/>
      <c r="P5" s="306"/>
      <c r="Q5" s="304"/>
      <c r="R5" s="296" t="str">
        <f>VLOOKUP(S5,Coeff_Descr!$A:$D,3,FALSE)</f>
        <v>ALL</v>
      </c>
      <c r="S5" s="296">
        <f>OtherTourDestination!B13</f>
        <v>3</v>
      </c>
      <c r="T5" s="296" t="str">
        <f>OtherTourDestination!C13</f>
        <v>Beta00003</v>
      </c>
      <c r="U5" s="298">
        <f>OtherTourDestination!E13</f>
        <v>0.22200781244000001</v>
      </c>
      <c r="V5" s="337">
        <f ref="V5:V68" si="0" t="shared">_xlfn.IFNA(VLOOKUP(S5,$B$43:$D$46,3,FALSE),U5)</f>
        <v>0.22200781244000001</v>
      </c>
      <c r="Y5">
        <v>3</v>
      </c>
      <c r="Z5" s="321" t="s">
        <v>259</v>
      </c>
      <c r="AA5" s="321"/>
      <c r="AB5" s="321"/>
      <c r="AC5" s="321"/>
    </row>
    <row r="6" spans="3:29" x14ac:dyDescent="0.25">
      <c r="C6" s="305" t="s">
        <v>53</v>
      </c>
      <c r="D6" s="306">
        <f>(TLFD!B14/2)+SUM(TLFD!B15:B20)</f>
        <v>45043.406414499994</v>
      </c>
      <c r="F6" s="305" t="s">
        <v>53</v>
      </c>
      <c r="G6" s="306">
        <f>(TLFD!F14/2)+SUM(TLFD!F15:F20)</f>
        <v>55903.5</v>
      </c>
      <c r="H6" s="306"/>
      <c r="I6" s="306"/>
      <c r="J6" s="306"/>
      <c r="K6" s="306"/>
      <c r="L6" s="306"/>
      <c r="M6" s="306"/>
      <c r="N6" s="306"/>
      <c r="O6" s="306"/>
      <c r="P6" s="306"/>
      <c r="Q6" s="307"/>
      <c r="R6" s="296" t="str">
        <f>VLOOKUP(S6,Coeff_Descr!$A:$D,3,FALSE)</f>
        <v>ALL</v>
      </c>
      <c r="S6" s="296">
        <f>OtherTourDestination!B14</f>
        <v>4</v>
      </c>
      <c r="T6" s="296" t="str">
        <f>OtherTourDestination!C14</f>
        <v>Beta00004</v>
      </c>
      <c r="U6" s="298">
        <f>OtherTourDestination!E14</f>
        <v>-2.8145955800000001E-2</v>
      </c>
      <c r="V6" s="337">
        <f si="0" t="shared"/>
        <v>-2.8145955800000001E-2</v>
      </c>
      <c r="Y6">
        <v>4</v>
      </c>
      <c r="Z6" s="321" t="s">
        <v>260</v>
      </c>
      <c r="AA6" s="321"/>
      <c r="AB6" s="321"/>
      <c r="AC6" s="321"/>
    </row>
    <row r="7" spans="3:29" x14ac:dyDescent="0.25">
      <c r="C7" s="308" t="s">
        <v>56</v>
      </c>
      <c r="D7" s="309">
        <f>SUM(TLFD!B21:B101)</f>
        <v>30256.957504000005</v>
      </c>
      <c r="F7" s="308" t="s">
        <v>56</v>
      </c>
      <c r="G7" s="309">
        <f>SUM(TLFD!F21:F101)</f>
        <v>31175</v>
      </c>
      <c r="H7" s="351"/>
      <c r="I7" s="351"/>
      <c r="J7" s="351"/>
      <c r="K7" s="351"/>
      <c r="L7" s="351"/>
      <c r="M7" s="351"/>
      <c r="N7" s="351"/>
      <c r="O7" s="351"/>
      <c r="P7" s="351"/>
      <c r="Q7" s="310"/>
      <c r="R7" s="296" t="str">
        <f>VLOOKUP(S7,Coeff_Descr!$A:$D,3,FALSE)</f>
        <v>ALL</v>
      </c>
      <c r="S7" s="296">
        <f>OtherTourDestination!B15</f>
        <v>5</v>
      </c>
      <c r="T7" s="296" t="str">
        <f>OtherTourDestination!C15</f>
        <v>Beta00005</v>
      </c>
      <c r="U7" s="298">
        <f>OtherTourDestination!E15</f>
        <v>9.8040262330000003E-2</v>
      </c>
      <c r="V7" s="337">
        <f si="0" t="shared"/>
        <v>9.8040262330000003E-2</v>
      </c>
      <c r="Y7" s="321">
        <v>5</v>
      </c>
      <c r="Z7" s="321" t="s">
        <v>261</v>
      </c>
      <c r="AA7" s="321"/>
      <c r="AB7" s="321"/>
      <c r="AC7" s="321"/>
    </row>
    <row ht="15.75" r="8" spans="3:29" thickBot="1" x14ac:dyDescent="0.3">
      <c r="C8" s="311" t="s">
        <v>4</v>
      </c>
      <c r="D8" s="312">
        <f>SUM(D4:D7)</f>
        <v>144426.68616400001</v>
      </c>
      <c r="E8" s="313"/>
      <c r="F8" s="311" t="s">
        <v>4</v>
      </c>
      <c r="G8" s="312">
        <f>SUM(G4:G7)</f>
        <v>174606</v>
      </c>
      <c r="H8" s="352"/>
      <c r="I8" s="352"/>
      <c r="J8" s="352" t="s">
        <v>252</v>
      </c>
      <c r="K8" s="360">
        <v>1</v>
      </c>
      <c r="L8" s="357"/>
      <c r="M8" s="357"/>
      <c r="N8" s="357"/>
      <c r="O8" s="357"/>
      <c r="P8" s="357"/>
      <c r="R8" s="296" t="str">
        <f>VLOOKUP(S8,Coeff_Descr!$A:$D,3,FALSE)</f>
        <v>ALL</v>
      </c>
      <c r="S8" s="296">
        <f>OtherTourDestination!B16</f>
        <v>6</v>
      </c>
      <c r="T8" s="296" t="str">
        <f>OtherTourDestination!C16</f>
        <v>Beta00006</v>
      </c>
      <c r="U8" s="298">
        <f>OtherTourDestination!E16</f>
        <v>0.42673478574000001</v>
      </c>
      <c r="V8" s="337">
        <f si="0" t="shared"/>
        <v>0.42673478574000001</v>
      </c>
      <c r="Y8" s="321"/>
      <c r="Z8" s="321"/>
      <c r="AA8" s="321"/>
      <c r="AB8" s="321"/>
      <c r="AC8" s="321"/>
    </row>
    <row r="9" spans="3:29" x14ac:dyDescent="0.25">
      <c r="R9" s="296" t="str">
        <f>VLOOKUP(S9,Coeff_Descr!$A:$D,3,FALSE)</f>
        <v>ALL</v>
      </c>
      <c r="S9" s="296">
        <f>OtherTourDestination!B17</f>
        <v>7</v>
      </c>
      <c r="T9" s="296" t="str">
        <f>OtherTourDestination!C17</f>
        <v>Beta00007</v>
      </c>
      <c r="U9" s="298">
        <f>OtherTourDestination!E17</f>
        <v>-1.7969923454700001</v>
      </c>
      <c r="V9" s="337">
        <f si="0" t="shared"/>
        <v>-1.7969923454700001</v>
      </c>
      <c r="Y9" s="321"/>
      <c r="Z9" s="365" t="s">
        <v>262</v>
      </c>
      <c r="AA9" s="321"/>
      <c r="AB9" s="321"/>
      <c r="AC9" s="321"/>
    </row>
    <row ht="15.75" r="10" spans="3:29" thickBot="1" x14ac:dyDescent="0.3">
      <c r="C10" s="314" t="s">
        <v>63</v>
      </c>
      <c r="I10" s="354" t="s">
        <v>248</v>
      </c>
      <c r="J10" s="355"/>
      <c r="K10" s="355"/>
      <c r="L10" s="381"/>
      <c r="M10" s="381"/>
      <c r="N10" s="381"/>
      <c r="O10" s="381"/>
      <c r="P10" s="381"/>
      <c r="Q10" s="301"/>
      <c r="R10" s="296" t="str">
        <f>VLOOKUP(S10,Coeff_Descr!$A:$D,3,FALSE)</f>
        <v>ALL</v>
      </c>
      <c r="S10" s="296">
        <f>OtherTourDestination!B18</f>
        <v>8</v>
      </c>
      <c r="T10" s="296" t="str">
        <f>OtherTourDestination!C18</f>
        <v>Beta00008</v>
      </c>
      <c r="U10" s="298">
        <f>OtherTourDestination!E18</f>
        <v>1.4351261662999999</v>
      </c>
      <c r="V10" s="337">
        <f si="0" t="shared"/>
        <v>1.4351261662999999</v>
      </c>
      <c r="Y10" s="321">
        <v>1</v>
      </c>
      <c r="Z10" s="294" t="s">
        <v>312</v>
      </c>
      <c r="AA10" s="321"/>
      <c r="AB10" s="321"/>
      <c r="AC10" s="321"/>
    </row>
    <row r="11" spans="3:29" x14ac:dyDescent="0.25">
      <c r="C11" s="299" t="s">
        <v>3</v>
      </c>
      <c r="D11" s="300" t="s">
        <v>44</v>
      </c>
      <c r="F11" s="299" t="s">
        <v>3</v>
      </c>
      <c r="G11" s="300" t="s">
        <v>44</v>
      </c>
      <c r="H11" s="350"/>
      <c r="I11" s="300" t="s">
        <v>249</v>
      </c>
      <c r="J11" s="300" t="s">
        <v>250</v>
      </c>
      <c r="K11" s="300" t="s">
        <v>251</v>
      </c>
      <c r="L11" s="350"/>
      <c r="M11" s="350"/>
      <c r="N11" s="350"/>
      <c r="O11" s="350"/>
      <c r="P11" s="350"/>
      <c r="Q11" s="315"/>
      <c r="R11" s="296" t="str">
        <f>VLOOKUP(S11,Coeff_Descr!$A:$D,3,FALSE)</f>
        <v>ALL</v>
      </c>
      <c r="S11" s="296">
        <f>OtherTourDestination!B19</f>
        <v>9</v>
      </c>
      <c r="T11" s="296" t="str">
        <f>OtherTourDestination!C19</f>
        <v>Beta00009</v>
      </c>
      <c r="U11" s="298">
        <f>OtherTourDestination!E19</f>
        <v>0.75752967669000004</v>
      </c>
      <c r="V11" s="337">
        <f si="0" t="shared"/>
        <v>0.75752967669000004</v>
      </c>
      <c r="Y11" s="321">
        <v>2</v>
      </c>
      <c r="Z11" s="321" t="s">
        <v>263</v>
      </c>
      <c r="AA11" s="321"/>
      <c r="AB11" s="321"/>
      <c r="AC11" s="321"/>
    </row>
    <row r="12" spans="3:29" x14ac:dyDescent="0.25">
      <c r="C12" s="302" t="s">
        <v>47</v>
      </c>
      <c r="D12" s="316">
        <f>D4/D$8</f>
        <v>0.12981869685571637</v>
      </c>
      <c r="F12" s="302" t="s">
        <v>47</v>
      </c>
      <c r="G12" s="316">
        <f>G4/G$8</f>
        <v>0.1124818162033378</v>
      </c>
      <c r="H12" s="316"/>
      <c r="I12" s="356">
        <f>D12/G12</f>
        <v>1.1541305184923225</v>
      </c>
      <c r="J12" s="357">
        <f>LN(I12)</f>
        <v>0.14334726263703129</v>
      </c>
      <c r="K12" s="357">
        <f>K8*J12</f>
        <v>0.14334726263703129</v>
      </c>
      <c r="L12" s="357"/>
      <c r="M12" s="357"/>
      <c r="N12" s="357"/>
      <c r="O12" s="357"/>
      <c r="P12" s="357"/>
      <c r="Q12" s="315"/>
      <c r="R12" s="296" t="str">
        <f>VLOOKUP(S12,Coeff_Descr!$A:$D,3,FALSE)</f>
        <v>ALL</v>
      </c>
      <c r="S12" s="296">
        <f>OtherTourDestination!B20</f>
        <v>10</v>
      </c>
      <c r="T12" s="296" t="str">
        <f>OtherTourDestination!C20</f>
        <v>Beta00010</v>
      </c>
      <c r="U12" s="298">
        <f>OtherTourDestination!E20</f>
        <v>-0.30290505894999997</v>
      </c>
      <c r="V12" s="337">
        <f si="0" t="shared"/>
        <v>-0.30290505894999997</v>
      </c>
      <c r="Y12" s="321">
        <v>3</v>
      </c>
      <c r="Z12" s="321" t="s">
        <v>264</v>
      </c>
      <c r="AA12" s="321"/>
      <c r="AB12" s="321"/>
      <c r="AC12" s="321"/>
    </row>
    <row r="13" spans="3:29" x14ac:dyDescent="0.25">
      <c r="C13" s="305" t="s">
        <v>50</v>
      </c>
      <c r="D13" s="317">
        <f ref="D13:D16" si="1" t="shared">D5/D$8</f>
        <v>0.34880699263081927</v>
      </c>
      <c r="F13" s="305" t="s">
        <v>50</v>
      </c>
      <c r="G13" s="317">
        <f ref="G13:G16" si="2" t="shared">G5/G$8</f>
        <v>0.3888039357181311</v>
      </c>
      <c r="H13" s="317"/>
      <c r="I13" s="356">
        <f ref="I13:I15" si="3" t="shared">D13/G13</f>
        <v>0.89712824533672375</v>
      </c>
      <c r="J13" s="357">
        <f ref="J13:J15" si="4" t="shared">LN(I13)</f>
        <v>-0.10855645575289449</v>
      </c>
      <c r="K13" s="357">
        <f>K8*(J13-J12)</f>
        <v>-0.25190371838992576</v>
      </c>
      <c r="L13" s="357"/>
      <c r="M13" s="357"/>
      <c r="N13" s="357"/>
      <c r="O13" s="357"/>
      <c r="P13" s="357"/>
      <c r="Q13" s="315"/>
      <c r="R13" s="296" t="str">
        <f>VLOOKUP(S13,Coeff_Descr!$A:$D,3,FALSE)</f>
        <v>ALL</v>
      </c>
      <c r="S13" s="296">
        <f>OtherTourDestination!B21</f>
        <v>11</v>
      </c>
      <c r="T13" s="296" t="str">
        <f>OtherTourDestination!C21</f>
        <v>Beta00011</v>
      </c>
      <c r="U13" s="298">
        <f>OtherTourDestination!E21</f>
        <v>-0.87303985647000004</v>
      </c>
      <c r="V13" s="337">
        <f si="0" t="shared"/>
        <v>-0.87303985647000004</v>
      </c>
      <c r="Y13" s="321">
        <v>4</v>
      </c>
      <c r="Z13" s="321" t="s">
        <v>265</v>
      </c>
      <c r="AA13" s="321"/>
      <c r="AB13" s="321"/>
      <c r="AC13" s="321"/>
    </row>
    <row r="14" spans="3:29" x14ac:dyDescent="0.25">
      <c r="C14" s="305" t="s">
        <v>53</v>
      </c>
      <c r="D14" s="317">
        <f si="1" t="shared"/>
        <v>0.3118773102870484</v>
      </c>
      <c r="F14" s="305" t="s">
        <v>53</v>
      </c>
      <c r="G14" s="317">
        <f si="2" t="shared"/>
        <v>0.32016940998591115</v>
      </c>
      <c r="H14" s="317"/>
      <c r="I14" s="356">
        <f si="3" t="shared"/>
        <v>0.97410089958554247</v>
      </c>
      <c r="J14" s="357">
        <f si="4" t="shared"/>
        <v>-2.6240387701349583E-2</v>
      </c>
      <c r="K14" s="357">
        <f>K8*(J14-J13-J12)</f>
        <v>-6.1031194585486379E-2</v>
      </c>
      <c r="L14" s="357"/>
      <c r="M14" s="357"/>
      <c r="N14" s="357"/>
      <c r="O14" s="357"/>
      <c r="P14" s="357"/>
      <c r="Q14" s="318"/>
      <c r="R14" s="296" t="str">
        <f>VLOOKUP(S14,Coeff_Descr!$A:$D,3,FALSE)</f>
        <v>ALL</v>
      </c>
      <c r="S14" s="296">
        <f>OtherTourDestination!B22</f>
        <v>12</v>
      </c>
      <c r="T14" s="296" t="str">
        <f>OtherTourDestination!C22</f>
        <v>Beta00012</v>
      </c>
      <c r="U14" s="298">
        <f>OtherTourDestination!E22</f>
        <v>-1.0505382935000001</v>
      </c>
      <c r="V14" s="337">
        <f si="0" t="shared"/>
        <v>-1.0505382935000001</v>
      </c>
      <c r="Y14" s="321">
        <v>5</v>
      </c>
      <c r="Z14" s="294" t="s">
        <v>266</v>
      </c>
      <c r="AA14" s="321"/>
      <c r="AB14" s="321"/>
      <c r="AC14" s="321"/>
    </row>
    <row ht="15.75" r="15" spans="3:29" thickBot="1" x14ac:dyDescent="0.3">
      <c r="C15" s="308" t="s">
        <v>56</v>
      </c>
      <c r="D15" s="317">
        <f si="1" t="shared"/>
        <v>0.20949700022641587</v>
      </c>
      <c r="F15" s="308" t="s">
        <v>56</v>
      </c>
      <c r="G15" s="317">
        <f si="2" t="shared"/>
        <v>0.17854483809261995</v>
      </c>
      <c r="H15" s="317"/>
      <c r="I15" s="358">
        <f si="3" t="shared"/>
        <v>1.1733579221021193</v>
      </c>
      <c r="J15" s="359">
        <f si="4" t="shared"/>
        <v>0.15986965705934858</v>
      </c>
      <c r="K15" s="359">
        <f>K8*(J15-J14-J13-J12)</f>
        <v>0.15131923787656137</v>
      </c>
      <c r="L15" s="357"/>
      <c r="M15" s="357"/>
      <c r="N15" s="357"/>
      <c r="O15" s="357"/>
      <c r="P15" s="357"/>
      <c r="R15" s="296" t="str">
        <f>VLOOKUP(S15,Coeff_Descr!$A:$D,3,FALSE)</f>
        <v>ALL</v>
      </c>
      <c r="S15" s="296">
        <f>OtherTourDestination!B23</f>
        <v>13</v>
      </c>
      <c r="T15" s="296" t="str">
        <f>OtherTourDestination!C23</f>
        <v>Beta00013</v>
      </c>
      <c r="U15" s="298">
        <f>OtherTourDestination!E23</f>
        <v>-0.48292853740000002</v>
      </c>
      <c r="V15" s="337">
        <f si="0" t="shared"/>
        <v>-0.48292853740000002</v>
      </c>
      <c r="Y15" s="321">
        <v>6</v>
      </c>
      <c r="Z15" s="321" t="s">
        <v>267</v>
      </c>
      <c r="AA15" s="321"/>
      <c r="AB15" s="321"/>
      <c r="AC15" s="321"/>
    </row>
    <row ht="15.75" r="16" spans="3:29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L16" s="356"/>
      <c r="M16" s="356"/>
      <c r="N16" s="356"/>
      <c r="O16" s="356"/>
      <c r="P16" s="356"/>
      <c r="R16" s="296" t="str">
        <f>VLOOKUP(S16,Coeff_Descr!$A:$D,3,FALSE)</f>
        <v>ALL</v>
      </c>
      <c r="S16" s="296">
        <f>OtherTourDestination!B24</f>
        <v>14</v>
      </c>
      <c r="T16" s="296" t="str">
        <f>OtherTourDestination!C24</f>
        <v>Beta00014</v>
      </c>
      <c r="U16" s="298">
        <f>OtherTourDestination!E24</f>
        <v>-0.23954858711999999</v>
      </c>
      <c r="V16" s="337">
        <f si="0" t="shared"/>
        <v>-0.23954858711999999</v>
      </c>
      <c r="Y16" s="321">
        <v>7</v>
      </c>
      <c r="Z16" s="321" t="s">
        <v>260</v>
      </c>
      <c r="AA16" s="321"/>
      <c r="AB16" s="321"/>
      <c r="AC16" s="321"/>
    </row>
    <row r="17" spans="2:29" x14ac:dyDescent="0.25">
      <c r="R17" s="296" t="str">
        <f>VLOOKUP(S17,Coeff_Descr!$A:$D,3,FALSE)</f>
        <v>ALL</v>
      </c>
      <c r="S17" s="296">
        <f>OtherTourDestination!B25</f>
        <v>15</v>
      </c>
      <c r="T17" s="296" t="str">
        <f>OtherTourDestination!C25</f>
        <v>Beta00015</v>
      </c>
      <c r="U17" s="298">
        <f>OtherTourDestination!E25</f>
        <v>1.8108489737</v>
      </c>
      <c r="V17" s="337">
        <f si="0" t="shared"/>
        <v>1.8108489737</v>
      </c>
      <c r="Y17" s="321">
        <v>8</v>
      </c>
      <c r="Z17" s="321" t="s">
        <v>268</v>
      </c>
      <c r="AA17" s="321"/>
      <c r="AB17" s="321"/>
      <c r="AC17" s="321"/>
    </row>
    <row r="18" spans="2:29" x14ac:dyDescent="0.25">
      <c r="I18" s="361"/>
      <c r="J18" s="361"/>
      <c r="K18" s="357"/>
      <c r="L18" s="357"/>
      <c r="M18" s="357"/>
      <c r="N18" s="357"/>
      <c r="O18" s="357"/>
      <c r="P18" s="357"/>
      <c r="R18" s="296" t="str">
        <f>VLOOKUP(S18,Coeff_Descr!$A:$D,3,FALSE)</f>
        <v>ALL</v>
      </c>
      <c r="S18" s="296">
        <f>OtherTourDestination!B26</f>
        <v>16</v>
      </c>
      <c r="T18" s="296" t="str">
        <f>OtherTourDestination!C26</f>
        <v>Beta00016</v>
      </c>
      <c r="U18" s="298">
        <f>OtherTourDestination!E26</f>
        <v>0.83658874170999997</v>
      </c>
      <c r="V18" s="337">
        <f si="0" t="shared"/>
        <v>0.83658874170999997</v>
      </c>
    </row>
    <row r="19" spans="2:29" x14ac:dyDescent="0.25">
      <c r="C19" s="320" t="s">
        <v>82</v>
      </c>
      <c r="I19" s="361"/>
      <c r="J19" s="361"/>
      <c r="K19" s="357"/>
      <c r="L19" s="357"/>
      <c r="M19" s="357"/>
      <c r="N19" s="357"/>
      <c r="O19" s="357"/>
      <c r="P19" s="357"/>
      <c r="R19" s="296" t="str">
        <f>VLOOKUP(S19,Coeff_Descr!$A:$D,3,FALSE)</f>
        <v>ALL</v>
      </c>
      <c r="S19" s="296">
        <f>OtherTourDestination!B27</f>
        <v>17</v>
      </c>
      <c r="T19" s="296" t="str">
        <f>OtherTourDestination!C27</f>
        <v>Beta00017</v>
      </c>
      <c r="U19" s="298">
        <f>OtherTourDestination!E27</f>
        <v>0</v>
      </c>
      <c r="V19" s="337">
        <f si="0" t="shared"/>
        <v>0</v>
      </c>
    </row>
    <row r="20" spans="2:29" x14ac:dyDescent="0.25">
      <c r="C20" s="320" t="s">
        <v>85</v>
      </c>
      <c r="I20" s="361"/>
      <c r="J20" s="361"/>
      <c r="K20" s="357"/>
      <c r="L20" s="357"/>
      <c r="M20" s="357"/>
      <c r="N20" s="357"/>
      <c r="O20" s="357"/>
      <c r="P20" s="357"/>
      <c r="R20" s="296" t="str">
        <f>VLOOKUP(S20,Coeff_Descr!$A:$D,3,FALSE)</f>
        <v>ALL</v>
      </c>
      <c r="S20" s="296">
        <f>OtherTourDestination!B28</f>
        <v>18</v>
      </c>
      <c r="T20" s="296" t="str">
        <f>OtherTourDestination!C28</f>
        <v>Beta00018</v>
      </c>
      <c r="U20" s="298">
        <f>OtherTourDestination!E28</f>
        <v>0</v>
      </c>
      <c r="V20" s="337">
        <f si="0" t="shared"/>
        <v>0</v>
      </c>
    </row>
    <row ht="15.75" r="21" spans="2:29" thickBot="1" x14ac:dyDescent="0.3">
      <c r="C21" s="321"/>
      <c r="I21" s="361"/>
      <c r="J21" s="361"/>
      <c r="K21" s="357"/>
      <c r="L21" s="357"/>
      <c r="M21" s="357"/>
      <c r="N21" s="357"/>
      <c r="O21" s="357"/>
      <c r="P21" s="357"/>
      <c r="R21" s="296" t="str">
        <f>VLOOKUP(S21,Coeff_Descr!$A:$D,3,FALSE)</f>
        <v>ALL</v>
      </c>
      <c r="S21" s="296">
        <f>OtherTourDestination!B29</f>
        <v>19</v>
      </c>
      <c r="T21" s="296" t="str">
        <f>OtherTourDestination!C29</f>
        <v>Beta00019</v>
      </c>
      <c r="U21" s="298">
        <f>OtherTourDestination!E29</f>
        <v>0</v>
      </c>
      <c r="V21" s="337">
        <f si="0" t="shared"/>
        <v>0</v>
      </c>
    </row>
    <row r="22" spans="2:29" x14ac:dyDescent="0.25">
      <c r="B22" s="345" t="s">
        <v>247</v>
      </c>
      <c r="C22" s="322" t="s">
        <v>91</v>
      </c>
      <c r="D22" s="323"/>
      <c r="R22" s="296" t="str">
        <f>VLOOKUP(S22,Coeff_Descr!$A:$D,3,FALSE)</f>
        <v>ESCORT</v>
      </c>
      <c r="S22" s="296">
        <f>OtherTourDestination!B30</f>
        <v>20</v>
      </c>
      <c r="T22" s="296" t="str">
        <f>OtherTourDestination!C30</f>
        <v>Beta00020</v>
      </c>
      <c r="U22" s="298">
        <f>OtherTourDestination!E30</f>
        <v>0.62608089853000004</v>
      </c>
      <c r="V22" s="337">
        <f si="0" t="shared"/>
        <v>0.62608089853000004</v>
      </c>
    </row>
    <row r="23" spans="2:29" x14ac:dyDescent="0.25">
      <c r="B23" s="346">
        <v>37</v>
      </c>
      <c r="C23" s="302" t="s">
        <v>47</v>
      </c>
      <c r="D23" s="376">
        <f>VLOOKUP($B23,$S:$U,3,FALSE)</f>
        <v>-7.8810597731899996</v>
      </c>
      <c r="I23" s="362"/>
      <c r="J23" s="362"/>
      <c r="K23" s="362"/>
      <c r="L23" s="362"/>
      <c r="M23" s="362"/>
      <c r="N23" s="362"/>
      <c r="O23" s="362"/>
      <c r="P23" s="362"/>
      <c r="R23" s="296" t="str">
        <f>VLOOKUP(S23,Coeff_Descr!$A:$D,3,FALSE)</f>
        <v>ESCORT</v>
      </c>
      <c r="S23" s="296">
        <f>OtherTourDestination!B31</f>
        <v>21</v>
      </c>
      <c r="T23" s="296" t="str">
        <f>OtherTourDestination!C31</f>
        <v>Beta00021</v>
      </c>
      <c r="U23" s="298">
        <f>OtherTourDestination!E31</f>
        <v>-8.6146833141499997</v>
      </c>
      <c r="V23" s="337">
        <f si="0" t="shared"/>
        <v>-8.6146833141499997</v>
      </c>
    </row>
    <row r="24" spans="2:29" x14ac:dyDescent="0.25">
      <c r="B24" s="346">
        <v>38</v>
      </c>
      <c r="C24" s="305" t="s">
        <v>50</v>
      </c>
      <c r="D24" s="376">
        <f ref="D24:D26" si="5" t="shared">VLOOKUP($B24,$S:$U,3,FALSE)</f>
        <v>-8.0062297029800007</v>
      </c>
      <c r="R24" s="296" t="str">
        <f>VLOOKUP(S24,Coeff_Descr!$A:$D,3,FALSE)</f>
        <v>ESCORT</v>
      </c>
      <c r="S24" s="296">
        <f>OtherTourDestination!B32</f>
        <v>22</v>
      </c>
      <c r="T24" s="296" t="str">
        <f>OtherTourDestination!C32</f>
        <v>Beta00022</v>
      </c>
      <c r="U24" s="298">
        <f>OtherTourDestination!E32</f>
        <v>-4.7070055634400001</v>
      </c>
      <c r="V24" s="337">
        <f si="0" t="shared"/>
        <v>-4.7070055634400001</v>
      </c>
    </row>
    <row r="25" spans="2:29" x14ac:dyDescent="0.25">
      <c r="B25" s="346">
        <v>39</v>
      </c>
      <c r="C25" s="305" t="s">
        <v>53</v>
      </c>
      <c r="D25" s="376">
        <f si="5" t="shared"/>
        <v>-3.4078711737399998</v>
      </c>
      <c r="R25" s="296" t="str">
        <f>VLOOKUP(S25,Coeff_Descr!$A:$D,3,FALSE)</f>
        <v>ESCORT</v>
      </c>
      <c r="S25" s="296">
        <f>OtherTourDestination!B33</f>
        <v>23</v>
      </c>
      <c r="T25" s="296" t="str">
        <f>OtherTourDestination!C33</f>
        <v>Beta00023</v>
      </c>
      <c r="U25" s="298">
        <f>OtherTourDestination!E33</f>
        <v>-4.09326880388</v>
      </c>
      <c r="V25" s="337">
        <f si="0" t="shared"/>
        <v>-4.09326880388</v>
      </c>
    </row>
    <row ht="15.75" r="26" spans="2:29" thickBot="1" x14ac:dyDescent="0.3">
      <c r="B26" s="347">
        <v>40</v>
      </c>
      <c r="C26" s="325" t="s">
        <v>56</v>
      </c>
      <c r="D26" s="377">
        <f si="5" t="shared"/>
        <v>-0.25934246287000001</v>
      </c>
      <c r="R26" s="296" t="str">
        <f>VLOOKUP(S26,Coeff_Descr!$A:$D,3,FALSE)</f>
        <v>ESCORT</v>
      </c>
      <c r="S26" s="296">
        <f>OtherTourDestination!B34</f>
        <v>24</v>
      </c>
      <c r="T26" s="296" t="str">
        <f>OtherTourDestination!C34</f>
        <v>Beta00024</v>
      </c>
      <c r="U26" s="298">
        <f>OtherTourDestination!E34</f>
        <v>0.20798702908</v>
      </c>
      <c r="V26" s="337">
        <f si="0" t="shared"/>
        <v>0.20798702908</v>
      </c>
    </row>
    <row r="27" spans="2:29" x14ac:dyDescent="0.25">
      <c r="C27" s="321"/>
      <c r="D27" s="327"/>
      <c r="R27" s="296" t="str">
        <f>VLOOKUP(S27,Coeff_Descr!$A:$D,3,FALSE)</f>
        <v>ESCORT</v>
      </c>
      <c r="S27" s="296">
        <f>OtherTourDestination!B35</f>
        <v>25</v>
      </c>
      <c r="T27" s="296" t="str">
        <f>OtherTourDestination!C35</f>
        <v>Beta00025</v>
      </c>
      <c r="U27" s="298">
        <f>OtherTourDestination!E35</f>
        <v>-0.13975410125000001</v>
      </c>
      <c r="V27" s="337">
        <f si="0" t="shared"/>
        <v>-0.13975410125000001</v>
      </c>
    </row>
    <row r="28" spans="2:29" x14ac:dyDescent="0.25">
      <c r="C28" s="321"/>
      <c r="D28" s="327"/>
      <c r="R28" s="296" t="str">
        <f>VLOOKUP(S28,Coeff_Descr!$A:$D,3,FALSE)</f>
        <v>PERSBUS/MED</v>
      </c>
      <c r="S28" s="296">
        <f>OtherTourDestination!B36</f>
        <v>26</v>
      </c>
      <c r="T28" s="296" t="str">
        <f>OtherTourDestination!C36</f>
        <v>Beta00026</v>
      </c>
      <c r="U28" s="298">
        <f>OtherTourDestination!E36</f>
        <v>0.83837490119000002</v>
      </c>
      <c r="V28" s="337">
        <f si="0" t="shared"/>
        <v>0.83837490119000002</v>
      </c>
    </row>
    <row r="29" spans="2:29" x14ac:dyDescent="0.25">
      <c r="C29" s="320" t="s">
        <v>82</v>
      </c>
      <c r="D29" s="328"/>
      <c r="R29" s="296" t="str">
        <f>VLOOKUP(S29,Coeff_Descr!$A:$D,3,FALSE)</f>
        <v>PERSBUS/MED</v>
      </c>
      <c r="S29" s="296">
        <f>OtherTourDestination!B37</f>
        <v>27</v>
      </c>
      <c r="T29" s="296" t="str">
        <f>OtherTourDestination!C37</f>
        <v>Beta00027</v>
      </c>
      <c r="U29" s="298">
        <f>OtherTourDestination!E37</f>
        <v>-9.2935231723499996</v>
      </c>
      <c r="V29" s="337">
        <f si="0" t="shared"/>
        <v>-9.2935231723499996</v>
      </c>
    </row>
    <row r="30" spans="2:29" x14ac:dyDescent="0.25">
      <c r="C30" s="320" t="s">
        <v>107</v>
      </c>
      <c r="D30" s="328"/>
      <c r="R30" s="296" t="str">
        <f>VLOOKUP(S30,Coeff_Descr!$A:$D,3,FALSE)</f>
        <v>PERSBUS/MED</v>
      </c>
      <c r="S30" s="296">
        <f>OtherTourDestination!B38</f>
        <v>28</v>
      </c>
      <c r="T30" s="296" t="str">
        <f>OtherTourDestination!C38</f>
        <v>Beta00028</v>
      </c>
      <c r="U30" s="298">
        <f>OtherTourDestination!E38</f>
        <v>-3.4981009168599999</v>
      </c>
      <c r="V30" s="337">
        <f si="0" t="shared"/>
        <v>-3.4981009168599999</v>
      </c>
    </row>
    <row ht="15.75" r="31" spans="2:29" thickBot="1" x14ac:dyDescent="0.3">
      <c r="C31" s="321"/>
      <c r="D31" s="327"/>
      <c r="R31" s="296" t="str">
        <f>VLOOKUP(S31,Coeff_Descr!$A:$D,3,FALSE)</f>
        <v>PERSBUS/MED</v>
      </c>
      <c r="S31" s="296">
        <f>OtherTourDestination!B39</f>
        <v>29</v>
      </c>
      <c r="T31" s="296" t="str">
        <f>OtherTourDestination!C39</f>
        <v>Beta00029</v>
      </c>
      <c r="U31" s="298">
        <f>OtherTourDestination!E39</f>
        <v>-3.66532113402</v>
      </c>
      <c r="V31" s="337">
        <f si="0" t="shared"/>
        <v>-3.66532113402</v>
      </c>
    </row>
    <row r="32" spans="2:29" x14ac:dyDescent="0.25">
      <c r="B32" s="345" t="s">
        <v>247</v>
      </c>
      <c r="C32" s="322" t="s">
        <v>91</v>
      </c>
      <c r="D32" s="323"/>
      <c r="R32" s="296" t="str">
        <f>VLOOKUP(S32,Coeff_Descr!$A:$D,3,FALSE)</f>
        <v>PERSBUS/MED</v>
      </c>
      <c r="S32" s="296">
        <f>OtherTourDestination!B40</f>
        <v>30</v>
      </c>
      <c r="T32" s="296" t="str">
        <f>OtherTourDestination!C40</f>
        <v>Beta00030</v>
      </c>
      <c r="U32" s="298">
        <f>OtherTourDestination!E40</f>
        <v>-0.32381248725</v>
      </c>
      <c r="V32" s="337">
        <f si="0" t="shared"/>
        <v>-0.32381248725</v>
      </c>
    </row>
    <row r="33" spans="2:23" x14ac:dyDescent="0.25">
      <c r="B33" s="346">
        <f>B23</f>
        <v>37</v>
      </c>
      <c r="C33" s="302" t="s">
        <v>47</v>
      </c>
      <c r="D33" s="378">
        <f>K12</f>
        <v>0.14334726263703129</v>
      </c>
      <c r="R33" s="296" t="str">
        <f>VLOOKUP(S33,Coeff_Descr!$A:$D,3,FALSE)</f>
        <v>PERSBUS/MED</v>
      </c>
      <c r="S33" s="296">
        <f>OtherTourDestination!B41</f>
        <v>31</v>
      </c>
      <c r="T33" s="296" t="str">
        <f>OtherTourDestination!C41</f>
        <v>Beta00031</v>
      </c>
      <c r="U33" s="298">
        <f>OtherTourDestination!E41</f>
        <v>0.14322267177</v>
      </c>
      <c r="V33" s="337">
        <f si="0" t="shared"/>
        <v>0.14322267177</v>
      </c>
    </row>
    <row r="34" spans="2:23" x14ac:dyDescent="0.25">
      <c r="B34" s="346">
        <f ref="B34:B36" si="6" t="shared">B24</f>
        <v>38</v>
      </c>
      <c r="C34" s="305" t="s">
        <v>50</v>
      </c>
      <c r="D34" s="379">
        <f ref="D34:D36" si="7" t="shared">K13</f>
        <v>-0.25190371838992576</v>
      </c>
      <c r="R34" s="296" t="str">
        <f>VLOOKUP(S34,Coeff_Descr!$A:$D,3,FALSE)</f>
        <v>PERSBUS/MED</v>
      </c>
      <c r="S34" s="296">
        <f>OtherTourDestination!B42</f>
        <v>32</v>
      </c>
      <c r="T34" s="296" t="str">
        <f>OtherTourDestination!C42</f>
        <v>Beta00032</v>
      </c>
      <c r="U34" s="298">
        <f>OtherTourDestination!E42</f>
        <v>-0.14826541710999999</v>
      </c>
      <c r="V34" s="337">
        <f si="0" t="shared"/>
        <v>-0.14826541710999999</v>
      </c>
    </row>
    <row r="35" spans="2:23" x14ac:dyDescent="0.25">
      <c r="B35" s="346">
        <f si="6" t="shared"/>
        <v>39</v>
      </c>
      <c r="C35" s="305" t="s">
        <v>53</v>
      </c>
      <c r="D35" s="379">
        <f si="7" t="shared"/>
        <v>-6.1031194585486379E-2</v>
      </c>
      <c r="G35" s="329"/>
      <c r="H35" s="329"/>
      <c r="I35" s="329"/>
      <c r="J35" s="329"/>
      <c r="K35" s="329"/>
      <c r="L35" s="329"/>
      <c r="M35" s="329"/>
      <c r="N35" s="329"/>
      <c r="O35" s="329"/>
      <c r="P35" s="329"/>
      <c r="R35" s="296" t="str">
        <f>VLOOKUP(S35,Coeff_Descr!$A:$D,3,FALSE)</f>
        <v>PERSBUS/MED</v>
      </c>
      <c r="S35" s="296">
        <f>OtherTourDestination!B43</f>
        <v>33</v>
      </c>
      <c r="T35" s="296" t="str">
        <f>OtherTourDestination!C43</f>
        <v>Beta00033</v>
      </c>
      <c r="U35" s="298">
        <f>OtherTourDestination!E43</f>
        <v>0.18525614085</v>
      </c>
      <c r="V35" s="337">
        <f si="0" t="shared"/>
        <v>0.18525614085</v>
      </c>
    </row>
    <row ht="15.75" r="36" spans="2:23" thickBot="1" x14ac:dyDescent="0.3">
      <c r="B36" s="348">
        <f si="6" t="shared"/>
        <v>40</v>
      </c>
      <c r="C36" s="325" t="s">
        <v>56</v>
      </c>
      <c r="D36" s="326">
        <f si="7" t="shared"/>
        <v>0.15131923787656137</v>
      </c>
      <c r="G36" s="330"/>
      <c r="H36" s="330"/>
      <c r="I36" s="330"/>
      <c r="J36" s="330"/>
      <c r="K36" s="330"/>
      <c r="L36" s="330"/>
      <c r="M36" s="330"/>
      <c r="N36" s="330"/>
      <c r="O36" s="330"/>
      <c r="P36" s="330"/>
      <c r="R36" s="296" t="str">
        <f>VLOOKUP(S36,Coeff_Descr!$A:$D,3,FALSE)</f>
        <v>PERSBUS/MED</v>
      </c>
      <c r="S36" s="296">
        <f>OtherTourDestination!B44</f>
        <v>34</v>
      </c>
      <c r="T36" s="296" t="str">
        <f>OtherTourDestination!C44</f>
        <v>Beta00034</v>
      </c>
      <c r="U36" s="298">
        <f>OtherTourDestination!E44</f>
        <v>-0.10344899338999999</v>
      </c>
      <c r="V36" s="337">
        <f si="0" t="shared"/>
        <v>-0.10344899338999999</v>
      </c>
    </row>
    <row ht="15.75" r="37" spans="2:23" thickTop="1" x14ac:dyDescent="0.25">
      <c r="C37" s="321"/>
      <c r="D37" s="324"/>
      <c r="R37" s="296" t="str">
        <f>VLOOKUP(S37,Coeff_Descr!$A:$D,3,FALSE)</f>
        <v>PERSBUS/MED</v>
      </c>
      <c r="S37" s="296">
        <f>OtherTourDestination!B45</f>
        <v>35</v>
      </c>
      <c r="T37" s="296" t="str">
        <f>OtherTourDestination!C45</f>
        <v>Beta00035</v>
      </c>
      <c r="U37" s="298">
        <f>OtherTourDestination!E45</f>
        <v>7.5098801229999998E-2</v>
      </c>
      <c r="V37" s="337">
        <f si="0" t="shared"/>
        <v>7.5098801229999998E-2</v>
      </c>
    </row>
    <row r="38" spans="2:23" x14ac:dyDescent="0.25">
      <c r="C38" s="321"/>
      <c r="D38" s="324"/>
      <c r="R38" s="296" t="str">
        <f>VLOOKUP(S38,Coeff_Descr!$A:$D,3,FALSE)</f>
        <v>SHOP</v>
      </c>
      <c r="S38" s="296">
        <f>OtherTourDestination!B46</f>
        <v>36</v>
      </c>
      <c r="T38" s="296" t="str">
        <f>OtherTourDestination!C46</f>
        <v>Beta00036</v>
      </c>
      <c r="U38" s="298">
        <f>OtherTourDestination!E46</f>
        <v>1.1126386876900001</v>
      </c>
      <c r="V38" s="337">
        <f si="0" t="shared"/>
        <v>1.1126386876900001</v>
      </c>
    </row>
    <row r="39" spans="2:23" x14ac:dyDescent="0.25">
      <c r="C39" s="320" t="s">
        <v>82</v>
      </c>
      <c r="D39" s="331"/>
      <c r="R39" s="296" t="str">
        <f>VLOOKUP(S39,Coeff_Descr!$A:$D,3,FALSE)</f>
        <v>SHOP</v>
      </c>
      <c r="S39" s="338">
        <f>OtherTourDestination!B47</f>
        <v>37</v>
      </c>
      <c r="T39" s="338" t="str">
        <f>OtherTourDestination!C47</f>
        <v>Beta00037</v>
      </c>
      <c r="U39" s="339">
        <f>OtherTourDestination!E47</f>
        <v>-7.8810597731899996</v>
      </c>
      <c r="V39" s="340">
        <f si="0" t="shared"/>
        <v>-7.8810597731899996</v>
      </c>
      <c r="W39" s="296" t="str">
        <f>VLOOKUP(S39,Coeff_Descr!$A$2:$E$104,4,FALSE)</f>
        <v>distanceFromOrigin4</v>
      </c>
    </row>
    <row r="40" spans="2:23" x14ac:dyDescent="0.25">
      <c r="C40" s="320" t="s">
        <v>125</v>
      </c>
      <c r="D40" s="331"/>
      <c r="R40" s="296" t="str">
        <f>VLOOKUP(S40,Coeff_Descr!$A:$D,3,FALSE)</f>
        <v>SHOP</v>
      </c>
      <c r="S40" s="338">
        <f>OtherTourDestination!B48</f>
        <v>38</v>
      </c>
      <c r="T40" s="338" t="str">
        <f>OtherTourDestination!C48</f>
        <v>Beta00038</v>
      </c>
      <c r="U40" s="339">
        <f>OtherTourDestination!E48</f>
        <v>-8.0062297029800007</v>
      </c>
      <c r="V40" s="340">
        <f si="0" t="shared"/>
        <v>-8.0062297029800007</v>
      </c>
      <c r="W40" s="296" t="str">
        <f>VLOOKUP(S40,Coeff_Descr!$A$2:$E$104,4,FALSE)</f>
        <v>distanceFromOrigin8</v>
      </c>
    </row>
    <row ht="15.75" r="41" spans="2:23" thickBot="1" x14ac:dyDescent="0.3">
      <c r="B41" s="349"/>
      <c r="C41" s="321"/>
      <c r="D41" s="324"/>
      <c r="R41" s="296" t="str">
        <f>VLOOKUP(S41,Coeff_Descr!$A:$D,3,FALSE)</f>
        <v>SHOP</v>
      </c>
      <c r="S41" s="338">
        <f>OtherTourDestination!B49</f>
        <v>39</v>
      </c>
      <c r="T41" s="338" t="str">
        <f>OtherTourDestination!C49</f>
        <v>Beta00039</v>
      </c>
      <c r="U41" s="339">
        <f>OtherTourDestination!E49</f>
        <v>-3.4078711737399998</v>
      </c>
      <c r="V41" s="340">
        <f si="0" t="shared"/>
        <v>-3.4078711737399998</v>
      </c>
      <c r="W41" s="296" t="str">
        <f>VLOOKUP(S41,Coeff_Descr!$A$2:$E$104,4,FALSE)</f>
        <v>distanceFromOrigin9</v>
      </c>
    </row>
    <row r="42" spans="2:23" x14ac:dyDescent="0.25">
      <c r="B42" s="345" t="s">
        <v>247</v>
      </c>
      <c r="C42" s="322" t="s">
        <v>91</v>
      </c>
      <c r="D42" s="332"/>
      <c r="R42" s="296" t="str">
        <f>VLOOKUP(S42,Coeff_Descr!$A:$D,3,FALSE)</f>
        <v>SHOP</v>
      </c>
      <c r="S42" s="338">
        <f>OtherTourDestination!B50</f>
        <v>40</v>
      </c>
      <c r="T42" s="338" t="str">
        <f>OtherTourDestination!C50</f>
        <v>Beta00040</v>
      </c>
      <c r="U42" s="339">
        <f>OtherTourDestination!E50</f>
        <v>-0.25934246287000001</v>
      </c>
      <c r="V42" s="340">
        <f si="0" t="shared"/>
        <v>-6.2140869987809155E-2</v>
      </c>
      <c r="W42" s="296" t="str">
        <f>VLOOKUP(S42,Coeff_Descr!$A$2:$E$104,4,FALSE)</f>
        <v>distanceFromOrigin3</v>
      </c>
    </row>
    <row r="43" spans="2:23" x14ac:dyDescent="0.25">
      <c r="B43" s="346">
        <f>B33</f>
        <v>37</v>
      </c>
      <c r="C43" s="302" t="s">
        <v>47</v>
      </c>
      <c r="D43" s="380">
        <f>D23+H50</f>
        <v>-7.8810597731899996</v>
      </c>
      <c r="R43" s="296" t="str">
        <f>VLOOKUP(S43,Coeff_Descr!$A:$D,3,FALSE)</f>
        <v>SHOP</v>
      </c>
      <c r="S43" s="296">
        <f>OtherTourDestination!B51</f>
        <v>41</v>
      </c>
      <c r="T43" s="296" t="str">
        <f>OtherTourDestination!C51</f>
        <v>Beta00041</v>
      </c>
      <c r="U43" s="298">
        <f>OtherTourDestination!E51</f>
        <v>-0.13916826495000001</v>
      </c>
      <c r="V43" s="337">
        <f si="0" t="shared"/>
        <v>-0.13916826495000001</v>
      </c>
    </row>
    <row r="44" spans="2:23" x14ac:dyDescent="0.25">
      <c r="B44" s="346">
        <f ref="B44:B46" si="8" t="shared">B34</f>
        <v>38</v>
      </c>
      <c r="C44" s="305" t="s">
        <v>50</v>
      </c>
      <c r="D44" s="380">
        <f ref="D44:D46" si="9" t="shared">D24+H51</f>
        <v>-8.0062297029800007</v>
      </c>
      <c r="R44" s="296" t="str">
        <f>VLOOKUP(S44,Coeff_Descr!$A:$D,3,FALSE)</f>
        <v>SHOP</v>
      </c>
      <c r="S44" s="296">
        <f>OtherTourDestination!B52</f>
        <v>42</v>
      </c>
      <c r="T44" s="296" t="str">
        <f>OtherTourDestination!C52</f>
        <v>Beta00042</v>
      </c>
      <c r="U44" s="298">
        <f>OtherTourDestination!E52</f>
        <v>0.51094315161000003</v>
      </c>
      <c r="V44" s="337">
        <f si="0" t="shared"/>
        <v>0.51094315161000003</v>
      </c>
    </row>
    <row r="45" spans="2:23" x14ac:dyDescent="0.25">
      <c r="B45" s="346">
        <f si="8" t="shared"/>
        <v>39</v>
      </c>
      <c r="C45" s="305" t="s">
        <v>53</v>
      </c>
      <c r="D45" s="380">
        <f si="9" t="shared"/>
        <v>-3.4078711737399998</v>
      </c>
      <c r="R45" s="296" t="str">
        <f>VLOOKUP(S45,Coeff_Descr!$A:$D,3,FALSE)</f>
        <v>MEAL</v>
      </c>
      <c r="S45" s="296">
        <f>OtherTourDestination!B53</f>
        <v>43</v>
      </c>
      <c r="T45" s="296" t="str">
        <f>OtherTourDestination!C53</f>
        <v>Beta00043</v>
      </c>
      <c r="U45" s="298">
        <f>OtherTourDestination!E53</f>
        <v>0.71812285494999994</v>
      </c>
      <c r="V45" s="337">
        <f si="0" t="shared"/>
        <v>0.71812285494999994</v>
      </c>
    </row>
    <row ht="15.75" r="46" spans="2:23" thickBot="1" x14ac:dyDescent="0.3">
      <c r="B46" s="348">
        <f si="8" t="shared"/>
        <v>40</v>
      </c>
      <c r="C46" s="325" t="s">
        <v>56</v>
      </c>
      <c r="D46" s="380">
        <f si="9" t="shared"/>
        <v>-6.2140869987809155E-2</v>
      </c>
      <c r="R46" s="296" t="str">
        <f>VLOOKUP(S46,Coeff_Descr!$A:$D,3,FALSE)</f>
        <v>MEAL</v>
      </c>
      <c r="S46" s="296">
        <f>OtherTourDestination!B54</f>
        <v>44</v>
      </c>
      <c r="T46" s="296" t="str">
        <f>OtherTourDestination!C54</f>
        <v>Beta00044</v>
      </c>
      <c r="U46" s="298">
        <f>OtherTourDestination!E54</f>
        <v>-15.14732909554</v>
      </c>
      <c r="V46" s="337">
        <f si="0" t="shared"/>
        <v>-15.14732909554</v>
      </c>
    </row>
    <row ht="15.75" r="47" spans="2:23" thickTop="1" x14ac:dyDescent="0.25">
      <c r="R47" s="296" t="str">
        <f>VLOOKUP(S47,Coeff_Descr!$A:$D,3,FALSE)</f>
        <v>MEAL</v>
      </c>
      <c r="S47" s="296">
        <f>OtherTourDestination!B55</f>
        <v>45</v>
      </c>
      <c r="T47" s="296" t="str">
        <f>OtherTourDestination!C55</f>
        <v>Beta00045</v>
      </c>
      <c r="U47" s="298">
        <f>OtherTourDestination!E55</f>
        <v>-4.0821681896699999</v>
      </c>
      <c r="V47" s="337">
        <f si="0" t="shared"/>
        <v>-4.0821681896699999</v>
      </c>
    </row>
    <row r="48" spans="2:23" x14ac:dyDescent="0.25">
      <c r="D48" s="296"/>
      <c r="E48" s="295"/>
      <c r="G48" s="382"/>
      <c r="H48" s="381"/>
      <c r="I48" s="381"/>
      <c r="M48" s="296"/>
      <c r="N48" s="296"/>
      <c r="O48" s="296"/>
      <c r="P48" s="296"/>
      <c r="R48" s="296" t="str">
        <f>VLOOKUP(S48,Coeff_Descr!$A:$D,3,FALSE)</f>
        <v>MEAL</v>
      </c>
      <c r="S48" s="296">
        <f>OtherTourDestination!B56</f>
        <v>46</v>
      </c>
      <c r="T48" s="296" t="str">
        <f>OtherTourDestination!C56</f>
        <v>Beta00046</v>
      </c>
      <c r="U48" s="298">
        <f>OtherTourDestination!E56</f>
        <v>-1.9121090734599999</v>
      </c>
      <c r="V48" s="337">
        <f si="0" t="shared"/>
        <v>-1.9121090734599999</v>
      </c>
    </row>
    <row ht="15.75" r="49" spans="1:22" thickBot="1" x14ac:dyDescent="0.3">
      <c r="B49" s="6"/>
      <c r="C49" s="6"/>
      <c r="D49" s="383"/>
      <c r="E49" s="383"/>
      <c r="G49" s="384"/>
      <c r="H49" s="385" t="s">
        <v>281</v>
      </c>
      <c r="I49" s="386" t="s">
        <v>282</v>
      </c>
      <c r="M49" s="296"/>
      <c r="N49" s="296"/>
      <c r="O49" s="296"/>
      <c r="P49" s="296"/>
      <c r="R49" s="296" t="str">
        <f>VLOOKUP(S49,Coeff_Descr!$A:$D,3,FALSE)</f>
        <v>MEAL</v>
      </c>
      <c r="S49" s="296">
        <f>OtherTourDestination!B57</f>
        <v>47</v>
      </c>
      <c r="T49" s="296" t="str">
        <f>OtherTourDestination!C57</f>
        <v>Beta00047</v>
      </c>
      <c r="U49" s="298">
        <f>OtherTourDestination!E57</f>
        <v>-1.3851302912200001</v>
      </c>
      <c r="V49" s="337">
        <f si="0" t="shared"/>
        <v>-1.3851302912200001</v>
      </c>
    </row>
    <row r="50" spans="1:22" x14ac:dyDescent="0.25">
      <c r="A50" s="296" t="s">
        <v>309</v>
      </c>
      <c r="B50" s="387" t="s">
        <v>283</v>
      </c>
      <c r="C50" s="387" t="s">
        <v>36</v>
      </c>
      <c r="D50" s="387" t="s">
        <v>284</v>
      </c>
      <c r="E50" s="3" t="s">
        <v>285</v>
      </c>
      <c r="G50" s="388" t="s">
        <v>47</v>
      </c>
      <c r="H50" s="389">
        <f>E51*I50</f>
        <v>0</v>
      </c>
      <c r="I50" s="390">
        <v>0</v>
      </c>
      <c r="M50" s="296"/>
      <c r="N50" s="296"/>
      <c r="O50" s="296"/>
      <c r="P50" s="296"/>
      <c r="R50" s="296" t="str">
        <f>VLOOKUP(S50,Coeff_Descr!$A:$D,3,FALSE)</f>
        <v>MEAL</v>
      </c>
      <c r="S50" s="296">
        <f>OtherTourDestination!B58</f>
        <v>48</v>
      </c>
      <c r="T50" s="296" t="str">
        <f>OtherTourDestination!C58</f>
        <v>Beta00048</v>
      </c>
      <c r="U50" s="298">
        <f>OtherTourDestination!E58</f>
        <v>0.18770524043</v>
      </c>
      <c r="V50" s="337">
        <f si="0" t="shared"/>
        <v>0.18770524043</v>
      </c>
    </row>
    <row r="51" spans="1:22" x14ac:dyDescent="0.25">
      <c r="A51" s="399">
        <f>B51</f>
        <v>0.5</v>
      </c>
      <c r="B51" s="387">
        <f>TLFD!A11+0.5</f>
        <v>0.5</v>
      </c>
      <c r="C51" s="391">
        <f>TLFD!C11</f>
        <v>0.1298186968557164</v>
      </c>
      <c r="D51" s="391">
        <f>TLFD!G11</f>
        <v>0.1124818162033378</v>
      </c>
      <c r="E51" s="387">
        <f>IF(AND(C51&gt;0, D51&gt;0),LN(C51/D51),0)</f>
        <v>0.14334726263703146</v>
      </c>
      <c r="G51" s="392" t="s">
        <v>50</v>
      </c>
      <c r="H51" s="389">
        <f>H72*I51</f>
        <v>0</v>
      </c>
      <c r="I51" s="390">
        <v>0</v>
      </c>
      <c r="M51" s="296"/>
      <c r="N51" s="296"/>
      <c r="O51" s="296"/>
      <c r="P51" s="296"/>
      <c r="R51" s="296" t="str">
        <f>VLOOKUP(S51,Coeff_Descr!$A:$D,3,FALSE)</f>
        <v>SOCREC</v>
      </c>
      <c r="S51" s="296">
        <f>OtherTourDestination!B59</f>
        <v>49</v>
      </c>
      <c r="T51" s="296" t="str">
        <f>OtherTourDestination!C59</f>
        <v>Beta00049</v>
      </c>
      <c r="U51" s="298">
        <f>OtherTourDestination!E59</f>
        <v>0.75868423218000003</v>
      </c>
      <c r="V51" s="337">
        <f si="0" t="shared"/>
        <v>0.75868423218000003</v>
      </c>
    </row>
    <row r="52" spans="1:22" x14ac:dyDescent="0.25">
      <c r="A52" s="296">
        <f>B52-1</f>
        <v>0.5</v>
      </c>
      <c r="B52">
        <f>TLFD!A12+0.5</f>
        <v>1.5</v>
      </c>
      <c r="C52" s="393">
        <f>TLFD!C12</f>
        <v>0.14067562424667976</v>
      </c>
      <c r="D52" s="400">
        <f>TLFD!G12</f>
        <v>0.19129354088633838</v>
      </c>
      <c r="E52">
        <f ref="E52:E115" si="10" t="shared">IF(AND(C52&gt;0, D52&gt;0),LN(C52/D52),0)</f>
        <v>-0.30735240874090697</v>
      </c>
      <c r="G52" s="392" t="s">
        <v>53</v>
      </c>
      <c r="H52" s="389">
        <f>H92*I52</f>
        <v>0</v>
      </c>
      <c r="I52" s="390">
        <v>0</v>
      </c>
      <c r="M52" s="296"/>
      <c r="N52" s="296"/>
      <c r="O52" s="296"/>
      <c r="P52" s="296"/>
      <c r="R52" s="296" t="str">
        <f>VLOOKUP(S52,Coeff_Descr!$A:$D,3,FALSE)</f>
        <v>SOCREC</v>
      </c>
      <c r="S52" s="333">
        <f>OtherTourDestination!B60</f>
        <v>50</v>
      </c>
      <c r="T52" s="333" t="str">
        <f>OtherTourDestination!C60</f>
        <v>Beta00050</v>
      </c>
      <c r="U52" s="375">
        <f>OtherTourDestination!E60</f>
        <v>-11.41930576164</v>
      </c>
      <c r="V52" s="337">
        <f si="0" t="shared"/>
        <v>-11.41930576164</v>
      </c>
    </row>
    <row r="53" spans="1:22" x14ac:dyDescent="0.25">
      <c r="A53" s="296">
        <f ref="A53:A54" si="11" t="shared">B53-1</f>
        <v>1.5</v>
      </c>
      <c r="B53">
        <f>TLFD!A13+0.5</f>
        <v>2.5</v>
      </c>
      <c r="C53" s="393">
        <f>TLFD!C13</f>
        <v>0.14963030477941341</v>
      </c>
      <c r="D53" s="400">
        <f>TLFD!G13</f>
        <v>0.14657571904745542</v>
      </c>
      <c r="E53">
        <f si="10" t="shared"/>
        <v>2.0625468579759203E-2</v>
      </c>
      <c r="G53" s="392" t="s">
        <v>56</v>
      </c>
      <c r="H53" s="389">
        <f>H112*I53</f>
        <v>0.19720159288219086</v>
      </c>
      <c r="I53" s="390">
        <v>300</v>
      </c>
      <c r="K53" s="295" t="s">
        <v>310</v>
      </c>
      <c r="M53" s="296"/>
      <c r="N53" s="296"/>
      <c r="O53" s="296"/>
      <c r="P53" s="296"/>
      <c r="R53" s="296" t="str">
        <f>VLOOKUP(S53,Coeff_Descr!$A:$D,3,FALSE)</f>
        <v>SOCREC</v>
      </c>
      <c r="S53" s="333">
        <f>OtherTourDestination!B61</f>
        <v>51</v>
      </c>
      <c r="T53" s="333" t="str">
        <f>OtherTourDestination!C61</f>
        <v>Beta00051</v>
      </c>
      <c r="U53" s="375">
        <f>OtherTourDestination!E61</f>
        <v>-5.0410177787699997</v>
      </c>
      <c r="V53" s="337">
        <f si="0" t="shared"/>
        <v>-5.0410177787699997</v>
      </c>
    </row>
    <row r="54" spans="1:22" x14ac:dyDescent="0.25">
      <c r="A54" s="399">
        <f si="11" t="shared"/>
        <v>2.5</v>
      </c>
      <c r="B54" s="387">
        <f>TLFD!A14+0.5</f>
        <v>3.5</v>
      </c>
      <c r="C54" s="391">
        <f>TLFD!C14</f>
        <v>0.11700212720945252</v>
      </c>
      <c r="D54" s="401">
        <f>TLFD!G14</f>
        <v>0.10186935156867462</v>
      </c>
      <c r="E54" s="387">
        <f si="10" t="shared"/>
        <v>0.13850099061060586</v>
      </c>
      <c r="G54" s="394"/>
      <c r="I54"/>
      <c r="M54" s="296"/>
      <c r="N54" s="296"/>
      <c r="O54" s="296"/>
      <c r="P54" s="296"/>
      <c r="R54" s="296" t="str">
        <f>VLOOKUP(S54,Coeff_Descr!$A:$D,3,FALSE)</f>
        <v>SOCREC</v>
      </c>
      <c r="S54" s="333">
        <f>OtherTourDestination!B62</f>
        <v>52</v>
      </c>
      <c r="T54" s="333" t="str">
        <f>OtherTourDestination!C62</f>
        <v>Beta00052</v>
      </c>
      <c r="U54" s="375">
        <f>OtherTourDestination!E62</f>
        <v>-3.9034241353299999</v>
      </c>
      <c r="V54" s="337">
        <f si="0" t="shared"/>
        <v>-3.9034241353299999</v>
      </c>
    </row>
    <row r="55" spans="1:22" x14ac:dyDescent="0.25">
      <c r="A55" s="296">
        <f>B55-3.5</f>
        <v>1</v>
      </c>
      <c r="B55">
        <f>TLFD!A15+0.5</f>
        <v>4.5</v>
      </c>
      <c r="C55" s="393">
        <f>TLFD!C15</f>
        <v>7.6681155831715864E-2</v>
      </c>
      <c r="D55" s="393">
        <f>TLFD!G15</f>
        <v>8.0329427396538491E-2</v>
      </c>
      <c r="E55">
        <f si="10" t="shared"/>
        <v>-4.6480030512392169E-2</v>
      </c>
      <c r="G55" t="s">
        <v>286</v>
      </c>
      <c r="H55"/>
      <c r="I55"/>
      <c r="J55"/>
      <c r="K55"/>
      <c r="L55"/>
      <c r="M55"/>
      <c r="N55"/>
      <c r="O55"/>
      <c r="P55"/>
      <c r="R55" s="296" t="str">
        <f>VLOOKUP(S55,Coeff_Descr!$A:$D,3,FALSE)</f>
        <v>SOCREC</v>
      </c>
      <c r="S55" s="333">
        <f>OtherTourDestination!B63</f>
        <v>53</v>
      </c>
      <c r="T55" s="333" t="str">
        <f>OtherTourDestination!C63</f>
        <v>Beta00053</v>
      </c>
      <c r="U55" s="375">
        <f>OtherTourDestination!E63</f>
        <v>-0.39747668525000002</v>
      </c>
      <c r="V55" s="337">
        <f si="0" t="shared"/>
        <v>-0.39747668525000002</v>
      </c>
    </row>
    <row ht="15.75" r="56" spans="1:22" thickBot="1" x14ac:dyDescent="0.3">
      <c r="A56" s="296">
        <f ref="A56:A60" si="12" t="shared">B56-3.5</f>
        <v>2</v>
      </c>
      <c r="B56">
        <f>TLFD!A16+0.5</f>
        <v>5.5</v>
      </c>
      <c r="C56" s="393">
        <f>TLFD!C16</f>
        <v>6.4911014702328601E-2</v>
      </c>
      <c r="D56" s="393">
        <f>TLFD!G16</f>
        <v>6.0490475699575046E-2</v>
      </c>
      <c r="E56">
        <f si="10" t="shared"/>
        <v>7.0531401182531886E-2</v>
      </c>
      <c r="G56"/>
      <c r="H56"/>
      <c r="I56"/>
      <c r="J56"/>
      <c r="K56"/>
      <c r="L56"/>
      <c r="M56"/>
      <c r="N56"/>
      <c r="O56"/>
      <c r="P56"/>
      <c r="R56" s="296" t="str">
        <f>VLOOKUP(S56,Coeff_Descr!$A:$D,3,FALSE)</f>
        <v>SOCREC</v>
      </c>
      <c r="S56" s="296">
        <f>OtherTourDestination!B64</f>
        <v>54</v>
      </c>
      <c r="T56" s="296" t="str">
        <f>OtherTourDestination!C64</f>
        <v>Beta00054</v>
      </c>
      <c r="U56" s="298">
        <f>OtherTourDestination!E64</f>
        <v>0.21263122743000001</v>
      </c>
      <c r="V56" s="337">
        <f si="0" t="shared"/>
        <v>0.21263122743000001</v>
      </c>
    </row>
    <row r="57" spans="1:22" x14ac:dyDescent="0.25">
      <c r="A57" s="296">
        <f si="12" t="shared"/>
        <v>3</v>
      </c>
      <c r="B57">
        <f>TLFD!A17+0.5</f>
        <v>6.5</v>
      </c>
      <c r="C57" s="393">
        <f>TLFD!C17</f>
        <v>4.401472060905412E-2</v>
      </c>
      <c r="D57" s="393">
        <f>TLFD!G17</f>
        <v>4.71576005406458E-2</v>
      </c>
      <c r="E57">
        <f si="10" t="shared"/>
        <v>-6.8971057991154064E-2</v>
      </c>
      <c r="G57" s="395" t="s">
        <v>287</v>
      </c>
      <c r="H57" s="395"/>
      <c r="I57"/>
      <c r="J57"/>
      <c r="K57"/>
      <c r="L57"/>
      <c r="M57"/>
      <c r="N57"/>
      <c r="O57"/>
      <c r="P57"/>
      <c r="R57" s="296" t="str">
        <f>VLOOKUP(S57,Coeff_Descr!$A:$D,3,FALSE)</f>
        <v>SOCREC</v>
      </c>
      <c r="S57" s="296">
        <f>OtherTourDestination!B65</f>
        <v>55</v>
      </c>
      <c r="T57" s="296" t="str">
        <f>OtherTourDestination!C65</f>
        <v>Beta00055</v>
      </c>
      <c r="U57" s="298">
        <f>OtherTourDestination!E65</f>
        <v>0.43455667627</v>
      </c>
      <c r="V57" s="337">
        <f si="0" t="shared"/>
        <v>0.43455667627</v>
      </c>
    </row>
    <row r="58" spans="1:22" x14ac:dyDescent="0.25">
      <c r="A58" s="296">
        <f si="12" t="shared"/>
        <v>4</v>
      </c>
      <c r="B58">
        <f>TLFD!A18+0.5</f>
        <v>7.5</v>
      </c>
      <c r="C58" s="393">
        <f>TLFD!C18</f>
        <v>2.2588797054413051E-2</v>
      </c>
      <c r="D58" s="393">
        <f>TLFD!G18</f>
        <v>3.8956278707490008E-2</v>
      </c>
      <c r="E58">
        <f si="10" t="shared"/>
        <v>-0.54498588067222964</v>
      </c>
      <c r="G58" s="396" t="s">
        <v>288</v>
      </c>
      <c r="H58" s="396">
        <v>0.12988666017334696</v>
      </c>
      <c r="I58"/>
      <c r="J58"/>
      <c r="K58"/>
      <c r="L58"/>
      <c r="M58"/>
      <c r="N58"/>
      <c r="O58"/>
      <c r="P58"/>
      <c r="R58" s="296" t="str">
        <f>VLOOKUP(S58,Coeff_Descr!$A:$D,3,FALSE)</f>
        <v>SOCREC</v>
      </c>
      <c r="S58" s="296">
        <f>OtherTourDestination!B66</f>
        <v>56</v>
      </c>
      <c r="T58" s="296" t="str">
        <f>OtherTourDestination!C66</f>
        <v>Beta00056</v>
      </c>
      <c r="U58" s="298">
        <f>OtherTourDestination!E66</f>
        <v>-0.77182497547999995</v>
      </c>
      <c r="V58" s="337">
        <f si="0" t="shared"/>
        <v>-0.77182497547999995</v>
      </c>
    </row>
    <row r="59" spans="1:22" x14ac:dyDescent="0.25">
      <c r="A59" s="296">
        <f si="12" t="shared"/>
        <v>5</v>
      </c>
      <c r="B59">
        <f>TLFD!A19+0.5</f>
        <v>8.5</v>
      </c>
      <c r="C59" s="393">
        <f>TLFD!C19</f>
        <v>2.0325142624034714E-2</v>
      </c>
      <c r="D59" s="393">
        <f>TLFD!G19</f>
        <v>2.4701327560335842E-2</v>
      </c>
      <c r="E59">
        <f si="10" t="shared"/>
        <v>-0.1949983169896769</v>
      </c>
      <c r="G59" s="396" t="s">
        <v>289</v>
      </c>
      <c r="H59" s="396">
        <v>1.6870544490986517E-2</v>
      </c>
      <c r="I59"/>
      <c r="J59"/>
      <c r="K59"/>
      <c r="L59"/>
      <c r="M59"/>
      <c r="N59"/>
      <c r="O59"/>
      <c r="P59"/>
      <c r="R59" s="296" t="str">
        <f>VLOOKUP(S59,Coeff_Descr!$A:$D,3,FALSE)</f>
        <v>SOCREC</v>
      </c>
      <c r="S59" s="296">
        <f>OtherTourDestination!B67</f>
        <v>57</v>
      </c>
      <c r="T59" s="296" t="str">
        <f>OtherTourDestination!C67</f>
        <v>Beta00057</v>
      </c>
      <c r="U59" s="298">
        <f>OtherTourDestination!E67</f>
        <v>7.732925786E-2</v>
      </c>
      <c r="V59" s="337">
        <f si="0" t="shared"/>
        <v>7.732925786E-2</v>
      </c>
    </row>
    <row r="60" spans="1:22" x14ac:dyDescent="0.25">
      <c r="A60" s="399">
        <f si="12" t="shared"/>
        <v>6</v>
      </c>
      <c r="B60" s="387">
        <f>TLFD!A20+0.5</f>
        <v>9.5</v>
      </c>
      <c r="C60" s="391">
        <f>TLFD!C20</f>
        <v>2.4855415860775987E-2</v>
      </c>
      <c r="D60" s="391">
        <f>TLFD!G20</f>
        <v>1.759962429698865E-2</v>
      </c>
      <c r="E60" s="387">
        <f si="10" t="shared"/>
        <v>0.34519811582600046</v>
      </c>
      <c r="G60" s="396" t="s">
        <v>290</v>
      </c>
      <c r="H60" s="396">
        <v>-0.48312945550901348</v>
      </c>
      <c r="I60"/>
      <c r="J60"/>
      <c r="K60"/>
      <c r="L60"/>
      <c r="M60"/>
      <c r="N60"/>
      <c r="O60"/>
      <c r="P60"/>
      <c r="R60" s="296" t="str">
        <f>VLOOKUP(S60,Coeff_Descr!$A:$D,3,FALSE)</f>
        <v>ESCORT</v>
      </c>
      <c r="S60" s="296">
        <f>OtherTourDestination!B68</f>
        <v>70</v>
      </c>
      <c r="T60" s="296" t="str">
        <f>OtherTourDestination!C68</f>
        <v>LSM_0070</v>
      </c>
      <c r="U60" s="298">
        <f>OtherTourDestination!E68</f>
        <v>0.28212328097</v>
      </c>
      <c r="V60" s="337">
        <f si="0" t="shared"/>
        <v>0.28212328097</v>
      </c>
    </row>
    <row r="61" spans="1:22" x14ac:dyDescent="0.25">
      <c r="A61" s="296">
        <f>B61-10</f>
        <v>0.5</v>
      </c>
      <c r="B61">
        <f>TLFD!A21+0.5</f>
        <v>10.5</v>
      </c>
      <c r="C61" s="393">
        <f>TLFD!C21</f>
        <v>2.282714682144233E-2</v>
      </c>
      <c r="D61" s="393">
        <f>TLFD!G21</f>
        <v>1.3813958283220507E-2</v>
      </c>
      <c r="E61">
        <f si="10" t="shared"/>
        <v>0.50227092699116394</v>
      </c>
      <c r="G61" s="396" t="s">
        <v>291</v>
      </c>
      <c r="H61" s="396">
        <v>0.19380097313838152</v>
      </c>
      <c r="I61"/>
      <c r="J61"/>
      <c r="K61"/>
      <c r="L61"/>
      <c r="M61"/>
      <c r="N61"/>
      <c r="O61"/>
      <c r="P61"/>
      <c r="R61" s="296" t="str">
        <f>VLOOKUP(S61,Coeff_Descr!$A:$D,3,FALSE)</f>
        <v>ESCORT</v>
      </c>
      <c r="S61" s="296">
        <f>OtherTourDestination!B69</f>
        <v>71</v>
      </c>
      <c r="T61" s="296" t="str">
        <f>OtherTourDestination!C69</f>
        <v>Gamma071</v>
      </c>
      <c r="U61" s="298">
        <f>OtherTourDestination!E69</f>
        <v>0</v>
      </c>
      <c r="V61" s="337">
        <f si="0" t="shared"/>
        <v>0</v>
      </c>
    </row>
    <row ht="15.75" r="62" spans="1:22" thickBot="1" x14ac:dyDescent="0.3">
      <c r="A62" s="296">
        <f ref="A62:A125" si="13" t="shared">B62-10</f>
        <v>1.5</v>
      </c>
      <c r="B62">
        <f>TLFD!A22+0.5</f>
        <v>11.5</v>
      </c>
      <c r="C62" s="393">
        <f>TLFD!C22</f>
        <v>2.1039468222302963E-2</v>
      </c>
      <c r="D62" s="393">
        <f>TLFD!G22</f>
        <v>1.3201150017754258E-2</v>
      </c>
      <c r="E62">
        <f si="10" t="shared"/>
        <v>0.46609616459021203</v>
      </c>
      <c r="G62" s="397" t="s">
        <v>292</v>
      </c>
      <c r="H62" s="397">
        <v>3</v>
      </c>
      <c r="I62"/>
      <c r="J62"/>
      <c r="K62"/>
      <c r="L62"/>
      <c r="M62"/>
      <c r="N62"/>
      <c r="O62"/>
      <c r="P62"/>
      <c r="R62" s="296" t="str">
        <f>VLOOKUP(S62,Coeff_Descr!$A:$D,3,FALSE)</f>
        <v>ESCORT</v>
      </c>
      <c r="S62" s="296">
        <f>OtherTourDestination!B70</f>
        <v>72</v>
      </c>
      <c r="T62" s="296" t="str">
        <f>OtherTourDestination!C70</f>
        <v>Gamma072</v>
      </c>
      <c r="U62" s="298">
        <f>OtherTourDestination!E70</f>
        <v>-3.71465268105</v>
      </c>
      <c r="V62" s="337">
        <f si="0" t="shared"/>
        <v>-3.71465268105</v>
      </c>
    </row>
    <row r="63" spans="1:22" x14ac:dyDescent="0.25">
      <c r="A63" s="296">
        <f si="13" t="shared"/>
        <v>2.5</v>
      </c>
      <c r="B63">
        <f>TLFD!A23+0.5</f>
        <v>12.5</v>
      </c>
      <c r="C63" s="393">
        <f>TLFD!C23</f>
        <v>2.5259554794862735E-2</v>
      </c>
      <c r="D63" s="393">
        <f>TLFD!G23</f>
        <v>1.2708612533360824E-2</v>
      </c>
      <c r="E63">
        <f si="10" t="shared"/>
        <v>0.68692457600419976</v>
      </c>
      <c r="G63"/>
      <c r="H63"/>
      <c r="I63"/>
      <c r="J63"/>
      <c r="K63"/>
      <c r="L63"/>
      <c r="M63"/>
      <c r="N63"/>
      <c r="O63"/>
      <c r="P63"/>
      <c r="R63" s="296" t="str">
        <f>VLOOKUP(S63,Coeff_Descr!$A:$D,3,FALSE)</f>
        <v>ESCORT</v>
      </c>
      <c r="S63" s="296">
        <f>OtherTourDestination!B71</f>
        <v>73</v>
      </c>
      <c r="T63" s="296" t="str">
        <f>OtherTourDestination!C71</f>
        <v>Gamma073</v>
      </c>
      <c r="U63" s="298">
        <f>OtherTourDestination!E71</f>
        <v>-2.3682469103699999</v>
      </c>
      <c r="V63" s="337">
        <f si="0" t="shared"/>
        <v>-2.3682469103699999</v>
      </c>
    </row>
    <row ht="15.75" r="64" spans="1:22" thickBot="1" x14ac:dyDescent="0.3">
      <c r="A64" s="296">
        <f si="13" t="shared"/>
        <v>3.5</v>
      </c>
      <c r="B64">
        <f>TLFD!A24+0.5</f>
        <v>13.5</v>
      </c>
      <c r="C64" s="393">
        <f>TLFD!C24</f>
        <v>1.0957292450807911E-2</v>
      </c>
      <c r="D64" s="393">
        <f>TLFD!G24</f>
        <v>1.1717810384522869E-2</v>
      </c>
      <c r="E64">
        <f si="10" t="shared"/>
        <v>-6.7104727594531635E-2</v>
      </c>
      <c r="G64" t="s">
        <v>293</v>
      </c>
      <c r="H64"/>
      <c r="I64"/>
      <c r="J64"/>
      <c r="K64"/>
      <c r="L64"/>
      <c r="M64"/>
      <c r="N64"/>
      <c r="O64"/>
      <c r="P64"/>
      <c r="R64" s="296" t="str">
        <f>VLOOKUP(S64,Coeff_Descr!$A:$D,3,FALSE)</f>
        <v>ESCORT</v>
      </c>
      <c r="S64" s="296">
        <f>OtherTourDestination!B72</f>
        <v>74</v>
      </c>
      <c r="T64" s="296" t="str">
        <f>OtherTourDestination!C72</f>
        <v>Gamma074</v>
      </c>
      <c r="U64" s="298">
        <f>OtherTourDestination!E72</f>
        <v>-2.6135679522899999</v>
      </c>
      <c r="V64" s="337">
        <f si="0" t="shared"/>
        <v>-2.6135679522899999</v>
      </c>
    </row>
    <row r="65" spans="1:22" x14ac:dyDescent="0.25">
      <c r="A65" s="296">
        <f si="13" t="shared"/>
        <v>4.5</v>
      </c>
      <c r="B65">
        <f>TLFD!A25+0.5</f>
        <v>14.5</v>
      </c>
      <c r="C65" s="393">
        <f>TLFD!C25</f>
        <v>9.3011209817181334E-3</v>
      </c>
      <c r="D65" s="393">
        <f>TLFD!G25</f>
        <v>1.1975533486821758E-2</v>
      </c>
      <c r="E65">
        <f si="10" t="shared"/>
        <v>-0.2527307637884143</v>
      </c>
      <c r="G65" s="398"/>
      <c r="H65" s="398" t="s">
        <v>294</v>
      </c>
      <c r="I65" s="398" t="s">
        <v>295</v>
      </c>
      <c r="J65" s="398" t="s">
        <v>296</v>
      </c>
      <c r="K65" s="398" t="s">
        <v>242</v>
      </c>
      <c r="L65" s="398" t="s">
        <v>297</v>
      </c>
      <c r="M65"/>
      <c r="N65"/>
      <c r="O65"/>
      <c r="P65"/>
      <c r="R65" s="296" t="str">
        <f>VLOOKUP(S65,Coeff_Descr!$A:$D,3,FALSE)</f>
        <v>ESCORT</v>
      </c>
      <c r="S65" s="296">
        <f>OtherTourDestination!B73</f>
        <v>75</v>
      </c>
      <c r="T65" s="296" t="str">
        <f>OtherTourDestination!C73</f>
        <v>Gamma075</v>
      </c>
      <c r="U65" s="298">
        <f>OtherTourDestination!E73</f>
        <v>-3.2783954524199999</v>
      </c>
      <c r="V65" s="337">
        <f si="0" t="shared"/>
        <v>-3.2783954524199999</v>
      </c>
    </row>
    <row r="66" spans="1:22" x14ac:dyDescent="0.25">
      <c r="A66" s="296">
        <f si="13" t="shared"/>
        <v>5.5</v>
      </c>
      <c r="B66">
        <f>TLFD!A26+0.5</f>
        <v>15.5</v>
      </c>
      <c r="C66" s="393">
        <f>TLFD!C26</f>
        <v>1.0601215299376193E-2</v>
      </c>
      <c r="D66" s="393">
        <f>TLFD!G26</f>
        <v>1.1849535525697856E-2</v>
      </c>
      <c r="E66">
        <f si="10" t="shared"/>
        <v>-0.11132002523865291</v>
      </c>
      <c r="G66" s="396" t="s">
        <v>298</v>
      </c>
      <c r="H66" s="396">
        <v>1</v>
      </c>
      <c r="I66" s="396">
        <v>1.2890218940582177E-3</v>
      </c>
      <c r="J66" s="396">
        <v>1.2890218940582177E-3</v>
      </c>
      <c r="K66" s="396">
        <v>3.4320087545849851E-2</v>
      </c>
      <c r="L66" s="396">
        <v>0.88338394470385351</v>
      </c>
      <c r="M66"/>
      <c r="N66"/>
      <c r="O66"/>
      <c r="P66"/>
      <c r="R66" s="296" t="str">
        <f>VLOOKUP(S66,Coeff_Descr!$A:$D,3,FALSE)</f>
        <v>ESCORT</v>
      </c>
      <c r="S66" s="296">
        <f>OtherTourDestination!B74</f>
        <v>76</v>
      </c>
      <c r="T66" s="296" t="str">
        <f>OtherTourDestination!C74</f>
        <v>Gamma076</v>
      </c>
      <c r="U66" s="298">
        <f>OtherTourDestination!E74</f>
        <v>-2.7864533272199998</v>
      </c>
      <c r="V66" s="337">
        <f si="0" t="shared"/>
        <v>-2.7864533272199998</v>
      </c>
    </row>
    <row r="67" spans="1:22" x14ac:dyDescent="0.25">
      <c r="A67" s="296">
        <f si="13" t="shared"/>
        <v>6.5</v>
      </c>
      <c r="B67">
        <f>TLFD!A27+0.5</f>
        <v>16.5</v>
      </c>
      <c r="C67" s="393">
        <f>TLFD!C27</f>
        <v>7.7152103160125539E-3</v>
      </c>
      <c r="D67" s="393">
        <f>TLFD!G27</f>
        <v>9.7075701865915257E-3</v>
      </c>
      <c r="E67">
        <f si="10" t="shared"/>
        <v>-0.22971226663208191</v>
      </c>
      <c r="G67" s="396" t="s">
        <v>299</v>
      </c>
      <c r="H67" s="396">
        <v>2</v>
      </c>
      <c r="I67" s="396">
        <v>7.511763437876734E-2</v>
      </c>
      <c r="J67" s="396">
        <v>3.755881718938367E-2</v>
      </c>
      <c r="K67" s="396"/>
      <c r="L67" s="396"/>
      <c r="M67"/>
      <c r="N67"/>
      <c r="O67"/>
      <c r="P67"/>
      <c r="R67" s="296" t="str">
        <f>VLOOKUP(S67,Coeff_Descr!$A:$D,3,FALSE)</f>
        <v>ESCORT</v>
      </c>
      <c r="S67" s="296">
        <f>OtherTourDestination!B75</f>
        <v>77</v>
      </c>
      <c r="T67" s="296" t="str">
        <f>OtherTourDestination!C75</f>
        <v>Gamma077</v>
      </c>
      <c r="U67" s="298">
        <f>OtherTourDestination!E75</f>
        <v>-2.4397388537100002</v>
      </c>
      <c r="V67" s="337">
        <f si="0" t="shared"/>
        <v>-2.4397388537100002</v>
      </c>
    </row>
    <row ht="15.75" r="68" spans="1:22" thickBot="1" x14ac:dyDescent="0.3">
      <c r="A68" s="296">
        <f si="13" t="shared"/>
        <v>7.5</v>
      </c>
      <c r="B68">
        <f>TLFD!A28+0.5</f>
        <v>17.5</v>
      </c>
      <c r="C68" s="393">
        <f>TLFD!C28</f>
        <v>5.4837934389816165E-3</v>
      </c>
      <c r="D68" s="393">
        <f>TLFD!G28</f>
        <v>8.8714018991329045E-3</v>
      </c>
      <c r="E68">
        <f si="10" t="shared"/>
        <v>-0.48103573847292724</v>
      </c>
      <c r="G68" s="397" t="s">
        <v>4</v>
      </c>
      <c r="H68" s="397">
        <v>3</v>
      </c>
      <c r="I68" s="397">
        <v>7.6406656272825557E-2</v>
      </c>
      <c r="J68" s="397"/>
      <c r="K68" s="397"/>
      <c r="L68" s="397"/>
      <c r="M68"/>
      <c r="N68"/>
      <c r="O68"/>
      <c r="P68"/>
      <c r="R68" s="296" t="str">
        <f>VLOOKUP(S68,Coeff_Descr!$A:$D,3,FALSE)</f>
        <v>ESCORT</v>
      </c>
      <c r="S68" s="296">
        <f>OtherTourDestination!B76</f>
        <v>78</v>
      </c>
      <c r="T68" s="296" t="str">
        <f>OtherTourDestination!C76</f>
        <v>Gamma078</v>
      </c>
      <c r="U68" s="298">
        <f>OtherTourDestination!E76</f>
        <v>-3.8618208476799998</v>
      </c>
      <c r="V68" s="337">
        <f si="0" t="shared"/>
        <v>-3.8618208476799998</v>
      </c>
    </row>
    <row ht="15.75" r="69" spans="1:22" thickBot="1" x14ac:dyDescent="0.3">
      <c r="A69" s="296">
        <f si="13" t="shared"/>
        <v>8.5</v>
      </c>
      <c r="B69">
        <f>TLFD!A29+0.5</f>
        <v>18.5</v>
      </c>
      <c r="C69" s="393">
        <f>TLFD!C29</f>
        <v>1.1926788897198729E-2</v>
      </c>
      <c r="D69" s="393">
        <f>TLFD!G29</f>
        <v>8.4762264756079401E-3</v>
      </c>
      <c r="E69">
        <f si="10" t="shared"/>
        <v>0.34152167818545925</v>
      </c>
      <c r="G69"/>
      <c r="H69"/>
      <c r="I69"/>
      <c r="J69"/>
      <c r="K69"/>
      <c r="L69"/>
      <c r="M69"/>
      <c r="N69"/>
      <c r="O69"/>
      <c r="P69"/>
      <c r="R69" s="296" t="str">
        <f>VLOOKUP(S69,Coeff_Descr!$A:$D,3,FALSE)</f>
        <v>ESCORT</v>
      </c>
      <c r="S69" s="296">
        <f>OtherTourDestination!B77</f>
        <v>79</v>
      </c>
      <c r="T69" s="296" t="str">
        <f>OtherTourDestination!C77</f>
        <v>Gamma079</v>
      </c>
      <c r="U69" s="298">
        <f>OtherTourDestination!E77</f>
        <v>-21.721852511200002</v>
      </c>
      <c r="V69" s="337">
        <f ref="V69:V104" si="14" t="shared">_xlfn.IFNA(VLOOKUP(S69,$B$43:$D$46,3,FALSE),U69)</f>
        <v>-21.721852511200002</v>
      </c>
    </row>
    <row r="70" spans="1:22" x14ac:dyDescent="0.25">
      <c r="A70" s="296">
        <f si="13" t="shared"/>
        <v>9.5</v>
      </c>
      <c r="B70">
        <f>TLFD!A30+0.5</f>
        <v>19.5</v>
      </c>
      <c r="C70" s="393">
        <f>TLFD!C30</f>
        <v>2.218896509444945E-2</v>
      </c>
      <c r="D70" s="393">
        <f>TLFD!G30</f>
        <v>7.7546017891710478E-3</v>
      </c>
      <c r="E70">
        <f si="10" t="shared"/>
        <v>1.0513086510854928</v>
      </c>
      <c r="G70" s="398"/>
      <c r="H70" s="398" t="s">
        <v>300</v>
      </c>
      <c r="I70" s="398" t="s">
        <v>291</v>
      </c>
      <c r="J70" s="398" t="s">
        <v>301</v>
      </c>
      <c r="K70" s="398" t="s">
        <v>302</v>
      </c>
      <c r="L70" s="398" t="s">
        <v>303</v>
      </c>
      <c r="M70" s="398" t="s">
        <v>304</v>
      </c>
      <c r="N70" s="398" t="s">
        <v>305</v>
      </c>
      <c r="O70" s="398" t="s">
        <v>306</v>
      </c>
      <c r="P70"/>
      <c r="R70" s="296" t="str">
        <f>VLOOKUP(S70,Coeff_Descr!$A:$D,3,FALSE)</f>
        <v>ESCORT</v>
      </c>
      <c r="S70" s="296">
        <f>OtherTourDestination!B78</f>
        <v>80</v>
      </c>
      <c r="T70" s="296" t="str">
        <f>OtherTourDestination!C78</f>
        <v>Gamma080</v>
      </c>
      <c r="U70" s="298">
        <f>OtherTourDestination!E78</f>
        <v>-1.01264089672</v>
      </c>
      <c r="V70" s="337">
        <f si="14" t="shared"/>
        <v>-1.01264089672</v>
      </c>
    </row>
    <row r="71" spans="1:22" x14ac:dyDescent="0.25">
      <c r="A71" s="296">
        <f si="13" t="shared"/>
        <v>10.5</v>
      </c>
      <c r="B71">
        <f>TLFD!A31+0.5</f>
        <v>20.5</v>
      </c>
      <c r="C71" s="393">
        <f>TLFD!C31</f>
        <v>4.034551920261701E-3</v>
      </c>
      <c r="D71" s="393">
        <f>TLFD!G31</f>
        <v>7.3479720055439103E-3</v>
      </c>
      <c r="E71">
        <f si="10" t="shared"/>
        <v>-0.59952911024608646</v>
      </c>
      <c r="G71" s="396" t="s">
        <v>307</v>
      </c>
      <c r="H71" s="396">
        <v>0</v>
      </c>
      <c r="I71" s="396" t="e">
        <v>#N/A</v>
      </c>
      <c r="J71" s="396" t="e">
        <v>#N/A</v>
      </c>
      <c r="K71" s="396" t="e">
        <v>#N/A</v>
      </c>
      <c r="L71" s="396" t="e">
        <v>#N/A</v>
      </c>
      <c r="M71" s="396" t="e">
        <v>#N/A</v>
      </c>
      <c r="N71" s="396" t="e">
        <v>#N/A</v>
      </c>
      <c r="O71" s="396" t="e">
        <v>#N/A</v>
      </c>
      <c r="P71"/>
      <c r="R71" s="296" t="str">
        <f>VLOOKUP(S71,Coeff_Descr!$A:$D,3,FALSE)</f>
        <v>ESCORT</v>
      </c>
      <c r="S71" s="296">
        <f>OtherTourDestination!B79</f>
        <v>81</v>
      </c>
      <c r="T71" s="296" t="str">
        <f>OtherTourDestination!C79</f>
        <v>Gamma081</v>
      </c>
      <c r="U71" s="298">
        <f>OtherTourDestination!E79</f>
        <v>-5.1766396376000001</v>
      </c>
      <c r="V71" s="337">
        <f si="14" t="shared"/>
        <v>-5.1766396376000001</v>
      </c>
    </row>
    <row ht="15.75" r="72" spans="1:22" thickBot="1" x14ac:dyDescent="0.3">
      <c r="A72" s="296">
        <f si="13" t="shared"/>
        <v>11.5</v>
      </c>
      <c r="B72">
        <f>TLFD!A32+0.5</f>
        <v>21.5</v>
      </c>
      <c r="C72" s="393">
        <f>TLFD!C32</f>
        <v>4.4749468548084597E-3</v>
      </c>
      <c r="D72" s="393">
        <f>TLFD!G32</f>
        <v>6.13953701476467E-3</v>
      </c>
      <c r="E72">
        <f si="10" t="shared"/>
        <v>-0.31625485891867244</v>
      </c>
      <c r="G72" s="397" t="s">
        <v>308</v>
      </c>
      <c r="H72" s="397">
        <v>1.2137412734696328E-2</v>
      </c>
      <c r="I72" s="397">
        <v>6.5516686807372021E-2</v>
      </c>
      <c r="J72" s="397">
        <v>0.18525681511310202</v>
      </c>
      <c r="K72" s="397">
        <v>0.8701133398266524</v>
      </c>
      <c r="L72" s="397">
        <v>-0.26975813860118358</v>
      </c>
      <c r="M72" s="397">
        <v>0.29403296407057622</v>
      </c>
      <c r="N72" s="397">
        <v>-0.26975813860118358</v>
      </c>
      <c r="O72" s="397">
        <v>0.29403296407057622</v>
      </c>
      <c r="P72"/>
      <c r="R72" s="296" t="str">
        <f>VLOOKUP(S72,Coeff_Descr!$A:$D,3,FALSE)</f>
        <v>ESCORT</v>
      </c>
      <c r="S72" s="296">
        <f>OtherTourDestination!B80</f>
        <v>82</v>
      </c>
      <c r="T72" s="296" t="str">
        <f>OtherTourDestination!C80</f>
        <v>Gamma082</v>
      </c>
      <c r="U72" s="298">
        <f>OtherTourDestination!E80</f>
        <v>-2.28857439545</v>
      </c>
      <c r="V72" s="337">
        <f si="14" t="shared"/>
        <v>-2.28857439545</v>
      </c>
    </row>
    <row r="73" spans="1:22" x14ac:dyDescent="0.25">
      <c r="A73" s="296">
        <f si="13" t="shared"/>
        <v>12.5</v>
      </c>
      <c r="B73">
        <f>TLFD!A33+0.5</f>
        <v>22.5</v>
      </c>
      <c r="C73" s="393">
        <f>TLFD!C33</f>
        <v>3.4247019033473432E-3</v>
      </c>
      <c r="D73" s="393">
        <f>TLFD!G33</f>
        <v>5.6756354306266681E-3</v>
      </c>
      <c r="E73">
        <f si="10" t="shared"/>
        <v>-0.50516809484640124</v>
      </c>
      <c r="G73"/>
      <c r="H73"/>
      <c r="I73"/>
      <c r="J73"/>
      <c r="K73"/>
      <c r="L73"/>
      <c r="M73"/>
      <c r="N73"/>
      <c r="O73"/>
      <c r="P73"/>
      <c r="R73" s="296" t="str">
        <f>VLOOKUP(S73,Coeff_Descr!$A:$D,3,FALSE)</f>
        <v>ESCORT</v>
      </c>
      <c r="S73" s="296">
        <f>OtherTourDestination!B81</f>
        <v>83</v>
      </c>
      <c r="T73" s="296" t="str">
        <f>OtherTourDestination!C81</f>
        <v>Gamma083</v>
      </c>
      <c r="U73" s="298">
        <f>OtherTourDestination!E81</f>
        <v>-3.4002747143900001</v>
      </c>
      <c r="V73" s="337">
        <f si="14" t="shared"/>
        <v>-3.4002747143900001</v>
      </c>
    </row>
    <row r="74" spans="1:22" x14ac:dyDescent="0.25">
      <c r="A74" s="296">
        <f si="13" t="shared"/>
        <v>13.5</v>
      </c>
      <c r="B74">
        <f>TLFD!A34+0.5</f>
        <v>23.5</v>
      </c>
      <c r="C74" s="393">
        <f>TLFD!C34</f>
        <v>4.1505522969578473E-3</v>
      </c>
      <c r="D74" s="393">
        <f>TLFD!G34</f>
        <v>5.400730788174519E-3</v>
      </c>
      <c r="E74">
        <f si="10" t="shared"/>
        <v>-0.26329286656515483</v>
      </c>
      <c r="G74"/>
      <c r="H74"/>
      <c r="I74"/>
      <c r="J74"/>
      <c r="K74"/>
      <c r="L74"/>
      <c r="M74"/>
      <c r="N74"/>
      <c r="O74"/>
      <c r="P74"/>
      <c r="R74" s="296" t="str">
        <f>VLOOKUP(S74,Coeff_Descr!$A:$D,3,FALSE)</f>
        <v>ESCORT</v>
      </c>
      <c r="S74" s="296">
        <f>OtherTourDestination!B82</f>
        <v>84</v>
      </c>
      <c r="T74" s="296" t="str">
        <f>OtherTourDestination!C82</f>
        <v>Gamma084</v>
      </c>
      <c r="U74" s="298">
        <f>OtherTourDestination!E82</f>
        <v>-1.5824120396100001</v>
      </c>
      <c r="V74" s="337">
        <f si="14" t="shared"/>
        <v>-1.5824120396100001</v>
      </c>
    </row>
    <row r="75" spans="1:22" x14ac:dyDescent="0.25">
      <c r="A75" s="296">
        <f si="13" t="shared"/>
        <v>14.5</v>
      </c>
      <c r="B75">
        <f>TLFD!A35+0.5</f>
        <v>24.5</v>
      </c>
      <c r="C75" s="393">
        <f>TLFD!C35</f>
        <v>1.3729019841585519E-3</v>
      </c>
      <c r="D75" s="393">
        <f>TLFD!G35</f>
        <v>4.7936497027593556E-3</v>
      </c>
      <c r="E75">
        <f si="10" t="shared"/>
        <v>-1.2503653272612008</v>
      </c>
      <c r="G75" t="s">
        <v>286</v>
      </c>
      <c r="H75"/>
      <c r="I75"/>
      <c r="J75"/>
      <c r="K75"/>
      <c r="L75"/>
      <c r="M75"/>
      <c r="N75"/>
      <c r="O75"/>
      <c r="P75"/>
      <c r="R75" s="296" t="str">
        <f>VLOOKUP(S75,Coeff_Descr!$A:$D,3,FALSE)</f>
        <v>ESCORT</v>
      </c>
      <c r="S75" s="296">
        <f>OtherTourDestination!B83</f>
        <v>85</v>
      </c>
      <c r="T75" s="296" t="str">
        <f>OtherTourDestination!C83</f>
        <v>Gamma085</v>
      </c>
      <c r="U75" s="298">
        <f>OtherTourDestination!E83</f>
        <v>-3.8472578798099999</v>
      </c>
      <c r="V75" s="337">
        <f si="14" t="shared"/>
        <v>-3.8472578798099999</v>
      </c>
    </row>
    <row ht="15.75" r="76" spans="1:22" thickBot="1" x14ac:dyDescent="0.3">
      <c r="A76" s="296">
        <f si="13" t="shared"/>
        <v>15.5</v>
      </c>
      <c r="B76">
        <f>TLFD!A36+0.5</f>
        <v>25.5</v>
      </c>
      <c r="C76" s="393">
        <f>TLFD!C36</f>
        <v>5.2304989338479903E-3</v>
      </c>
      <c r="D76" s="393">
        <f>TLFD!G36</f>
        <v>4.6504702014821941E-3</v>
      </c>
      <c r="E76">
        <f si="10" t="shared"/>
        <v>0.11753833888254255</v>
      </c>
      <c r="G76"/>
      <c r="H76"/>
      <c r="I76"/>
      <c r="J76"/>
      <c r="K76"/>
      <c r="L76"/>
      <c r="M76"/>
      <c r="N76"/>
      <c r="O76"/>
      <c r="P76" s="296"/>
      <c r="R76" s="296" t="str">
        <f>VLOOKUP(S76,Coeff_Descr!$A:$D,3,FALSE)</f>
        <v>ESCORT</v>
      </c>
      <c r="S76" s="296">
        <f>OtherTourDestination!B84</f>
        <v>86</v>
      </c>
      <c r="T76" s="296" t="str">
        <f>OtherTourDestination!C84</f>
        <v>Gamma086</v>
      </c>
      <c r="U76" s="298">
        <f>OtherTourDestination!E84</f>
        <v>-3.1031248195800001</v>
      </c>
      <c r="V76" s="337">
        <f si="14" t="shared"/>
        <v>-3.1031248195800001</v>
      </c>
    </row>
    <row r="77" spans="1:22" x14ac:dyDescent="0.25">
      <c r="A77" s="296">
        <f si="13" t="shared"/>
        <v>16.5</v>
      </c>
      <c r="B77">
        <f>TLFD!A37+0.5</f>
        <v>26.5</v>
      </c>
      <c r="C77" s="393">
        <f>TLFD!C37</f>
        <v>4.7845403668359161E-4</v>
      </c>
      <c r="D77" s="393">
        <f>TLFD!G37</f>
        <v>3.556578811724683E-3</v>
      </c>
      <c r="E77">
        <f si="10" t="shared"/>
        <v>-2.0059942046477346</v>
      </c>
      <c r="G77" s="395" t="s">
        <v>287</v>
      </c>
      <c r="H77" s="395"/>
      <c r="I77"/>
      <c r="J77"/>
      <c r="K77"/>
      <c r="L77"/>
      <c r="M77"/>
      <c r="N77"/>
      <c r="O77"/>
      <c r="P77" s="296"/>
      <c r="R77" s="296" t="str">
        <f>VLOOKUP(S77,Coeff_Descr!$A:$D,3,FALSE)</f>
        <v>ESCORT</v>
      </c>
      <c r="S77" s="296">
        <f>OtherTourDestination!B85</f>
        <v>87</v>
      </c>
      <c r="T77" s="296" t="str">
        <f>OtherTourDestination!C85</f>
        <v>Gamma087</v>
      </c>
      <c r="U77" s="298">
        <f>OtherTourDestination!E85</f>
        <v>-19.5604248241</v>
      </c>
      <c r="V77" s="337">
        <f si="14" t="shared"/>
        <v>-19.5604248241</v>
      </c>
    </row>
    <row r="78" spans="1:22" x14ac:dyDescent="0.25">
      <c r="A78" s="296">
        <f si="13" t="shared"/>
        <v>17.5</v>
      </c>
      <c r="B78">
        <f>TLFD!A38+0.5</f>
        <v>27.5</v>
      </c>
      <c r="C78" s="393">
        <f>TLFD!C38</f>
        <v>4.6660202411261658E-3</v>
      </c>
      <c r="D78" s="393">
        <f>TLFD!G38</f>
        <v>3.4878526511116456E-3</v>
      </c>
      <c r="E78">
        <f si="10" t="shared"/>
        <v>0.29102025096005796</v>
      </c>
      <c r="G78" s="396" t="s">
        <v>288</v>
      </c>
      <c r="H78" s="396">
        <v>0.80624937025474652</v>
      </c>
      <c r="I78"/>
      <c r="J78"/>
      <c r="K78"/>
      <c r="L78"/>
      <c r="M78"/>
      <c r="N78"/>
      <c r="O78"/>
      <c r="P78" s="296"/>
      <c r="R78" s="296" t="str">
        <f>VLOOKUP(S78,Coeff_Descr!$A:$D,3,FALSE)</f>
        <v>ESCORT</v>
      </c>
      <c r="S78" s="296">
        <f>OtherTourDestination!B86</f>
        <v>88</v>
      </c>
      <c r="T78" s="296" t="str">
        <f>OtherTourDestination!C86</f>
        <v>Gamma088</v>
      </c>
      <c r="U78" s="298">
        <f>OtherTourDestination!E86</f>
        <v>0</v>
      </c>
      <c r="V78" s="337">
        <f si="14" t="shared"/>
        <v>0</v>
      </c>
    </row>
    <row r="79" spans="1:22" x14ac:dyDescent="0.25">
      <c r="A79" s="296">
        <f si="13" t="shared"/>
        <v>18.5</v>
      </c>
      <c r="B79">
        <f>TLFD!A39+0.5</f>
        <v>28.5</v>
      </c>
      <c r="C79" s="393">
        <f>TLFD!C39</f>
        <v>3.1170632308824275E-3</v>
      </c>
      <c r="D79" s="393">
        <f>TLFD!G39</f>
        <v>2.9323161861562605E-3</v>
      </c>
      <c r="E79">
        <f si="10" t="shared"/>
        <v>6.1098668430231207E-2</v>
      </c>
      <c r="G79" s="396" t="s">
        <v>289</v>
      </c>
      <c r="H79" s="396">
        <v>0.6500380470361754</v>
      </c>
      <c r="I79"/>
      <c r="J79"/>
      <c r="K79"/>
      <c r="L79"/>
      <c r="M79"/>
      <c r="N79"/>
      <c r="O79"/>
      <c r="P79" s="296"/>
      <c r="R79" s="296" t="str">
        <f>VLOOKUP(S79,Coeff_Descr!$A:$D,3,FALSE)</f>
        <v>PERSBUS/MED</v>
      </c>
      <c r="S79" s="296">
        <f>OtherTourDestination!B87</f>
        <v>89</v>
      </c>
      <c r="T79" s="296" t="str">
        <f>OtherTourDestination!C87</f>
        <v>Gamma089</v>
      </c>
      <c r="U79" s="298">
        <f>OtherTourDestination!E87</f>
        <v>-5.3998296944700002</v>
      </c>
      <c r="V79" s="337">
        <f si="14" t="shared"/>
        <v>-5.3998296944700002</v>
      </c>
    </row>
    <row r="80" spans="1:22" x14ac:dyDescent="0.25">
      <c r="A80" s="296">
        <f si="13" t="shared"/>
        <v>19.5</v>
      </c>
      <c r="B80">
        <f>TLFD!A40+0.5</f>
        <v>29.5</v>
      </c>
      <c r="C80" s="393">
        <f>TLFD!C40</f>
        <v>9.9381221581872226E-3</v>
      </c>
      <c r="D80" s="393">
        <f>TLFD!G40</f>
        <v>2.6745930838573701E-3</v>
      </c>
      <c r="E80">
        <f si="10" t="shared"/>
        <v>1.3125808345412215</v>
      </c>
      <c r="G80" s="396" t="s">
        <v>290</v>
      </c>
      <c r="H80" s="396">
        <v>0.45003804703617539</v>
      </c>
      <c r="I80"/>
      <c r="J80"/>
      <c r="K80"/>
      <c r="L80"/>
      <c r="M80"/>
      <c r="N80"/>
      <c r="O80"/>
      <c r="P80" s="296"/>
      <c r="R80" s="296" t="str">
        <f>VLOOKUP(S80,Coeff_Descr!$A:$D,3,FALSE)</f>
        <v>PERSBUS/MED</v>
      </c>
      <c r="S80" s="296">
        <f>OtherTourDestination!B88</f>
        <v>90</v>
      </c>
      <c r="T80" s="296" t="str">
        <f>OtherTourDestination!C88</f>
        <v>Gamma090</v>
      </c>
      <c r="U80" s="298">
        <f>OtherTourDestination!E88</f>
        <v>-17.4219403528</v>
      </c>
      <c r="V80" s="337">
        <f si="14" t="shared"/>
        <v>-17.4219403528</v>
      </c>
    </row>
    <row r="81" spans="1:22" x14ac:dyDescent="0.25">
      <c r="A81" s="296">
        <f si="13" t="shared"/>
        <v>20.5</v>
      </c>
      <c r="B81">
        <f>TLFD!A41+0.5</f>
        <v>30.5</v>
      </c>
      <c r="C81" s="393">
        <f>TLFD!C41</f>
        <v>1.2334416009359629E-3</v>
      </c>
      <c r="D81" s="393">
        <f>TLFD!G41</f>
        <v>2.325235100741097E-3</v>
      </c>
      <c r="E81">
        <f si="10" t="shared"/>
        <v>-0.63401284085359588</v>
      </c>
      <c r="G81" s="396" t="s">
        <v>291</v>
      </c>
      <c r="H81" s="396">
        <v>0.29631471886766758</v>
      </c>
      <c r="I81"/>
      <c r="J81"/>
      <c r="K81"/>
      <c r="L81"/>
      <c r="M81"/>
      <c r="N81"/>
      <c r="O81"/>
      <c r="P81" s="296"/>
      <c r="R81" s="296" t="str">
        <f>VLOOKUP(S81,Coeff_Descr!$A:$D,3,FALSE)</f>
        <v>PERSBUS/MED</v>
      </c>
      <c r="S81" s="296">
        <f>OtherTourDestination!B89</f>
        <v>91</v>
      </c>
      <c r="T81" s="296" t="str">
        <f>OtherTourDestination!C89</f>
        <v>Gamma091</v>
      </c>
      <c r="U81" s="298">
        <f>OtherTourDestination!E89</f>
        <v>-10.161549352</v>
      </c>
      <c r="V81" s="337">
        <f si="14" t="shared"/>
        <v>-10.161549352</v>
      </c>
    </row>
    <row ht="15.75" r="82" spans="1:22" thickBot="1" x14ac:dyDescent="0.3">
      <c r="A82" s="296">
        <f si="13" t="shared"/>
        <v>21.5</v>
      </c>
      <c r="B82">
        <f>TLFD!A42+0.5</f>
        <v>31.5</v>
      </c>
      <c r="C82" s="393">
        <f>TLFD!C42</f>
        <v>0</v>
      </c>
      <c r="D82" s="393">
        <f>TLFD!G42</f>
        <v>2.1992371396171951E-3</v>
      </c>
      <c r="E82">
        <f si="10" t="shared"/>
        <v>0</v>
      </c>
      <c r="G82" s="397" t="s">
        <v>292</v>
      </c>
      <c r="H82" s="397">
        <v>6</v>
      </c>
      <c r="I82"/>
      <c r="J82"/>
      <c r="K82"/>
      <c r="L82"/>
      <c r="M82"/>
      <c r="N82"/>
      <c r="O82"/>
      <c r="P82" s="296"/>
      <c r="R82" s="296" t="str">
        <f>VLOOKUP(S82,Coeff_Descr!$A:$D,3,FALSE)</f>
        <v>PERSBUS/MED</v>
      </c>
      <c r="S82" s="296">
        <f>OtherTourDestination!B90</f>
        <v>92</v>
      </c>
      <c r="T82" s="296" t="str">
        <f>OtherTourDestination!C90</f>
        <v>Gamma092</v>
      </c>
      <c r="U82" s="298">
        <f>OtherTourDestination!E90</f>
        <v>-0.87415121182</v>
      </c>
      <c r="V82" s="337">
        <f si="14" t="shared"/>
        <v>-0.87415121182</v>
      </c>
    </row>
    <row r="83" spans="1:22" x14ac:dyDescent="0.25">
      <c r="A83" s="296">
        <f si="13" t="shared"/>
        <v>22.5</v>
      </c>
      <c r="B83">
        <f>TLFD!A43+0.5</f>
        <v>32.5</v>
      </c>
      <c r="C83" s="393">
        <f>TLFD!C43</f>
        <v>1.1720235996260981E-2</v>
      </c>
      <c r="D83" s="393">
        <f>TLFD!G43</f>
        <v>1.9357868572672187E-3</v>
      </c>
      <c r="E83">
        <f si="10" t="shared"/>
        <v>1.8008030317390922</v>
      </c>
      <c r="G83"/>
      <c r="H83"/>
      <c r="I83"/>
      <c r="J83"/>
      <c r="K83"/>
      <c r="L83"/>
      <c r="M83"/>
      <c r="N83"/>
      <c r="O83"/>
      <c r="P83" s="296"/>
      <c r="R83" s="296" t="str">
        <f>VLOOKUP(S83,Coeff_Descr!$A:$D,3,FALSE)</f>
        <v>PERSBUS/MED</v>
      </c>
      <c r="S83" s="296">
        <f>OtherTourDestination!B91</f>
        <v>93</v>
      </c>
      <c r="T83" s="296" t="str">
        <f>OtherTourDestination!C91</f>
        <v>Gamma093</v>
      </c>
      <c r="U83" s="298">
        <f>OtherTourDestination!E91</f>
        <v>-0.74080192435000003</v>
      </c>
      <c r="V83" s="337">
        <f si="14" t="shared"/>
        <v>-0.74080192435000003</v>
      </c>
    </row>
    <row ht="15.75" r="84" spans="1:22" thickBot="1" x14ac:dyDescent="0.3">
      <c r="A84" s="296">
        <f si="13" t="shared"/>
        <v>23.5</v>
      </c>
      <c r="B84">
        <f>TLFD!A44+0.5</f>
        <v>33.5</v>
      </c>
      <c r="C84" s="393">
        <f>TLFD!C44</f>
        <v>1.8060379970486192E-3</v>
      </c>
      <c r="D84" s="393">
        <f>TLFD!G44</f>
        <v>1.7410627355302795E-3</v>
      </c>
      <c r="E84">
        <f si="10" t="shared"/>
        <v>3.6639799783801379E-2</v>
      </c>
      <c r="G84" t="s">
        <v>293</v>
      </c>
      <c r="H84"/>
      <c r="I84"/>
      <c r="J84"/>
      <c r="K84"/>
      <c r="L84"/>
      <c r="M84"/>
      <c r="N84"/>
      <c r="O84"/>
      <c r="P84" s="296"/>
      <c r="R84" s="296" t="str">
        <f>VLOOKUP(S84,Coeff_Descr!$A:$D,3,FALSE)</f>
        <v>PERSBUS/MED</v>
      </c>
      <c r="S84" s="296">
        <f>OtherTourDestination!B92</f>
        <v>94</v>
      </c>
      <c r="T84" s="296" t="str">
        <f>OtherTourDestination!C92</f>
        <v>Gamma094</v>
      </c>
      <c r="U84" s="298">
        <f>OtherTourDestination!E92</f>
        <v>0</v>
      </c>
      <c r="V84" s="337">
        <f si="14" t="shared"/>
        <v>0</v>
      </c>
    </row>
    <row r="85" spans="1:22" x14ac:dyDescent="0.25">
      <c r="A85" s="296">
        <f si="13" t="shared"/>
        <v>24.5</v>
      </c>
      <c r="B85">
        <f>TLFD!A45+0.5</f>
        <v>34.5</v>
      </c>
      <c r="C85" s="393">
        <f>TLFD!C45</f>
        <v>1.96876358207875E-4</v>
      </c>
      <c r="D85" s="393">
        <f>TLFD!G45</f>
        <v>1.3917047524140064E-3</v>
      </c>
      <c r="E85">
        <f si="10" t="shared"/>
        <v>-1.9557088068567017</v>
      </c>
      <c r="G85" s="398"/>
      <c r="H85" s="398" t="s">
        <v>294</v>
      </c>
      <c r="I85" s="398" t="s">
        <v>295</v>
      </c>
      <c r="J85" s="398" t="s">
        <v>296</v>
      </c>
      <c r="K85" s="398" t="s">
        <v>242</v>
      </c>
      <c r="L85" s="398" t="s">
        <v>297</v>
      </c>
      <c r="M85"/>
      <c r="N85"/>
      <c r="O85"/>
      <c r="P85" s="296"/>
      <c r="R85" s="296" t="str">
        <f>VLOOKUP(S85,Coeff_Descr!$A:$D,3,FALSE)</f>
        <v>PERSBUS/MED</v>
      </c>
      <c r="S85" s="296">
        <f>OtherTourDestination!B93</f>
        <v>95</v>
      </c>
      <c r="T85" s="296" t="str">
        <f>OtherTourDestination!C93</f>
        <v>Gamma095</v>
      </c>
      <c r="U85" s="298">
        <f>OtherTourDestination!E93</f>
        <v>-10.7800625269</v>
      </c>
      <c r="V85" s="337">
        <f si="14" t="shared"/>
        <v>-10.7800625269</v>
      </c>
    </row>
    <row r="86" spans="1:22" x14ac:dyDescent="0.25">
      <c r="A86" s="296">
        <f si="13" t="shared"/>
        <v>25.5</v>
      </c>
      <c r="B86">
        <f>TLFD!A46+0.5</f>
        <v>35.5</v>
      </c>
      <c r="C86" s="393">
        <f>TLFD!C46</f>
        <v>2.5725922533325666E-3</v>
      </c>
      <c r="D86" s="393">
        <f>TLFD!G46</f>
        <v>1.5635201539465997E-3</v>
      </c>
      <c r="E86">
        <f si="10" t="shared"/>
        <v>0.49797426132810479</v>
      </c>
      <c r="G86" s="396" t="s">
        <v>298</v>
      </c>
      <c r="H86" s="396">
        <v>1</v>
      </c>
      <c r="I86" s="396">
        <v>0.8154444838882976</v>
      </c>
      <c r="J86" s="396">
        <v>0.8154444838882976</v>
      </c>
      <c r="K86" s="396">
        <v>9.287267394798338</v>
      </c>
      <c r="L86" s="396">
        <v>3.8121262766785964E-2</v>
      </c>
      <c r="M86"/>
      <c r="N86"/>
      <c r="O86"/>
      <c r="P86" s="296"/>
      <c r="R86" s="296" t="str">
        <f>VLOOKUP(S86,Coeff_Descr!$A:$D,3,FALSE)</f>
        <v>PERSBUS/MED</v>
      </c>
      <c r="S86" s="296">
        <f>OtherTourDestination!B94</f>
        <v>96</v>
      </c>
      <c r="T86" s="296" t="str">
        <f>OtherTourDestination!C94</f>
        <v>Gamma096</v>
      </c>
      <c r="U86" s="298">
        <f>OtherTourDestination!E94</f>
        <v>-17.598302231800002</v>
      </c>
      <c r="V86" s="337">
        <f si="14" t="shared"/>
        <v>-17.598302231800002</v>
      </c>
    </row>
    <row r="87" spans="1:22" x14ac:dyDescent="0.25">
      <c r="A87" s="296">
        <f si="13" t="shared"/>
        <v>26.5</v>
      </c>
      <c r="B87">
        <f>TLFD!A47+0.5</f>
        <v>36.5</v>
      </c>
      <c r="C87" s="393">
        <f>TLFD!C47</f>
        <v>0</v>
      </c>
      <c r="D87" s="393">
        <f>TLFD!G47</f>
        <v>1.2027078107281536E-3</v>
      </c>
      <c r="E87">
        <f si="10" t="shared"/>
        <v>0</v>
      </c>
      <c r="G87" s="396" t="s">
        <v>299</v>
      </c>
      <c r="H87" s="396">
        <v>5</v>
      </c>
      <c r="I87" s="396">
        <v>0.43901206308812435</v>
      </c>
      <c r="J87" s="396">
        <v>8.7802412617624864E-2</v>
      </c>
      <c r="K87" s="396"/>
      <c r="L87" s="396"/>
      <c r="M87"/>
      <c r="N87"/>
      <c r="O87"/>
      <c r="P87" s="296"/>
      <c r="R87" s="296" t="str">
        <f>VLOOKUP(S87,Coeff_Descr!$A:$D,3,FALSE)</f>
        <v>PERSBUS/MED</v>
      </c>
      <c r="S87" s="296">
        <f>OtherTourDestination!B95</f>
        <v>97</v>
      </c>
      <c r="T87" s="296" t="str">
        <f>OtherTourDestination!C95</f>
        <v>Gamma097</v>
      </c>
      <c r="U87" s="298">
        <f>OtherTourDestination!E95</f>
        <v>-7.3399914692000001</v>
      </c>
      <c r="V87" s="337">
        <f si="14" t="shared"/>
        <v>-7.3399914692000001</v>
      </c>
    </row>
    <row ht="15.75" r="88" spans="1:22" thickBot="1" x14ac:dyDescent="0.3">
      <c r="A88" s="296">
        <f si="13" t="shared"/>
        <v>27.5</v>
      </c>
      <c r="B88">
        <f>TLFD!A48+0.5</f>
        <v>37.5</v>
      </c>
      <c r="C88" s="393">
        <f>TLFD!C48</f>
        <v>4.0199357571683858E-4</v>
      </c>
      <c r="D88" s="393">
        <f>TLFD!G48</f>
        <v>1.2198893508814129E-3</v>
      </c>
      <c r="E88">
        <f si="10" t="shared"/>
        <v>-1.110079329927887</v>
      </c>
      <c r="G88" s="397" t="s">
        <v>4</v>
      </c>
      <c r="H88" s="397">
        <v>6</v>
      </c>
      <c r="I88" s="397">
        <v>1.2544565469764219</v>
      </c>
      <c r="J88" s="397"/>
      <c r="K88" s="397"/>
      <c r="L88" s="397"/>
      <c r="M88"/>
      <c r="N88"/>
      <c r="O88"/>
      <c r="P88" s="296"/>
      <c r="R88" s="296" t="str">
        <f>VLOOKUP(S88,Coeff_Descr!$A:$D,3,FALSE)</f>
        <v>SHOP</v>
      </c>
      <c r="S88" s="296">
        <f>OtherTourDestination!B96</f>
        <v>98</v>
      </c>
      <c r="T88" s="296" t="str">
        <f>OtherTourDestination!C96</f>
        <v>Gamma098</v>
      </c>
      <c r="U88" s="298">
        <f>OtherTourDestination!E96</f>
        <v>-11.813486662400001</v>
      </c>
      <c r="V88" s="337">
        <f si="14" t="shared"/>
        <v>-11.813486662400001</v>
      </c>
    </row>
    <row ht="15.75" r="89" spans="1:22" thickBot="1" x14ac:dyDescent="0.3">
      <c r="A89" s="296">
        <f si="13" t="shared"/>
        <v>28.5</v>
      </c>
      <c r="B89">
        <f>TLFD!A49+0.5</f>
        <v>38.5</v>
      </c>
      <c r="C89" s="393">
        <f>TLFD!C49</f>
        <v>0</v>
      </c>
      <c r="D89" s="393">
        <f>TLFD!G49</f>
        <v>8.1898674730536175E-4</v>
      </c>
      <c r="E89">
        <f si="10" t="shared"/>
        <v>0</v>
      </c>
      <c r="G89"/>
      <c r="H89"/>
      <c r="I89"/>
      <c r="J89"/>
      <c r="K89"/>
      <c r="L89"/>
      <c r="M89"/>
      <c r="N89"/>
      <c r="O89"/>
      <c r="P89" s="296"/>
      <c r="R89" s="296" t="str">
        <f>VLOOKUP(S89,Coeff_Descr!$A:$D,3,FALSE)</f>
        <v>SHOP</v>
      </c>
      <c r="S89" s="296">
        <f>OtherTourDestination!B97</f>
        <v>99</v>
      </c>
      <c r="T89" s="296" t="str">
        <f>OtherTourDestination!C97</f>
        <v>Gamma099</v>
      </c>
      <c r="U89" s="298">
        <f>OtherTourDestination!E97</f>
        <v>-12.070734291200001</v>
      </c>
      <c r="V89" s="337">
        <f si="14" t="shared"/>
        <v>-12.070734291200001</v>
      </c>
    </row>
    <row r="90" spans="1:22" x14ac:dyDescent="0.25">
      <c r="A90" s="296">
        <f si="13" t="shared"/>
        <v>29.5</v>
      </c>
      <c r="B90">
        <f>TLFD!A50+0.5</f>
        <v>39.5</v>
      </c>
      <c r="C90" s="393">
        <f>TLFD!C50</f>
        <v>0</v>
      </c>
      <c r="D90" s="393">
        <f>TLFD!G50</f>
        <v>9.2780316827600429E-4</v>
      </c>
      <c r="E90">
        <f si="10" t="shared"/>
        <v>0</v>
      </c>
      <c r="G90" s="398"/>
      <c r="H90" s="398" t="s">
        <v>300</v>
      </c>
      <c r="I90" s="398" t="s">
        <v>291</v>
      </c>
      <c r="J90" s="398" t="s">
        <v>301</v>
      </c>
      <c r="K90" s="398" t="s">
        <v>302</v>
      </c>
      <c r="L90" s="398" t="s">
        <v>303</v>
      </c>
      <c r="M90" s="398" t="s">
        <v>304</v>
      </c>
      <c r="N90" s="398" t="s">
        <v>305</v>
      </c>
      <c r="O90" s="398" t="s">
        <v>306</v>
      </c>
      <c r="P90" s="296"/>
      <c r="R90" s="296" t="str">
        <f>VLOOKUP(S90,Coeff_Descr!$A:$D,3,FALSE)</f>
        <v>SHOP</v>
      </c>
      <c r="S90" s="296">
        <f>OtherTourDestination!B98</f>
        <v>100</v>
      </c>
      <c r="T90" s="296" t="str">
        <f>OtherTourDestination!C98</f>
        <v>Gamma100</v>
      </c>
      <c r="U90" s="298">
        <f>OtherTourDestination!E98</f>
        <v>0</v>
      </c>
      <c r="V90" s="337">
        <f si="14" t="shared"/>
        <v>0</v>
      </c>
    </row>
    <row r="91" spans="1:22" x14ac:dyDescent="0.25">
      <c r="A91" s="296">
        <f si="13" t="shared"/>
        <v>30.5</v>
      </c>
      <c r="B91">
        <f>TLFD!A51+0.5</f>
        <v>40.5</v>
      </c>
      <c r="C91" s="393">
        <f>TLFD!C51</f>
        <v>0</v>
      </c>
      <c r="D91" s="393">
        <f>TLFD!G51</f>
        <v>6.2426262556842258E-4</v>
      </c>
      <c r="E91">
        <f si="10" t="shared"/>
        <v>0</v>
      </c>
      <c r="G91" s="396" t="s">
        <v>307</v>
      </c>
      <c r="H91" s="396">
        <v>0</v>
      </c>
      <c r="I91" s="396" t="e">
        <v>#N/A</v>
      </c>
      <c r="J91" s="396" t="e">
        <v>#N/A</v>
      </c>
      <c r="K91" s="396" t="e">
        <v>#N/A</v>
      </c>
      <c r="L91" s="396" t="e">
        <v>#N/A</v>
      </c>
      <c r="M91" s="396" t="e">
        <v>#N/A</v>
      </c>
      <c r="N91" s="396" t="e">
        <v>#N/A</v>
      </c>
      <c r="O91" s="396" t="e">
        <v>#N/A</v>
      </c>
      <c r="P91" s="296"/>
      <c r="R91" s="296" t="str">
        <f>VLOOKUP(S91,Coeff_Descr!$A:$D,3,FALSE)</f>
        <v>SHOP</v>
      </c>
      <c r="S91" s="296">
        <f>OtherTourDestination!B99</f>
        <v>101</v>
      </c>
      <c r="T91" s="296" t="str">
        <f>OtherTourDestination!C99</f>
        <v>Gamma101</v>
      </c>
      <c r="U91" s="298">
        <f>OtherTourDestination!E99</f>
        <v>-11.328569288200001</v>
      </c>
      <c r="V91" s="337">
        <f si="14" t="shared"/>
        <v>-11.328569288200001</v>
      </c>
    </row>
    <row ht="15.75" r="92" spans="1:22" thickBot="1" x14ac:dyDescent="0.3">
      <c r="A92" s="296">
        <f si="13" t="shared"/>
        <v>31.5</v>
      </c>
      <c r="B92">
        <f>TLFD!A52+0.5</f>
        <v>41.5</v>
      </c>
      <c r="C92" s="393">
        <f>TLFD!C52</f>
        <v>0</v>
      </c>
      <c r="D92" s="393">
        <f>TLFD!G52</f>
        <v>7.4453340664123796E-4</v>
      </c>
      <c r="E92">
        <f si="10" t="shared"/>
        <v>0</v>
      </c>
      <c r="G92" s="397" t="s">
        <v>308</v>
      </c>
      <c r="H92" s="397">
        <v>-9.4662180380429117E-2</v>
      </c>
      <c r="I92" s="397">
        <v>3.1062222668649407E-2</v>
      </c>
      <c r="J92" s="397">
        <v>-3.0475018285143549</v>
      </c>
      <c r="K92" s="397">
        <v>2.8505478732143593E-2</v>
      </c>
      <c r="L92" s="397">
        <v>-0.17451016574694989</v>
      </c>
      <c r="M92" s="397">
        <v>-1.4814195013908363E-2</v>
      </c>
      <c r="N92" s="397">
        <v>-0.17451016574694989</v>
      </c>
      <c r="O92" s="397">
        <v>-1.4814195013908363E-2</v>
      </c>
      <c r="P92" s="296"/>
      <c r="R92" s="296" t="str">
        <f>VLOOKUP(S92,Coeff_Descr!$A:$D,3,FALSE)</f>
        <v>MEAL</v>
      </c>
      <c r="S92" s="296">
        <f>OtherTourDestination!B100</f>
        <v>102</v>
      </c>
      <c r="T92" s="296" t="str">
        <f>OtherTourDestination!C100</f>
        <v>Gamma102</v>
      </c>
      <c r="U92" s="298">
        <f>OtherTourDestination!E100</f>
        <v>0</v>
      </c>
      <c r="V92" s="337">
        <f si="14" t="shared"/>
        <v>0</v>
      </c>
    </row>
    <row r="93" spans="1:22" x14ac:dyDescent="0.25">
      <c r="A93" s="296">
        <f si="13" t="shared"/>
        <v>32.5</v>
      </c>
      <c r="B93">
        <f>TLFD!A53+0.5</f>
        <v>42.5</v>
      </c>
      <c r="C93" s="393">
        <f>TLFD!C53</f>
        <v>3.1349052867271059E-3</v>
      </c>
      <c r="D93" s="393">
        <f>TLFD!G53</f>
        <v>5.6126364500647173E-4</v>
      </c>
      <c r="E93">
        <f si="10" t="shared"/>
        <v>1.7201634904638647</v>
      </c>
      <c r="G93"/>
      <c r="H93"/>
      <c r="I93"/>
      <c r="J93"/>
      <c r="K93"/>
      <c r="L93"/>
      <c r="M93"/>
      <c r="N93"/>
      <c r="O93"/>
      <c r="P93" s="296"/>
      <c r="R93" s="296" t="str">
        <f>VLOOKUP(S93,Coeff_Descr!$A:$D,3,FALSE)</f>
        <v>MEAL</v>
      </c>
      <c r="S93" s="296">
        <f>OtherTourDestination!B101</f>
        <v>103</v>
      </c>
      <c r="T93" s="296" t="str">
        <f>OtherTourDestination!C101</f>
        <v>Gamma103</v>
      </c>
      <c r="U93" s="298">
        <f>OtherTourDestination!E101</f>
        <v>-12.623617921899999</v>
      </c>
      <c r="V93" s="337">
        <f si="14" t="shared"/>
        <v>-12.623617921899999</v>
      </c>
    </row>
    <row r="94" spans="1:22" x14ac:dyDescent="0.25">
      <c r="A94" s="296">
        <f si="13" t="shared"/>
        <v>33.5</v>
      </c>
      <c r="B94">
        <f>TLFD!A54+0.5</f>
        <v>43.5</v>
      </c>
      <c r="C94" s="393">
        <f>TLFD!C54</f>
        <v>0</v>
      </c>
      <c r="D94" s="393">
        <f>TLFD!G54</f>
        <v>5.1544620459778015E-4</v>
      </c>
      <c r="E94">
        <f si="10" t="shared"/>
        <v>0</v>
      </c>
      <c r="G94"/>
      <c r="H94"/>
      <c r="I94"/>
      <c r="J94"/>
      <c r="K94"/>
      <c r="L94"/>
      <c r="M94"/>
      <c r="N94"/>
      <c r="O94"/>
      <c r="P94" s="296"/>
      <c r="R94" s="296" t="str">
        <f>VLOOKUP(S94,Coeff_Descr!$A:$D,3,FALSE)</f>
        <v>MEAL</v>
      </c>
      <c r="S94" s="296">
        <f>OtherTourDestination!B102</f>
        <v>104</v>
      </c>
      <c r="T94" s="296" t="str">
        <f>OtherTourDestination!C102</f>
        <v>Gamma104</v>
      </c>
      <c r="U94" s="298">
        <f>OtherTourDestination!E102</f>
        <v>-12.9367414966</v>
      </c>
      <c r="V94" s="337">
        <f si="14" t="shared"/>
        <v>-12.9367414966</v>
      </c>
    </row>
    <row r="95" spans="1:22" x14ac:dyDescent="0.25">
      <c r="A95" s="296">
        <f si="13" t="shared"/>
        <v>34.5</v>
      </c>
      <c r="B95">
        <f>TLFD!A55+0.5</f>
        <v>44.5</v>
      </c>
      <c r="C95" s="393">
        <f>TLFD!C55</f>
        <v>0</v>
      </c>
      <c r="D95" s="393">
        <f>TLFD!G55</f>
        <v>5.4980928490429878E-4</v>
      </c>
      <c r="E95">
        <f si="10" t="shared"/>
        <v>0</v>
      </c>
      <c r="G95" t="s">
        <v>286</v>
      </c>
      <c r="H95"/>
      <c r="I95"/>
      <c r="J95"/>
      <c r="K95"/>
      <c r="L95"/>
      <c r="M95"/>
      <c r="N95"/>
      <c r="O95"/>
      <c r="P95" s="296"/>
      <c r="R95" s="296" t="str">
        <f>VLOOKUP(S95,Coeff_Descr!$A:$D,3,FALSE)</f>
        <v>MEAL</v>
      </c>
      <c r="S95" s="296">
        <f>OtherTourDestination!B103</f>
        <v>105</v>
      </c>
      <c r="T95" s="296" t="str">
        <f>OtherTourDestination!C103</f>
        <v>Gamma105</v>
      </c>
      <c r="U95" s="298">
        <f>OtherTourDestination!E103</f>
        <v>-21.748737142</v>
      </c>
      <c r="V95" s="337">
        <f si="14" t="shared"/>
        <v>-21.748737142</v>
      </c>
    </row>
    <row ht="15.75" r="96" spans="1:22" thickBot="1" x14ac:dyDescent="0.3">
      <c r="A96" s="296">
        <f si="13" t="shared"/>
        <v>35.5</v>
      </c>
      <c r="B96">
        <f>TLFD!A56+0.5</f>
        <v>45.5</v>
      </c>
      <c r="C96" s="393">
        <f>TLFD!C56</f>
        <v>0</v>
      </c>
      <c r="D96" s="393">
        <f>TLFD!G56</f>
        <v>4.6962876418908857E-4</v>
      </c>
      <c r="E96">
        <f si="10" t="shared"/>
        <v>0</v>
      </c>
      <c r="G96"/>
      <c r="H96"/>
      <c r="I96"/>
      <c r="J96"/>
      <c r="K96"/>
      <c r="L96"/>
      <c r="M96"/>
      <c r="N96"/>
      <c r="O96"/>
      <c r="P96" s="296"/>
      <c r="R96" s="296" t="str">
        <f>VLOOKUP(S96,Coeff_Descr!$A:$D,3,FALSE)</f>
        <v>SOCREC</v>
      </c>
      <c r="S96" s="296">
        <f>OtherTourDestination!B104</f>
        <v>106</v>
      </c>
      <c r="T96" s="296" t="str">
        <f>OtherTourDestination!C104</f>
        <v>Gamma106</v>
      </c>
      <c r="U96" s="298">
        <f>OtherTourDestination!E104</f>
        <v>-1.1770951513500001</v>
      </c>
      <c r="V96" s="337">
        <f si="14" t="shared"/>
        <v>-1.1770951513500001</v>
      </c>
    </row>
    <row r="97" spans="1:22" x14ac:dyDescent="0.25">
      <c r="A97" s="296">
        <f si="13" t="shared"/>
        <v>36.5</v>
      </c>
      <c r="B97">
        <f>TLFD!A57+0.5</f>
        <v>46.5</v>
      </c>
      <c r="C97" s="393">
        <f>TLFD!C57</f>
        <v>0</v>
      </c>
      <c r="D97" s="393">
        <f>TLFD!G57</f>
        <v>5.2117338464886657E-4</v>
      </c>
      <c r="E97">
        <f si="10" t="shared"/>
        <v>0</v>
      </c>
      <c r="G97" s="395" t="s">
        <v>287</v>
      </c>
      <c r="H97" s="395"/>
      <c r="I97"/>
      <c r="J97"/>
      <c r="K97"/>
      <c r="L97"/>
      <c r="M97"/>
      <c r="N97"/>
      <c r="O97"/>
      <c r="P97" s="296"/>
      <c r="R97" s="296" t="str">
        <f>VLOOKUP(S97,Coeff_Descr!$A:$D,3,FALSE)</f>
        <v>SOCREC</v>
      </c>
      <c r="S97" s="296">
        <f>OtherTourDestination!B105</f>
        <v>107</v>
      </c>
      <c r="T97" s="296" t="str">
        <f>OtherTourDestination!C105</f>
        <v>Gamma107</v>
      </c>
      <c r="U97" s="298">
        <f>OtherTourDestination!E105</f>
        <v>-1.0914895580199999</v>
      </c>
      <c r="V97" s="337">
        <f si="14" t="shared"/>
        <v>-1.0914895580199999</v>
      </c>
    </row>
    <row r="98" spans="1:22" x14ac:dyDescent="0.25">
      <c r="A98" s="296">
        <f si="13" t="shared"/>
        <v>37.5</v>
      </c>
      <c r="B98">
        <f>TLFD!A58+0.5</f>
        <v>47.5</v>
      </c>
      <c r="C98" s="393">
        <f>TLFD!C58</f>
        <v>0</v>
      </c>
      <c r="D98" s="393">
        <f>TLFD!G58</f>
        <v>4.7535594424017504E-4</v>
      </c>
      <c r="E98">
        <f si="10" t="shared"/>
        <v>0</v>
      </c>
      <c r="G98" s="396" t="s">
        <v>288</v>
      </c>
      <c r="H98" s="396">
        <v>5.4897708800986947E-2</v>
      </c>
      <c r="I98"/>
      <c r="J98"/>
      <c r="K98"/>
      <c r="L98"/>
      <c r="M98"/>
      <c r="N98"/>
      <c r="O98"/>
      <c r="P98" s="296"/>
      <c r="R98" s="296" t="str">
        <f>VLOOKUP(S98,Coeff_Descr!$A:$D,3,FALSE)</f>
        <v>SOCREC</v>
      </c>
      <c r="S98" s="296">
        <f>OtherTourDestination!B106</f>
        <v>108</v>
      </c>
      <c r="T98" s="296" t="str">
        <f>OtherTourDestination!C106</f>
        <v>Gamma108</v>
      </c>
      <c r="U98" s="298">
        <f>OtherTourDestination!E106</f>
        <v>-6.6396727717899999</v>
      </c>
      <c r="V98" s="337">
        <f si="14" t="shared"/>
        <v>-6.6396727717899999</v>
      </c>
    </row>
    <row r="99" spans="1:22" x14ac:dyDescent="0.25">
      <c r="A99" s="296">
        <f si="13" t="shared"/>
        <v>38.5</v>
      </c>
      <c r="B99">
        <f>TLFD!A59+0.5</f>
        <v>48.5</v>
      </c>
      <c r="C99" s="393">
        <f>TLFD!C59</f>
        <v>0</v>
      </c>
      <c r="D99" s="393">
        <f>TLFD!G59</f>
        <v>2.9781336265649518E-4</v>
      </c>
      <c r="E99">
        <f si="10" t="shared"/>
        <v>0</v>
      </c>
      <c r="G99" s="396" t="s">
        <v>289</v>
      </c>
      <c r="H99" s="396">
        <v>3.0137584315979597E-3</v>
      </c>
      <c r="I99"/>
      <c r="J99"/>
      <c r="K99"/>
      <c r="L99"/>
      <c r="M99"/>
      <c r="N99"/>
      <c r="O99"/>
      <c r="P99" s="296"/>
      <c r="R99" s="296" t="str">
        <f>VLOOKUP(S99,Coeff_Descr!$A:$D,3,FALSE)</f>
        <v>SOCREC</v>
      </c>
      <c r="S99" s="296">
        <f>OtherTourDestination!B107</f>
        <v>109</v>
      </c>
      <c r="T99" s="296" t="str">
        <f>OtherTourDestination!C107</f>
        <v>Gamma109</v>
      </c>
      <c r="U99" s="298">
        <f>OtherTourDestination!E107</f>
        <v>-6.1680097229099999</v>
      </c>
      <c r="V99" s="337">
        <f si="14" t="shared"/>
        <v>-6.1680097229099999</v>
      </c>
    </row>
    <row r="100" spans="1:22" x14ac:dyDescent="0.25">
      <c r="A100" s="296">
        <f si="13" t="shared"/>
        <v>39.5</v>
      </c>
      <c r="B100">
        <f>TLFD!A60+0.5</f>
        <v>49.5</v>
      </c>
      <c r="C100" s="393">
        <f>TLFD!C60</f>
        <v>0</v>
      </c>
      <c r="D100" s="393">
        <f>TLFD!G60</f>
        <v>2.3481438209454428E-4</v>
      </c>
      <c r="E100">
        <f si="10" t="shared"/>
        <v>0</v>
      </c>
      <c r="G100" s="396" t="s">
        <v>290</v>
      </c>
      <c r="H100" s="396">
        <v>-9.4862415684020401E-3</v>
      </c>
      <c r="I100"/>
      <c r="J100"/>
      <c r="K100"/>
      <c r="L100"/>
      <c r="M100"/>
      <c r="N100"/>
      <c r="O100"/>
      <c r="P100" s="296"/>
      <c r="R100" s="296" t="str">
        <f>VLOOKUP(S100,Coeff_Descr!$A:$D,3,FALSE)</f>
        <v>SOCREC</v>
      </c>
      <c r="S100" s="296">
        <f>OtherTourDestination!B108</f>
        <v>110</v>
      </c>
      <c r="T100" s="296" t="str">
        <f>OtherTourDestination!C108</f>
        <v>Gamma110</v>
      </c>
      <c r="U100" s="298">
        <f>OtherTourDestination!E108</f>
        <v>-2.9287550310000001</v>
      </c>
      <c r="V100" s="337">
        <f si="14" t="shared"/>
        <v>-2.9287550310000001</v>
      </c>
    </row>
    <row r="101" spans="1:22" x14ac:dyDescent="0.25">
      <c r="A101" s="296">
        <f si="13" t="shared"/>
        <v>40.5</v>
      </c>
      <c r="B101">
        <f>TLFD!A61+0.5</f>
        <v>50.5</v>
      </c>
      <c r="C101" s="393">
        <f>TLFD!C61</f>
        <v>0</v>
      </c>
      <c r="D101" s="393">
        <f>TLFD!G61</f>
        <v>2.1190566189019849E-4</v>
      </c>
      <c r="E101">
        <f si="10" t="shared"/>
        <v>0</v>
      </c>
      <c r="G101" s="396" t="s">
        <v>291</v>
      </c>
      <c r="H101" s="396">
        <v>0.5625914923308597</v>
      </c>
      <c r="I101"/>
      <c r="J101"/>
      <c r="K101"/>
      <c r="L101"/>
      <c r="M101"/>
      <c r="N101"/>
      <c r="O101"/>
      <c r="P101" s="296"/>
      <c r="R101" s="296" t="str">
        <f>VLOOKUP(S101,Coeff_Descr!$A:$D,3,FALSE)</f>
        <v>SOCREC</v>
      </c>
      <c r="S101" s="296">
        <f>OtherTourDestination!B109</f>
        <v>111</v>
      </c>
      <c r="T101" s="296" t="str">
        <f>OtherTourDestination!C109</f>
        <v>Gamma111</v>
      </c>
      <c r="U101" s="298">
        <f>OtherTourDestination!E109</f>
        <v>0</v>
      </c>
      <c r="V101" s="337">
        <f si="14" t="shared"/>
        <v>0</v>
      </c>
    </row>
    <row ht="15.75" r="102" spans="1:22" thickBot="1" x14ac:dyDescent="0.3">
      <c r="A102" s="296">
        <f si="13" t="shared"/>
        <v>41.5</v>
      </c>
      <c r="B102">
        <f>TLFD!A62+0.5</f>
        <v>51.5</v>
      </c>
      <c r="C102" s="393">
        <f>TLFD!C62</f>
        <v>0</v>
      </c>
      <c r="D102" s="393">
        <f>TLFD!G62</f>
        <v>2.1190566189019849E-4</v>
      </c>
      <c r="E102">
        <f si="10" t="shared"/>
        <v>0</v>
      </c>
      <c r="G102" s="397" t="s">
        <v>292</v>
      </c>
      <c r="H102" s="397">
        <v>81</v>
      </c>
      <c r="I102"/>
      <c r="J102"/>
      <c r="K102"/>
      <c r="L102"/>
      <c r="M102"/>
      <c r="N102"/>
      <c r="O102"/>
      <c r="P102" s="296"/>
      <c r="R102" s="296" t="str">
        <f>VLOOKUP(S102,Coeff_Descr!$A:$D,3,FALSE)</f>
        <v>SOCREC</v>
      </c>
      <c r="S102" s="296">
        <f>OtherTourDestination!B110</f>
        <v>112</v>
      </c>
      <c r="T102" s="296" t="str">
        <f>OtherTourDestination!C110</f>
        <v>Gamma112</v>
      </c>
      <c r="U102" s="298">
        <f>OtherTourDestination!E110</f>
        <v>0</v>
      </c>
      <c r="V102" s="337">
        <f si="14" t="shared"/>
        <v>0</v>
      </c>
    </row>
    <row r="103" spans="1:22" x14ac:dyDescent="0.25">
      <c r="A103" s="296">
        <f si="13" t="shared"/>
        <v>42.5</v>
      </c>
      <c r="B103">
        <f>TLFD!A63+0.5</f>
        <v>52.5</v>
      </c>
      <c r="C103" s="393">
        <f>TLFD!C63</f>
        <v>0</v>
      </c>
      <c r="D103" s="393">
        <f>TLFD!G63</f>
        <v>1.7181540153259338E-4</v>
      </c>
      <c r="E103">
        <f si="10" t="shared"/>
        <v>0</v>
      </c>
      <c r="G103"/>
      <c r="H103"/>
      <c r="I103"/>
      <c r="J103"/>
      <c r="K103"/>
      <c r="L103"/>
      <c r="M103"/>
      <c r="N103"/>
      <c r="O103"/>
      <c r="P103" s="296"/>
      <c r="R103" s="296" t="str">
        <f>VLOOKUP(S103,Coeff_Descr!$A:$D,3,FALSE)</f>
        <v>SOCREC</v>
      </c>
      <c r="S103" s="296">
        <f>OtherTourDestination!B111</f>
        <v>113</v>
      </c>
      <c r="T103" s="296" t="str">
        <f>OtherTourDestination!C111</f>
        <v>Gamma113</v>
      </c>
      <c r="U103" s="298">
        <f>OtherTourDestination!E111</f>
        <v>-5.4368248499099998</v>
      </c>
      <c r="V103" s="337">
        <f si="14" t="shared"/>
        <v>-5.4368248499099998</v>
      </c>
    </row>
    <row ht="15.75" r="104" spans="1:22" thickBot="1" x14ac:dyDescent="0.3">
      <c r="A104" s="296">
        <f si="13" t="shared"/>
        <v>43.5</v>
      </c>
      <c r="B104">
        <f>TLFD!A64+0.5</f>
        <v>53.5</v>
      </c>
      <c r="C104" s="393">
        <f>TLFD!C64</f>
        <v>0</v>
      </c>
      <c r="D104" s="393">
        <f>TLFD!G64</f>
        <v>9.7362060868469587E-5</v>
      </c>
      <c r="E104">
        <f si="10" t="shared"/>
        <v>0</v>
      </c>
      <c r="G104" t="s">
        <v>293</v>
      </c>
      <c r="H104"/>
      <c r="I104"/>
      <c r="J104"/>
      <c r="K104"/>
      <c r="L104"/>
      <c r="M104"/>
      <c r="N104"/>
      <c r="O104"/>
      <c r="P104" s="296"/>
      <c r="R104" s="296" t="e">
        <f>VLOOKUP(S104,Coeff_Descr!$A:$D,3,FALSE)</f>
        <v>#N/A</v>
      </c>
      <c r="S104" s="296">
        <f>OtherTourDestination!B112</f>
        <v>114</v>
      </c>
      <c r="T104" s="296" t="str">
        <f>OtherTourDestination!C112</f>
        <v>Beta114</v>
      </c>
      <c r="U104" s="298">
        <f>OtherTourDestination!E112</f>
        <v>-0.8</v>
      </c>
      <c r="V104" s="337">
        <f si="14" t="shared"/>
        <v>-0.8</v>
      </c>
    </row>
    <row r="105" spans="1:22" x14ac:dyDescent="0.25">
      <c r="A105" s="296">
        <f si="13" t="shared"/>
        <v>44.5</v>
      </c>
      <c r="B105">
        <f>TLFD!A65+0.5</f>
        <v>54.5</v>
      </c>
      <c r="C105" s="393">
        <f>TLFD!C65</f>
        <v>0</v>
      </c>
      <c r="D105" s="393">
        <f>TLFD!G65</f>
        <v>8.0180520715210244E-5</v>
      </c>
      <c r="E105">
        <f si="10" t="shared"/>
        <v>0</v>
      </c>
      <c r="G105" s="398"/>
      <c r="H105" s="398" t="s">
        <v>294</v>
      </c>
      <c r="I105" s="398" t="s">
        <v>295</v>
      </c>
      <c r="J105" s="398" t="s">
        <v>296</v>
      </c>
      <c r="K105" s="398" t="s">
        <v>242</v>
      </c>
      <c r="L105" s="398" t="s">
        <v>297</v>
      </c>
      <c r="M105"/>
      <c r="N105"/>
      <c r="O105"/>
      <c r="P105" s="296"/>
      <c r="R105" s="296" t="e">
        <f>VLOOKUP(S105,Coeff_Descr!$A:$D,3,FALSE)</f>
        <v>#N/A</v>
      </c>
      <c r="S105" s="296">
        <f>OtherTourDestination!B113</f>
        <v>115</v>
      </c>
      <c r="T105" s="296" t="str">
        <f>OtherTourDestination!C113</f>
        <v>Beta115</v>
      </c>
      <c r="U105" s="298">
        <f>OtherTourDestination!E113</f>
        <v>-0.8</v>
      </c>
      <c r="V105" s="337">
        <f ref="V105:V109" si="15" t="shared">_xlfn.IFNA(VLOOKUP(S105,$B$43:$D$46,3,FALSE),U105)</f>
        <v>-0.8</v>
      </c>
    </row>
    <row r="106" spans="1:22" x14ac:dyDescent="0.25">
      <c r="A106" s="296">
        <f si="13" t="shared"/>
        <v>45.5</v>
      </c>
      <c r="B106">
        <f>TLFD!A66+0.5</f>
        <v>55.5</v>
      </c>
      <c r="C106" s="393">
        <f>TLFD!C66</f>
        <v>2.4254728077207458E-4</v>
      </c>
      <c r="D106" s="393">
        <f>TLFD!G66</f>
        <v>1.0881642097064247E-4</v>
      </c>
      <c r="E106">
        <f si="10" t="shared"/>
        <v>0.80153441255655045</v>
      </c>
      <c r="G106" s="396" t="s">
        <v>298</v>
      </c>
      <c r="H106" s="396">
        <v>1</v>
      </c>
      <c r="I106" s="396">
        <v>7.6541255392363894E-2</v>
      </c>
      <c r="J106" s="396">
        <v>7.6541255392363894E-2</v>
      </c>
      <c r="K106" s="396">
        <v>0.24182949019291472</v>
      </c>
      <c r="L106" s="396">
        <v>0.6242515229033434</v>
      </c>
      <c r="M106"/>
      <c r="N106"/>
      <c r="O106"/>
      <c r="P106" s="296"/>
      <c r="R106" s="296" t="e">
        <f>VLOOKUP(S106,Coeff_Descr!$A:$D,3,FALSE)</f>
        <v>#N/A</v>
      </c>
      <c r="S106" s="296">
        <f>OtherTourDestination!B114</f>
        <v>116</v>
      </c>
      <c r="T106" s="296" t="str">
        <f>OtherTourDestination!C114</f>
        <v>Beta116</v>
      </c>
      <c r="U106" s="298">
        <f>OtherTourDestination!E114</f>
        <v>-0.8</v>
      </c>
      <c r="V106" s="337">
        <f si="15" t="shared"/>
        <v>-0.8</v>
      </c>
    </row>
    <row r="107" spans="1:22" x14ac:dyDescent="0.25">
      <c r="A107" s="296">
        <f si="13" t="shared"/>
        <v>46.5</v>
      </c>
      <c r="B107">
        <f>TLFD!A67+0.5</f>
        <v>56.5</v>
      </c>
      <c r="C107" s="393">
        <f>TLFD!C67</f>
        <v>0</v>
      </c>
      <c r="D107" s="393">
        <f>TLFD!G67</f>
        <v>1.4317950127716114E-4</v>
      </c>
      <c r="E107">
        <f si="10" t="shared"/>
        <v>0</v>
      </c>
      <c r="G107" s="396" t="s">
        <v>299</v>
      </c>
      <c r="H107" s="396">
        <v>80</v>
      </c>
      <c r="I107" s="396">
        <v>25.320734979445103</v>
      </c>
      <c r="J107" s="396">
        <v>0.31650918724306376</v>
      </c>
      <c r="K107" s="396"/>
      <c r="L107" s="396"/>
      <c r="M107"/>
      <c r="N107"/>
      <c r="O107"/>
      <c r="P107" s="296"/>
      <c r="R107" s="296" t="e">
        <f>VLOOKUP(S107,Coeff_Descr!$A:$D,3,FALSE)</f>
        <v>#N/A</v>
      </c>
      <c r="S107" s="296">
        <f>OtherTourDestination!B115</f>
        <v>117</v>
      </c>
      <c r="T107" s="296" t="str">
        <f>OtherTourDestination!C115</f>
        <v>Beta117</v>
      </c>
      <c r="U107" s="298">
        <f>OtherTourDestination!E115</f>
        <v>-0.8</v>
      </c>
      <c r="V107" s="337">
        <f si="15" t="shared"/>
        <v>-0.8</v>
      </c>
    </row>
    <row ht="15.75" r="108" spans="1:22" thickBot="1" x14ac:dyDescent="0.3">
      <c r="A108" s="296">
        <f si="13" t="shared"/>
        <v>47.5</v>
      </c>
      <c r="B108">
        <f>TLFD!A68+0.5</f>
        <v>57.5</v>
      </c>
      <c r="C108" s="393">
        <f>TLFD!C68</f>
        <v>0</v>
      </c>
      <c r="D108" s="393">
        <f>TLFD!G68</f>
        <v>6.29989805619509E-5</v>
      </c>
      <c r="E108">
        <f si="10" t="shared"/>
        <v>0</v>
      </c>
      <c r="G108" s="397" t="s">
        <v>4</v>
      </c>
      <c r="H108" s="397">
        <v>81</v>
      </c>
      <c r="I108" s="397">
        <v>25.397276234837467</v>
      </c>
      <c r="J108" s="397"/>
      <c r="K108" s="397"/>
      <c r="L108" s="397"/>
      <c r="M108"/>
      <c r="N108"/>
      <c r="O108"/>
      <c r="P108" s="296"/>
      <c r="R108" s="296">
        <f>VLOOKUP(S108,Coeff_Descr!$A:$D,3,FALSE)</f>
        <v>0</v>
      </c>
      <c r="S108" s="296">
        <f>OtherTourDestination!B116</f>
        <v>118</v>
      </c>
      <c r="T108" s="296" t="str">
        <f>OtherTourDestination!C116</f>
        <v>Beta118</v>
      </c>
      <c r="U108" s="298">
        <f>OtherTourDestination!E116</f>
        <v>-0.8</v>
      </c>
      <c r="V108" s="337">
        <f si="15" t="shared"/>
        <v>-0.8</v>
      </c>
    </row>
    <row ht="15.75" r="109" spans="1:22" thickBot="1" x14ac:dyDescent="0.3">
      <c r="A109" s="296">
        <f si="13" t="shared"/>
        <v>48.5</v>
      </c>
      <c r="B109">
        <f>TLFD!A69+0.5</f>
        <v>58.5</v>
      </c>
      <c r="C109" s="393">
        <f>TLFD!C69</f>
        <v>0</v>
      </c>
      <c r="D109" s="393">
        <f>TLFD!G69</f>
        <v>7.4453340664123796E-5</v>
      </c>
      <c r="E109">
        <f si="10" t="shared"/>
        <v>0</v>
      </c>
      <c r="G109"/>
      <c r="H109"/>
      <c r="I109"/>
      <c r="J109"/>
      <c r="K109"/>
      <c r="L109"/>
      <c r="M109"/>
      <c r="N109"/>
      <c r="O109"/>
      <c r="P109" s="296"/>
      <c r="R109" s="296" t="e">
        <f>VLOOKUP(S109,Coeff_Descr!$A:$D,3,FALSE)</f>
        <v>#N/A</v>
      </c>
      <c r="S109" s="296">
        <f>OtherTourDestination!B117</f>
        <v>119</v>
      </c>
      <c r="T109" s="296" t="str">
        <f>OtherTourDestination!C117</f>
        <v>Beta118</v>
      </c>
      <c r="U109" s="298">
        <f>OtherTourDestination!E117</f>
        <v>1</v>
      </c>
      <c r="V109" s="337">
        <f si="15" t="shared"/>
        <v>1</v>
      </c>
    </row>
    <row r="110" spans="1:22" x14ac:dyDescent="0.25">
      <c r="A110" s="296">
        <f si="13" t="shared"/>
        <v>49.5</v>
      </c>
      <c r="B110">
        <f>TLFD!A70+0.5</f>
        <v>59.5</v>
      </c>
      <c r="C110" s="393">
        <f>TLFD!C70</f>
        <v>0</v>
      </c>
      <c r="D110" s="393">
        <f>TLFD!G70</f>
        <v>2.8635900255432229E-5</v>
      </c>
      <c r="E110">
        <f si="10" t="shared"/>
        <v>0</v>
      </c>
      <c r="G110" s="398"/>
      <c r="H110" s="398" t="s">
        <v>300</v>
      </c>
      <c r="I110" s="398" t="s">
        <v>291</v>
      </c>
      <c r="J110" s="398" t="s">
        <v>301</v>
      </c>
      <c r="K110" s="398" t="s">
        <v>302</v>
      </c>
      <c r="L110" s="398" t="s">
        <v>303</v>
      </c>
      <c r="M110" s="398" t="s">
        <v>304</v>
      </c>
      <c r="N110" s="398" t="s">
        <v>305</v>
      </c>
      <c r="O110" s="398" t="s">
        <v>306</v>
      </c>
      <c r="P110" s="296"/>
      <c r="V110" s="337"/>
    </row>
    <row r="111" spans="1:22" x14ac:dyDescent="0.25">
      <c r="A111" s="296">
        <f si="13" t="shared"/>
        <v>50.5</v>
      </c>
      <c r="B111">
        <f>TLFD!A71+0.5</f>
        <v>60.5</v>
      </c>
      <c r="C111" s="393">
        <f>TLFD!C71</f>
        <v>0</v>
      </c>
      <c r="D111" s="393">
        <f>TLFD!G71</f>
        <v>3.4363080306518674E-5</v>
      </c>
      <c r="E111">
        <f si="10" t="shared"/>
        <v>0</v>
      </c>
      <c r="G111" s="396" t="s">
        <v>307</v>
      </c>
      <c r="H111" s="396">
        <v>0</v>
      </c>
      <c r="I111" s="396" t="e">
        <v>#N/A</v>
      </c>
      <c r="J111" s="396" t="e">
        <v>#N/A</v>
      </c>
      <c r="K111" s="396" t="e">
        <v>#N/A</v>
      </c>
      <c r="L111" s="396" t="e">
        <v>#N/A</v>
      </c>
      <c r="M111" s="396" t="e">
        <v>#N/A</v>
      </c>
      <c r="N111" s="396" t="e">
        <v>#N/A</v>
      </c>
      <c r="O111" s="396" t="e">
        <v>#N/A</v>
      </c>
      <c r="P111" s="296"/>
      <c r="V111" s="337"/>
    </row>
    <row ht="15.75" r="112" spans="1:22" thickBot="1" x14ac:dyDescent="0.3">
      <c r="A112" s="296">
        <f si="13" t="shared"/>
        <v>51.5</v>
      </c>
      <c r="B112">
        <f>TLFD!A72+0.5</f>
        <v>61.5</v>
      </c>
      <c r="C112" s="393">
        <f>TLFD!C72</f>
        <v>0</v>
      </c>
      <c r="D112" s="393">
        <f>TLFD!G72</f>
        <v>1.7181540153259337E-5</v>
      </c>
      <c r="E112">
        <f si="10" t="shared"/>
        <v>0</v>
      </c>
      <c r="G112" s="397" t="s">
        <v>308</v>
      </c>
      <c r="H112" s="397">
        <v>6.5733864294063621E-4</v>
      </c>
      <c r="I112" s="397">
        <v>1.3367018026100351E-3</v>
      </c>
      <c r="J112" s="397">
        <v>0.49176161927598294</v>
      </c>
      <c r="K112" s="397">
        <v>0.62423451072676683</v>
      </c>
      <c r="L112" s="397">
        <v>-2.0027827195584777E-3</v>
      </c>
      <c r="M112" s="397">
        <v>3.3174600054397497E-3</v>
      </c>
      <c r="N112" s="397">
        <v>-2.0027827195584777E-3</v>
      </c>
      <c r="O112" s="397">
        <v>3.3174600054397497E-3</v>
      </c>
      <c r="P112" s="296"/>
      <c r="V112" s="337"/>
    </row>
    <row r="113" spans="1:22" x14ac:dyDescent="0.25">
      <c r="A113" s="296">
        <f si="13" t="shared"/>
        <v>52.5</v>
      </c>
      <c r="B113">
        <f>TLFD!A73+0.5</f>
        <v>62.5</v>
      </c>
      <c r="C113" s="393">
        <f>TLFD!C73</f>
        <v>0</v>
      </c>
      <c r="D113" s="393">
        <f>TLFD!G73</f>
        <v>4.0090260357605122E-5</v>
      </c>
      <c r="E113">
        <f si="10" t="shared"/>
        <v>0</v>
      </c>
      <c r="G113"/>
      <c r="H113"/>
      <c r="I113"/>
      <c r="J113"/>
      <c r="K113"/>
      <c r="L113"/>
      <c r="M113"/>
      <c r="N113"/>
      <c r="O113"/>
      <c r="P113" s="296"/>
      <c r="V113" s="337"/>
    </row>
    <row r="114" spans="1:22" x14ac:dyDescent="0.25">
      <c r="A114" s="296">
        <f si="13" t="shared"/>
        <v>53.5</v>
      </c>
      <c r="B114">
        <f>TLFD!A74+0.5</f>
        <v>63.5</v>
      </c>
      <c r="C114" s="393">
        <f>TLFD!C74</f>
        <v>0</v>
      </c>
      <c r="D114" s="393">
        <f>TLFD!G74</f>
        <v>2.2908720204345785E-5</v>
      </c>
      <c r="E114">
        <f si="10" t="shared"/>
        <v>0</v>
      </c>
      <c r="G114"/>
      <c r="H114"/>
      <c r="I114"/>
      <c r="J114"/>
      <c r="K114"/>
      <c r="L114"/>
      <c r="M114"/>
      <c r="N114"/>
      <c r="O114"/>
      <c r="P114" s="296"/>
      <c r="V114" s="337"/>
    </row>
    <row r="115" spans="1:22" x14ac:dyDescent="0.25">
      <c r="A115" s="296">
        <f si="13" t="shared"/>
        <v>54.5</v>
      </c>
      <c r="B115">
        <f>TLFD!A75+0.5</f>
        <v>64.5</v>
      </c>
      <c r="C115" s="393">
        <f>TLFD!C75</f>
        <v>0</v>
      </c>
      <c r="D115" s="393">
        <f>TLFD!G75</f>
        <v>0</v>
      </c>
      <c r="E115">
        <f si="10" t="shared"/>
        <v>0</v>
      </c>
      <c r="G115"/>
      <c r="H115"/>
      <c r="I115"/>
      <c r="J115"/>
      <c r="K115"/>
      <c r="L115"/>
      <c r="M115"/>
      <c r="N115"/>
      <c r="O115"/>
      <c r="P115" s="296"/>
      <c r="V115" s="337"/>
    </row>
    <row r="116" spans="1:22" x14ac:dyDescent="0.25">
      <c r="A116" s="296">
        <f si="13" t="shared"/>
        <v>55.5</v>
      </c>
      <c r="B116">
        <f>TLFD!A76+0.5</f>
        <v>65.5</v>
      </c>
      <c r="C116" s="393">
        <f>TLFD!C76</f>
        <v>0</v>
      </c>
      <c r="D116" s="393">
        <f>TLFD!G76</f>
        <v>5.7271800510864462E-6</v>
      </c>
      <c r="E116">
        <f ref="E116:E141" si="16" t="shared">IF(AND(C116&gt;0, D116&gt;0),LN(C116/D116),0)</f>
        <v>0</v>
      </c>
      <c r="G116" s="296"/>
      <c r="M116" s="296"/>
      <c r="N116" s="296"/>
      <c r="O116" s="296"/>
      <c r="P116" s="296"/>
      <c r="V116" s="337"/>
    </row>
    <row r="117" spans="1:22" x14ac:dyDescent="0.25">
      <c r="A117" s="296">
        <f si="13" t="shared"/>
        <v>56.5</v>
      </c>
      <c r="B117">
        <f>TLFD!A77+0.5</f>
        <v>66.5</v>
      </c>
      <c r="C117" s="393">
        <f>TLFD!C77</f>
        <v>0</v>
      </c>
      <c r="D117" s="393">
        <f>TLFD!G77</f>
        <v>2.2908720204345785E-5</v>
      </c>
      <c r="E117">
        <f si="16" t="shared"/>
        <v>0</v>
      </c>
      <c r="G117" s="296"/>
      <c r="M117" s="296"/>
      <c r="N117" s="296"/>
      <c r="O117" s="296"/>
      <c r="P117" s="296"/>
    </row>
    <row r="118" spans="1:22" x14ac:dyDescent="0.25">
      <c r="A118" s="296">
        <f si="13" t="shared"/>
        <v>57.5</v>
      </c>
      <c r="B118">
        <f>TLFD!A78+0.5</f>
        <v>67.5</v>
      </c>
      <c r="C118" s="393">
        <f>TLFD!C78</f>
        <v>0</v>
      </c>
      <c r="D118" s="393">
        <f>TLFD!G78</f>
        <v>1.1454360102172892E-5</v>
      </c>
      <c r="E118">
        <f si="16" t="shared"/>
        <v>0</v>
      </c>
      <c r="G118" s="296"/>
      <c r="M118" s="296"/>
      <c r="N118" s="296"/>
      <c r="O118" s="296"/>
      <c r="P118" s="296"/>
    </row>
    <row r="119" spans="1:22" x14ac:dyDescent="0.25">
      <c r="A119" s="296">
        <f si="13" t="shared"/>
        <v>58.5</v>
      </c>
      <c r="B119">
        <f>TLFD!A79+0.5</f>
        <v>68.5</v>
      </c>
      <c r="C119" s="393">
        <f>TLFD!C79</f>
        <v>0</v>
      </c>
      <c r="D119" s="393">
        <f>TLFD!G79</f>
        <v>2.8635900255432229E-5</v>
      </c>
      <c r="E119">
        <f si="16" t="shared"/>
        <v>0</v>
      </c>
      <c r="G119" s="296"/>
      <c r="M119" s="296"/>
      <c r="N119" s="296"/>
      <c r="O119" s="296"/>
      <c r="P119" s="296"/>
    </row>
    <row r="120" spans="1:22" x14ac:dyDescent="0.25">
      <c r="A120" s="296">
        <f si="13" t="shared"/>
        <v>59.5</v>
      </c>
      <c r="B120">
        <f>TLFD!A80+0.5</f>
        <v>69.5</v>
      </c>
      <c r="C120" s="393">
        <f>TLFD!C80</f>
        <v>0</v>
      </c>
      <c r="D120" s="393">
        <f>TLFD!G80</f>
        <v>5.7271800510864462E-6</v>
      </c>
      <c r="E120">
        <f si="16" t="shared"/>
        <v>0</v>
      </c>
      <c r="G120" s="296"/>
      <c r="M120" s="296"/>
      <c r="N120" s="296"/>
      <c r="O120" s="296"/>
      <c r="P120" s="296"/>
    </row>
    <row r="121" spans="1:22" x14ac:dyDescent="0.25">
      <c r="A121" s="296">
        <f si="13" t="shared"/>
        <v>60.5</v>
      </c>
      <c r="B121">
        <f>TLFD!A81+0.5</f>
        <v>70.5</v>
      </c>
      <c r="C121" s="393">
        <f>TLFD!C81</f>
        <v>0</v>
      </c>
      <c r="D121" s="393">
        <f>TLFD!G81</f>
        <v>5.7271800510864462E-6</v>
      </c>
      <c r="E121">
        <f si="16" t="shared"/>
        <v>0</v>
      </c>
      <c r="G121" s="296"/>
      <c r="M121" s="296"/>
      <c r="N121" s="296"/>
      <c r="O121" s="296"/>
      <c r="P121" s="296"/>
    </row>
    <row r="122" spans="1:22" x14ac:dyDescent="0.25">
      <c r="A122" s="296">
        <f si="13" t="shared"/>
        <v>61.5</v>
      </c>
      <c r="B122">
        <f>TLFD!A82+0.5</f>
        <v>71.5</v>
      </c>
      <c r="C122" s="393">
        <f>TLFD!C82</f>
        <v>0</v>
      </c>
      <c r="D122" s="393">
        <f>TLFD!G82</f>
        <v>1.1454360102172892E-5</v>
      </c>
      <c r="E122">
        <f si="16" t="shared"/>
        <v>0</v>
      </c>
      <c r="G122" s="296"/>
      <c r="M122" s="296"/>
      <c r="N122" s="296"/>
      <c r="O122" s="296"/>
      <c r="P122" s="296"/>
    </row>
    <row r="123" spans="1:22" x14ac:dyDescent="0.25">
      <c r="A123" s="296">
        <f si="13" t="shared"/>
        <v>62.5</v>
      </c>
      <c r="B123">
        <f>TLFD!A83+0.5</f>
        <v>72.5</v>
      </c>
      <c r="C123" s="393">
        <f>TLFD!C83</f>
        <v>0</v>
      </c>
      <c r="D123" s="393">
        <f>TLFD!G83</f>
        <v>0</v>
      </c>
      <c r="E123">
        <f si="16" t="shared"/>
        <v>0</v>
      </c>
      <c r="G123" s="296"/>
      <c r="M123" s="296"/>
      <c r="N123" s="296"/>
      <c r="O123" s="296"/>
      <c r="P123" s="296"/>
    </row>
    <row r="124" spans="1:22" x14ac:dyDescent="0.25">
      <c r="A124" s="296">
        <f si="13" t="shared"/>
        <v>63.5</v>
      </c>
      <c r="B124">
        <f>TLFD!A84+0.5</f>
        <v>73.5</v>
      </c>
      <c r="C124" s="393">
        <f>TLFD!C84</f>
        <v>0</v>
      </c>
      <c r="D124" s="393">
        <f>TLFD!G84</f>
        <v>1.1454360102172892E-5</v>
      </c>
      <c r="E124">
        <f si="16" t="shared"/>
        <v>0</v>
      </c>
      <c r="G124" s="296"/>
      <c r="M124" s="296"/>
      <c r="N124" s="296"/>
      <c r="O124" s="296"/>
      <c r="P124" s="296"/>
    </row>
    <row r="125" spans="1:22" x14ac:dyDescent="0.25">
      <c r="A125" s="296">
        <f si="13" t="shared"/>
        <v>64.5</v>
      </c>
      <c r="B125">
        <f>TLFD!A85+0.5</f>
        <v>74.5</v>
      </c>
      <c r="C125" s="393">
        <f>TLFD!C85</f>
        <v>0</v>
      </c>
      <c r="D125" s="393">
        <f>TLFD!G85</f>
        <v>1.1454360102172892E-5</v>
      </c>
      <c r="E125">
        <f si="16" t="shared"/>
        <v>0</v>
      </c>
      <c r="G125" s="296"/>
      <c r="M125" s="296"/>
      <c r="N125" s="296"/>
      <c r="O125" s="296"/>
      <c r="P125" s="296"/>
    </row>
    <row r="126" spans="1:22" x14ac:dyDescent="0.25">
      <c r="A126" s="296">
        <f ref="A126:A141" si="17" t="shared">B126-10</f>
        <v>65.5</v>
      </c>
      <c r="B126">
        <f>TLFD!A86+0.5</f>
        <v>75.5</v>
      </c>
      <c r="C126" s="393">
        <f>TLFD!C86</f>
        <v>0</v>
      </c>
      <c r="D126" s="393">
        <f>TLFD!G86</f>
        <v>1.1454360102172892E-5</v>
      </c>
      <c r="E126">
        <f si="16" t="shared"/>
        <v>0</v>
      </c>
      <c r="G126" s="296"/>
      <c r="M126" s="296"/>
      <c r="N126" s="296"/>
      <c r="O126" s="296"/>
      <c r="P126" s="296"/>
    </row>
    <row r="127" spans="1:22" x14ac:dyDescent="0.25">
      <c r="A127" s="296">
        <f si="17" t="shared"/>
        <v>66.5</v>
      </c>
      <c r="B127">
        <f>TLFD!A87+0.5</f>
        <v>76.5</v>
      </c>
      <c r="C127" s="393">
        <f>TLFD!C87</f>
        <v>0</v>
      </c>
      <c r="D127" s="393">
        <f>TLFD!G87</f>
        <v>5.7271800510864462E-6</v>
      </c>
      <c r="E127">
        <f si="16" t="shared"/>
        <v>0</v>
      </c>
      <c r="G127" s="296"/>
      <c r="M127" s="296"/>
      <c r="N127" s="296"/>
      <c r="O127" s="296"/>
      <c r="P127" s="296"/>
    </row>
    <row r="128" spans="1:22" x14ac:dyDescent="0.25">
      <c r="A128" s="296">
        <f si="17" t="shared"/>
        <v>67.5</v>
      </c>
      <c r="B128">
        <f>TLFD!A88+0.5</f>
        <v>77.5</v>
      </c>
      <c r="C128" s="393">
        <f>TLFD!C88</f>
        <v>0</v>
      </c>
      <c r="D128" s="393">
        <f>TLFD!G88</f>
        <v>0</v>
      </c>
      <c r="E128">
        <f si="16" t="shared"/>
        <v>0</v>
      </c>
      <c r="G128" s="296"/>
      <c r="M128" s="296"/>
      <c r="N128" s="296"/>
      <c r="O128" s="296"/>
      <c r="P128" s="296"/>
    </row>
    <row r="129" spans="1:16" x14ac:dyDescent="0.25">
      <c r="A129" s="296">
        <f si="17" t="shared"/>
        <v>68.5</v>
      </c>
      <c r="B129">
        <f>TLFD!A89+0.5</f>
        <v>78.5</v>
      </c>
      <c r="C129" s="393">
        <f>TLFD!C89</f>
        <v>0</v>
      </c>
      <c r="D129" s="393">
        <f>TLFD!G89</f>
        <v>1.1454360102172892E-5</v>
      </c>
      <c r="E129">
        <f si="16" t="shared"/>
        <v>0</v>
      </c>
      <c r="G129" s="296"/>
      <c r="M129" s="296"/>
      <c r="N129" s="296"/>
      <c r="O129" s="296"/>
      <c r="P129" s="296"/>
    </row>
    <row r="130" spans="1:16" x14ac:dyDescent="0.25">
      <c r="A130" s="296">
        <f si="17" t="shared"/>
        <v>69.5</v>
      </c>
      <c r="B130">
        <f>TLFD!A90+0.5</f>
        <v>79.5</v>
      </c>
      <c r="C130" s="393">
        <f>TLFD!C90</f>
        <v>0</v>
      </c>
      <c r="D130" s="393">
        <f>TLFD!G90</f>
        <v>0</v>
      </c>
      <c r="E130">
        <f si="16" t="shared"/>
        <v>0</v>
      </c>
      <c r="G130" s="296"/>
      <c r="M130" s="296"/>
      <c r="N130" s="296"/>
      <c r="O130" s="296"/>
      <c r="P130" s="296"/>
    </row>
    <row r="131" spans="1:16" x14ac:dyDescent="0.25">
      <c r="A131" s="296">
        <f si="17" t="shared"/>
        <v>70.5</v>
      </c>
      <c r="B131">
        <f>TLFD!A91+0.5</f>
        <v>80.5</v>
      </c>
      <c r="C131" s="393">
        <f>TLFD!C91</f>
        <v>0</v>
      </c>
      <c r="D131" s="393">
        <f>TLFD!G91</f>
        <v>0</v>
      </c>
      <c r="E131">
        <f si="16" t="shared"/>
        <v>0</v>
      </c>
      <c r="G131" s="296"/>
      <c r="M131" s="296"/>
      <c r="N131" s="296"/>
      <c r="O131" s="296"/>
      <c r="P131" s="296"/>
    </row>
    <row r="132" spans="1:16" x14ac:dyDescent="0.25">
      <c r="A132" s="296">
        <f si="17" t="shared"/>
        <v>71.5</v>
      </c>
      <c r="B132">
        <f>TLFD!A92+0.5</f>
        <v>81.5</v>
      </c>
      <c r="C132" s="393">
        <f>TLFD!C92</f>
        <v>0</v>
      </c>
      <c r="D132" s="393">
        <f>TLFD!G92</f>
        <v>0</v>
      </c>
      <c r="E132">
        <f si="16" t="shared"/>
        <v>0</v>
      </c>
      <c r="G132" s="296"/>
      <c r="M132" s="296"/>
      <c r="N132" s="296"/>
      <c r="O132" s="296"/>
      <c r="P132" s="296"/>
    </row>
    <row r="133" spans="1:16" x14ac:dyDescent="0.25">
      <c r="A133" s="296">
        <f si="17" t="shared"/>
        <v>72.5</v>
      </c>
      <c r="B133">
        <f>TLFD!A93+0.5</f>
        <v>82.5</v>
      </c>
      <c r="C133" s="393">
        <f>TLFD!C93</f>
        <v>0</v>
      </c>
      <c r="D133" s="393">
        <f>TLFD!G93</f>
        <v>0</v>
      </c>
      <c r="E133">
        <f si="16" t="shared"/>
        <v>0</v>
      </c>
      <c r="G133" s="296"/>
      <c r="M133" s="296"/>
      <c r="N133" s="296"/>
      <c r="O133" s="296"/>
      <c r="P133" s="296"/>
    </row>
    <row r="134" spans="1:16" x14ac:dyDescent="0.25">
      <c r="A134" s="296">
        <f si="17" t="shared"/>
        <v>73.5</v>
      </c>
      <c r="B134">
        <f>TLFD!A94+0.5</f>
        <v>83.5</v>
      </c>
      <c r="C134" s="393">
        <f>TLFD!C94</f>
        <v>0</v>
      </c>
      <c r="D134" s="393">
        <f>TLFD!G94</f>
        <v>0</v>
      </c>
      <c r="E134">
        <f si="16" t="shared"/>
        <v>0</v>
      </c>
      <c r="G134" s="296"/>
      <c r="M134" s="296"/>
      <c r="N134" s="296"/>
      <c r="O134" s="296"/>
      <c r="P134" s="296"/>
    </row>
    <row r="135" spans="1:16" x14ac:dyDescent="0.25">
      <c r="A135" s="296">
        <f si="17" t="shared"/>
        <v>74.5</v>
      </c>
      <c r="B135">
        <f>TLFD!A95+0.5</f>
        <v>84.5</v>
      </c>
      <c r="C135" s="393">
        <f>TLFD!C95</f>
        <v>0</v>
      </c>
      <c r="D135" s="393">
        <f>TLFD!G95</f>
        <v>5.7271800510864462E-6</v>
      </c>
      <c r="E135">
        <f si="16" t="shared"/>
        <v>0</v>
      </c>
      <c r="G135" s="296"/>
      <c r="M135" s="296"/>
      <c r="N135" s="296"/>
      <c r="O135" s="296"/>
      <c r="P135" s="296"/>
    </row>
    <row r="136" spans="1:16" x14ac:dyDescent="0.25">
      <c r="A136" s="296">
        <f si="17" t="shared"/>
        <v>75.5</v>
      </c>
      <c r="B136">
        <f>TLFD!A96+0.5</f>
        <v>85.5</v>
      </c>
      <c r="C136" s="393">
        <f>TLFD!C96</f>
        <v>0</v>
      </c>
      <c r="D136" s="393">
        <f>TLFD!G96</f>
        <v>1.1454360102172892E-5</v>
      </c>
      <c r="E136">
        <f si="16" t="shared"/>
        <v>0</v>
      </c>
      <c r="G136" s="296"/>
      <c r="M136" s="296"/>
      <c r="N136" s="296"/>
      <c r="O136" s="296"/>
      <c r="P136" s="296"/>
    </row>
    <row r="137" spans="1:16" x14ac:dyDescent="0.25">
      <c r="A137" s="296">
        <f si="17" t="shared"/>
        <v>76.5</v>
      </c>
      <c r="B137">
        <f>TLFD!A97+0.5</f>
        <v>86.5</v>
      </c>
      <c r="C137" s="393">
        <f>TLFD!C97</f>
        <v>0</v>
      </c>
      <c r="D137" s="393">
        <f>TLFD!G97</f>
        <v>5.7271800510864462E-6</v>
      </c>
      <c r="E137">
        <f si="16" t="shared"/>
        <v>0</v>
      </c>
      <c r="G137" s="296"/>
      <c r="M137" s="296"/>
      <c r="N137" s="296"/>
      <c r="O137" s="296"/>
      <c r="P137" s="296"/>
    </row>
    <row r="138" spans="1:16" x14ac:dyDescent="0.25">
      <c r="A138" s="296">
        <f si="17" t="shared"/>
        <v>77.5</v>
      </c>
      <c r="B138">
        <f>TLFD!A98+0.5</f>
        <v>87.5</v>
      </c>
      <c r="C138" s="393">
        <f>TLFD!C98</f>
        <v>0</v>
      </c>
      <c r="D138" s="393">
        <f>TLFD!G98</f>
        <v>0</v>
      </c>
      <c r="E138">
        <f si="16" t="shared"/>
        <v>0</v>
      </c>
      <c r="G138" s="296"/>
      <c r="M138" s="296"/>
      <c r="N138" s="296"/>
      <c r="O138" s="296"/>
      <c r="P138" s="296"/>
    </row>
    <row r="139" spans="1:16" x14ac:dyDescent="0.25">
      <c r="A139" s="296">
        <f si="17" t="shared"/>
        <v>78.5</v>
      </c>
      <c r="B139">
        <f>TLFD!A99+0.5</f>
        <v>88.5</v>
      </c>
      <c r="C139" s="393">
        <f>TLFD!C99</f>
        <v>0</v>
      </c>
      <c r="D139" s="393">
        <f>TLFD!G99</f>
        <v>0</v>
      </c>
      <c r="E139">
        <f si="16" t="shared"/>
        <v>0</v>
      </c>
      <c r="G139" s="296"/>
      <c r="M139" s="296"/>
      <c r="N139" s="296"/>
      <c r="O139" s="296"/>
      <c r="P139" s="296"/>
    </row>
    <row r="140" spans="1:16" x14ac:dyDescent="0.25">
      <c r="A140" s="296">
        <f si="17" t="shared"/>
        <v>79.5</v>
      </c>
      <c r="B140">
        <f>TLFD!A100+0.5</f>
        <v>89.5</v>
      </c>
      <c r="C140" s="393">
        <f>TLFD!C100</f>
        <v>0</v>
      </c>
      <c r="D140" s="393">
        <f>TLFD!G100</f>
        <v>1.1454360102172892E-5</v>
      </c>
      <c r="E140">
        <f si="16" t="shared"/>
        <v>0</v>
      </c>
      <c r="G140" s="296"/>
      <c r="M140" s="296"/>
      <c r="N140" s="296"/>
      <c r="O140" s="296"/>
      <c r="P140" s="296"/>
    </row>
    <row r="141" spans="1:16" x14ac:dyDescent="0.25">
      <c r="A141" s="296">
        <f si="17" t="shared"/>
        <v>80.5</v>
      </c>
      <c r="B141">
        <f>TLFD!A101+0.5</f>
        <v>90.5</v>
      </c>
      <c r="C141" s="393">
        <f>TLFD!C101</f>
        <v>0</v>
      </c>
      <c r="D141" s="393">
        <f>TLFD!G101</f>
        <v>5.7271800510864462E-6</v>
      </c>
      <c r="E141">
        <f si="16" t="shared"/>
        <v>0</v>
      </c>
      <c r="G141" s="296"/>
      <c r="M141" s="296"/>
      <c r="N141" s="296"/>
      <c r="O141" s="296"/>
      <c r="P141" s="296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313</v>
      </c>
      <c r="B1" t="s">
        <v>314</v>
      </c>
    </row>
    <row r="2" spans="1:2" x14ac:dyDescent="0.25">
      <c r="A2">
        <v>1</v>
      </c>
      <c r="B2" t="s">
        <v>315</v>
      </c>
    </row>
    <row r="3" spans="1:2" x14ac:dyDescent="0.25">
      <c r="A3">
        <v>2</v>
      </c>
      <c r="B3" t="s">
        <v>316</v>
      </c>
    </row>
    <row r="4" spans="1:2" x14ac:dyDescent="0.25">
      <c r="A4">
        <v>3</v>
      </c>
      <c r="B4" t="s">
        <v>317</v>
      </c>
    </row>
    <row r="5" spans="1:2" x14ac:dyDescent="0.25">
      <c r="A5">
        <v>4</v>
      </c>
      <c r="B5" t="s">
        <v>318</v>
      </c>
    </row>
    <row r="6" spans="1:2" x14ac:dyDescent="0.25">
      <c r="A6">
        <v>5</v>
      </c>
      <c r="B6" t="s">
        <v>319</v>
      </c>
    </row>
    <row r="7" spans="1:2" x14ac:dyDescent="0.25">
      <c r="A7">
        <v>6</v>
      </c>
      <c r="B7" t="s">
        <v>320</v>
      </c>
    </row>
    <row r="8" spans="1:2" x14ac:dyDescent="0.25">
      <c r="A8">
        <v>7</v>
      </c>
      <c r="B8" t="s">
        <v>321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2020-01-23T23:45:21Z</dcterms:modified>
</cp:coreProperties>
</file>