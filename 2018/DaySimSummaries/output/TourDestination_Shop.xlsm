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vnd.openxmlformats-officedocument.spreadsheetml.worksheet+xml" PartName="/xl/worksheets/sheet8.xml"/>
</Types>
</file>

<file path=_rels/.rels><?xml version="1.0" encoding="UTF-8" standalone="no"?>
<Relationships xmlns="http://schemas.openxmlformats.org/package/2006/relationships">
    <Relationship Id="rId1" Target="xl/workbook.xml" Type="http://schemas.openxmlformats.org/officeDocument/2006/relationships/officeDocument"/>
    <Relationship Id="rId2" Target="docProps/core.xml" Type="http://schemas.openxmlformats.org/package/2006/relationships/metadata/core-properties"/>
    <Relationship Id="rId3" Target="docProps/app.xml" Type="http://schemas.openxmlformats.org/officeDocument/2006/relationships/extended-properties"/>
</Relationships>

</file>

<file path=xl/workbook.xml><?xml version="1.0" encoding="utf-8"?>
<workbook xmlns="http://schemas.openxmlformats.org/spreadsheetml/2006/main" xmlns:mc="http://schemas.openxmlformats.org/markup-compatibility/2006" xmlns:r="http://schemas.openxmlformats.org/officeDocument/2006/relationships" xmlns:x15="http://schemas.microsoft.com/office/spreadsheetml/2010/11/main" mc:Ignorable="x15">
  <fileVersion appName="xl" codeName="{51196F13-6AD0-C1B8-E2B4-A1F9AE17003E}" lastEdited="6" lowestEdited="4" rupBuild="14420"/>
  <workbookPr codeName="ThisWorkbook" defaultThemeVersion="124226"/>
  <mc:AlternateContent>
    <mc:Choice Requires="x15">
      <x15ac:absPath xmlns:x15ac="http://schemas.microsoft.com/office/spreadsheetml/2010/11/ac" url="E:\Projects\Clients\Nashville\Tasks\Task9_ReCalibration\DaySimSummaries\Nashville DaySimSummaries\Nashville Summaries\R_Summary\"/>
    </mc:Choice>
  </mc:AlternateContent>
  <bookViews>
    <workbookView activeTab="2" windowHeight="10695" windowWidth="14190" xWindow="10050" yWindow="-15"/>
  </bookViews>
  <sheets>
    <sheet name="TLFD" r:id="rId1" sheetId="3"/>
    <sheet name="TDFD" r:id="rId2" sheetId="4"/>
    <sheet name="County_Flow" r:id="rId3" sheetId="1"/>
    <sheet name="Documentation" r:id="rId4" sheetId="5"/>
    <sheet name="Coeff_Descr" r:id="rId5" sheetId="8"/>
    <sheet name="OtherTourDestination" r:id="rId6" sheetId="7"/>
    <sheet name="Calibration" r:id="rId7" sheetId="6"/>
    <sheet name="County Codes" r:id="rId8" sheetId="9"/>
  </sheets>
  <definedNames>
    <definedName name="AVGD">TLFD!$L$11:$L$13</definedName>
    <definedName name="AVGT">TDFD!$L$11:$L$13</definedName>
    <definedName name="flow">County_Flow!$K$7:$N$10</definedName>
    <definedName name="out1">TLFD!$B$11:$B$101</definedName>
    <definedName name="out10">County_Flow!$M$7:$R$12</definedName>
    <definedName name="out2">TLFD!$F$11:$F$101</definedName>
    <definedName name="out3">TDFD!$B$11:$B$101</definedName>
    <definedName name="out4">TDFD!$F$11:$F$101</definedName>
    <definedName name="out5">TLFD!$K$11:$K$11</definedName>
    <definedName name="out6">TLFD!$L$11:$L$11</definedName>
    <definedName name="out7">TDFD!$K$11:$K$11</definedName>
    <definedName name="out8">TDFD!$L$11:$L$11</definedName>
    <definedName name="out9">County_Flow!$B$7:$G$12</definedName>
    <definedName name="TDFD">TDFD!$E$11:$F$102</definedName>
    <definedName name="TLFD">TLFD!$E$11:$F$102</definedName>
    <definedName name="out_1">TLFD!$B$11:$B$101</definedName>
    <definedName name="out_3">TDFD!$B$11:$B$101</definedName>
    <definedName name="out_5">TLFD!$K$11:$K$11</definedName>
    <definedName name="out_7">TDFD!$K$11:$K$11</definedName>
    <definedName name="out_9">County_Flow!$B$7:$H$13</definedName>
    <definedName name="out_2">TLFD!$F$11:$F$101</definedName>
    <definedName name="out_4">TDFD!$F$11:$F$101</definedName>
    <definedName name="out_6">TLFD!$L$11:$L$11</definedName>
    <definedName name="out_8">TDFD!$L$11:$L$11</definedName>
    <definedName name="out_10">County_Flow!$M$7:$S$13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i="1" l="1" r="S21"/>
  <c i="1" r="S22"/>
  <c i="1" r="S23"/>
  <c i="1" r="S24"/>
  <c i="1" r="S25"/>
  <c i="1" r="S26"/>
  <c i="1" r="S27"/>
  <c i="1" r="S20"/>
  <c i="1" r="N26"/>
  <c i="1" r="O26"/>
  <c i="1" r="P26"/>
  <c i="1" r="Q26"/>
  <c i="1" r="R26"/>
  <c i="1" r="T26"/>
  <c i="1" r="M26"/>
  <c i="1" r="U13"/>
  <c i="1" r="F26" s="1"/>
  <c i="1" r="S15"/>
  <c i="1" r="S28" s="1"/>
  <c i="1" r="H15"/>
  <c i="1" r="J13"/>
  <c i="1" l="1" r="U26"/>
  <c i="1" r="E26"/>
  <c i="1" r="G26"/>
  <c i="1" r="C26"/>
  <c i="1" r="H26"/>
  <c i="1" r="B26"/>
  <c i="1" r="D26"/>
  <c i="1" r="I26"/>
  <c i="1" r="M21"/>
  <c i="1" r="N21"/>
  <c i="1" r="O21"/>
  <c i="1" r="P21"/>
  <c i="1" r="Q21"/>
  <c i="1" r="R21"/>
  <c i="1" r="T21"/>
  <c i="1" r="M22"/>
  <c i="1" r="N22"/>
  <c i="1" r="O22"/>
  <c i="1" r="P22"/>
  <c i="1" r="Q22"/>
  <c i="1" r="R22"/>
  <c i="1" r="T22"/>
  <c i="1" r="M23"/>
  <c i="1" r="N23"/>
  <c i="1" r="O23"/>
  <c i="1" r="P23"/>
  <c i="1" r="Q23"/>
  <c i="1" r="R23"/>
  <c i="1" r="T23"/>
  <c i="1" r="M24"/>
  <c i="1" r="N24"/>
  <c i="1" r="O24"/>
  <c i="1" r="P24"/>
  <c i="1" r="Q24"/>
  <c i="1" r="R24"/>
  <c i="1" r="T24"/>
  <c i="1" r="M25"/>
  <c i="1" r="N25"/>
  <c i="1" r="O25"/>
  <c i="1" r="P25"/>
  <c i="1" r="Q25"/>
  <c i="1" r="R25"/>
  <c i="1" r="T25"/>
  <c i="1" r="M27"/>
  <c i="1" r="N27"/>
  <c i="1" r="O27"/>
  <c i="1" r="P27"/>
  <c i="1" r="Q27"/>
  <c i="1" r="R27"/>
  <c i="1" r="T27"/>
  <c i="1" r="N20"/>
  <c i="1" r="O20"/>
  <c i="1" r="P20"/>
  <c i="1" r="Q20"/>
  <c i="1" r="R20"/>
  <c i="1" r="T20"/>
  <c i="1" l="1" r="J26"/>
  <c i="6" r="B141"/>
  <c i="6" r="B140"/>
  <c i="6" r="A140" s="1"/>
  <c i="6" r="B139"/>
  <c i="6" r="A139" s="1"/>
  <c i="6" r="B138"/>
  <c i="6" r="A138" s="1"/>
  <c i="6" r="B137"/>
  <c i="6" r="A137" s="1"/>
  <c i="6" r="B136"/>
  <c i="6" r="A136" s="1"/>
  <c i="6" r="B135"/>
  <c i="6" r="A135" s="1"/>
  <c i="6" r="B134"/>
  <c i="6" r="A134" s="1"/>
  <c i="6" r="B133"/>
  <c i="6" r="A133" s="1"/>
  <c i="6" r="B132"/>
  <c i="6" r="A132" s="1"/>
  <c i="6" r="B131"/>
  <c i="6" r="A131" s="1"/>
  <c i="6" r="B130"/>
  <c i="6" r="A130" s="1"/>
  <c i="6" r="B129"/>
  <c i="6" r="A129" s="1"/>
  <c i="6" r="B128"/>
  <c i="6" r="A128" s="1"/>
  <c i="6" r="B127"/>
  <c i="6" r="A127" s="1"/>
  <c i="6" r="B126"/>
  <c i="6" r="A126" s="1"/>
  <c i="6" r="B125"/>
  <c i="6" r="A125" s="1"/>
  <c i="6" r="B124"/>
  <c i="6" r="A124" s="1"/>
  <c i="6" r="B123"/>
  <c i="6" r="A123" s="1"/>
  <c i="6" r="B122"/>
  <c i="6" r="A122" s="1"/>
  <c i="6" r="B121"/>
  <c i="6" r="A121" s="1"/>
  <c i="6" r="B120"/>
  <c i="6" r="A120" s="1"/>
  <c i="6" r="B119"/>
  <c i="6" r="A119" s="1"/>
  <c i="6" r="B118"/>
  <c i="6" r="A118" s="1"/>
  <c i="6" r="B117"/>
  <c i="6" r="A117" s="1"/>
  <c i="6" r="B116"/>
  <c i="6" r="A116" s="1"/>
  <c i="6" r="B115"/>
  <c i="6" r="A115" s="1"/>
  <c i="6" r="B114"/>
  <c i="6" r="A114" s="1"/>
  <c i="6" r="B113"/>
  <c i="6" r="A113" s="1"/>
  <c i="6" r="B112"/>
  <c i="6" r="A112" s="1"/>
  <c i="6" r="B111"/>
  <c i="6" r="A111" s="1"/>
  <c i="6" r="B110"/>
  <c i="6" r="A110" s="1"/>
  <c i="6" r="B109"/>
  <c i="6" r="A109" s="1"/>
  <c i="6" r="B108"/>
  <c i="6" r="A108" s="1"/>
  <c i="6" r="B107"/>
  <c i="6" r="A107" s="1"/>
  <c i="6" r="B106"/>
  <c i="6" r="A106" s="1"/>
  <c i="6" r="B105"/>
  <c i="6" r="A105" s="1"/>
  <c i="6" r="B104"/>
  <c i="6" r="A104" s="1"/>
  <c i="6" r="B103"/>
  <c i="6" r="A103" s="1"/>
  <c i="6" r="B102"/>
  <c i="6" r="A102" s="1"/>
  <c i="6" r="B101"/>
  <c i="6" r="A101" s="1"/>
  <c i="6" r="B100"/>
  <c i="6" r="A100" s="1"/>
  <c i="6" r="B99"/>
  <c i="6" r="A99" s="1"/>
  <c i="6" r="B98"/>
  <c i="6" r="A98" s="1"/>
  <c i="6" r="B97"/>
  <c i="6" r="A97" s="1"/>
  <c i="6" r="B96"/>
  <c i="6" r="A96" s="1"/>
  <c i="6" r="B95"/>
  <c i="6" r="A95" s="1"/>
  <c i="6" r="B94"/>
  <c i="6" r="A94" s="1"/>
  <c i="6" r="B93"/>
  <c i="6" r="B92"/>
  <c i="6" r="B91"/>
  <c i="6" r="A91" s="1"/>
  <c i="6" r="B90"/>
  <c i="6" r="A90" s="1"/>
  <c i="6" r="B89"/>
  <c i="6" r="A89" s="1"/>
  <c i="6" r="B88"/>
  <c i="6" r="A88" s="1"/>
  <c i="6" r="B87"/>
  <c i="6" r="A87" s="1"/>
  <c i="6" r="B86"/>
  <c i="6" r="A86" s="1"/>
  <c i="6" r="B85"/>
  <c i="6" r="A85" s="1"/>
  <c i="6" r="B84"/>
  <c i="6" r="A84" s="1"/>
  <c i="6" r="B83"/>
  <c i="6" r="A83" s="1"/>
  <c i="6" r="B82"/>
  <c i="6" r="A82" s="1"/>
  <c i="6" r="B81"/>
  <c i="6" r="A81" s="1"/>
  <c i="6" r="B80"/>
  <c i="6" r="A80" s="1"/>
  <c i="6" r="B79"/>
  <c i="6" r="A79" s="1"/>
  <c i="6" r="B78"/>
  <c i="6" r="A78" s="1"/>
  <c i="6" r="B77"/>
  <c i="6" r="A77" s="1"/>
  <c i="6" r="B76"/>
  <c i="6" r="A76" s="1"/>
  <c i="6" r="B75"/>
  <c i="6" r="A75" s="1"/>
  <c i="6" r="B74"/>
  <c i="6" r="A74" s="1"/>
  <c i="6" r="B73"/>
  <c i="6" r="A73" s="1"/>
  <c i="6" r="B72"/>
  <c i="6" r="A72" s="1"/>
  <c i="6" r="B71"/>
  <c i="6" r="A71" s="1"/>
  <c i="6" r="B70"/>
  <c i="6" r="A70" s="1"/>
  <c i="6" r="B69"/>
  <c i="6" r="A69" s="1"/>
  <c i="6" r="B68"/>
  <c i="6" r="A68" s="1"/>
  <c i="6" r="B67"/>
  <c i="6" r="A67" s="1"/>
  <c i="6" r="B66"/>
  <c i="6" r="A66" s="1"/>
  <c i="6" r="B65"/>
  <c i="6" r="A65" s="1"/>
  <c i="6" r="B64"/>
  <c i="6" r="A64" s="1"/>
  <c i="6" r="B63"/>
  <c i="6" r="A63" s="1"/>
  <c i="6" r="B62"/>
  <c i="6" r="A62" s="1"/>
  <c i="6" r="B61"/>
  <c i="6" r="A61" s="1"/>
  <c i="6" r="B60"/>
  <c i="6" r="A60" s="1"/>
  <c i="6" r="B59"/>
  <c i="6" r="A59" s="1"/>
  <c i="6" r="B58"/>
  <c i="6" r="A58" s="1"/>
  <c i="6" r="B57"/>
  <c i="6" r="A57" s="1"/>
  <c i="6" r="B56"/>
  <c i="6" r="A56" s="1"/>
  <c i="6" r="B55"/>
  <c i="6" r="A55" s="1"/>
  <c i="6" r="B54"/>
  <c i="6" r="A54" s="1"/>
  <c i="6" r="B53"/>
  <c i="6" r="A53" s="1"/>
  <c i="6" r="B52"/>
  <c i="6" r="A52" s="1"/>
  <c i="6" r="B51"/>
  <c i="6" r="A51" s="1"/>
  <c i="6" r="A141"/>
  <c i="6" r="A93"/>
  <c i="6" r="A92"/>
  <c i="6" r="H53"/>
  <c i="6" r="H52"/>
  <c i="6" r="H51"/>
  <c i="6" l="1" r="S105"/>
  <c i="6" r="R105" s="1"/>
  <c i="6" r="T105"/>
  <c i="6" r="U105"/>
  <c i="6" r="S106"/>
  <c i="6" r="R106" s="1"/>
  <c i="6" r="T106"/>
  <c i="6" r="U106"/>
  <c i="6" r="S107"/>
  <c i="6" r="R107" s="1"/>
  <c i="6" r="T107"/>
  <c i="6" r="U107"/>
  <c i="6" r="S108"/>
  <c i="6" r="R108" s="1"/>
  <c i="6" r="T108"/>
  <c i="6" r="U108"/>
  <c i="6" r="S109"/>
  <c i="6" r="T109"/>
  <c i="6" r="U109"/>
  <c i="6" l="1" r="R109"/>
  <c i="6" l="1" r="U104"/>
  <c i="6" r="T104"/>
  <c i="6" r="S104"/>
  <c i="6" r="R104" s="1"/>
  <c i="6" r="U103"/>
  <c i="6" r="T103"/>
  <c i="6" r="S103"/>
  <c i="6" r="R103" s="1"/>
  <c i="6" r="U102"/>
  <c i="6" r="T102"/>
  <c i="6" r="S102"/>
  <c i="6" r="R102" s="1"/>
  <c i="6" r="U101"/>
  <c i="6" r="T101"/>
  <c i="6" r="S101"/>
  <c i="6" r="R101" s="1"/>
  <c i="6" r="U100"/>
  <c i="6" r="T100"/>
  <c i="6" r="S100"/>
  <c i="6" r="R100" s="1"/>
  <c i="6" r="U99"/>
  <c i="6" r="T99"/>
  <c i="6" r="S99"/>
  <c i="6" r="R99" s="1"/>
  <c i="6" r="U98"/>
  <c i="6" r="T98"/>
  <c i="6" r="S98"/>
  <c i="6" r="R98" s="1"/>
  <c i="6" r="U97"/>
  <c i="6" r="T97"/>
  <c i="6" r="S97"/>
  <c i="6" r="R97" s="1"/>
  <c i="6" r="U96"/>
  <c i="6" r="T96"/>
  <c i="6" r="S96"/>
  <c i="6" r="R96" s="1"/>
  <c i="6" r="U95"/>
  <c i="6" r="T95"/>
  <c i="6" r="S95"/>
  <c i="6" r="R95" s="1"/>
  <c i="6" r="U94"/>
  <c i="6" r="T94"/>
  <c i="6" r="S94"/>
  <c i="6" r="R94" s="1"/>
  <c i="6" r="U93"/>
  <c i="6" r="T93"/>
  <c i="6" r="S93"/>
  <c i="6" r="U92"/>
  <c i="6" r="T92"/>
  <c i="6" r="S92"/>
  <c i="6" r="R92" s="1"/>
  <c i="6" r="U91"/>
  <c i="6" r="T91"/>
  <c i="6" r="S91"/>
  <c i="6" r="R91" s="1"/>
  <c i="6" r="U90"/>
  <c i="6" r="T90"/>
  <c i="6" r="S90"/>
  <c i="6" r="R90" s="1"/>
  <c i="6" r="U89"/>
  <c i="6" r="T89"/>
  <c i="6" r="S89"/>
  <c i="6" r="R89" s="1"/>
  <c i="6" r="U88"/>
  <c i="6" r="T88"/>
  <c i="6" r="S88"/>
  <c i="6" r="R88" s="1"/>
  <c i="6" r="U87"/>
  <c i="6" r="T87"/>
  <c i="6" r="S87"/>
  <c i="6" r="R87" s="1"/>
  <c i="6" r="U86"/>
  <c i="6" r="T86"/>
  <c i="6" r="S86"/>
  <c i="6" r="R86" s="1"/>
  <c i="6" r="U85"/>
  <c i="6" r="T85"/>
  <c i="6" r="S85"/>
  <c i="6" r="U84"/>
  <c i="6" r="T84"/>
  <c i="6" r="S84"/>
  <c i="6" r="R84" s="1"/>
  <c i="6" r="U83"/>
  <c i="6" r="T83"/>
  <c i="6" r="S83"/>
  <c i="6" r="U82"/>
  <c i="6" r="T82"/>
  <c i="6" r="S82"/>
  <c i="6" r="R82" s="1"/>
  <c i="6" r="U81"/>
  <c i="6" r="T81"/>
  <c i="6" r="S81"/>
  <c i="6" r="R81" s="1"/>
  <c i="6" r="U80"/>
  <c i="6" r="T80"/>
  <c i="6" r="S80"/>
  <c i="6" r="R80" s="1"/>
  <c i="6" r="U79"/>
  <c i="6" r="T79"/>
  <c i="6" r="S79"/>
  <c i="6" r="R79" s="1"/>
  <c i="6" r="U78"/>
  <c i="6" r="T78"/>
  <c i="6" r="S78"/>
  <c i="6" r="R78" s="1"/>
  <c i="6" r="U77"/>
  <c i="6" r="T77"/>
  <c i="6" r="S77"/>
  <c i="6" r="R77" s="1"/>
  <c i="6" r="U76"/>
  <c i="6" r="T76"/>
  <c i="6" r="S76"/>
  <c i="6" r="R76" s="1"/>
  <c i="6" r="U75"/>
  <c i="6" r="T75"/>
  <c i="6" r="S75"/>
  <c i="6" r="R75" s="1"/>
  <c i="6" r="U74"/>
  <c i="6" r="T74"/>
  <c i="6" r="S74"/>
  <c i="6" r="R74" s="1"/>
  <c i="6" r="U73"/>
  <c i="6" r="T73"/>
  <c i="6" r="S73"/>
  <c i="6" r="R73" s="1"/>
  <c i="6" r="U72"/>
  <c i="6" r="T72"/>
  <c i="6" r="S72"/>
  <c i="6" r="R72" s="1"/>
  <c i="6" r="U71"/>
  <c i="6" r="T71"/>
  <c i="6" r="S71"/>
  <c i="6" r="R71" s="1"/>
  <c i="6" r="U70"/>
  <c i="6" r="T70"/>
  <c i="6" r="S70"/>
  <c i="6" r="R70" s="1"/>
  <c i="6" r="U69"/>
  <c i="6" r="T69"/>
  <c i="6" r="S69"/>
  <c i="6" r="R69" s="1"/>
  <c i="6" r="U68"/>
  <c i="6" r="T68"/>
  <c i="6" r="S68"/>
  <c i="6" r="R68" s="1"/>
  <c i="6" r="U67"/>
  <c i="6" r="T67"/>
  <c i="6" r="S67"/>
  <c i="6" r="R67" s="1"/>
  <c i="6" r="U66"/>
  <c i="6" r="T66"/>
  <c i="6" r="S66"/>
  <c i="6" r="R66" s="1"/>
  <c i="6" r="U65"/>
  <c i="6" r="T65"/>
  <c i="6" r="S65"/>
  <c i="6" r="R65" s="1"/>
  <c i="6" r="U64"/>
  <c i="6" r="T64"/>
  <c i="6" r="S64"/>
  <c i="6" r="R64" s="1"/>
  <c i="6" r="U63"/>
  <c i="6" r="T63"/>
  <c i="6" r="S63"/>
  <c i="6" r="R63" s="1"/>
  <c i="6" r="U62"/>
  <c i="6" r="T62"/>
  <c i="6" r="S62"/>
  <c i="6" r="R62" s="1"/>
  <c i="6" r="U61"/>
  <c i="6" r="T61"/>
  <c i="6" r="S61"/>
  <c i="6" r="R61" s="1"/>
  <c i="6" r="U60"/>
  <c i="6" r="T60"/>
  <c i="6" r="S60"/>
  <c i="6" r="R60" s="1"/>
  <c i="6" r="U59"/>
  <c i="6" r="T59"/>
  <c i="6" r="S59"/>
  <c i="6" r="R59" s="1"/>
  <c i="6" r="U58"/>
  <c i="6" r="T58"/>
  <c i="6" r="S58"/>
  <c i="6" r="R58" s="1"/>
  <c i="6" r="U57"/>
  <c i="6" r="T57"/>
  <c i="6" r="S57"/>
  <c i="6" r="R57" s="1"/>
  <c i="6" r="U56"/>
  <c i="6" r="T56"/>
  <c i="6" r="S56"/>
  <c i="6" r="R56" s="1"/>
  <c i="6" r="U55"/>
  <c i="6" r="T55"/>
  <c i="6" r="S55"/>
  <c i="6" r="U54"/>
  <c i="6" r="T54"/>
  <c i="6" r="S54"/>
  <c i="6" r="R54" s="1"/>
  <c i="6" r="U53"/>
  <c i="6" r="T53"/>
  <c i="6" r="S53"/>
  <c i="6" r="U52"/>
  <c i="6" r="T52"/>
  <c i="6" r="S52"/>
  <c i="6" r="R52" s="1"/>
  <c i="6" r="U51"/>
  <c i="6" r="T51"/>
  <c i="6" r="S51"/>
  <c i="6" r="R51" s="1"/>
  <c i="6" r="U50"/>
  <c i="6" r="T50"/>
  <c i="6" r="S50"/>
  <c i="6" r="R50" s="1"/>
  <c i="6" r="U49"/>
  <c i="6" r="T49"/>
  <c i="6" r="S49"/>
  <c i="6" r="R49" s="1"/>
  <c i="6" r="U48"/>
  <c i="6" r="T48"/>
  <c i="6" r="S48"/>
  <c i="6" r="R48" s="1"/>
  <c i="6" r="U47"/>
  <c i="6" r="T47"/>
  <c i="6" r="S47"/>
  <c i="6" r="U46"/>
  <c i="6" r="T46"/>
  <c i="6" r="S46"/>
  <c i="6" r="U45"/>
  <c i="6" r="T45"/>
  <c i="6" r="S45"/>
  <c i="6" r="R45" s="1"/>
  <c i="6" r="U44"/>
  <c i="6" r="T44"/>
  <c i="6" r="S44"/>
  <c i="6" r="R44" s="1"/>
  <c i="6" r="U43"/>
  <c i="6" r="T43"/>
  <c i="6" r="S43"/>
  <c i="6" r="R43" s="1"/>
  <c i="6" r="U42"/>
  <c i="6" r="T42"/>
  <c i="6" r="S42"/>
  <c i="6" r="R42" s="1"/>
  <c i="6" r="U41"/>
  <c i="6" r="T41"/>
  <c i="6" r="S41"/>
  <c i="6" r="R41" s="1"/>
  <c i="6" r="U40"/>
  <c i="6" r="T40"/>
  <c i="6" r="S40"/>
  <c i="6" r="W40" s="1"/>
  <c i="6" r="U39"/>
  <c i="6" r="T39"/>
  <c i="6" r="S39"/>
  <c i="6" r="R39" s="1"/>
  <c i="6" r="U38"/>
  <c i="6" r="T38"/>
  <c i="6" r="S38"/>
  <c i="6" r="R38" s="1"/>
  <c i="6" r="U37"/>
  <c i="6" r="T37"/>
  <c i="6" r="S37"/>
  <c i="6" r="R37" s="1"/>
  <c i="6" r="U36"/>
  <c i="6" r="T36"/>
  <c i="6" r="S36"/>
  <c i="6" r="R36" s="1"/>
  <c i="6" r="U35"/>
  <c i="6" r="T35"/>
  <c i="6" r="S35"/>
  <c i="6" r="U34"/>
  <c i="6" r="T34"/>
  <c i="6" r="S34"/>
  <c i="6" r="R34" s="1"/>
  <c i="6" r="U33"/>
  <c i="6" r="T33"/>
  <c i="6" r="S33"/>
  <c i="6" r="R33" s="1"/>
  <c i="6" r="U32"/>
  <c i="6" r="T32"/>
  <c i="6" r="S32"/>
  <c i="6" r="R32" s="1"/>
  <c i="6" r="U31"/>
  <c i="6" r="T31"/>
  <c i="6" r="S31"/>
  <c i="6" r="U30"/>
  <c i="6" r="T30"/>
  <c i="6" r="S30"/>
  <c i="6" r="R30" s="1"/>
  <c i="6" r="U29"/>
  <c i="6" r="T29"/>
  <c i="6" r="S29"/>
  <c i="6" r="R29" s="1"/>
  <c i="6" r="U28"/>
  <c i="6" r="T28"/>
  <c i="6" r="S28"/>
  <c i="6" r="U27"/>
  <c i="6" r="T27"/>
  <c i="6" r="S27"/>
  <c i="6" r="R27" s="1"/>
  <c i="6" r="U26"/>
  <c i="6" r="T26"/>
  <c i="6" r="S26"/>
  <c i="6" r="R26" s="1"/>
  <c i="6" r="U25"/>
  <c i="6" r="T25"/>
  <c i="6" r="S25"/>
  <c i="6" r="R25" s="1"/>
  <c i="6" r="U24"/>
  <c i="6" r="T24"/>
  <c i="6" r="S24"/>
  <c i="6" r="R24" s="1"/>
  <c i="6" r="U23"/>
  <c i="6" r="T23"/>
  <c i="6" r="S23"/>
  <c i="6" r="U22"/>
  <c i="6" r="T22"/>
  <c i="6" r="S22"/>
  <c i="6" r="R22" s="1"/>
  <c i="6" r="U21"/>
  <c i="6" r="T21"/>
  <c i="6" r="S21"/>
  <c i="6" r="U20"/>
  <c i="6" r="T20"/>
  <c i="6" r="S20"/>
  <c i="6" r="R20" s="1"/>
  <c i="6" r="U19"/>
  <c i="6" r="T19"/>
  <c i="6" r="S19"/>
  <c i="6" r="R19" s="1"/>
  <c i="6" r="U18"/>
  <c i="6" r="T18"/>
  <c i="6" r="S18"/>
  <c i="6" r="R18" s="1"/>
  <c i="6" r="U17"/>
  <c i="6" r="T17"/>
  <c i="6" r="S17"/>
  <c i="6" r="R17" s="1"/>
  <c i="6" r="U16"/>
  <c i="6" r="T16"/>
  <c i="6" r="S16"/>
  <c i="6" r="R16" s="1"/>
  <c i="6" r="U15"/>
  <c i="6" r="T15"/>
  <c i="6" r="S15"/>
  <c i="6" r="R15" s="1"/>
  <c i="6" r="U14"/>
  <c i="6" r="T14"/>
  <c i="6" r="S14"/>
  <c i="6" r="R14" s="1"/>
  <c i="6" r="U13"/>
  <c i="6" r="T13"/>
  <c i="6" r="S13"/>
  <c i="6" r="R13" s="1"/>
  <c i="6" r="U12"/>
  <c i="6" r="T12"/>
  <c i="6" r="S12"/>
  <c i="6" r="R12" s="1"/>
  <c i="6" r="U11"/>
  <c i="6" r="T11"/>
  <c i="6" r="S11"/>
  <c i="6" r="R11" s="1"/>
  <c i="6" r="U10"/>
  <c i="6" r="T10"/>
  <c i="6" r="S10"/>
  <c i="6" r="U9"/>
  <c i="6" r="T9"/>
  <c i="6" r="S9"/>
  <c i="6" r="R9" s="1"/>
  <c i="6" r="U8"/>
  <c i="6" r="T8"/>
  <c i="6" r="S8"/>
  <c i="6" r="R8" s="1"/>
  <c i="6" r="U7"/>
  <c i="6" r="T7"/>
  <c i="6" r="S7"/>
  <c i="6" r="R7" s="1"/>
  <c i="6" r="U6"/>
  <c i="6" r="T6"/>
  <c i="6" r="S6"/>
  <c i="6" r="R6" s="1"/>
  <c i="6" r="U5"/>
  <c i="6" r="T5"/>
  <c i="6" r="S5"/>
  <c i="6" r="U4"/>
  <c i="6" r="T4"/>
  <c i="6" r="S4"/>
  <c i="6" r="R4" s="1"/>
  <c i="6" r="U3"/>
  <c i="6" r="T3"/>
  <c i="6" r="S3"/>
  <c i="6" r="B36"/>
  <c i="6" r="B46" s="1"/>
  <c i="6" r="B35"/>
  <c i="6" r="B45" s="1"/>
  <c i="6" r="B34"/>
  <c i="6" r="B44" s="1"/>
  <c i="6" r="B33"/>
  <c i="6" r="B43" s="1"/>
  <c i="6" l="1" r="V108"/>
  <c i="6" r="V107"/>
  <c i="6" r="V105"/>
  <c i="6" r="V109"/>
  <c i="6" r="V106"/>
  <c i="6" r="D24"/>
  <c i="6" r="D44" s="1"/>
  <c i="6" r="D23"/>
  <c i="6" r="V75"/>
  <c i="6" r="V36"/>
  <c i="6" r="D25"/>
  <c i="6" r="D45" s="1"/>
  <c i="6" r="D26"/>
  <c i="6" r="D46" s="1"/>
  <c i="6" r="R40"/>
  <c i="6" r="V33"/>
  <c i="6" r="W39"/>
  <c i="6" r="W41"/>
  <c i="6" r="W42"/>
  <c i="6" r="V25"/>
  <c i="6" r="V5"/>
  <c i="6" r="V78"/>
  <c i="6" r="V79"/>
  <c i="6" r="V77"/>
  <c i="6" r="V83"/>
  <c i="6" r="V99"/>
  <c i="6" r="V21"/>
  <c i="6" r="V80"/>
  <c i="6" r="V35"/>
  <c i="6" r="V37"/>
  <c i="6" r="V20"/>
  <c i="6" r="V89"/>
  <c i="6" r="V27"/>
  <c i="6" r="V88"/>
  <c i="6" r="V85"/>
  <c i="6" r="V70"/>
  <c i="6" r="V93"/>
  <c i="6" r="V82"/>
  <c i="6" r="V95"/>
  <c i="6" r="V29"/>
  <c i="6" r="V96"/>
  <c i="6" r="V23"/>
  <c i="6" r="V28"/>
  <c i="6" r="V50"/>
  <c i="6" r="V16"/>
  <c i="6" r="V15"/>
  <c i="6" r="V102"/>
  <c i="6" r="V51"/>
  <c i="6" r="V58"/>
  <c i="6" r="V26"/>
  <c i="6" r="V49"/>
  <c i="6" r="V60"/>
  <c i="6" r="V67"/>
  <c i="6" r="V103"/>
  <c i="6" r="V87"/>
  <c i="6" r="V44"/>
  <c i="6" r="V101"/>
  <c i="6" r="V9"/>
  <c i="6" r="V68"/>
  <c i="6" r="V104"/>
  <c i="6" r="V31"/>
  <c i="6" r="V97"/>
  <c i="6" r="V11"/>
  <c i="6" r="V3"/>
  <c i="6" r="V10"/>
  <c i="6" r="V38"/>
  <c i="6" r="V59"/>
  <c i="6" r="V6"/>
  <c i="6" r="V69"/>
  <c i="6" r="V12"/>
  <c i="6" r="V71"/>
  <c i="6" r="V45"/>
  <c i="6" r="V61"/>
  <c i="6" r="V86"/>
  <c i="6" r="V94"/>
  <c i="6" r="V7"/>
  <c i="6" r="V13"/>
  <c i="6" r="V72"/>
  <c i="6" r="V46"/>
  <c i="6" r="V34"/>
  <c i="6" r="V43"/>
  <c i="6" r="V62"/>
  <c i="6" r="V66"/>
  <c i="6" r="V17"/>
  <c i="6" r="V73"/>
  <c i="6" r="V81"/>
  <c i="6" r="V22"/>
  <c i="6" r="V18"/>
  <c i="6" r="V4"/>
  <c i="6" r="V84"/>
  <c i="6" r="V90"/>
  <c i="6" r="V8"/>
  <c i="6" r="V63"/>
  <c i="6" r="V74"/>
  <c i="6" r="V19"/>
  <c i="6" r="V47"/>
  <c i="6" r="R21"/>
  <c i="6" r="R46"/>
  <c i="6" r="R85"/>
  <c i="6" r="V98"/>
  <c i="6" r="R3"/>
  <c i="6" r="R28"/>
  <c i="6" r="R47"/>
  <c i="6" r="R93"/>
  <c i="6" r="R10"/>
  <c i="6" r="R35"/>
  <c i="6" r="V14"/>
  <c i="6" r="R23"/>
  <c i="6" r="R5"/>
  <c i="6" r="R31"/>
  <c i="6" r="V91"/>
  <c i="6" r="V30"/>
  <c i="6" r="V64"/>
  <c i="6" r="V92"/>
  <c i="6" r="V32"/>
  <c i="6" r="V65"/>
  <c i="6" r="V57"/>
  <c i="6" r="R53"/>
  <c i="6" r="R83"/>
  <c i="6" r="R55"/>
  <c i="6" r="V48"/>
  <c i="6" r="V76"/>
  <c i="6" r="V100"/>
  <c i="6" r="V24"/>
  <c i="6" l="1" r="G7"/>
  <c i="6" r="D7"/>
  <c i="6" r="G6"/>
  <c i="6" r="D6"/>
  <c i="6" r="G5"/>
  <c i="6" r="D5"/>
  <c i="6" r="G4"/>
  <c i="6" r="D4"/>
  <c i="6" l="1" r="G8"/>
  <c i="6" r="G15" s="1"/>
  <c i="6" r="D8"/>
  <c i="6" r="D14" s="1"/>
  <c i="6" l="1" r="G12"/>
  <c i="6" r="G16"/>
  <c i="6" r="G13"/>
  <c i="6" r="D16"/>
  <c i="6" r="D12"/>
  <c i="6" r="I12" s="1"/>
  <c i="6" r="J12" s="1"/>
  <c i="6" r="K12" s="1"/>
  <c i="6" r="D33" s="1"/>
  <c i="6" r="D13"/>
  <c i="6" r="I13" s="1"/>
  <c i="6" r="J13" s="1"/>
  <c i="6" r="G14"/>
  <c i="6" r="I14" s="1"/>
  <c i="6" r="J14" s="1"/>
  <c i="6" r="D15"/>
  <c i="6" r="I15" s="1"/>
  <c i="6" r="J15" s="1"/>
  <c i="6" l="1" r="K14"/>
  <c i="6" r="D35" s="1"/>
  <c i="6" r="V41" s="1"/>
  <c i="6" r="K13"/>
  <c i="6" r="D34" s="1"/>
  <c i="6" r="V40" s="1"/>
  <c i="6" r="K15"/>
  <c i="6" r="D36" s="1"/>
  <c i="6" r="V42" s="1"/>
  <c i="6" r="V54"/>
  <c i="1" r="AC32"/>
  <c i="1" r="AB32"/>
  <c i="1" r="AA32"/>
  <c i="1" r="Z32"/>
  <c i="1" r="Y32"/>
  <c i="1" r="X32"/>
  <c i="1" r="R32"/>
  <c i="1" r="Q32"/>
  <c i="1" r="P32"/>
  <c i="1" r="O32"/>
  <c i="1" r="N32"/>
  <c i="1" r="M32"/>
  <c i="1" r="G32"/>
  <c i="1" r="F32"/>
  <c i="1" r="E32"/>
  <c i="1" r="D32"/>
  <c i="1" r="C32"/>
  <c i="1" r="B32"/>
  <c i="1" r="R19"/>
  <c i="1" r="Q19"/>
  <c i="1" r="P19"/>
  <c i="1" r="O19"/>
  <c i="1" r="N19"/>
  <c i="1" r="M19"/>
  <c i="1" r="G19"/>
  <c i="1" r="F19"/>
  <c i="1" r="E19"/>
  <c i="1" r="D19"/>
  <c i="1" r="C19"/>
  <c i="1" r="B19"/>
  <c i="1" r="R6"/>
  <c i="1" r="Q6"/>
  <c i="1" r="P6"/>
  <c i="1" r="O6"/>
  <c i="1" r="N6"/>
  <c i="1" r="M6"/>
  <c i="1" r="G6"/>
  <c i="1" r="F6"/>
  <c i="1" r="E6"/>
  <c i="1" r="D6"/>
  <c i="1" r="C6"/>
  <c i="1" r="B6"/>
  <c i="1" r="W38"/>
  <c i="1" r="W37"/>
  <c i="1" r="W36"/>
  <c i="1" r="W35"/>
  <c i="1" r="W34"/>
  <c i="1" r="W33"/>
  <c i="1" r="L38"/>
  <c i="1" r="L37"/>
  <c i="1" r="L36"/>
  <c i="1" r="L35"/>
  <c i="1" r="L34"/>
  <c i="1" r="L33"/>
  <c i="1" r="A38"/>
  <c i="1" r="A37"/>
  <c i="1" r="A36"/>
  <c i="1" r="A35"/>
  <c i="1" r="A34"/>
  <c i="1" r="A33"/>
  <c i="1" r="L25"/>
  <c i="1" r="L24"/>
  <c i="1" r="L23"/>
  <c i="1" r="L22"/>
  <c i="1" r="L21"/>
  <c i="1" r="L20"/>
  <c i="1" r="A25"/>
  <c i="1" r="A24"/>
  <c i="1" r="A23"/>
  <c i="1" r="A22"/>
  <c i="1" r="A21"/>
  <c i="1" r="A20"/>
  <c i="1" r="L12"/>
  <c i="1" r="L11"/>
  <c i="1" r="L10"/>
  <c i="1" r="L9"/>
  <c i="1" r="L8"/>
  <c i="1" r="L7"/>
  <c i="6" l="1" r="V55"/>
  <c i="6" r="V56"/>
  <c i="1" r="Q15"/>
  <c i="1" r="Q28" s="1"/>
  <c i="1" r="R15"/>
  <c i="1" r="R28" s="1"/>
  <c i="1" r="U10"/>
  <c i="1" r="U11"/>
  <c i="1" r="U12"/>
  <c i="1" r="F15"/>
  <c i="1" r="G15"/>
  <c i="1" r="J10"/>
  <c i="1" r="J11"/>
  <c i="1" r="J12"/>
  <c i="1" l="1" r="H25"/>
  <c i="1" r="H24"/>
  <c i="1" r="H23"/>
  <c i="1" r="F25"/>
  <c i="1" r="B25"/>
  <c i="1" r="D25"/>
  <c i="1" r="E25"/>
  <c i="1" r="C25"/>
  <c i="1" r="I25"/>
  <c i="1" r="G25"/>
  <c i="1" r="D24"/>
  <c i="1" r="C24"/>
  <c i="1" r="B24"/>
  <c i="1" r="E24"/>
  <c i="1" r="F24"/>
  <c i="1" r="G24"/>
  <c i="1" r="I24"/>
  <c i="1" r="F23"/>
  <c i="1" r="D23"/>
  <c i="1" r="G23"/>
  <c i="1" r="B23"/>
  <c i="1" r="C23"/>
  <c i="1" r="I23"/>
  <c i="1" r="E23"/>
  <c i="1" r="U25"/>
  <c i="1" r="U24"/>
  <c i="1" r="U23"/>
  <c i="1" r="M20"/>
  <c i="1" r="T15"/>
  <c i="1" r="T28" s="1"/>
  <c i="1" r="P15"/>
  <c i="1" r="P28" s="1"/>
  <c i="1" r="O15"/>
  <c i="1" r="O28" s="1"/>
  <c i="1" r="N15"/>
  <c i="1" r="N28" s="1"/>
  <c i="1" r="M15"/>
  <c i="1" r="M28" s="1"/>
  <c i="1" r="I15"/>
  <c i="1" r="E15"/>
  <c i="1" r="D15"/>
  <c i="1" r="C15"/>
  <c i="1" r="B15"/>
  <c i="1" r="U14"/>
  <c i="1" r="J14"/>
  <c i="1" r="U9"/>
  <c i="1" r="J9"/>
  <c i="1" r="U8"/>
  <c i="1" r="J8"/>
  <c i="1" r="U7"/>
  <c i="1" r="J7"/>
  <c i="4" r="F102"/>
  <c i="4" r="G101" s="1"/>
  <c i="4" r="B102"/>
  <c i="4" r="C102" s="1"/>
  <c i="3" r="F102"/>
  <c i="3" r="G102" s="1"/>
  <c i="3" r="B102"/>
  <c i="3" r="C13" s="1"/>
  <c i="6" r="C53" s="1"/>
  <c i="1" l="1" r="H21"/>
  <c i="1" r="H27"/>
  <c i="1" r="H20"/>
  <c i="1" r="H22"/>
  <c i="1" r="I22"/>
  <c i="1" r="B22"/>
  <c i="1" r="C22"/>
  <c i="1" r="D22"/>
  <c i="1" r="E22"/>
  <c i="1" r="F22"/>
  <c i="1" r="G22"/>
  <c i="1" r="E21"/>
  <c i="1" r="F21"/>
  <c i="1" r="G21"/>
  <c i="1" r="I21"/>
  <c i="1" r="B21"/>
  <c i="1" r="D21"/>
  <c i="1" r="C21"/>
  <c i="1" r="U27"/>
  <c i="1" r="B27"/>
  <c i="1" r="I27"/>
  <c i="1" r="C27"/>
  <c i="1" r="F27"/>
  <c i="1" r="E27"/>
  <c i="1" r="G27"/>
  <c i="1" r="D27"/>
  <c i="1" r="D20"/>
  <c i="1" r="E20"/>
  <c i="1" r="C20"/>
  <c i="1" r="F20"/>
  <c i="1" r="G20"/>
  <c i="1" r="I20"/>
  <c i="1" r="B20"/>
  <c i="1" r="J23"/>
  <c i="1" r="J25"/>
  <c i="1" r="J24"/>
  <c i="1" r="U20"/>
  <c i="1" r="U22"/>
  <c i="1" r="U21"/>
  <c i="1" r="J15"/>
  <c i="1" r="U15"/>
  <c i="1" r="U28" s="1"/>
  <c i="4" r="C43"/>
  <c i="4" r="C13"/>
  <c i="4" r="C23"/>
  <c i="4" r="C39"/>
  <c i="4" r="C51"/>
  <c i="4" r="C81"/>
  <c i="4" r="C19"/>
  <c i="4" r="C31"/>
  <c i="4" r="C63"/>
  <c i="4" r="C11"/>
  <c i="4" r="C21"/>
  <c i="4" r="C33"/>
  <c i="4" r="C49"/>
  <c i="4" r="C71"/>
  <c i="4" r="C15"/>
  <c i="4" r="C27"/>
  <c i="4" r="C41"/>
  <c i="4" r="C59"/>
  <c i="4" r="C83"/>
  <c i="4" r="C91"/>
  <c i="4" r="C73"/>
  <c i="4" r="C95"/>
  <c i="4" r="C55"/>
  <c i="4" r="C65"/>
  <c i="4" r="C75"/>
  <c i="4" r="C87"/>
  <c i="4" r="C97"/>
  <c i="4" r="C17"/>
  <c i="4" r="C25"/>
  <c i="4" r="C35"/>
  <c i="4" r="C47"/>
  <c i="4" r="C57"/>
  <c i="4" r="C67"/>
  <c i="4" r="C79"/>
  <c i="4" r="C89"/>
  <c i="4" r="C99"/>
  <c i="4" r="G18"/>
  <c i="4" r="C29"/>
  <c i="4" r="C37"/>
  <c i="4" r="C45"/>
  <c i="4" r="C53"/>
  <c i="4" r="C61"/>
  <c i="4" r="C69"/>
  <c i="4" r="C77"/>
  <c i="4" r="C85"/>
  <c i="4" r="C93"/>
  <c i="4" r="C101"/>
  <c i="4" r="G34"/>
  <c i="4" r="G66"/>
  <c i="4" r="G12"/>
  <c i="4" r="G20"/>
  <c i="4" r="G28"/>
  <c i="4" r="G36"/>
  <c i="4" r="G44"/>
  <c i="4" r="G52"/>
  <c i="4" r="G60"/>
  <c i="4" r="G68"/>
  <c i="4" r="G82"/>
  <c i="4" r="G98"/>
  <c i="4" r="G26"/>
  <c i="4" r="G42"/>
  <c i="4" r="G50"/>
  <c i="4" r="G58"/>
  <c i="4" r="G78"/>
  <c i="4" r="G94"/>
  <c i="4" r="G16"/>
  <c i="4" r="G24"/>
  <c i="4" r="G32"/>
  <c i="4" r="G40"/>
  <c i="4" r="G48"/>
  <c i="4" r="G56"/>
  <c i="4" r="G64"/>
  <c i="4" r="G74"/>
  <c i="4" r="G90"/>
  <c i="4" r="G14"/>
  <c i="4" r="G22"/>
  <c i="4" r="G30"/>
  <c i="4" r="G38"/>
  <c i="4" r="G46"/>
  <c i="4" r="G54"/>
  <c i="4" r="G62"/>
  <c i="4" r="G70"/>
  <c i="4" r="G86"/>
  <c i="4" r="G102"/>
  <c i="4" r="G72"/>
  <c i="4" r="G76"/>
  <c i="4" r="G80"/>
  <c i="4" r="G84"/>
  <c i="4" r="G88"/>
  <c i="4" r="G92"/>
  <c i="4" r="G96"/>
  <c i="4" r="G100"/>
  <c i="3" r="G13"/>
  <c i="6" r="D53" s="1"/>
  <c i="6" r="E53" s="1"/>
  <c i="3" r="G17"/>
  <c i="6" r="D57" s="1"/>
  <c i="3" r="G21"/>
  <c i="6" r="D61" s="1"/>
  <c i="3" r="G25"/>
  <c i="6" r="D65" s="1"/>
  <c i="3" r="G29"/>
  <c i="6" r="D69" s="1"/>
  <c i="3" r="G33"/>
  <c i="6" r="D73" s="1"/>
  <c i="3" r="G37"/>
  <c i="6" r="D77" s="1"/>
  <c i="3" r="G41"/>
  <c i="6" r="D81" s="1"/>
  <c i="3" r="G45"/>
  <c i="6" r="D85" s="1"/>
  <c i="3" r="G49"/>
  <c i="6" r="D89" s="1"/>
  <c i="3" r="G53"/>
  <c i="6" r="D93" s="1"/>
  <c i="3" r="G57"/>
  <c i="6" r="D97" s="1"/>
  <c i="3" r="G61"/>
  <c i="6" r="D101" s="1"/>
  <c i="3" r="G65"/>
  <c i="6" r="D105" s="1"/>
  <c i="3" r="G69"/>
  <c i="6" r="D109" s="1"/>
  <c i="3" r="G73"/>
  <c i="6" r="D113" s="1"/>
  <c i="3" r="G77"/>
  <c i="6" r="D117" s="1"/>
  <c i="3" r="G81"/>
  <c i="6" r="D121" s="1"/>
  <c i="3" r="G85"/>
  <c i="6" r="D125" s="1"/>
  <c i="3" r="G89"/>
  <c i="6" r="D129" s="1"/>
  <c i="3" r="G93"/>
  <c i="6" r="D133" s="1"/>
  <c i="3" r="G97"/>
  <c i="6" r="D137" s="1"/>
  <c i="3" r="G101"/>
  <c i="6" r="D141" s="1"/>
  <c i="3" r="G11"/>
  <c i="6" r="D51" s="1"/>
  <c i="3" r="G15"/>
  <c i="6" r="D55" s="1"/>
  <c i="3" r="G19"/>
  <c i="6" r="D59" s="1"/>
  <c i="3" r="G23"/>
  <c i="6" r="D63" s="1"/>
  <c i="3" r="G27"/>
  <c i="6" r="D67" s="1"/>
  <c i="3" r="G31"/>
  <c i="6" r="D71" s="1"/>
  <c i="3" r="G35"/>
  <c i="6" r="D75" s="1"/>
  <c i="3" r="G39"/>
  <c i="6" r="D79" s="1"/>
  <c i="3" r="G43"/>
  <c i="6" r="D83" s="1"/>
  <c i="3" r="G47"/>
  <c i="6" r="D87" s="1"/>
  <c i="3" r="G51"/>
  <c i="6" r="D91" s="1"/>
  <c i="3" r="G55"/>
  <c i="6" r="D95" s="1"/>
  <c i="3" r="G59"/>
  <c i="6" r="D99" s="1"/>
  <c i="3" r="G63"/>
  <c i="6" r="D103" s="1"/>
  <c i="3" r="G67"/>
  <c i="6" r="D107" s="1"/>
  <c i="3" r="G71"/>
  <c i="6" r="D111" s="1"/>
  <c i="3" r="G75"/>
  <c i="6" r="D115" s="1"/>
  <c i="3" r="G79"/>
  <c i="6" r="D119" s="1"/>
  <c i="3" r="G83"/>
  <c i="6" r="D123" s="1"/>
  <c i="3" r="G87"/>
  <c i="6" r="D127" s="1"/>
  <c i="3" r="G91"/>
  <c i="6" r="D131" s="1"/>
  <c i="3" r="G95"/>
  <c i="6" r="D135" s="1"/>
  <c i="3" r="G99"/>
  <c i="6" r="D139" s="1"/>
  <c i="4" r="G11"/>
  <c i="4" r="G13"/>
  <c i="4" r="G15"/>
  <c i="4" r="G17"/>
  <c i="4" r="G19"/>
  <c i="4" r="G21"/>
  <c i="4" r="G23"/>
  <c i="4" r="G25"/>
  <c i="4" r="G27"/>
  <c i="4" r="G29"/>
  <c i="4" r="G31"/>
  <c i="4" r="G33"/>
  <c i="4" r="G35"/>
  <c i="4" r="G37"/>
  <c i="4" r="G39"/>
  <c i="4" r="G41"/>
  <c i="4" r="G43"/>
  <c i="4" r="G45"/>
  <c i="4" r="G47"/>
  <c i="4" r="G49"/>
  <c i="4" r="G51"/>
  <c i="4" r="G53"/>
  <c i="4" r="G55"/>
  <c i="4" r="G57"/>
  <c i="4" r="G59"/>
  <c i="4" r="G61"/>
  <c i="4" r="G63"/>
  <c i="4" r="G65"/>
  <c i="4" r="G67"/>
  <c i="4" r="G69"/>
  <c i="4" r="G71"/>
  <c i="4" r="G73"/>
  <c i="4" r="G75"/>
  <c i="4" r="G77"/>
  <c i="4" r="G79"/>
  <c i="4" r="G81"/>
  <c i="4" r="G83"/>
  <c i="4" r="G85"/>
  <c i="4" r="G87"/>
  <c i="4" r="G89"/>
  <c i="4" r="G91"/>
  <c i="4" r="G93"/>
  <c i="4" r="G95"/>
  <c i="4" r="G97"/>
  <c i="4" r="G99"/>
  <c i="4" r="C12"/>
  <c i="4" r="C14"/>
  <c i="4" r="C16"/>
  <c i="4" r="C18"/>
  <c i="4" r="C20"/>
  <c i="4" r="C22"/>
  <c i="4" r="C24"/>
  <c i="4" r="C26"/>
  <c i="4" r="C28"/>
  <c i="4" r="C30"/>
  <c i="4" r="C32"/>
  <c i="4" r="C34"/>
  <c i="4" r="C36"/>
  <c i="4" r="C38"/>
  <c i="4" r="C40"/>
  <c i="4" r="C42"/>
  <c i="4" r="C44"/>
  <c i="4" r="C46"/>
  <c i="4" r="C48"/>
  <c i="4" r="C50"/>
  <c i="4" r="C52"/>
  <c i="4" r="C54"/>
  <c i="4" r="C56"/>
  <c i="4" r="C58"/>
  <c i="4" r="C60"/>
  <c i="4" r="C62"/>
  <c i="4" r="C64"/>
  <c i="4" r="C66"/>
  <c i="4" r="C68"/>
  <c i="4" r="C70"/>
  <c i="4" r="C72"/>
  <c i="4" r="C74"/>
  <c i="4" r="C76"/>
  <c i="4" r="C78"/>
  <c i="4" r="C80"/>
  <c i="4" r="C82"/>
  <c i="4" r="C84"/>
  <c i="4" r="C86"/>
  <c i="4" r="C88"/>
  <c i="4" r="C90"/>
  <c i="4" r="C92"/>
  <c i="4" r="C94"/>
  <c i="4" r="C96"/>
  <c i="4" r="C98"/>
  <c i="4" r="C100"/>
  <c i="3" r="C102"/>
  <c i="3" r="C98"/>
  <c i="6" r="C138" s="1"/>
  <c i="6" r="E138" s="1"/>
  <c i="3" r="C94"/>
  <c i="6" r="C134" s="1"/>
  <c i="6" r="E134" s="1"/>
  <c i="3" r="C92"/>
  <c i="6" r="C132" s="1"/>
  <c i="3" r="C88"/>
  <c i="6" r="C128" s="1"/>
  <c i="3" r="C84"/>
  <c i="6" r="C124" s="1"/>
  <c i="3" r="C78"/>
  <c i="6" r="C118" s="1"/>
  <c i="3" r="C74"/>
  <c i="6" r="C114" s="1"/>
  <c i="3" r="C66"/>
  <c i="6" r="C106" s="1"/>
  <c i="3" r="C34"/>
  <c i="6" r="C74" s="1"/>
  <c i="3" r="C11"/>
  <c i="6" r="C51" s="1"/>
  <c i="3" r="C100"/>
  <c i="6" r="C140" s="1"/>
  <c i="3" r="C96"/>
  <c i="6" r="C136" s="1"/>
  <c i="3" r="C90"/>
  <c i="6" r="C130" s="1"/>
  <c i="3" r="C86"/>
  <c i="6" r="C126" s="1"/>
  <c i="3" r="C82"/>
  <c i="6" r="C122" s="1"/>
  <c i="3" r="C80"/>
  <c i="6" r="C120" s="1"/>
  <c i="3" r="C76"/>
  <c i="6" r="C116" s="1"/>
  <c i="3" r="C72"/>
  <c i="6" r="C112" s="1"/>
  <c i="3" r="C70"/>
  <c i="6" r="C110" s="1"/>
  <c i="3" r="C68"/>
  <c i="6" r="C108" s="1"/>
  <c i="3" r="C64"/>
  <c i="6" r="C104" s="1"/>
  <c i="3" r="C62"/>
  <c i="6" r="C102" s="1"/>
  <c i="3" r="C60"/>
  <c i="6" r="C100" s="1"/>
  <c i="3" r="C58"/>
  <c i="6" r="C98" s="1"/>
  <c i="3" r="C56"/>
  <c i="6" r="C96" s="1"/>
  <c i="3" r="C54"/>
  <c i="6" r="C94" s="1"/>
  <c i="3" r="C52"/>
  <c i="6" r="C92" s="1"/>
  <c i="3" r="C50"/>
  <c i="6" r="C90" s="1"/>
  <c i="3" r="C48"/>
  <c i="6" r="C88" s="1"/>
  <c i="3" r="C46"/>
  <c i="6" r="C86" s="1"/>
  <c i="3" r="C44"/>
  <c i="6" r="C84" s="1"/>
  <c i="3" r="C42"/>
  <c i="6" r="C82" s="1"/>
  <c i="3" r="C40"/>
  <c i="6" r="C80" s="1"/>
  <c i="3" r="C38"/>
  <c i="6" r="C78" s="1"/>
  <c i="3" r="C36"/>
  <c i="6" r="C76" s="1"/>
  <c i="3" r="C32"/>
  <c i="6" r="C72" s="1"/>
  <c i="3" r="C30"/>
  <c i="6" r="C70" s="1"/>
  <c i="3" r="C28"/>
  <c i="6" r="C68" s="1"/>
  <c i="3" r="C26"/>
  <c i="6" r="C66" s="1"/>
  <c i="3" r="C24"/>
  <c i="6" r="C64" s="1"/>
  <c i="3" r="C22"/>
  <c i="6" r="C62" s="1"/>
  <c i="3" r="C20"/>
  <c i="6" r="C60" s="1"/>
  <c i="3" r="C18"/>
  <c i="6" r="C58" s="1"/>
  <c i="3" r="C16"/>
  <c i="6" r="C56" s="1"/>
  <c i="3" r="C14"/>
  <c i="6" r="C54" s="1"/>
  <c i="3" r="C12"/>
  <c i="6" r="C52" s="1"/>
  <c i="3" r="C101"/>
  <c i="6" r="C141" s="1"/>
  <c i="6" r="E141" s="1"/>
  <c i="3" r="C99"/>
  <c i="6" r="C139" s="1"/>
  <c i="3" r="C97"/>
  <c i="6" r="C137" s="1"/>
  <c i="3" r="C95"/>
  <c i="6" r="C135" s="1"/>
  <c i="3" r="C93"/>
  <c i="6" r="C133" s="1"/>
  <c i="3" r="C91"/>
  <c i="6" r="C131" s="1"/>
  <c i="3" r="C89"/>
  <c i="6" r="C129" s="1"/>
  <c i="3" r="C87"/>
  <c i="6" r="C127" s="1"/>
  <c i="3" r="C85"/>
  <c i="6" r="C125" s="1"/>
  <c i="3" r="C83"/>
  <c i="6" r="C123" s="1"/>
  <c i="3" r="C81"/>
  <c i="6" r="C121" s="1"/>
  <c i="3" r="C79"/>
  <c i="6" r="C119" s="1"/>
  <c i="3" r="C77"/>
  <c i="6" r="C117" s="1"/>
  <c i="3" r="C75"/>
  <c i="6" r="C115" s="1"/>
  <c i="3" r="C73"/>
  <c i="6" r="C113" s="1"/>
  <c i="3" r="C71"/>
  <c i="6" r="C111" s="1"/>
  <c i="3" r="C69"/>
  <c i="6" r="C109" s="1"/>
  <c i="3" r="C67"/>
  <c i="6" r="C107" s="1"/>
  <c i="3" r="C65"/>
  <c i="6" r="C105" s="1"/>
  <c i="3" r="C63"/>
  <c i="6" r="C103" s="1"/>
  <c i="6" r="E103" s="1"/>
  <c i="3" r="C61"/>
  <c i="6" r="C101" s="1"/>
  <c i="3" r="C59"/>
  <c i="6" r="C99" s="1"/>
  <c i="6" r="E99" s="1"/>
  <c i="3" r="C57"/>
  <c i="6" r="C97" s="1"/>
  <c i="3" r="C55"/>
  <c i="6" r="C95" s="1"/>
  <c i="6" r="E95" s="1"/>
  <c i="3" r="C53"/>
  <c i="6" r="C93" s="1"/>
  <c i="3" r="C51"/>
  <c i="6" r="C91" s="1"/>
  <c i="6" r="E91" s="1"/>
  <c i="3" r="C49"/>
  <c i="6" r="C89" s="1"/>
  <c i="3" r="C47"/>
  <c i="6" r="C87" s="1"/>
  <c i="6" r="E87" s="1"/>
  <c i="3" r="C45"/>
  <c i="6" r="C85" s="1"/>
  <c i="6" r="E85" s="1"/>
  <c i="3" r="C43"/>
  <c i="6" r="C83" s="1"/>
  <c i="6" r="E83" s="1"/>
  <c i="3" r="C41"/>
  <c i="6" r="C81" s="1"/>
  <c i="6" r="E81" s="1"/>
  <c i="3" r="C39"/>
  <c i="6" r="C79" s="1"/>
  <c i="3" r="C37"/>
  <c i="6" r="C77" s="1"/>
  <c i="6" r="E77" s="1"/>
  <c i="3" r="C35"/>
  <c i="6" r="C75" s="1"/>
  <c i="6" r="E75" s="1"/>
  <c i="3" r="C33"/>
  <c i="6" r="C73" s="1"/>
  <c i="6" r="E73" s="1"/>
  <c i="3" r="C31"/>
  <c i="6" r="C71" s="1"/>
  <c i="6" r="E71" s="1"/>
  <c i="3" r="C29"/>
  <c i="6" r="C69" s="1"/>
  <c i="6" r="E69" s="1"/>
  <c i="3" r="C27"/>
  <c i="6" r="C67" s="1"/>
  <c i="6" r="E67" s="1"/>
  <c i="3" r="C25"/>
  <c i="6" r="C65" s="1"/>
  <c i="6" r="E65" s="1"/>
  <c i="3" r="C23"/>
  <c i="6" r="C63" s="1"/>
  <c i="6" r="E63" s="1"/>
  <c i="3" r="C21"/>
  <c i="6" r="C61" s="1"/>
  <c i="6" r="E61" s="1"/>
  <c i="3" r="C19"/>
  <c i="6" r="C59" s="1"/>
  <c i="6" r="E59" s="1"/>
  <c i="3" r="C17"/>
  <c i="6" r="C57" s="1"/>
  <c i="3" r="C15"/>
  <c i="6" r="C55" s="1"/>
  <c i="6" r="E55" s="1"/>
  <c i="3" r="G12"/>
  <c i="6" r="D52" s="1"/>
  <c i="3" r="G14"/>
  <c i="6" r="D54" s="1"/>
  <c i="3" r="G16"/>
  <c i="6" r="D56" s="1"/>
  <c i="3" r="G18"/>
  <c i="6" r="D58" s="1"/>
  <c i="3" r="G20"/>
  <c i="6" r="D60" s="1"/>
  <c i="3" r="G22"/>
  <c i="6" r="D62" s="1"/>
  <c i="3" r="G24"/>
  <c i="6" r="D64" s="1"/>
  <c i="3" r="G26"/>
  <c i="6" r="D66" s="1"/>
  <c i="3" r="G28"/>
  <c i="6" r="D68" s="1"/>
  <c i="3" r="G30"/>
  <c i="6" r="D70" s="1"/>
  <c i="3" r="G32"/>
  <c i="6" r="D72" s="1"/>
  <c i="3" r="G34"/>
  <c i="6" r="D74" s="1"/>
  <c i="3" r="G36"/>
  <c i="6" r="D76" s="1"/>
  <c i="3" r="G38"/>
  <c i="6" r="D78" s="1"/>
  <c i="3" r="G40"/>
  <c i="6" r="D80" s="1"/>
  <c i="3" r="G42"/>
  <c i="6" r="D82" s="1"/>
  <c i="3" r="G44"/>
  <c i="6" r="D84" s="1"/>
  <c i="3" r="G46"/>
  <c i="6" r="D86" s="1"/>
  <c i="3" r="G48"/>
  <c i="6" r="D88" s="1"/>
  <c i="3" r="G50"/>
  <c i="6" r="D90" s="1"/>
  <c i="3" r="G52"/>
  <c i="6" r="D92" s="1"/>
  <c i="3" r="G54"/>
  <c i="6" r="D94" s="1"/>
  <c i="3" r="G56"/>
  <c i="6" r="D96" s="1"/>
  <c i="3" r="G58"/>
  <c i="6" r="D98" s="1"/>
  <c i="3" r="G60"/>
  <c i="6" r="D100" s="1"/>
  <c i="3" r="G62"/>
  <c i="6" r="D102" s="1"/>
  <c i="3" r="G64"/>
  <c i="6" r="D104" s="1"/>
  <c i="3" r="G66"/>
  <c i="6" r="D106" s="1"/>
  <c i="3" r="G68"/>
  <c i="6" r="D108" s="1"/>
  <c i="3" r="G70"/>
  <c i="6" r="D110" s="1"/>
  <c i="3" r="G72"/>
  <c i="6" r="D112" s="1"/>
  <c i="3" r="G74"/>
  <c i="6" r="D114" s="1"/>
  <c i="3" r="G76"/>
  <c i="6" r="D116" s="1"/>
  <c i="3" r="G78"/>
  <c i="6" r="D118" s="1"/>
  <c i="3" r="G80"/>
  <c i="6" r="D120" s="1"/>
  <c i="3" r="G82"/>
  <c i="6" r="D122" s="1"/>
  <c i="3" r="G84"/>
  <c i="6" r="D124" s="1"/>
  <c i="3" r="G86"/>
  <c i="6" r="D126" s="1"/>
  <c i="3" r="G88"/>
  <c i="6" r="D128" s="1"/>
  <c i="3" r="G90"/>
  <c i="6" r="D130" s="1"/>
  <c i="3" r="G92"/>
  <c i="6" r="D132" s="1"/>
  <c i="3" r="G94"/>
  <c i="6" r="D134" s="1"/>
  <c i="3" r="G96"/>
  <c i="6" r="D136" s="1"/>
  <c i="3" r="G98"/>
  <c i="6" r="D138" s="1"/>
  <c i="3" r="G100"/>
  <c i="6" r="D140" s="1"/>
  <c i="1" l="1" r="M39"/>
  <c i="1" r="Q39"/>
  <c i="1" r="P39"/>
  <c i="1" r="R39"/>
  <c i="1" r="S36"/>
  <c i="1" r="S38"/>
  <c i="1" r="S41"/>
  <c i="1" r="T39"/>
  <c i="1" r="O39"/>
  <c i="1" r="S33"/>
  <c i="1" r="S37"/>
  <c i="1" r="S39"/>
  <c i="1" r="S35"/>
  <c i="1" r="N39"/>
  <c i="1" r="S40"/>
  <c i="1" r="S34"/>
  <c i="1" r="U39"/>
  <c i="6" r="E51"/>
  <c i="6" r="H50" s="1"/>
  <c i="6" r="D43" s="1"/>
  <c i="6" r="V39" s="1"/>
  <c i="6" r="E57"/>
  <c i="6" r="E137"/>
  <c i="6" r="E139"/>
  <c i="6" r="E128"/>
  <c i="6" r="E132"/>
  <c i="6" r="E93"/>
  <c i="6" r="E105"/>
  <c i="6" r="E98"/>
  <c i="6" r="E101"/>
  <c i="6" r="E94"/>
  <c i="6" r="E97"/>
  <c i="6" r="E109"/>
  <c i="6" r="E96"/>
  <c i="6" r="E92"/>
  <c i="6" r="E90"/>
  <c i="6" r="E122"/>
  <c i="1" r="H28"/>
  <c i="6" r="E89"/>
  <c i="6" r="E131"/>
  <c i="1" r="U40"/>
  <c i="1" r="O38"/>
  <c i="1" r="Q34"/>
  <c i="1" r="T33"/>
  <c i="1" r="O35"/>
  <c i="1" r="N36"/>
  <c i="1" r="T36"/>
  <c i="1" r="P38"/>
  <c i="1" r="O34"/>
  <c i="1" r="R34"/>
  <c i="1" r="P37"/>
  <c i="1" r="T37"/>
  <c i="1" r="Q38"/>
  <c i="1" r="M34"/>
  <c i="1" r="N33"/>
  <c i="1" r="P33"/>
  <c i="1" r="Q37"/>
  <c i="1" r="M38"/>
  <c i="1" r="R38"/>
  <c i="1" r="T34"/>
  <c i="1" r="N35"/>
  <c i="1" r="Q35"/>
  <c i="1" r="T38"/>
  <c i="1" r="R40"/>
  <c i="1" r="T40"/>
  <c i="1" r="O33"/>
  <c i="1" r="R35"/>
  <c i="1" r="P36"/>
  <c i="1" r="M40"/>
  <c i="1" r="T35"/>
  <c i="1" r="N40"/>
  <c i="1" r="R33"/>
  <c i="1" r="M33"/>
  <c i="1" r="R36"/>
  <c i="1" r="O37"/>
  <c i="1" r="R37"/>
  <c i="1" r="O40"/>
  <c i="1" r="Q33"/>
  <c i="1" r="M36"/>
  <c i="1" r="P40"/>
  <c i="1" r="N34"/>
  <c i="1" r="M35"/>
  <c i="1" r="P35"/>
  <c i="1" r="O36"/>
  <c i="1" r="Q40"/>
  <c i="1" r="P34"/>
  <c i="1" r="Q36"/>
  <c i="1" r="N38"/>
  <c i="1" r="N37"/>
  <c i="1" r="M37"/>
  <c i="6" r="E107"/>
  <c i="6" r="E78"/>
  <c i="6" r="E113"/>
  <c i="6" r="E79"/>
  <c i="6" r="E52"/>
  <c i="6" r="E120"/>
  <c i="6" r="E111"/>
  <c i="6" r="E115"/>
  <c i="6" r="E72"/>
  <c i="6" r="E135"/>
  <c i="6" r="E133"/>
  <c i="6" r="E100"/>
  <c i="6" r="E102"/>
  <c i="6" r="E54"/>
  <c i="6" r="E104"/>
  <c i="6" r="E56"/>
  <c i="6" r="E108"/>
  <c i="6" r="E58"/>
  <c i="6" r="E110"/>
  <c i="6" r="E60"/>
  <c i="6" r="E112"/>
  <c i="6" r="E62"/>
  <c i="6" r="E116"/>
  <c i="6" r="E64"/>
  <c i="6" r="E66"/>
  <c i="6" r="E68"/>
  <c i="6" r="E126"/>
  <c i="6" r="E70"/>
  <c i="6" r="E130"/>
  <c i="6" r="E136"/>
  <c i="6" r="E117"/>
  <c i="6" r="E76"/>
  <c i="6" r="E140"/>
  <c i="6" r="E121"/>
  <c i="6" r="E80"/>
  <c i="6" r="E74"/>
  <c i="6" r="E123"/>
  <c i="6" r="E82"/>
  <c i="6" r="E106"/>
  <c i="6" r="E119"/>
  <c i="6" r="E125"/>
  <c i="6" r="E84"/>
  <c i="6" r="E114"/>
  <c i="6" r="E127"/>
  <c i="6" r="E86"/>
  <c i="6" r="E118"/>
  <c i="6" r="E129"/>
  <c i="6" r="E88"/>
  <c i="6" r="E124"/>
  <c i="1" r="F28"/>
  <c i="1" r="G28"/>
  <c i="1" r="J27"/>
  <c i="1" r="U35"/>
  <c i="1" r="Q41"/>
  <c i="1" r="R41"/>
  <c i="1" r="I28"/>
  <c i="1" r="J21"/>
  <c i="1" r="N41"/>
  <c i="1" r="U34"/>
  <c i="1" r="J22"/>
  <c i="1" r="D28"/>
  <c i="1" r="U41"/>
  <c i="1" r="T41"/>
  <c i="1" r="U37"/>
  <c i="1" r="U38"/>
  <c i="1" r="E28"/>
  <c i="1" r="B28"/>
  <c i="1" r="J20"/>
  <c i="1" r="C28"/>
  <c i="1" r="U33"/>
  <c i="1" r="U36"/>
  <c i="1" r="P41"/>
  <c i="1" r="O41"/>
  <c i="1" r="M41"/>
  <c i="1" l="1" r="J28"/>
  <c i="1" l="1" r="F39"/>
  <c i="1" r="AB39" s="1"/>
  <c i="1" r="I39"/>
  <c i="1" r="AE39" s="1"/>
  <c i="1" r="B39"/>
  <c i="1" r="X39" s="1"/>
  <c i="1" r="D39"/>
  <c i="1" r="Z39" s="1"/>
  <c i="1" r="E39"/>
  <c i="1" r="AA39" s="1"/>
  <c i="1" r="H39"/>
  <c i="1" r="AD39" s="1"/>
  <c i="1" r="C39"/>
  <c i="1" r="Y39" s="1"/>
  <c i="1" r="G39"/>
  <c i="1" r="AC39" s="1"/>
  <c i="1" r="J39"/>
  <c i="1" r="AF39" s="1"/>
  <c i="1" r="H36"/>
  <c i="1" r="AD36" s="1"/>
  <c i="1" r="H37"/>
  <c i="1" r="AD37" s="1"/>
  <c i="1" r="H38"/>
  <c i="1" r="AD38" s="1"/>
  <c i="1" r="H35"/>
  <c i="1" r="AD35" s="1"/>
  <c i="1" r="H33"/>
  <c i="1" r="AD33" s="1"/>
  <c i="1" r="H40"/>
  <c i="1" r="AD40" s="1"/>
  <c i="1" r="H34"/>
  <c i="1" r="AD34" s="1"/>
  <c i="1" r="H41"/>
  <c i="1" r="AD41" s="1"/>
  <c i="1" r="D38"/>
  <c i="1" r="Z38" s="1"/>
  <c i="1" r="F37"/>
  <c i="1" r="AB37" s="1"/>
  <c i="1" r="C37"/>
  <c i="1" r="Y37" s="1"/>
  <c i="1" r="C38"/>
  <c i="1" r="Y38" s="1"/>
  <c i="1" r="E38"/>
  <c i="1" r="AA38" s="1"/>
  <c i="1" r="B36"/>
  <c i="1" r="X36" s="1"/>
  <c i="1" r="I37"/>
  <c i="1" r="AE37" s="1"/>
  <c i="1" r="I36"/>
  <c i="1" r="AE36" s="1"/>
  <c i="1" r="I38"/>
  <c i="1" r="AE38" s="1"/>
  <c i="1" r="B38"/>
  <c i="1" r="X38" s="1"/>
  <c i="1" r="F38"/>
  <c i="1" r="AB38" s="1"/>
  <c i="1" r="G37"/>
  <c i="1" r="AC37" s="1"/>
  <c i="1" r="D37"/>
  <c i="1" r="Z37" s="1"/>
  <c i="1" r="B37"/>
  <c i="1" r="X37" s="1"/>
  <c i="1" r="G38"/>
  <c i="1" r="AC38" s="1"/>
  <c i="1" r="G36"/>
  <c i="1" r="AC36" s="1"/>
  <c i="1" r="E37"/>
  <c i="1" r="AA37" s="1"/>
  <c i="1" r="E36"/>
  <c i="1" r="AA36" s="1"/>
  <c i="1" r="D36"/>
  <c i="1" r="Z36" s="1"/>
  <c i="1" r="C36"/>
  <c i="1" r="Y36" s="1"/>
  <c i="1" r="F36"/>
  <c i="1" r="AB36" s="1"/>
  <c i="1" r="I40"/>
  <c i="1" r="AE40" s="1"/>
  <c i="1" r="C34"/>
  <c i="1" r="Y34" s="1"/>
  <c i="1" r="G34"/>
  <c i="1" r="AC34" s="1"/>
  <c i="1" r="E34"/>
  <c i="1" r="AA34" s="1"/>
  <c i="1" r="F40"/>
  <c i="1" r="AB40" s="1"/>
  <c i="1" r="G40"/>
  <c i="1" r="AC40" s="1"/>
  <c i="1" r="I33"/>
  <c i="1" r="AE33" s="1"/>
  <c i="1" r="F35"/>
  <c i="1" r="AB35" s="1"/>
  <c i="1" r="C33"/>
  <c i="1" r="Y33" s="1"/>
  <c i="1" r="B35"/>
  <c i="1" r="X35" s="1"/>
  <c i="1" r="F34"/>
  <c i="1" r="AB34" s="1"/>
  <c i="1" r="F33"/>
  <c i="1" r="AB33" s="1"/>
  <c i="1" r="C35"/>
  <c i="1" r="Y35" s="1"/>
  <c i="1" r="D34"/>
  <c i="1" r="Z34" s="1"/>
  <c i="1" r="G33"/>
  <c i="1" r="AC33" s="1"/>
  <c i="1" r="D35"/>
  <c i="1" r="Z35" s="1"/>
  <c i="1" r="D33"/>
  <c i="1" r="Z33" s="1"/>
  <c i="1" r="D40"/>
  <c i="1" r="Z40" s="1"/>
  <c i="1" r="B34"/>
  <c i="1" r="X34" s="1"/>
  <c i="1" r="G35"/>
  <c i="1" r="AC35" s="1"/>
  <c i="1" r="E35"/>
  <c i="1" r="AA35" s="1"/>
  <c i="1" r="B40"/>
  <c i="1" r="X40" s="1"/>
  <c i="1" r="I34"/>
  <c i="1" r="AE34" s="1"/>
  <c i="1" r="I35"/>
  <c i="1" r="AE35" s="1"/>
  <c i="1" r="B33"/>
  <c i="1" r="E40"/>
  <c i="1" r="AA40" s="1"/>
  <c i="1" r="C40"/>
  <c i="1" r="Y40" s="1"/>
  <c i="1" r="E33"/>
  <c i="1" r="AA33" s="1"/>
  <c i="1" r="J40"/>
  <c i="1" r="AF40" s="1"/>
  <c i="1" r="J35"/>
  <c i="1" r="AF35" s="1"/>
  <c i="1" r="G41"/>
  <c i="1" r="AC41" s="1"/>
  <c i="1" r="F41"/>
  <c i="1" r="AB41" s="1"/>
  <c i="1" r="B41"/>
  <c i="1" r="X41" s="1"/>
  <c i="1" r="C41"/>
  <c i="1" r="Y41" s="1"/>
  <c i="1" r="J41"/>
  <c i="1" r="AF41" s="1"/>
  <c i="1" r="J38"/>
  <c i="1" r="AF38" s="1"/>
  <c i="1" r="J36"/>
  <c i="1" r="AF36" s="1"/>
  <c i="1" r="I41"/>
  <c i="1" r="AE41" s="1"/>
  <c i="1" r="J37"/>
  <c i="1" r="AF37" s="1"/>
  <c i="1" r="J34"/>
  <c i="1" r="AF34" s="1"/>
  <c i="1" r="X33"/>
  <c i="1" r="J33"/>
  <c i="1" r="AF33" s="1"/>
  <c i="1" r="E41"/>
  <c i="1" r="AA41" s="1"/>
  <c i="1" r="D41"/>
  <c i="1" r="Z41" s="1"/>
  <c i="6" l="1" r="V52"/>
  <c i="6" r="V53"/>
</calcChain>
</file>

<file path=xl/sharedStrings.xml><?xml version="1.0" encoding="utf-8"?>
<sst xmlns="http://schemas.openxmlformats.org/spreadsheetml/2006/main" count="818" uniqueCount="322">
  <si>
    <t>Trip Duration Frequency Distribution</t>
  </si>
  <si>
    <t>Trip Length Frequency Distribution</t>
  </si>
  <si>
    <t>County-level Commuter Flows</t>
  </si>
  <si>
    <t>Distance (mi)</t>
  </si>
  <si>
    <t>Total</t>
  </si>
  <si>
    <t>Frequency of trips by 1-mile increment</t>
  </si>
  <si>
    <t>Distance values reflect low end of each range (ie. 0 refers to 0-1 miles)</t>
  </si>
  <si>
    <t>Frequency of trips by 1-minute increment</t>
  </si>
  <si>
    <t>Distance values reflect low end of each range (ie. 0 refers to 0-1 minutes)</t>
  </si>
  <si>
    <t>Model coefficients are segmented by HH income and person type, but most distance measures segmented only by person type, FT/PT status may not be available in Census</t>
  </si>
  <si>
    <t>Table X. Estimated Trip Lengths</t>
  </si>
  <si>
    <t>Table X. Estimated Trip Durations</t>
  </si>
  <si>
    <t>O/D</t>
  </si>
  <si>
    <t>Outside</t>
  </si>
  <si>
    <t>We may want to scale the observed distribution(s), Depending on how well matches (or doesn't match) synthetic population</t>
  </si>
  <si>
    <t>Time (min)</t>
  </si>
  <si>
    <t>DaySim</t>
  </si>
  <si>
    <t>Table X. Average Trip Length</t>
  </si>
  <si>
    <t>Table X. Average Trip Duration</t>
  </si>
  <si>
    <t>Steps for generating tour distance and time distributions</t>
  </si>
  <si>
    <t>AM</t>
  </si>
  <si>
    <t>600-859</t>
  </si>
  <si>
    <t>MD</t>
  </si>
  <si>
    <t>900-1529</t>
  </si>
  <si>
    <t>PM</t>
  </si>
  <si>
    <t>1530-1829</t>
  </si>
  <si>
    <t>EV</t>
  </si>
  <si>
    <t>1830-559</t>
  </si>
  <si>
    <t>Corresponding auto skims (distance and time) were merged in for each tour half using origin-destination TAZs and time period</t>
  </si>
  <si>
    <t>Total tour times and distances were calculated as the sum of those of the two tour halves</t>
  </si>
  <si>
    <t>Frequency distributions of tour times and distances were generated for non-mandatory tour purposes (Escort, Personal Business, Shopping, SocRec, Meal and Wrk-based)</t>
  </si>
  <si>
    <t>Distributions for work-based tours were generated separately based on three worker classes</t>
  </si>
  <si>
    <t>All work-based tour purposes were included in these distributions</t>
  </si>
  <si>
    <t>Table X. Estimated ShoppingTour Flows by County: DaySim</t>
  </si>
  <si>
    <t>Table X. Estimated Shopping Tour Flows by County: DaySim</t>
  </si>
  <si>
    <t>Table X. Observed Trip Durations: Survey</t>
  </si>
  <si>
    <t>Survey</t>
  </si>
  <si>
    <t>Table X. Observed Trip Lengths: Survey</t>
  </si>
  <si>
    <t>Table X. Observed Shopping Tour Flows by County: Survey</t>
  </si>
  <si>
    <t>Table X. Adjusted Observed Shopping Tour Flows by County: Survey</t>
  </si>
  <si>
    <t>Table X. Adjusted Shopping Business Tour Flows by County: Survey</t>
  </si>
  <si>
    <t>Observed</t>
  </si>
  <si>
    <t>Estimated</t>
  </si>
  <si>
    <t>Count</t>
  </si>
  <si>
    <t>TOTAL</t>
  </si>
  <si>
    <t>Beta00001</t>
  </si>
  <si>
    <t>sampleItem.AdjustmentFactor</t>
  </si>
  <si>
    <t>0-1</t>
  </si>
  <si>
    <t>Beta00002</t>
  </si>
  <si>
    <t>_tour.IsHomeBasedTour).ToFlag() * timePressure</t>
  </si>
  <si>
    <t>1-3.5</t>
  </si>
  <si>
    <t>Beta00003</t>
  </si>
  <si>
    <t>_secondaryFlag * _workOrSchoolPatternFlag * distanceFromOrigin0</t>
  </si>
  <si>
    <t>3.5-10</t>
  </si>
  <si>
    <t>Beta00004</t>
  </si>
  <si>
    <t>_secondaryFlag * _otherPatternFlag * distanceFromOrigin5</t>
  </si>
  <si>
    <t>&gt;= 10</t>
  </si>
  <si>
    <t>Beta00005</t>
  </si>
  <si>
    <t>_secondaryFlag * _otherPatternFlag * distanceFromOrigin0</t>
  </si>
  <si>
    <t>Beta00006</t>
  </si>
  <si>
    <t>_secondaryFlag * _otherPatternFlag * distanceFromOrigin3</t>
  </si>
  <si>
    <t>Beta00007</t>
  </si>
  <si>
    <t>(!_tour.IsHomeBasedTour).ToFlag() * distanceFromOriginLog</t>
  </si>
  <si>
    <t>Share</t>
  </si>
  <si>
    <t>Beta00008</t>
  </si>
  <si>
    <t>household.Has0To15KIncome.ToFlag() * distanceFromOriginLog</t>
  </si>
  <si>
    <t>Beta00009</t>
  </si>
  <si>
    <t>household.HasMissingIncome.ToFlag() * distanceFromOriginLog</t>
  </si>
  <si>
    <t>Beta00010</t>
  </si>
  <si>
    <t>person.IsRetiredAdult.ToFlag() * distanceFromOriginLog</t>
  </si>
  <si>
    <t>Beta00011</t>
  </si>
  <si>
    <t>person.IsChildAge5Through15.ToFlag() * distanceFromOriginLog</t>
  </si>
  <si>
    <t>Beta00012</t>
  </si>
  <si>
    <t>person.IsChildUnder5.ToFlag() * distanceFromOriginLog</t>
  </si>
  <si>
    <t>Beta00013</t>
  </si>
  <si>
    <t>(_tour.IsHomeBasedTour).ToFlag() * distanceFromSchoolLog</t>
  </si>
  <si>
    <t>Beta00014</t>
  </si>
  <si>
    <t>distanceFromWorkLog</t>
  </si>
  <si>
    <t>Beta00015</t>
  </si>
  <si>
    <t>carCompetitionFlag * destinationParcel.ParkingHourlyEmploymentCommercialMixInParcel()</t>
  </si>
  <si>
    <t>Beta00016</t>
  </si>
  <si>
    <t>noCarCompetitionFlag * destinationParcel.ParkingHourlyEmploymentCommercialMixInParcel()</t>
  </si>
  <si>
    <t>Table X.X</t>
  </si>
  <si>
    <t>Beta00017</t>
  </si>
  <si>
    <t>carCompetitionFlag * destinationParcel.ParkingHourlyEmploymentCommercialMixBuffer1()</t>
  </si>
  <si>
    <t>ORIGINAL COEFFICIENT</t>
  </si>
  <si>
    <t>Beta00018</t>
  </si>
  <si>
    <t>noCarCompetitionFlag * destinationParcel.ParkingHourlyEmploymentCommercialMixBuffer1()</t>
  </si>
  <si>
    <t>ESCORT</t>
  </si>
  <si>
    <t>Beta00019</t>
  </si>
  <si>
    <t>noCarsFlag * c34Ratio</t>
  </si>
  <si>
    <t>Purpose</t>
  </si>
  <si>
    <t>Beta00020</t>
  </si>
  <si>
    <t>tourLogsum</t>
  </si>
  <si>
    <t>Beta00021</t>
  </si>
  <si>
    <t>distanceFromOrigin4</t>
  </si>
  <si>
    <t>Beta00022</t>
  </si>
  <si>
    <t>distanceFromOrigin8</t>
  </si>
  <si>
    <t>Beta00023</t>
  </si>
  <si>
    <t>distanceFromOrigin9</t>
  </si>
  <si>
    <t>Beta00024</t>
  </si>
  <si>
    <t>householdHasChildren.ToFlag() * studK12Buffer</t>
  </si>
  <si>
    <t>PERSBUS/MED</t>
  </si>
  <si>
    <t>Beta00025</t>
  </si>
  <si>
    <t>empTotBuffer</t>
  </si>
  <si>
    <t>Beta00026</t>
  </si>
  <si>
    <t>Beta00027</t>
  </si>
  <si>
    <t>COEFFICIENT ADJUSTMENT</t>
  </si>
  <si>
    <t>Beta00028</t>
  </si>
  <si>
    <t>Beta00029</t>
  </si>
  <si>
    <t>Beta00030</t>
  </si>
  <si>
    <t>distanceFromOrigin3</t>
  </si>
  <si>
    <t>Beta00031</t>
  </si>
  <si>
    <t>empEduBuffer</t>
  </si>
  <si>
    <t>Beta00032</t>
  </si>
  <si>
    <t>empSvcBuffer</t>
  </si>
  <si>
    <t>Beta00033</t>
  </si>
  <si>
    <t>empMedBuffer</t>
  </si>
  <si>
    <t>Beta00034</t>
  </si>
  <si>
    <t>housesBuffer</t>
  </si>
  <si>
    <t>SHOP</t>
  </si>
  <si>
    <t>Beta00035</t>
  </si>
  <si>
    <t>studUniBuffer</t>
  </si>
  <si>
    <t>Beta00036</t>
  </si>
  <si>
    <t>Beta00037</t>
  </si>
  <si>
    <t>NEXT COEFFICIENT</t>
  </si>
  <si>
    <t>Beta00038</t>
  </si>
  <si>
    <t>Beta00039</t>
  </si>
  <si>
    <t>Beta00040</t>
  </si>
  <si>
    <t>Beta00041</t>
  </si>
  <si>
    <t>MEAL</t>
  </si>
  <si>
    <t>Beta00042</t>
  </si>
  <si>
    <t>empRetBuffer</t>
  </si>
  <si>
    <t>Beta00043</t>
  </si>
  <si>
    <t>Beta00044</t>
  </si>
  <si>
    <t>distanceFromOrigin4  (0 -1 mile)</t>
  </si>
  <si>
    <t>Beta00045</t>
  </si>
  <si>
    <t>distanceFromOrigin8 (distance from 1 - 3.5 miles)</t>
  </si>
  <si>
    <t>Beta00046</t>
  </si>
  <si>
    <t>distanceFromOrigin9 (distance from 3.5 miles - 10 miles)</t>
  </si>
  <si>
    <t>Beta00047</t>
  </si>
  <si>
    <t>distanceFromOrigin3 (Distance over 10 miles)</t>
  </si>
  <si>
    <t>SOCREC</t>
  </si>
  <si>
    <t>Beta00048</t>
  </si>
  <si>
    <t>empFooBuffer</t>
  </si>
  <si>
    <t>Beta00049</t>
  </si>
  <si>
    <t>Beta00050</t>
  </si>
  <si>
    <t>Beta00051</t>
  </si>
  <si>
    <t>Beta00052</t>
  </si>
  <si>
    <t>Beta00053</t>
  </si>
  <si>
    <t>Beta00054</t>
  </si>
  <si>
    <t>empOfcBuffer</t>
  </si>
  <si>
    <t>Beta00055</t>
  </si>
  <si>
    <t>Beta00056</t>
  </si>
  <si>
    <t>Beta00057</t>
  </si>
  <si>
    <t>LSM_0070</t>
  </si>
  <si>
    <t>Gamma071</t>
  </si>
  <si>
    <t>(!householdHasChildren).ToFlag() * destinationParcel.EmploymentEducation</t>
  </si>
  <si>
    <t>Gamma072</t>
  </si>
  <si>
    <t>(!householdHasChildren).ToFlag() * destinationParcel.EmploymentFood</t>
  </si>
  <si>
    <t>Gamma073</t>
  </si>
  <si>
    <t>(!householdHasChildren).ToFlag() * destinationParcel.EmploymentGovernment</t>
  </si>
  <si>
    <t>Gamma074</t>
  </si>
  <si>
    <t>(!householdHasChildren).ToFlag() * destinationParcel.EmploymentOffice</t>
  </si>
  <si>
    <t>Gamma075</t>
  </si>
  <si>
    <t>(!householdHasChildren).ToFlag() * destinationParcel.EmploymentRetail</t>
  </si>
  <si>
    <t>Gamma076</t>
  </si>
  <si>
    <t>(!householdHasChildren).ToFlag() * destinationParcel.EmploymentService</t>
  </si>
  <si>
    <t>Gamma077</t>
  </si>
  <si>
    <t>(!householdHasChildren).ToFlag() * destinationParcel.EmploymentMedical</t>
  </si>
  <si>
    <t>Gamma078</t>
  </si>
  <si>
    <t>(!householdHasChildren).ToFlag() * destinationParcel.EmploymentIndustrial + destinationParcel.EmploymentAgricultureConstruction</t>
  </si>
  <si>
    <t>Gamma079</t>
  </si>
  <si>
    <t>(!householdHasChildren).ToFlag() * destinationParcel.Households</t>
  </si>
  <si>
    <t>Gamma080</t>
  </si>
  <si>
    <t>householdHasChildren.ToFlag() * destinationParcel.EmploymentEducation</t>
  </si>
  <si>
    <t>Gamma081</t>
  </si>
  <si>
    <t>householdHasChildren.ToFlag() * destinationParcel.EmploymentGovernment</t>
  </si>
  <si>
    <t>Gamma082</t>
  </si>
  <si>
    <t>Gamma083</t>
  </si>
  <si>
    <t>householdHasChildren.ToFlag() * destinationParcel.EmploymentRetail</t>
  </si>
  <si>
    <t>Gamma084</t>
  </si>
  <si>
    <t>householdHasChildren.ToFlag() * destinationParcel.EmploymentService</t>
  </si>
  <si>
    <t>Gamma085</t>
  </si>
  <si>
    <t>householdHasChildren.ToFlag() * destinationParcel.EmploymentMedical</t>
  </si>
  <si>
    <t>Gamma086</t>
  </si>
  <si>
    <t>householdHasChildren.ToFlag() * destinationParcel.EmploymentIndustrial + destinationParcel.EmploymentAgricultureConstruction</t>
  </si>
  <si>
    <t>Gamma087</t>
  </si>
  <si>
    <t>householdHasChildren.ToFlag() * destinationParcel.Households</t>
  </si>
  <si>
    <t>Gamma088</t>
  </si>
  <si>
    <t>householdHasChildren.ToFlag() * destinationParcel.StudentsK12</t>
  </si>
  <si>
    <t>Gamma089</t>
  </si>
  <si>
    <t>destinationParcel.EmploymentEducation</t>
  </si>
  <si>
    <t>Gamma090</t>
  </si>
  <si>
    <t>destinationParcel.EmploymentFood</t>
  </si>
  <si>
    <t>Gamma091</t>
  </si>
  <si>
    <t>destinationParcel.EmploymentOffice</t>
  </si>
  <si>
    <t>Gamma092</t>
  </si>
  <si>
    <t>destinationParcel.EmploymentRetail</t>
  </si>
  <si>
    <t>Gamma093</t>
  </si>
  <si>
    <t>destinationParcel.EmploymentService</t>
  </si>
  <si>
    <t>Gamma094</t>
  </si>
  <si>
    <t>destinationParcel.EmploymentMedical</t>
  </si>
  <si>
    <t>Gamma095</t>
  </si>
  <si>
    <t>destinationParcel.EmploymentIndustrial + destinationParcel.EmploymentAgricultureConstruction</t>
  </si>
  <si>
    <t>Gamma096</t>
  </si>
  <si>
    <t>destinationParcel.Households</t>
  </si>
  <si>
    <t>Gamma097</t>
  </si>
  <si>
    <t>destinationParcel.StudentsK12</t>
  </si>
  <si>
    <t>Gamma098</t>
  </si>
  <si>
    <t>Gamma099</t>
  </si>
  <si>
    <t>Gamma100</t>
  </si>
  <si>
    <t>Gamma101</t>
  </si>
  <si>
    <t>Gamma102</t>
  </si>
  <si>
    <t>Gamma103</t>
  </si>
  <si>
    <t>Gamma104</t>
  </si>
  <si>
    <t>Gamma105</t>
  </si>
  <si>
    <t>Gamma106</t>
  </si>
  <si>
    <t>Gamma107</t>
  </si>
  <si>
    <t>destinationParcel.EmploymentGovernment</t>
  </si>
  <si>
    <t>Gamma108</t>
  </si>
  <si>
    <t>Gamma109</t>
  </si>
  <si>
    <t>Gamma110</t>
  </si>
  <si>
    <t>Gamma111</t>
  </si>
  <si>
    <t>Gamma112</t>
  </si>
  <si>
    <t>destinationParcel.StudentsUniversity</t>
  </si>
  <si>
    <t>Gamma113</t>
  </si>
  <si>
    <t>Instructions:</t>
  </si>
  <si>
    <t>By: nagendra.dhakar@rsginc.com</t>
  </si>
  <si>
    <t>Select all(ctrl+A)</t>
  </si>
  <si>
    <t>Paste in cell A8</t>
  </si>
  <si>
    <t>Go to "Data" --&gt;Text to Columns - Select "Delimited" ---&gt; 'Space' ---&gt; Finish</t>
  </si>
  <si>
    <t>Tour</t>
  </si>
  <si>
    <t>Destination</t>
  </si>
  <si>
    <t>(SACOG2000</t>
  </si>
  <si>
    <t>Created</t>
  </si>
  <si>
    <t>by</t>
  </si>
  <si>
    <t>ALOGIT</t>
  </si>
  <si>
    <t>version</t>
  </si>
  <si>
    <t>on</t>
  </si>
  <si>
    <t>END</t>
  </si>
  <si>
    <t>T</t>
  </si>
  <si>
    <t>F</t>
  </si>
  <si>
    <t>Observed Sources: Survey</t>
  </si>
  <si>
    <t>Observed distance (in miles) based on joining AM peak SOV skim values to HH survey</t>
  </si>
  <si>
    <t>Observed duration (in minutes) based on joining AM peak SOV skim values to HH survey</t>
  </si>
  <si>
    <t>One of 4 time periods was first assigned to each tour half based on arrival time at and departure time from the primary tour destination</t>
  </si>
  <si>
    <t>Index</t>
  </si>
  <si>
    <t>CALIBRATION</t>
  </si>
  <si>
    <t>RATIO</t>
  </si>
  <si>
    <t>LN(RATIO)</t>
  </si>
  <si>
    <t>ADJ</t>
  </si>
  <si>
    <t>Damp</t>
  </si>
  <si>
    <t>OtherTourDestinationModel.F12</t>
  </si>
  <si>
    <t>Tag</t>
  </si>
  <si>
    <t>Old</t>
  </si>
  <si>
    <t>New</t>
  </si>
  <si>
    <t>UltraEdit Instructions:</t>
  </si>
  <si>
    <t>Open "OtherTourDestinationModel.F12" in UltraEdit</t>
  </si>
  <si>
    <t>Choose column mode and select 4th columns from line 4 to line 105</t>
  </si>
  <si>
    <t>Make sure that you select Col 21 to Col 31</t>
  </si>
  <si>
    <t>Paste (Ctrl-v) the copied values</t>
  </si>
  <si>
    <t>Notepad ++ Instructions</t>
  </si>
  <si>
    <t>Paste in an empty document in Notepad++</t>
  </si>
  <si>
    <t>Hold the Alt key and select the lines as columns</t>
  </si>
  <si>
    <t>Cut or Copy the selection (Ctrl-x or Ctrl-c)</t>
  </si>
  <si>
    <t>Open "OtherTourDestinationModel.F12"</t>
  </si>
  <si>
    <t>Hold Alt and using mouse select the 4th column from line line 4 to line 105</t>
  </si>
  <si>
    <t>Paste (Ctrl-v)</t>
  </si>
  <si>
    <t>Description</t>
  </si>
  <si>
    <t>ALL</t>
  </si>
  <si>
    <t>Beta00118</t>
  </si>
  <si>
    <t>Open "OtherTourDestinationModel.F12" in Notepad+</t>
  </si>
  <si>
    <t>v0402)</t>
  </si>
  <si>
    <t>Apr</t>
  </si>
  <si>
    <t>Beta114</t>
  </si>
  <si>
    <t>Beta115</t>
  </si>
  <si>
    <t>Beta116</t>
  </si>
  <si>
    <t>Beta117</t>
  </si>
  <si>
    <t>Beta118</t>
  </si>
  <si>
    <t>015:20:11</t>
  </si>
  <si>
    <t>new adjustments</t>
  </si>
  <si>
    <t>damp</t>
  </si>
  <si>
    <t>Distance</t>
  </si>
  <si>
    <t>Model</t>
  </si>
  <si>
    <t>Adjust</t>
  </si>
  <si>
    <t>SUMMARY OUTPUT</t>
  </si>
  <si>
    <t>Regression Statistics</t>
  </si>
  <si>
    <t>Multiple R</t>
  </si>
  <si>
    <t>R Square</t>
  </si>
  <si>
    <t>Adjusted R Square</t>
  </si>
  <si>
    <t>Standard Error</t>
  </si>
  <si>
    <t>Observations</t>
  </si>
  <si>
    <t>ANOVA</t>
  </si>
  <si>
    <t>df</t>
  </si>
  <si>
    <t>SS</t>
  </si>
  <si>
    <t>MS</t>
  </si>
  <si>
    <t>Significance F</t>
  </si>
  <si>
    <t>Regression</t>
  </si>
  <si>
    <t>Residual</t>
  </si>
  <si>
    <t>Coefficients</t>
  </si>
  <si>
    <t>t Stat</t>
  </si>
  <si>
    <t>P-value</t>
  </si>
  <si>
    <t>Lower 95%</t>
  </si>
  <si>
    <t>Upper 95%</t>
  </si>
  <si>
    <t>Lower 95.0%</t>
  </si>
  <si>
    <t>Upper 95.0%</t>
  </si>
  <si>
    <t>Intercept</t>
  </si>
  <si>
    <t>X Variable 1</t>
  </si>
  <si>
    <t>x</t>
  </si>
  <si>
    <t>try -0.3</t>
  </si>
  <si>
    <t>OtherTourDestinationCoefficients_model</t>
  </si>
  <si>
    <t>Copy (Ctrl-c) cells V3:V109</t>
  </si>
  <si>
    <t>Code</t>
  </si>
  <si>
    <t>County</t>
  </si>
  <si>
    <t>Williamson</t>
  </si>
  <si>
    <t>Rutherford</t>
  </si>
  <si>
    <t>Sumner</t>
  </si>
  <si>
    <t>Roberston</t>
  </si>
  <si>
    <t>Davidson</t>
  </si>
  <si>
    <t>Maury</t>
  </si>
  <si>
    <t>Wilson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</si>
</sst>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1">
    <numFmt numFmtId="43" formatCode="_(* #,##0.00_);_(* \(#,##0.00\);_(* &quot;-&quot;??_);_(@_)"/>
    <numFmt numFmtId="164" formatCode="0.0%"/>
    <numFmt numFmtId="165" formatCode="mm/dd/yyyy\ hh:mm:ss"/>
    <numFmt numFmtId="166" formatCode="0.0000000000000"/>
    <numFmt numFmtId="167" formatCode="0.00000000000"/>
    <numFmt numFmtId="168" formatCode="0.000000000"/>
    <numFmt numFmtId="169" formatCode="_(* #,##0_);_(* \(#,##0\);_(* &quot;-&quot;??_);_(@_)"/>
    <numFmt numFmtId="170" formatCode="0.000000"/>
    <numFmt numFmtId="171" formatCode="#,##0.0"/>
    <numFmt numFmtId="172" formatCode="0.00000000"/>
    <numFmt numFmtId="173" formatCode="0.000000000000"/>
  </numFmts>
  <fonts count="1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Verdana"/>
      <family val="2"/>
    </font>
    <font>
      <b/>
      <u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u/>
      <sz val="11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indexed="22"/>
      </patternFill>
    </fill>
    <fill>
      <patternFill patternType="solid">
        <fgColor rgb="FF00B05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0">
    <xf borderId="0" fillId="0" fontId="0" numFmtId="0"/>
    <xf borderId="0" fillId="0" fontId="2" numFmtId="0">
      <alignment wrapText="1"/>
    </xf>
    <xf borderId="0" fillId="2" fontId="3" numFmtId="0">
      <alignment wrapText="1"/>
    </xf>
    <xf borderId="0" fillId="0" fontId="3" numFmtId="165">
      <alignment wrapText="1"/>
    </xf>
    <xf borderId="0" fillId="0" fontId="3" numFmtId="0">
      <alignment wrapText="1"/>
    </xf>
    <xf borderId="0" fillId="0" fontId="3" numFmtId="0">
      <alignment wrapText="1"/>
    </xf>
    <xf borderId="0" fillId="0" fontId="3" numFmtId="0">
      <alignment wrapText="1"/>
    </xf>
    <xf borderId="0" fillId="0" fontId="3" numFmtId="165">
      <alignment wrapText="1"/>
    </xf>
    <xf applyAlignment="0" applyBorder="0" applyFill="0" applyFont="0" applyProtection="0" borderId="0" fillId="0" fontId="3" numFmtId="43"/>
    <xf applyAlignment="0" applyBorder="0" applyFill="0" applyFont="0" applyProtection="0" borderId="0" fillId="0" fontId="3" numFmtId="9"/>
  </cellStyleXfs>
  <cellXfs count="404">
    <xf borderId="0" fillId="0" fontId="0" numFmtId="0" xfId="0"/>
    <xf applyBorder="1" borderId="1" fillId="0" fontId="0" numFmtId="0" xfId="0"/>
    <xf applyBorder="1" borderId="2" fillId="0" fontId="0" numFmtId="0" xfId="0"/>
    <xf applyAlignment="1" applyBorder="1" borderId="2" fillId="0" fontId="0" numFmtId="0" xfId="0">
      <alignment horizontal="center"/>
    </xf>
    <xf applyBorder="1" applyFont="1" borderId="1" fillId="0" fontId="1" numFmtId="0" xfId="0"/>
    <xf applyAlignment="1" applyBorder="1" borderId="2" fillId="0" fontId="0" numFmtId="0" xfId="0">
      <alignment horizontal="center" vertical="top"/>
    </xf>
    <xf applyBorder="1" borderId="0" fillId="0" fontId="0" numFmtId="0" xfId="0"/>
    <xf applyBorder="1" applyFill="1" borderId="3" fillId="0" fontId="0" numFmtId="0" xfId="0"/>
    <xf applyNumberFormat="1" borderId="0" fillId="0" fontId="0" numFmtId="2" xfId="0"/>
    <xf applyBorder="1" applyNumberFormat="1" borderId="1" fillId="0" fontId="0" numFmtId="2" xfId="0"/>
    <xf applyFont="1" borderId="0" fillId="0" fontId="1" numFmtId="0" xfId="0"/>
    <xf applyNumberFormat="1" borderId="0" fillId="0" fontId="0" numFmtId="10" xfId="0"/>
    <xf applyNumberFormat="1" borderId="0" fillId="0" fontId="0" numFmtId="3" xfId="0"/>
    <xf applyBorder="1" applyNumberFormat="1" borderId="0" fillId="0" fontId="0" numFmtId="3" xfId="0"/>
    <xf applyBorder="1" applyNumberFormat="1" borderId="3" fillId="0" fontId="0" numFmtId="3" xfId="0"/>
    <xf applyBorder="1" applyNumberFormat="1" borderId="1" fillId="0" fontId="0" numFmtId="3" xfId="0"/>
    <xf applyNumberFormat="1" borderId="0" fillId="0" fontId="0" numFmtId="164" xfId="0"/>
    <xf applyBorder="1" applyNumberFormat="1" borderId="3" fillId="0" fontId="0" numFmtId="164" xfId="0"/>
    <xf applyBorder="1" applyNumberFormat="1" borderId="1" fillId="0" fontId="0" numFmtId="164" xfId="0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applyBorder="1" borderId="1" fillId="0" fontId="2" numFmtId="0" xfId="1"/>
    <xf applyBorder="1" applyFill="1" applyNumberFormat="1" borderId="3" fillId="0" fontId="0" numFmtId="3" xfId="0"/>
    <xf applyFont="1" borderId="0" fillId="0" fontId="4" numFmtId="0" xfId="0"/>
    <xf applyAlignment="1" applyFont="1" applyNumberFormat="1" borderId="0" fillId="0" fontId="0" numFmtId="1" xfId="0">
      <alignment horizontal="right"/>
    </xf>
    <xf applyFont="1" borderId="0" fillId="0" fontId="0" numFmtId="0" xfId="0"/>
    <xf applyFont="1" borderId="0" fillId="0" fontId="5" numFmtId="0" xfId="0"/>
    <xf applyFont="1" applyNumberFormat="1" borderId="0" fillId="0" fontId="0" numFmtId="166" xfId="0"/>
    <xf applyAlignment="1" applyBorder="1" applyFont="1" borderId="2" fillId="0" fontId="0" numFmtId="0" xfId="0">
      <alignment horizontal="center" vertical="top"/>
    </xf>
    <xf applyAlignment="1" applyBorder="1" applyFont="1" applyNumberFormat="1" borderId="2" fillId="0" fontId="0" numFmtId="1" xfId="0">
      <alignment horizontal="center" vertical="top"/>
    </xf>
    <xf applyAlignment="1" applyBorder="1" applyFont="1" borderId="0" fillId="0" fontId="0" numFmtId="0" xfId="0">
      <alignment horizontal="center" vertical="top"/>
    </xf>
    <xf applyAlignment="1" applyBorder="1" applyFont="1" borderId="0" fillId="0" fontId="0" numFmtId="0" xfId="0">
      <alignment horizontal="left" vertical="top"/>
    </xf>
    <xf applyAlignment="1" applyBorder="1" applyFont="1" applyNumberFormat="1" borderId="0" fillId="0" fontId="0" numFmtId="3" xfId="0">
      <alignment horizontal="right" vertical="top"/>
    </xf>
    <xf applyFont="1" applyNumberFormat="1" borderId="0" fillId="0" fontId="0" numFmtId="1" xfId="0"/>
    <xf applyFont="1" applyNumberFormat="1" borderId="0" fillId="0" fontId="0" numFmtId="3" xfId="0"/>
    <xf applyAlignment="1" applyFont="1" applyNumberFormat="1" borderId="0" fillId="0" fontId="0" numFmtId="3" xfId="0">
      <alignment horizontal="right"/>
    </xf>
    <xf applyBorder="1" applyFont="1" applyNumberFormat="1" borderId="0" fillId="0" fontId="0" numFmtId="1" xfId="0"/>
    <xf applyBorder="1" applyFont="1" applyNumberFormat="1" borderId="3" fillId="0" fontId="0" numFmtId="3" xfId="0"/>
    <xf applyAlignment="1" applyBorder="1" applyFont="1" applyNumberFormat="1" borderId="3" fillId="0" fontId="0" numFmtId="3" xfId="0">
      <alignment horizontal="right"/>
    </xf>
    <xf applyBorder="1" applyFill="1" applyFont="1" applyNumberFormat="1" borderId="0" fillId="0" fontId="0" numFmtId="1" xfId="0"/>
    <xf applyBorder="1" applyFill="1" applyFont="1" applyNumberFormat="1" borderId="4" fillId="0" fontId="0" numFmtId="3" xfId="0"/>
    <xf applyAlignment="1" applyBorder="1" applyFill="1" applyFont="1" applyNumberFormat="1" borderId="4" fillId="0" fontId="0" numFmtId="3" xfId="0">
      <alignment horizontal="right"/>
    </xf>
    <xf applyBorder="1" applyFill="1" applyFont="1" borderId="0" fillId="0" fontId="0" numFmtId="0" xfId="0"/>
    <xf applyBorder="1" applyFill="1" applyFont="1" applyNumberFormat="1" borderId="0" fillId="0" fontId="5" numFmtId="3" xfId="0"/>
    <xf applyFont="1" applyNumberFormat="1" borderId="0" fillId="0" fontId="0" numFmtId="9" xfId="0"/>
    <xf applyAlignment="1" applyBorder="1" applyFont="1" applyNumberFormat="1" borderId="0" fillId="0" fontId="0" numFmtId="164" xfId="0">
      <alignment horizontal="right" vertical="top"/>
    </xf>
    <xf applyAlignment="1" applyFont="1" applyNumberFormat="1" borderId="0" fillId="0" fontId="0" numFmtId="164" xfId="0">
      <alignment horizontal="right"/>
    </xf>
    <xf applyBorder="1" applyFont="1" applyNumberFormat="1" borderId="0" fillId="0" fontId="0" numFmtId="9" xfId="0"/>
    <xf applyAlignment="1" applyBorder="1" applyFont="1" applyNumberFormat="1" borderId="4" fillId="0" fontId="0" numFmtId="164" xfId="0">
      <alignment horizontal="right"/>
    </xf>
    <xf applyFont="1" borderId="0" fillId="0" fontId="6" numFmtId="0" xfId="0"/>
    <xf applyFont="1" borderId="0" fillId="0" fontId="7" numFmtId="0" xfId="0"/>
    <xf applyAlignment="1" applyBorder="1" applyFont="1" borderId="2" fillId="0" fontId="6" numFmtId="0" xfId="0">
      <alignment horizontal="left"/>
    </xf>
    <xf applyAlignment="1" applyBorder="1" applyFont="1" applyNumberFormat="1" borderId="2" fillId="0" fontId="6" numFmtId="1" xfId="0">
      <alignment horizontal="right"/>
    </xf>
    <xf applyAlignment="1" applyFont="1" applyNumberFormat="1" borderId="0" fillId="0" fontId="7" numFmtId="166" xfId="0">
      <alignment horizontal="right"/>
    </xf>
    <xf applyBorder="1" applyFont="1" applyNumberFormat="1" borderId="1" fillId="0" fontId="0" numFmtId="3" xfId="0"/>
    <xf applyAlignment="1" applyBorder="1" applyFont="1" applyNumberFormat="1" borderId="1" fillId="0" fontId="7" numFmtId="166" xfId="0">
      <alignment horizontal="right"/>
    </xf>
    <xf applyAlignment="1" applyFont="1" applyNumberFormat="1" borderId="0" fillId="0" fontId="7" numFmtId="1" xfId="0">
      <alignment horizontal="right"/>
    </xf>
    <xf applyAlignment="1" applyFont="1" applyNumberFormat="1" borderId="0" fillId="0" fontId="6" numFmtId="1" xfId="0">
      <alignment horizontal="right"/>
    </xf>
    <xf applyAlignment="1" applyFont="1" applyNumberFormat="1" borderId="0" fillId="0" fontId="0" numFmtId="167" xfId="0">
      <alignment horizontal="right"/>
    </xf>
    <xf applyAlignment="1" applyFont="1" applyNumberFormat="1" borderId="0" fillId="0" fontId="0" numFmtId="168" xfId="0">
      <alignment horizontal="right"/>
    </xf>
    <xf applyAlignment="1" applyFont="1" applyNumberFormat="1" borderId="0" fillId="0" fontId="6" numFmtId="166" xfId="0">
      <alignment horizontal="right"/>
    </xf>
    <xf applyAlignment="1" applyBorder="1" applyFont="1" applyNumberFormat="1" borderId="2" fillId="0" fontId="6" numFmtId="166" xfId="0">
      <alignment horizontal="right"/>
    </xf>
    <xf applyFill="1" applyFont="1" borderId="0" fillId="0" fontId="0" numFmtId="0" xfId="0"/>
    <xf applyFont="1" applyNumberFormat="1" borderId="0" fillId="0" fontId="0" numFmtId="167" xfId="0"/>
    <xf applyNumberFormat="1" borderId="0" fillId="0" fontId="0" numFmtId="21" xfId="0"/>
    <xf applyNumberFormat="1" borderId="0" fillId="0" fontId="0" numFmtId="11" xfId="0"/>
    <xf applyFill="1" applyFont="1" applyNumberFormat="1" borderId="0" fillId="3" fontId="0" numFmtId="167" xfId="0"/>
    <xf applyFill="1" applyFont="1" borderId="0" fillId="4" fontId="0" numFmtId="0" xfId="0"/>
    <xf applyFill="1" applyFont="1" applyNumberFormat="1" borderId="0" fillId="4" fontId="0" numFmtId="166" xfId="0"/>
    <xf applyFill="1" applyFont="1" applyNumberFormat="1" borderId="0" fillId="4" fontId="0" numFmtId="167" xfId="0"/>
    <xf applyFont="1" applyNumberFormat="1" borderId="0" fillId="0" fontId="0" numFmtId="169" xfId="8"/>
    <xf applyBorder="1" applyFont="1" applyNumberFormat="1" borderId="1" fillId="0" fontId="0" numFmtId="169" xfId="8"/>
    <xf applyAlignment="1" applyFont="1" applyNumberFormat="1" borderId="0" fillId="0" fontId="2" numFmtId="169" xfId="8"/>
    <xf applyAlignment="1" applyBorder="1" applyFont="1" applyNumberFormat="1" borderId="1" fillId="0" fontId="2" numFmtId="169" xfId="8"/>
    <xf applyAlignment="1" applyBorder="1" applyFont="1" borderId="2" fillId="0" fontId="1" numFmtId="0" xfId="0">
      <alignment horizontal="left"/>
    </xf>
    <xf applyAlignment="1" applyFont="1" borderId="0" fillId="0" fontId="0" numFmtId="0" xfId="0">
      <alignment horizontal="left"/>
    </xf>
    <xf applyAlignment="1" applyBorder="1" applyFont="1" borderId="1" fillId="0" fontId="0" numFmtId="0" xfId="0">
      <alignment horizontal="left"/>
    </xf>
    <xf applyAlignment="1" applyBorder="1" applyFont="1" borderId="5" fillId="0" fontId="0" numFmtId="0" xfId="0">
      <alignment horizontal="left"/>
    </xf>
    <xf applyBorder="1" applyFont="1" borderId="1" fillId="0" fontId="0" numFmtId="0" xfId="0"/>
    <xf applyAlignment="1" applyBorder="1" applyFont="1" applyNumberFormat="1" borderId="0" fillId="0" fontId="0" numFmtId="1" xfId="0">
      <alignment horizontal="center" vertical="top"/>
    </xf>
    <xf applyAlignment="1" applyBorder="1" applyFont="1" applyNumberFormat="1" borderId="0" fillId="0" fontId="0" numFmtId="3" xfId="0">
      <alignment horizontal="right"/>
    </xf>
    <xf applyAlignment="1" applyBorder="1" applyFill="1" applyFont="1" applyNumberFormat="1" borderId="0" fillId="0" fontId="0" numFmtId="3" xfId="0">
      <alignment horizontal="right"/>
    </xf>
    <xf applyAlignment="1" applyBorder="1" applyFont="1" applyNumberFormat="1" borderId="0" fillId="0" fontId="0" numFmtId="164" xfId="0">
      <alignment horizontal="right"/>
    </xf>
    <xf applyAlignment="1" applyBorder="1" applyFont="1" applyNumberFormat="1" borderId="1" fillId="0" fontId="5" numFmtId="1" xfId="0">
      <alignment horizontal="left"/>
    </xf>
    <xf applyAlignment="1" applyBorder="1" applyFont="1" applyNumberFormat="1" borderId="1" fillId="0" fontId="0" numFmtId="1" xfId="0">
      <alignment horizontal="right"/>
    </xf>
    <xf applyAlignment="1" applyBorder="1" applyFont="1" applyNumberFormat="1" borderId="0" fillId="0" fontId="0" numFmtId="2" xfId="0">
      <alignment horizontal="right" vertical="top"/>
    </xf>
    <xf applyAlignment="1" applyBorder="1" applyFont="1" applyNumberFormat="1" borderId="0" fillId="0" fontId="0" numFmtId="170" xfId="0">
      <alignment horizontal="right" vertical="top"/>
    </xf>
    <xf applyAlignment="1" applyBorder="1" applyFont="1" applyNumberFormat="1" borderId="1" fillId="0" fontId="0" numFmtId="2" xfId="0">
      <alignment horizontal="right" vertical="top"/>
    </xf>
    <xf applyAlignment="1" applyBorder="1" applyFont="1" applyNumberFormat="1" borderId="1" fillId="0" fontId="0" numFmtId="170" xfId="0">
      <alignment horizontal="right" vertical="top"/>
    </xf>
    <xf applyAlignment="1" applyBorder="1" applyFill="1" applyFont="1" applyNumberFormat="1" borderId="0" fillId="5" fontId="0" numFmtId="171" xfId="0">
      <alignment horizontal="right"/>
    </xf>
    <xf applyAlignment="1" applyBorder="1" applyFont="1" applyNumberFormat="1" borderId="0" fillId="0" fontId="0" numFmtId="2" xfId="0">
      <alignment horizontal="right"/>
    </xf>
    <xf applyAlignment="1" applyFont="1" applyNumberFormat="1" borderId="0" fillId="0" fontId="0" numFmtId="172" xfId="0">
      <alignment horizontal="right"/>
    </xf>
    <xf applyAlignment="1" applyFont="1" applyNumberFormat="1" borderId="0" fillId="0" fontId="1" numFmtId="166" xfId="0">
      <alignment horizontal="right"/>
    </xf>
    <xf applyAlignment="1" applyFont="1" applyNumberFormat="1" borderId="0" fillId="0" fontId="1" numFmtId="167" xfId="0">
      <alignment horizontal="right"/>
    </xf>
    <xf applyFont="1" borderId="0" fillId="0" fontId="8" numFmtId="0" xfId="0"/>
    <xf applyBorder="1" applyFill="1" applyFont="1" borderId="6" fillId="6" fontId="5" numFmtId="0" xfId="0"/>
    <xf applyBorder="1" applyFill="1" applyFont="1" borderId="7" fillId="6" fontId="7" numFmtId="0" xfId="0"/>
    <xf applyBorder="1" applyFill="1" applyFont="1" borderId="8" fillId="6" fontId="7" numFmtId="0" xfId="0"/>
    <xf applyBorder="1" applyFill="1" applyFont="1" borderId="9" fillId="6" fontId="7" numFmtId="0" xfId="0"/>
    <xf applyBorder="1" applyFill="1" applyFont="1" borderId="0" fillId="6" fontId="7" numFmtId="0" xfId="0"/>
    <xf applyBorder="1" applyFill="1" applyFont="1" borderId="10" fillId="6" fontId="7" numFmtId="0" xfId="0"/>
    <xf applyBorder="1" applyFill="1" applyFont="1" borderId="11" fillId="6" fontId="7" numFmtId="0" xfId="0"/>
    <xf applyBorder="1" applyFill="1" applyFont="1" borderId="3" fillId="6" fontId="7" numFmtId="0" xfId="0"/>
    <xf applyBorder="1" applyFill="1" applyFont="1" borderId="12" fillId="6" fontId="7" numFmtId="0" xfId="0"/>
    <xf applyFill="1" applyFont="1" applyNumberFormat="1" borderId="0" fillId="0" fontId="0" numFmtId="166" xfId="0"/>
    <xf applyAlignment="1" applyFill="1" applyFont="1" applyNumberFormat="1" borderId="0" fillId="7" fontId="7" numFmtId="166" xfId="0">
      <alignment horizontal="right"/>
    </xf>
    <xf applyAlignment="1" applyBorder="1" applyFill="1" applyFont="1" applyNumberFormat="1" borderId="1" fillId="7" fontId="7" numFmtId="166" xfId="0">
      <alignment horizontal="right"/>
    </xf>
    <xf applyAlignment="1" applyBorder="1" applyFont="1" applyNumberFormat="1" borderId="7" fillId="0" fontId="7" numFmtId="166" xfId="0">
      <alignment horizontal="right"/>
    </xf>
    <xf applyAlignment="1" applyBorder="1" applyFont="1" applyNumberFormat="1" borderId="0" fillId="0" fontId="7" numFmtId="166" xfId="0">
      <alignment horizontal="right"/>
    </xf>
    <xf applyAlignment="1" applyFill="1" applyFont="1" applyNumberFormat="1" borderId="0" fillId="3" fontId="7" numFmtId="166" xfId="0">
      <alignment horizontal="right"/>
    </xf>
    <xf applyAlignment="1" applyBorder="1" applyFont="1" applyNumberFormat="1" borderId="0" fillId="0" fontId="0" numFmtId="1" xfId="0">
      <alignment horizontal="right"/>
    </xf>
    <xf applyBorder="1" applyFont="1" borderId="0" fillId="0" fontId="0" numFmtId="0" xfId="0"/>
    <xf applyAlignment="1" applyBorder="1" borderId="0" fillId="0" fontId="0" numFmtId="0" xfId="0">
      <alignment horizontal="center" vertical="top"/>
    </xf>
    <xf applyAlignment="1" applyBorder="1" borderId="13" fillId="0" fontId="0" numFmtId="0" xfId="0">
      <alignment horizontal="center" vertical="top"/>
    </xf>
    <xf applyAlignment="1" applyBorder="1" applyFont="1" applyNumberFormat="1" borderId="13" fillId="0" fontId="0" numFmtId="1" xfId="0">
      <alignment horizontal="right"/>
    </xf>
    <xf applyAlignment="1" applyBorder="1" applyFill="1" borderId="13" fillId="5" fontId="0" numFmtId="0" xfId="0">
      <alignment horizontal="center"/>
    </xf>
    <xf applyBorder="1" borderId="3" fillId="0" fontId="0" numFmtId="0" xfId="0"/>
    <xf applyBorder="1" applyFont="1" borderId="13" fillId="0" fontId="0" numFmtId="0" xfId="0"/>
    <xf applyAlignment="1" applyBorder="1" applyFont="1" applyNumberFormat="1" borderId="13" fillId="0" fontId="0" numFmtId="173" xfId="0">
      <alignment horizontal="right"/>
    </xf>
    <xf applyAlignment="1" applyBorder="1" applyNumberFormat="1" borderId="13" fillId="0" fontId="0" numFmtId="2" xfId="0"/>
    <xf applyBorder="1" applyFont="1" applyNumberFormat="1" borderId="3" fillId="0" fontId="0" numFmtId="10" xfId="9"/>
    <xf applyBorder="1" applyFont="1" borderId="13" fillId="0" fontId="0" numFmtId="9" xfId="9"/>
    <xf applyFont="1" applyNumberFormat="1" borderId="0" fillId="0" fontId="0" numFmtId="10" xfId="9"/>
    <xf applyFont="1" borderId="0" fillId="0" fontId="0" numFmtId="9" xfId="9"/>
    <xf applyAlignment="1" applyBorder="1" applyFill="1" applyFont="1" borderId="2" fillId="0" fontId="9" numFmtId="0" xfId="0">
      <alignment horizontal="centerContinuous"/>
    </xf>
    <xf applyAlignment="1" applyBorder="1" applyFill="1" borderId="0" fillId="0" fontId="0" numFmtId="0" xfId="0"/>
    <xf applyAlignment="1" applyBorder="1" applyFill="1" borderId="1" fillId="0" fontId="0" numFmtId="0" xfId="0"/>
    <xf applyAlignment="1" applyBorder="1" applyFill="1" applyFont="1" borderId="2" fillId="0" fontId="9" numFmtId="0" xfId="0">
      <alignment horizontal="center"/>
    </xf>
    <xf applyBorder="1" applyFont="1" borderId="3" fillId="0" fontId="0" numFmtId="0" xfId="0"/>
    <xf applyFill="1" applyFont="1" applyNumberFormat="1" borderId="0" fillId="5" fontId="0" numFmtId="10" xfId="9"/>
    <xf applyBorder="1" applyFill="1" applyFont="1" applyNumberFormat="1" borderId="3" fillId="5" fontId="0" numFmtId="10" xfId="9"/>
    <xf applyBorder="1" applyNumberFormat="1" borderId="4" fillId="0" fontId="0" numFmtId="3" xfId="0"/>
    <xf applyBorder="1" applyNumberFormat="1" borderId="4" fillId="0" fontId="0" numFmtId="164" xfId="0"/>
  </cellXfs>
  <cellStyles count="10">
    <cellStyle builtinId="3" name="Comma" xfId="8"/>
    <cellStyle builtinId="0" name="Normal" xfId="0"/>
    <cellStyle builtinId="5" name="Percent" xfId="9"/>
    <cellStyle name="XLConnect.Boolean" xfId="6"/>
    <cellStyle name="XLConnect.Date" xfId="3"/>
    <cellStyle name="XLConnect.DateTime" xfId="7"/>
    <cellStyle name="XLConnect.General" xfId="1"/>
    <cellStyle name="XLConnect.Header" xfId="2"/>
    <cellStyle name="XLConnect.Numeric" xfId="5"/>
    <cellStyle name="XLConnect.String" xfId="4"/>
  </cellStyles>
  <dxfs count="0"/>
  <tableStyles count="0" defaultPivotStyle="PivotStyleLight16" defaultTableStyle="Table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
<Relationships xmlns="http://schemas.openxmlformats.org/package/2006/relationships">
    <Relationship Id="rId1" Target="worksheets/sheet1.xml" Type="http://schemas.openxmlformats.org/officeDocument/2006/relationships/worksheet"/>
    <Relationship Id="rId10" Target="styles.xml" Type="http://schemas.openxmlformats.org/officeDocument/2006/relationships/styles"/>
    <Relationship Id="rId11" Target="sharedStrings.xml" Type="http://schemas.openxmlformats.org/officeDocument/2006/relationships/sharedStrings"/>
    <Relationship Id="rId12" Target="calcChain.xml" Type="http://schemas.openxmlformats.org/officeDocument/2006/relationships/calcChain"/>
    <Relationship Id="rId13" Target="vbaProject.bin" Type="http://schemas.microsoft.com/office/2006/relationships/vbaProject"/>
    <Relationship Id="rId2" Target="worksheets/sheet2.xml" Type="http://schemas.openxmlformats.org/officeDocument/2006/relationships/worksheet"/>
    <Relationship Id="rId3" Target="worksheets/sheet3.xml" Type="http://schemas.openxmlformats.org/officeDocument/2006/relationships/worksheet"/>
    <Relationship Id="rId4" Target="worksheets/sheet4.xml" Type="http://schemas.openxmlformats.org/officeDocument/2006/relationships/worksheet"/>
    <Relationship Id="rId5" Target="worksheets/sheet5.xml" Type="http://schemas.openxmlformats.org/officeDocument/2006/relationships/worksheet"/>
    <Relationship Id="rId6" Target="worksheets/sheet6.xml" Type="http://schemas.openxmlformats.org/officeDocument/2006/relationships/worksheet"/>
    <Relationship Id="rId7" Target="worksheets/sheet7.xml" Type="http://schemas.openxmlformats.org/officeDocument/2006/relationships/worksheet"/>
    <Relationship Id="rId8" Target="worksheets/sheet8.xml" Type="http://schemas.openxmlformats.org/officeDocument/2006/relationships/worksheet"/>
    <Relationship Id="rId9" Target="theme/theme1.xml" Type="http://schemas.openxmlformats.org/officeDocument/2006/relationships/theme"/>
</Relationships>

</file>

<file path=xl/charts/chart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Shopping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TLFD!$C$10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TLFD!$C$11:$C$71</c:f>
              <c:numCache>
                <c:formatCode>0.00%</c:formatCode>
                <c:ptCount val="61"/>
                <c:pt idx="0">
                  <c:v>0.1298186968557164</c:v>
                </c:pt>
                <c:pt idx="1">
                  <c:v>0.14067562424667976</c:v>
                </c:pt>
                <c:pt idx="2">
                  <c:v>0.14963030477941341</c:v>
                </c:pt>
                <c:pt idx="3">
                  <c:v>0.11700212720945252</c:v>
                </c:pt>
                <c:pt idx="4">
                  <c:v>7.6681155831715864E-2</c:v>
                </c:pt>
                <c:pt idx="5">
                  <c:v>6.4911014702328601E-2</c:v>
                </c:pt>
                <c:pt idx="6">
                  <c:v>4.401472060905412E-2</c:v>
                </c:pt>
                <c:pt idx="7">
                  <c:v>2.2588797054413051E-2</c:v>
                </c:pt>
                <c:pt idx="8">
                  <c:v>2.0325142624034714E-2</c:v>
                </c:pt>
                <c:pt idx="9">
                  <c:v>2.4855415860775987E-2</c:v>
                </c:pt>
                <c:pt idx="10">
                  <c:v>2.282714682144233E-2</c:v>
                </c:pt>
                <c:pt idx="11">
                  <c:v>2.1039468222302963E-2</c:v>
                </c:pt>
                <c:pt idx="12">
                  <c:v>2.5259554794862735E-2</c:v>
                </c:pt>
                <c:pt idx="13">
                  <c:v>1.0957292450807911E-2</c:v>
                </c:pt>
                <c:pt idx="14">
                  <c:v>9.3011209817181334E-3</c:v>
                </c:pt>
                <c:pt idx="15">
                  <c:v>1.0601215299376193E-2</c:v>
                </c:pt>
                <c:pt idx="16">
                  <c:v>7.7152103160125539E-3</c:v>
                </c:pt>
                <c:pt idx="17">
                  <c:v>5.4837934389816165E-3</c:v>
                </c:pt>
                <c:pt idx="18">
                  <c:v>1.1926788897198729E-2</c:v>
                </c:pt>
                <c:pt idx="19">
                  <c:v>2.218896509444945E-2</c:v>
                </c:pt>
                <c:pt idx="20">
                  <c:v>4.034551920261701E-3</c:v>
                </c:pt>
                <c:pt idx="21">
                  <c:v>4.4749468548084597E-3</c:v>
                </c:pt>
                <c:pt idx="22">
                  <c:v>3.4247019033473432E-3</c:v>
                </c:pt>
                <c:pt idx="23">
                  <c:v>4.1505522969578473E-3</c:v>
                </c:pt>
                <c:pt idx="24">
                  <c:v>1.3729019841585519E-3</c:v>
                </c:pt>
                <c:pt idx="25">
                  <c:v>5.2304989338479903E-3</c:v>
                </c:pt>
                <c:pt idx="26">
                  <c:v>4.7845403668359161E-4</c:v>
                </c:pt>
                <c:pt idx="27">
                  <c:v>4.6660202411261658E-3</c:v>
                </c:pt>
                <c:pt idx="28">
                  <c:v>3.1170632308824275E-3</c:v>
                </c:pt>
                <c:pt idx="29">
                  <c:v>9.9381221581872226E-3</c:v>
                </c:pt>
                <c:pt idx="30">
                  <c:v>1.2334416009359629E-3</c:v>
                </c:pt>
                <c:pt idx="31">
                  <c:v>0</c:v>
                </c:pt>
                <c:pt idx="32">
                  <c:v>1.1720235996260981E-2</c:v>
                </c:pt>
                <c:pt idx="33">
                  <c:v>1.8060379970486192E-3</c:v>
                </c:pt>
                <c:pt idx="34">
                  <c:v>1.96876358207875E-4</c:v>
                </c:pt>
                <c:pt idx="35">
                  <c:v>2.5725922533325666E-3</c:v>
                </c:pt>
                <c:pt idx="36">
                  <c:v>0</c:v>
                </c:pt>
                <c:pt idx="37">
                  <c:v>4.0199357571683858E-4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3.1349052867271059E-3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2.4254728077207458E-4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CCA-445B-8E41-C9F7C4E75D3F}"/>
            </c:ext>
          </c:extLst>
        </c:ser>
        <c:ser>
          <c:idx val="1"/>
          <c:order val="1"/>
          <c:tx>
            <c:strRef>
              <c:f>TLFD!$G$10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TLFD!$G$11:$G$71</c:f>
              <c:numCache>
                <c:formatCode>0.00%</c:formatCode>
                <c:ptCount val="61"/>
                <c:pt idx="0">
                  <c:v>0.1124818162033378</c:v>
                </c:pt>
                <c:pt idx="1">
                  <c:v>0.19129354088633838</c:v>
                </c:pt>
                <c:pt idx="2">
                  <c:v>0.14657571904745542</c:v>
                </c:pt>
                <c:pt idx="3">
                  <c:v>0.10186935156867462</c:v>
                </c:pt>
                <c:pt idx="4">
                  <c:v>8.0329427396538491E-2</c:v>
                </c:pt>
                <c:pt idx="5">
                  <c:v>6.0490475699575046E-2</c:v>
                </c:pt>
                <c:pt idx="6">
                  <c:v>4.71576005406458E-2</c:v>
                </c:pt>
                <c:pt idx="7">
                  <c:v>3.8956278707490008E-2</c:v>
                </c:pt>
                <c:pt idx="8">
                  <c:v>2.4701327560335842E-2</c:v>
                </c:pt>
                <c:pt idx="9">
                  <c:v>1.759962429698865E-2</c:v>
                </c:pt>
                <c:pt idx="10">
                  <c:v>1.3813958283220507E-2</c:v>
                </c:pt>
                <c:pt idx="11">
                  <c:v>1.3201150017754258E-2</c:v>
                </c:pt>
                <c:pt idx="12">
                  <c:v>1.2708612533360824E-2</c:v>
                </c:pt>
                <c:pt idx="13">
                  <c:v>1.1717810384522869E-2</c:v>
                </c:pt>
                <c:pt idx="14">
                  <c:v>1.1975533486821758E-2</c:v>
                </c:pt>
                <c:pt idx="15">
                  <c:v>1.1849535525697856E-2</c:v>
                </c:pt>
                <c:pt idx="16">
                  <c:v>9.7075701865915257E-3</c:v>
                </c:pt>
                <c:pt idx="17">
                  <c:v>8.8714018991329045E-3</c:v>
                </c:pt>
                <c:pt idx="18">
                  <c:v>8.4762264756079401E-3</c:v>
                </c:pt>
                <c:pt idx="19">
                  <c:v>7.7546017891710478E-3</c:v>
                </c:pt>
                <c:pt idx="20">
                  <c:v>7.3479720055439103E-3</c:v>
                </c:pt>
                <c:pt idx="21">
                  <c:v>6.13953701476467E-3</c:v>
                </c:pt>
                <c:pt idx="22">
                  <c:v>5.6756354306266681E-3</c:v>
                </c:pt>
                <c:pt idx="23">
                  <c:v>5.400730788174519E-3</c:v>
                </c:pt>
                <c:pt idx="24">
                  <c:v>4.7936497027593556E-3</c:v>
                </c:pt>
                <c:pt idx="25">
                  <c:v>4.6504702014821941E-3</c:v>
                </c:pt>
                <c:pt idx="26">
                  <c:v>3.556578811724683E-3</c:v>
                </c:pt>
                <c:pt idx="27">
                  <c:v>3.4878526511116456E-3</c:v>
                </c:pt>
                <c:pt idx="28">
                  <c:v>2.9323161861562605E-3</c:v>
                </c:pt>
                <c:pt idx="29">
                  <c:v>2.6745930838573701E-3</c:v>
                </c:pt>
                <c:pt idx="30">
                  <c:v>2.325235100741097E-3</c:v>
                </c:pt>
                <c:pt idx="31">
                  <c:v>2.1992371396171951E-3</c:v>
                </c:pt>
                <c:pt idx="32">
                  <c:v>1.9357868572672187E-3</c:v>
                </c:pt>
                <c:pt idx="33">
                  <c:v>1.7410627355302795E-3</c:v>
                </c:pt>
                <c:pt idx="34">
                  <c:v>1.3917047524140064E-3</c:v>
                </c:pt>
                <c:pt idx="35">
                  <c:v>1.5635201539465997E-3</c:v>
                </c:pt>
                <c:pt idx="36">
                  <c:v>1.2027078107281536E-3</c:v>
                </c:pt>
                <c:pt idx="37">
                  <c:v>1.2198893508814129E-3</c:v>
                </c:pt>
                <c:pt idx="38">
                  <c:v>8.1898674730536175E-4</c:v>
                </c:pt>
                <c:pt idx="39">
                  <c:v>9.2780316827600429E-4</c:v>
                </c:pt>
                <c:pt idx="40">
                  <c:v>6.2426262556842258E-4</c:v>
                </c:pt>
                <c:pt idx="41">
                  <c:v>7.4453340664123796E-4</c:v>
                </c:pt>
                <c:pt idx="42">
                  <c:v>5.6126364500647173E-4</c:v>
                </c:pt>
                <c:pt idx="43">
                  <c:v>5.1544620459778015E-4</c:v>
                </c:pt>
                <c:pt idx="44">
                  <c:v>5.4980928490429878E-4</c:v>
                </c:pt>
                <c:pt idx="45">
                  <c:v>4.6962876418908857E-4</c:v>
                </c:pt>
                <c:pt idx="46">
                  <c:v>5.2117338464886657E-4</c:v>
                </c:pt>
                <c:pt idx="47">
                  <c:v>4.7535594424017504E-4</c:v>
                </c:pt>
                <c:pt idx="48">
                  <c:v>2.9781336265649518E-4</c:v>
                </c:pt>
                <c:pt idx="49">
                  <c:v>2.3481438209454428E-4</c:v>
                </c:pt>
                <c:pt idx="50">
                  <c:v>2.1190566189019849E-4</c:v>
                </c:pt>
                <c:pt idx="51">
                  <c:v>2.1190566189019849E-4</c:v>
                </c:pt>
                <c:pt idx="52">
                  <c:v>1.7181540153259338E-4</c:v>
                </c:pt>
                <c:pt idx="53">
                  <c:v>9.7362060868469587E-5</c:v>
                </c:pt>
                <c:pt idx="54">
                  <c:v>8.0180520715210244E-5</c:v>
                </c:pt>
                <c:pt idx="55">
                  <c:v>1.0881642097064247E-4</c:v>
                </c:pt>
                <c:pt idx="56">
                  <c:v>1.4317950127716114E-4</c:v>
                </c:pt>
                <c:pt idx="57">
                  <c:v>6.29989805619509E-5</c:v>
                </c:pt>
                <c:pt idx="58">
                  <c:v>7.4453340664123796E-5</c:v>
                </c:pt>
                <c:pt idx="59">
                  <c:v>2.8635900255432229E-5</c:v>
                </c:pt>
                <c:pt idx="60">
                  <c:v>3.4363080306518674E-5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CCA-445B-8E41-C9F7C4E75D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9109504"/>
        <c:axId val="163233792"/>
      </c:lineChart>
      <c:catAx>
        <c:axId val="20910950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Distance (miles)</a:t>
                </a:r>
              </a:p>
            </c:rich>
          </c:tx>
          <c:overlay val="0"/>
        </c:title>
        <c:majorTickMark val="none"/>
        <c:minorTickMark val="none"/>
        <c:tickLblPos val="nextTo"/>
        <c:crossAx val="163233792"/>
        <c:crosses val="autoZero"/>
        <c:auto val="1"/>
        <c:lblAlgn val="ctr"/>
        <c:lblOffset val="100"/>
        <c:tickLblSkip val="10"/>
        <c:noMultiLvlLbl val="0"/>
      </c:catAx>
      <c:valAx>
        <c:axId val="163233792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 Share (%)</a:t>
                </a:r>
              </a:p>
            </c:rich>
          </c:tx>
          <c:overlay val="0"/>
        </c:title>
        <c:numFmt formatCode="0%" sourceLinked="0"/>
        <c:majorTickMark val="none"/>
        <c:minorTickMark val="none"/>
        <c:tickLblPos val="nextTo"/>
        <c:crossAx val="209109504"/>
        <c:crosses val="autoZero"/>
        <c:crossBetween val="between"/>
        <c:majorUnit val="0.05"/>
        <c:minorUnit val="0.05"/>
      </c:valAx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89" footer="0.30000000000000032" header="0.30000000000000032" l="0.70000000000000062" r="0.70000000000000062" t="0.75000000000000189"/>
    <c:pageSetup/>
  </c:printSettings>
</c:chartSpace>
</file>

<file path=xl/charts/chart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Shopping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TDFD!$C$10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TDFD!$C$11:$C$71</c:f>
              <c:numCache>
                <c:formatCode>0.00%</c:formatCode>
                <c:ptCount val="61"/>
                <c:pt idx="0">
                  <c:v>3.8592156096906416E-2</c:v>
                </c:pt>
                <c:pt idx="1">
                  <c:v>9.0220080430315444E-2</c:v>
                </c:pt>
                <c:pt idx="2">
                  <c:v>9.8487477271673035E-2</c:v>
                </c:pt>
                <c:pt idx="3">
                  <c:v>8.4781528526492914E-2</c:v>
                </c:pt>
                <c:pt idx="4">
                  <c:v>0.11652822502545947</c:v>
                </c:pt>
                <c:pt idx="5">
                  <c:v>0.10155436824428063</c:v>
                </c:pt>
                <c:pt idx="6">
                  <c:v>6.4169763145269176E-2</c:v>
                </c:pt>
                <c:pt idx="7">
                  <c:v>5.4656242718443181E-2</c:v>
                </c:pt>
                <c:pt idx="8">
                  <c:v>3.9627508869801875E-2</c:v>
                </c:pt>
                <c:pt idx="9">
                  <c:v>2.83203312049649E-2</c:v>
                </c:pt>
                <c:pt idx="10">
                  <c:v>2.6089310888995642E-2</c:v>
                </c:pt>
                <c:pt idx="11">
                  <c:v>1.3866623711949428E-2</c:v>
                </c:pt>
                <c:pt idx="12">
                  <c:v>1.3505645984185185E-2</c:v>
                </c:pt>
                <c:pt idx="13">
                  <c:v>2.1500544632547421E-2</c:v>
                </c:pt>
                <c:pt idx="14">
                  <c:v>2.2913482541877268E-2</c:v>
                </c:pt>
                <c:pt idx="15">
                  <c:v>2.6462535010047559E-2</c:v>
                </c:pt>
                <c:pt idx="16">
                  <c:v>7.0368326172488638E-3</c:v>
                </c:pt>
                <c:pt idx="17">
                  <c:v>5.575503450142294E-3</c:v>
                </c:pt>
                <c:pt idx="18">
                  <c:v>1.8898410775004985E-2</c:v>
                </c:pt>
                <c:pt idx="19">
                  <c:v>2.0011072716285862E-2</c:v>
                </c:pt>
                <c:pt idx="20">
                  <c:v>3.9369149919727866E-3</c:v>
                </c:pt>
                <c:pt idx="21">
                  <c:v>1.7639322653343663E-2</c:v>
                </c:pt>
                <c:pt idx="22">
                  <c:v>1.676605132551728E-2</c:v>
                </c:pt>
                <c:pt idx="23">
                  <c:v>9.1745665305605056E-3</c:v>
                </c:pt>
                <c:pt idx="24">
                  <c:v>2.9918569239298031E-3</c:v>
                </c:pt>
                <c:pt idx="25">
                  <c:v>6.9559210536702977E-3</c:v>
                </c:pt>
                <c:pt idx="26">
                  <c:v>0</c:v>
                </c:pt>
                <c:pt idx="27">
                  <c:v>1.6693427745494893E-3</c:v>
                </c:pt>
                <c:pt idx="28">
                  <c:v>3.9570651184992331E-3</c:v>
                </c:pt>
                <c:pt idx="29">
                  <c:v>3.1170632308824275E-3</c:v>
                </c:pt>
                <c:pt idx="30">
                  <c:v>1.6319098226235479E-2</c:v>
                </c:pt>
                <c:pt idx="31">
                  <c:v>0</c:v>
                </c:pt>
                <c:pt idx="32">
                  <c:v>1.3747130068091926E-2</c:v>
                </c:pt>
                <c:pt idx="33">
                  <c:v>8.6972116674729886E-4</c:v>
                </c:pt>
                <c:pt idx="34">
                  <c:v>5.0342808473385458E-4</c:v>
                </c:pt>
                <c:pt idx="35">
                  <c:v>4.44933673317346E-4</c:v>
                </c:pt>
                <c:pt idx="36">
                  <c:v>0</c:v>
                </c:pt>
                <c:pt idx="37">
                  <c:v>2.0063328162979625E-4</c:v>
                </c:pt>
                <c:pt idx="38">
                  <c:v>1.6528523941131785E-3</c:v>
                </c:pt>
                <c:pt idx="39">
                  <c:v>3.3317816449349807E-3</c:v>
                </c:pt>
                <c:pt idx="40">
                  <c:v>0</c:v>
                </c:pt>
                <c:pt idx="41">
                  <c:v>9.4969950251610222E-4</c:v>
                </c:pt>
                <c:pt idx="42">
                  <c:v>0</c:v>
                </c:pt>
                <c:pt idx="43">
                  <c:v>5.5517917865227932E-4</c:v>
                </c:pt>
                <c:pt idx="44">
                  <c:v>0</c:v>
                </c:pt>
                <c:pt idx="45">
                  <c:v>5.5517917865227932E-4</c:v>
                </c:pt>
                <c:pt idx="46">
                  <c:v>1.0519273413743218E-3</c:v>
                </c:pt>
                <c:pt idx="47">
                  <c:v>5.7014051341243812E-4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A40-4CFB-A8A7-E3AB5DF27A3A}"/>
            </c:ext>
          </c:extLst>
        </c:ser>
        <c:ser>
          <c:idx val="1"/>
          <c:order val="1"/>
          <c:tx>
            <c:strRef>
              <c:f>TDFD!$G$10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TDFD!$G$11:$G$71</c:f>
              <c:numCache>
                <c:formatCode>0.00%</c:formatCode>
                <c:ptCount val="61"/>
                <c:pt idx="0">
                  <c:v>2.4976232202787992E-2</c:v>
                </c:pt>
                <c:pt idx="1">
                  <c:v>9.3330126112504727E-2</c:v>
                </c:pt>
                <c:pt idx="2">
                  <c:v>0.119583519466685</c:v>
                </c:pt>
                <c:pt idx="3">
                  <c:v>0.11728692026619933</c:v>
                </c:pt>
                <c:pt idx="4">
                  <c:v>9.8954216922671617E-2</c:v>
                </c:pt>
                <c:pt idx="5">
                  <c:v>7.4493430924481407E-2</c:v>
                </c:pt>
                <c:pt idx="6">
                  <c:v>6.5398669003356127E-2</c:v>
                </c:pt>
                <c:pt idx="7">
                  <c:v>5.3274228835206119E-2</c:v>
                </c:pt>
                <c:pt idx="8">
                  <c:v>4.8199947309943529E-2</c:v>
                </c:pt>
                <c:pt idx="9">
                  <c:v>3.6877312348945625E-2</c:v>
                </c:pt>
                <c:pt idx="10">
                  <c:v>2.9947424487131027E-2</c:v>
                </c:pt>
                <c:pt idx="11">
                  <c:v>2.653975235673459E-2</c:v>
                </c:pt>
                <c:pt idx="12">
                  <c:v>1.9512502434051521E-2</c:v>
                </c:pt>
                <c:pt idx="13">
                  <c:v>1.5692473339976861E-2</c:v>
                </c:pt>
                <c:pt idx="14">
                  <c:v>1.418049780649004E-2</c:v>
                </c:pt>
                <c:pt idx="15">
                  <c:v>1.2817428954331467E-2</c:v>
                </c:pt>
                <c:pt idx="16">
                  <c:v>1.0990458518034889E-2</c:v>
                </c:pt>
                <c:pt idx="17">
                  <c:v>1.0549465654101234E-2</c:v>
                </c:pt>
                <c:pt idx="18">
                  <c:v>1.1133638019312051E-2</c:v>
                </c:pt>
                <c:pt idx="19">
                  <c:v>1.0589555914458839E-2</c:v>
                </c:pt>
                <c:pt idx="20">
                  <c:v>1.0137108690423009E-2</c:v>
                </c:pt>
                <c:pt idx="21">
                  <c:v>8.5907700766296689E-3</c:v>
                </c:pt>
                <c:pt idx="22">
                  <c:v>8.5334982761188054E-3</c:v>
                </c:pt>
                <c:pt idx="23">
                  <c:v>7.502605866923244E-3</c:v>
                </c:pt>
                <c:pt idx="24">
                  <c:v>6.9699781221722046E-3</c:v>
                </c:pt>
                <c:pt idx="25">
                  <c:v>6.3800785769103007E-3</c:v>
                </c:pt>
                <c:pt idx="26">
                  <c:v>6.0822652142538056E-3</c:v>
                </c:pt>
                <c:pt idx="27">
                  <c:v>5.2804600071017036E-3</c:v>
                </c:pt>
                <c:pt idx="28">
                  <c:v>4.3812927390811315E-3</c:v>
                </c:pt>
                <c:pt idx="29">
                  <c:v>4.3240209385702671E-3</c:v>
                </c:pt>
                <c:pt idx="30">
                  <c:v>3.7742116536659681E-3</c:v>
                </c:pt>
                <c:pt idx="31">
                  <c:v>3.1843121084040638E-3</c:v>
                </c:pt>
                <c:pt idx="32">
                  <c:v>2.9437705462584331E-3</c:v>
                </c:pt>
                <c:pt idx="33">
                  <c:v>3.1155859477910268E-3</c:v>
                </c:pt>
                <c:pt idx="34">
                  <c:v>2.6345028234997653E-3</c:v>
                </c:pt>
                <c:pt idx="35">
                  <c:v>2.2679633002302326E-3</c:v>
                </c:pt>
                <c:pt idx="36">
                  <c:v>2.0789663585443797E-3</c:v>
                </c:pt>
                <c:pt idx="37">
                  <c:v>1.8556063365520086E-3</c:v>
                </c:pt>
                <c:pt idx="38">
                  <c:v>1.6723365749172422E-3</c:v>
                </c:pt>
                <c:pt idx="39">
                  <c:v>1.6150647744063778E-3</c:v>
                </c:pt>
                <c:pt idx="40">
                  <c:v>1.3630688521585742E-3</c:v>
                </c:pt>
                <c:pt idx="41">
                  <c:v>1.1397088301662028E-3</c:v>
                </c:pt>
                <c:pt idx="42">
                  <c:v>1.0480739493488197E-3</c:v>
                </c:pt>
                <c:pt idx="43">
                  <c:v>1.0423467692977331E-3</c:v>
                </c:pt>
                <c:pt idx="44">
                  <c:v>7.788964869477567E-4</c:v>
                </c:pt>
                <c:pt idx="45">
                  <c:v>8.2471392735644828E-4</c:v>
                </c:pt>
                <c:pt idx="46">
                  <c:v>6.1280826546624974E-4</c:v>
                </c:pt>
                <c:pt idx="47">
                  <c:v>6.8153442607928711E-4</c:v>
                </c:pt>
                <c:pt idx="48">
                  <c:v>5.4408210485321236E-4</c:v>
                </c:pt>
                <c:pt idx="49">
                  <c:v>3.8372106342279187E-4</c:v>
                </c:pt>
                <c:pt idx="50">
                  <c:v>4.9253748439343436E-4</c:v>
                </c:pt>
                <c:pt idx="51">
                  <c:v>3.8372106342279187E-4</c:v>
                </c:pt>
                <c:pt idx="52">
                  <c:v>3.6081234321844608E-4</c:v>
                </c:pt>
                <c:pt idx="53">
                  <c:v>2.4054156214563073E-4</c:v>
                </c:pt>
                <c:pt idx="54">
                  <c:v>3.0354054270758166E-4</c:v>
                </c:pt>
                <c:pt idx="55">
                  <c:v>2.1763284194128494E-4</c:v>
                </c:pt>
                <c:pt idx="56">
                  <c:v>2.1763284194128494E-4</c:v>
                </c:pt>
                <c:pt idx="57">
                  <c:v>1.8899694168585273E-4</c:v>
                </c:pt>
                <c:pt idx="58">
                  <c:v>1.374523212260747E-4</c:v>
                </c:pt>
                <c:pt idx="59">
                  <c:v>1.1454360102172892E-4</c:v>
                </c:pt>
                <c:pt idx="60">
                  <c:v>1.5463386137933404E-4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A40-4CFB-A8A7-E3AB5DF27A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9586432"/>
        <c:axId val="163235520"/>
      </c:lineChart>
      <c:catAx>
        <c:axId val="189586432"/>
        <c:scaling>
          <c:orientation val="minMax"/>
        </c:scaling>
        <c:delete val="0"/>
        <c:axPos val="b"/>
        <c:majorTickMark val="none"/>
        <c:minorTickMark val="none"/>
        <c:tickLblPos val="nextTo"/>
        <c:crossAx val="163235520"/>
        <c:crosses val="autoZero"/>
        <c:auto val="1"/>
        <c:lblAlgn val="ctr"/>
        <c:lblOffset val="100"/>
        <c:tickLblSkip val="10"/>
        <c:noMultiLvlLbl val="0"/>
      </c:catAx>
      <c:valAx>
        <c:axId val="163235520"/>
        <c:scaling>
          <c:orientation val="minMax"/>
          <c:max val="0.15000000000000024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%" sourceLinked="0"/>
        <c:majorTickMark val="none"/>
        <c:minorTickMark val="none"/>
        <c:tickLblPos val="nextTo"/>
        <c:crossAx val="189586432"/>
        <c:crosses val="autoZero"/>
        <c:crossBetween val="between"/>
        <c:majorUnit val="0.05"/>
        <c:minorUnit val="0.05"/>
      </c:valAx>
    </c:plotArea>
    <c:legend>
      <c:legendPos val="r"/>
      <c:layout>
        <c:manualLayout>
          <c:xMode val="edge"/>
          <c:yMode val="edge"/>
          <c:x val="0.81394772836494034"/>
          <c:y val="7.8319845435987162E-2"/>
          <c:w val="0.14165502199548988"/>
          <c:h val="0.1350269757946923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11" footer="0.30000000000000032" header="0.30000000000000032" l="0.70000000000000062" r="0.70000000000000062" t="0.75000000000000211"/>
    <c:pageSetup/>
  </c:printSettings>
</c:chartSpace>
</file>

<file path=xl/drawings/_rels/drawing1.xml.rels><?xml version="1.0" encoding="UTF-8" standalone="no"?>
<Relationships xmlns="http://schemas.openxmlformats.org/package/2006/relationships">
    <Relationship Id="rId1" Target="../charts/chart1.xml" Type="http://schemas.openxmlformats.org/officeDocument/2006/relationships/chart"/>
</Relationships>

</file>

<file path=xl/drawings/_rels/drawing2.xml.rels><?xml version="1.0" encoding="UTF-8" standalone="no"?>
<Relationships xmlns="http://schemas.openxmlformats.org/package/2006/relationships">
    <Relationship Id="rId1" Target="../charts/chart2.xml" Type="http://schemas.openxmlformats.org/officeDocument/2006/relationships/chart"/>
</Relationships>

</file>

<file path=xl/drawings/drawing1.xml><?xml version="1.0" encoding="utf-8"?>
<xdr:wsDr xmlns:a="http://schemas.openxmlformats.org/drawingml/2006/main" xmlns:xdr="http://schemas.openxmlformats.org/drawingml/2006/spreadsheetDrawing">
  <xdr:twoCellAnchor>
    <xdr:from>
      <xdr:col>8</xdr:col>
      <xdr:colOff>152400</xdr:colOff>
      <xdr:row>13</xdr:row>
      <xdr:rowOff>38100</xdr:rowOff>
    </xdr:from>
    <xdr:to>
      <xdr:col>16</xdr:col>
      <xdr:colOff>247650</xdr:colOff>
      <xdr:row>27</xdr:row>
      <xdr:rowOff>114300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a="http://schemas.openxmlformats.org/drawingml/2006/main" xmlns:xdr="http://schemas.openxmlformats.org/drawingml/2006/spreadsheetDrawing">
  <xdr:twoCellAnchor>
    <xdr:from>
      <xdr:col>9</xdr:col>
      <xdr:colOff>0</xdr:colOff>
      <xdr:row>12</xdr:row>
      <xdr:rowOff>0</xdr:rowOff>
    </xdr:from>
    <xdr:to>
      <xdr:col>17</xdr:col>
      <xdr:colOff>533400</xdr:colOff>
      <xdr:row>26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lastClr="000000" val="windowText"/>
      </a:dk1>
      <a:lt1>
        <a:sysClr lastClr="FFFFFF" val="window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panose="020F0302020204030204"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panose="020F0502020204030204"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algn="ctr" cap="flat" cmpd="sng" w="9525">
          <a:solidFill>
            <a:schemeClr val="phClr">
              <a:shade val="95000"/>
              <a:satMod val="105000"/>
            </a:schemeClr>
          </a:solidFill>
          <a:prstDash val="solid"/>
        </a:ln>
        <a:ln algn="ctr" cap="flat" cmpd="sng" w="25400">
          <a:solidFill>
            <a:schemeClr val="phClr"/>
          </a:solidFill>
          <a:prstDash val="solid"/>
        </a:ln>
        <a:ln algn="ctr" cap="flat" cmpd="sng" w="38100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r="5400000" dist="2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dir="t" rig="threePt">
              <a:rot lat="0" lon="0" rev="1200000"/>
            </a:lightRig>
          </a:scene3d>
          <a:sp3d>
            <a:bevelT h="25400" w="635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b="180000" l="50000" r="50000" t="-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b="50000" l="50000" r="50000" t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no"?>
<Relationships xmlns="http://schemas.openxmlformats.org/package/2006/relationships">
    <Relationship Id="rId1" Target="../printerSettings/printerSettings1.bin" Type="http://schemas.openxmlformats.org/officeDocument/2006/relationships/printerSettings"/>
    <Relationship Id="rId2" Target="../drawings/drawing1.xml" Type="http://schemas.openxmlformats.org/officeDocument/2006/relationships/drawing"/>
</Relationships>

</file>

<file path=xl/worksheets/_rels/sheet2.xml.rels><?xml version="1.0" encoding="UTF-8" standalone="no"?>
<Relationships xmlns="http://schemas.openxmlformats.org/package/2006/relationships">
    <Relationship Id="rId1" Target="../drawings/drawing2.xml" Type="http://schemas.openxmlformats.org/officeDocument/2006/relationships/drawing"/>
</Relationships>

</file>

<file path=xl/worksheets/_rels/sheet3.xml.rels><?xml version="1.0" encoding="UTF-8" standalone="no"?>
<Relationships xmlns="http://schemas.openxmlformats.org/package/2006/relationships">
    <Relationship Id="rId1" Target="../printerSettings/printerSettings2.bin" Type="http://schemas.openxmlformats.org/officeDocument/2006/relationships/printerSettings"/>
</Relationships>

</file>

<file path=xl/worksheets/_rels/sheet5.xml.rels><?xml version="1.0" encoding="UTF-8" standalone="no"?>
<Relationships xmlns="http://schemas.openxmlformats.org/package/2006/relationships">
    <Relationship Id="rId1" Target="../printerSettings/printerSettings3.bin" Type="http://schemas.openxmlformats.org/officeDocument/2006/relationships/printerSettings"/>
</Relationships>

</file>

<file path=xl/worksheets/_rels/sheet6.xml.rels><?xml version="1.0" encoding="UTF-8" standalone="no"?>
<Relationships xmlns="http://schemas.openxmlformats.org/package/2006/relationships">
    <Relationship Id="rId1" Target="../printerSettings/printerSettings4.bin" Type="http://schemas.openxmlformats.org/officeDocument/2006/relationships/printerSettings"/>
</Relationships>

</file>

<file path=xl/worksheets/_rels/sheet7.xml.rels><?xml version="1.0" encoding="UTF-8" standalone="no"?>
<Relationships xmlns="http://schemas.openxmlformats.org/package/2006/relationships">
    <Relationship Id="rId1" Target="../printerSettings/printerSettings5.bin" Type="http://schemas.openxmlformats.org/officeDocument/2006/relationships/printerSettings"/>
</Relationships>

</file>

<file path=xl/worksheets/sheet1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1"/>
  <dimension ref="A1:M102"/>
  <sheetViews>
    <sheetView workbookViewId="0">
      <selection activeCell="T22" sqref="T22"/>
    </sheetView>
  </sheetViews>
  <sheetFormatPr defaultRowHeight="15" x14ac:dyDescent="0.25"/>
  <cols>
    <col min="1" max="1" customWidth="true" width="13.5703125" collapsed="true"/>
    <col min="2" max="2" bestFit="true" customWidth="true" width="10.5703125" collapsed="true"/>
    <col min="6" max="6" bestFit="true" customWidth="true" width="10.5703125" collapsed="true"/>
    <col min="12" max="12" bestFit="true" customWidth="true" width="15.7109375" collapsed="true"/>
  </cols>
  <sheetData>
    <row r="1" spans="1:12" x14ac:dyDescent="0.25">
      <c r="A1" t="s">
        <v>1</v>
      </c>
    </row>
    <row r="2" spans="1:12" x14ac:dyDescent="0.25">
      <c r="A2" t="s">
        <v>243</v>
      </c>
    </row>
    <row r="3" spans="1:12" x14ac:dyDescent="0.25">
      <c r="A3" t="s">
        <v>244</v>
      </c>
    </row>
    <row r="4" spans="1:12" x14ac:dyDescent="0.25">
      <c r="A4" t="s">
        <v>5</v>
      </c>
    </row>
    <row r="5" spans="1:12" x14ac:dyDescent="0.25">
      <c r="A5" t="s">
        <v>6</v>
      </c>
    </row>
    <row r="7" spans="1:12" x14ac:dyDescent="0.25">
      <c r="A7" t="s">
        <v>9</v>
      </c>
    </row>
    <row ht="15.75" r="9" spans="1:12" thickBot="1" x14ac:dyDescent="0.3">
      <c r="A9" s="4" t="s">
        <v>37</v>
      </c>
      <c r="B9" s="1"/>
      <c r="E9" s="4" t="s">
        <v>10</v>
      </c>
      <c r="F9" s="1"/>
      <c r="G9" s="6"/>
      <c r="J9" s="10" t="s">
        <v>17</v>
      </c>
    </row>
    <row r="10" spans="1:12" x14ac:dyDescent="0.25">
      <c r="A10" s="2" t="s">
        <v>3</v>
      </c>
      <c r="B10" s="5" t="s">
        <v>36</v>
      </c>
      <c r="C10" s="5" t="s">
        <v>36</v>
      </c>
      <c r="E10" s="2" t="s">
        <v>3</v>
      </c>
      <c r="F10" s="5" t="s">
        <v>16</v>
      </c>
      <c r="G10" s="5" t="s">
        <v>16</v>
      </c>
      <c r="J10" s="2"/>
      <c r="K10" s="5" t="s">
        <v>36</v>
      </c>
      <c r="L10" s="5" t="s">
        <v>16</v>
      </c>
    </row>
    <row r="11" spans="1:12" x14ac:dyDescent="0.25">
      <c r="A11">
        <v>0</v>
      </c>
      <c r="B11" s="341" t="n">
        <v>9899.296461</v>
      </c>
      <c r="C11" s="11">
        <f>B11/B$102</f>
        <v>0.1298186968557164</v>
      </c>
      <c r="E11" s="19">
        <v>0</v>
      </c>
      <c r="F11" s="343" t="n">
        <v>15560.0</v>
      </c>
      <c r="G11" s="11">
        <f>F11/F$102</f>
        <v>0.1124818162033378</v>
      </c>
      <c r="K11" s="8" t="n">
        <v>5.066660711751058</v>
      </c>
      <c r="L11" s="8" t="n">
        <v>5.549246566083878</v>
      </c>
    </row>
    <row r="12" spans="1:12" x14ac:dyDescent="0.25">
      <c r="A12">
        <v>1</v>
      </c>
      <c r="B12" s="341" t="n">
        <v>26903.974116</v>
      </c>
      <c r="C12" s="11">
        <f>B12/B$102</f>
        <v>0.14067562424667976</v>
      </c>
      <c r="E12" s="20">
        <v>1</v>
      </c>
      <c r="F12" s="343" t="n">
        <v>24682.0</v>
      </c>
      <c r="G12" s="11">
        <f>F12/F$102</f>
        <v>0.19129354088633838</v>
      </c>
      <c r="K12" s="8"/>
      <c r="L12" s="289"/>
    </row>
    <row r="13" spans="1:12" x14ac:dyDescent="0.25">
      <c r="A13">
        <v>2</v>
      </c>
      <c r="B13" s="341" t="n">
        <v>23192.35381</v>
      </c>
      <c r="C13" s="11">
        <f ref="C13:C76" si="0" t="shared">B13/B$102</f>
        <v>0.14963030477941341</v>
      </c>
      <c r="E13" s="21">
        <v>2</v>
      </c>
      <c r="F13" s="343" t="n">
        <v>27621.0</v>
      </c>
      <c r="G13" s="11">
        <f ref="G13:G76" si="1" t="shared">F13/F$102</f>
        <v>0.14657571904745542</v>
      </c>
    </row>
    <row r="14" spans="1:12" x14ac:dyDescent="0.25">
      <c r="A14">
        <v>3</v>
      </c>
      <c r="B14" s="341" t="n">
        <v>16760.82474</v>
      </c>
      <c r="C14" s="11">
        <f si="0" t="shared"/>
        <v>0.11700212720945252</v>
      </c>
      <c r="E14" s="22">
        <v>3</v>
      </c>
      <c r="F14" s="343" t="n">
        <v>27892.0</v>
      </c>
      <c r="G14" s="11">
        <f si="1" t="shared"/>
        <v>0.10186935156867462</v>
      </c>
    </row>
    <row r="15" spans="1:12" x14ac:dyDescent="0.25">
      <c r="A15">
        <v>4</v>
      </c>
      <c r="B15" s="341" t="n">
        <v>16026.442433</v>
      </c>
      <c r="C15" s="11">
        <f si="0" t="shared"/>
        <v>7.6681155831715864E-2</v>
      </c>
      <c r="E15" s="23">
        <v>4</v>
      </c>
      <c r="F15" s="343" t="n">
        <v>20873.0</v>
      </c>
      <c r="G15" s="11">
        <f si="1" t="shared"/>
        <v>8.0329427396538491E-2</v>
      </c>
    </row>
    <row r="16" spans="1:12" x14ac:dyDescent="0.25">
      <c r="A16">
        <v>5</v>
      </c>
      <c r="B16" s="341" t="n">
        <v>10990.998494</v>
      </c>
      <c r="C16" s="11">
        <f si="0" t="shared"/>
        <v>6.4911014702328601E-2</v>
      </c>
      <c r="E16" s="24">
        <v>5</v>
      </c>
      <c r="F16" s="343" t="n">
        <v>16007.0</v>
      </c>
      <c r="G16" s="11">
        <f si="1" t="shared"/>
        <v>6.0490475699575046E-2</v>
      </c>
    </row>
    <row r="17" spans="1:7" x14ac:dyDescent="0.25">
      <c r="A17">
        <v>6</v>
      </c>
      <c r="B17" s="341" t="n">
        <v>6295.463232</v>
      </c>
      <c r="C17" s="11">
        <f si="0" t="shared"/>
        <v>4.401472060905412E-2</v>
      </c>
      <c r="E17" s="25">
        <v>6</v>
      </c>
      <c r="F17" s="343" t="n">
        <v>11955.0</v>
      </c>
      <c r="G17" s="11">
        <f si="1" t="shared"/>
        <v>4.71576005406458E-2</v>
      </c>
    </row>
    <row r="18" spans="1:7" x14ac:dyDescent="0.25">
      <c r="A18">
        <v>7</v>
      </c>
      <c r="B18" s="341" t="n">
        <v>6341.563246</v>
      </c>
      <c r="C18" s="11">
        <f si="0" t="shared"/>
        <v>2.2588797054413051E-2</v>
      </c>
      <c r="E18" s="26">
        <v>7</v>
      </c>
      <c r="F18" s="343" t="n">
        <v>8127.0</v>
      </c>
      <c r="G18" s="11">
        <f si="1" t="shared"/>
        <v>3.8956278707490008E-2</v>
      </c>
    </row>
    <row r="19" spans="1:7" x14ac:dyDescent="0.25">
      <c r="A19">
        <v>8</v>
      </c>
      <c r="B19" s="341" t="n">
        <v>3949.419241</v>
      </c>
      <c r="C19" s="11">
        <f si="0" t="shared"/>
        <v>2.0325142624034714E-2</v>
      </c>
      <c r="E19" s="27">
        <v>8</v>
      </c>
      <c r="F19" s="343" t="n">
        <v>6087.0</v>
      </c>
      <c r="G19" s="11">
        <f si="1" t="shared"/>
        <v>2.4701327560335842E-2</v>
      </c>
    </row>
    <row r="20" spans="1:7" x14ac:dyDescent="0.25">
      <c r="A20">
        <v>9</v>
      </c>
      <c r="B20" s="341" t="n">
        <v>2055.030682</v>
      </c>
      <c r="C20" s="11">
        <f si="0" t="shared"/>
        <v>2.4855415860775987E-2</v>
      </c>
      <c r="E20" s="28">
        <v>9</v>
      </c>
      <c r="F20" s="343" t="n">
        <v>4369.0</v>
      </c>
      <c r="G20" s="11">
        <f si="1" t="shared"/>
        <v>1.759962429698865E-2</v>
      </c>
    </row>
    <row r="21" spans="1:7" x14ac:dyDescent="0.25">
      <c r="A21">
        <v>10</v>
      </c>
      <c r="B21" s="341" t="n">
        <v>2762.418296</v>
      </c>
      <c r="C21" s="11">
        <f si="0" t="shared"/>
        <v>2.282714682144233E-2</v>
      </c>
      <c r="E21" s="29">
        <v>10</v>
      </c>
      <c r="F21" s="343" t="n">
        <v>3273.0</v>
      </c>
      <c r="G21" s="11">
        <f si="1" t="shared"/>
        <v>1.3813958283220507E-2</v>
      </c>
    </row>
    <row r="22" spans="1:7" x14ac:dyDescent="0.25">
      <c r="A22">
        <v>11</v>
      </c>
      <c r="B22" s="341" t="n">
        <v>2996.148692</v>
      </c>
      <c r="C22" s="11">
        <f si="0" t="shared"/>
        <v>2.1039468222302963E-2</v>
      </c>
      <c r="E22" s="30">
        <v>11</v>
      </c>
      <c r="F22" s="343" t="n">
        <v>2934.0</v>
      </c>
      <c r="G22" s="11">
        <f si="1" t="shared"/>
        <v>1.3201150017754258E-2</v>
      </c>
    </row>
    <row r="23" spans="1:7" x14ac:dyDescent="0.25">
      <c r="A23">
        <v>12</v>
      </c>
      <c r="B23" s="341" t="n">
        <v>2099.357848</v>
      </c>
      <c r="C23" s="11">
        <f si="0" t="shared"/>
        <v>2.5259554794862735E-2</v>
      </c>
      <c r="E23" s="31">
        <v>12</v>
      </c>
      <c r="F23" s="343" t="n">
        <v>2767.0</v>
      </c>
      <c r="G23" s="11">
        <f si="1" t="shared"/>
        <v>1.2708612533360824E-2</v>
      </c>
    </row>
    <row r="24" spans="1:7" x14ac:dyDescent="0.25">
      <c r="A24">
        <v>13</v>
      </c>
      <c r="B24" s="341" t="n">
        <v>1629.300771</v>
      </c>
      <c r="C24" s="11">
        <f si="0" t="shared"/>
        <v>1.0957292450807911E-2</v>
      </c>
      <c r="E24" s="32">
        <v>13</v>
      </c>
      <c r="F24" s="343" t="n">
        <v>2051.0</v>
      </c>
      <c r="G24" s="11">
        <f si="1" t="shared"/>
        <v>1.1717810384522869E-2</v>
      </c>
    </row>
    <row r="25" spans="1:7" x14ac:dyDescent="0.25">
      <c r="A25">
        <v>14</v>
      </c>
      <c r="B25" s="341" t="n">
        <v>1601.351486</v>
      </c>
      <c r="C25" s="11">
        <f si="0" t="shared"/>
        <v>9.3011209817181334E-3</v>
      </c>
      <c r="E25" s="33">
        <v>14</v>
      </c>
      <c r="F25" s="343" t="n">
        <v>1686.0</v>
      </c>
      <c r="G25" s="11">
        <f si="1" t="shared"/>
        <v>1.1975533486821758E-2</v>
      </c>
    </row>
    <row r="26" spans="1:7" x14ac:dyDescent="0.25">
      <c r="A26">
        <v>15</v>
      </c>
      <c r="B26" s="341" t="n">
        <v>506.94098599999995</v>
      </c>
      <c r="C26" s="11">
        <f si="0" t="shared"/>
        <v>1.0601215299376193E-2</v>
      </c>
      <c r="E26" s="34">
        <v>15</v>
      </c>
      <c r="F26" s="343" t="n">
        <v>1369.0</v>
      </c>
      <c r="G26" s="11">
        <f si="1" t="shared"/>
        <v>1.1849535525697856E-2</v>
      </c>
    </row>
    <row r="27" spans="1:7" x14ac:dyDescent="0.25">
      <c r="A27">
        <v>16</v>
      </c>
      <c r="B27" s="341" t="n">
        <v>1641.9593639999998</v>
      </c>
      <c r="C27" s="11">
        <f si="0" t="shared"/>
        <v>7.7152103160125539E-3</v>
      </c>
      <c r="E27" s="35">
        <v>16</v>
      </c>
      <c r="F27" s="343" t="n">
        <v>1211.0</v>
      </c>
      <c r="G27" s="11">
        <f si="1" t="shared"/>
        <v>9.7075701865915257E-3</v>
      </c>
    </row>
    <row r="28" spans="1:7" x14ac:dyDescent="0.25">
      <c r="A28">
        <v>17</v>
      </c>
      <c r="B28" s="341" t="n">
        <v>275.55185800000004</v>
      </c>
      <c r="C28" s="11">
        <f si="0" t="shared"/>
        <v>5.4837934389816165E-3</v>
      </c>
      <c r="E28" s="36">
        <v>17</v>
      </c>
      <c r="F28" s="343" t="n">
        <v>899.0</v>
      </c>
      <c r="G28" s="11">
        <f si="1" t="shared"/>
        <v>8.8714018991329045E-3</v>
      </c>
    </row>
    <row r="29" spans="1:7" x14ac:dyDescent="0.25">
      <c r="A29">
        <v>18</v>
      </c>
      <c r="B29" s="341" t="n">
        <v>685.0482910000001</v>
      </c>
      <c r="C29" s="11">
        <f si="0" t="shared"/>
        <v>1.1926788897198729E-2</v>
      </c>
      <c r="E29" s="37">
        <v>18</v>
      </c>
      <c r="F29" s="343" t="n">
        <v>833.0</v>
      </c>
      <c r="G29" s="11">
        <f si="1" t="shared"/>
        <v>8.4762264756079401E-3</v>
      </c>
    </row>
    <row r="30" spans="1:7" x14ac:dyDescent="0.25">
      <c r="A30">
        <v>19</v>
      </c>
      <c r="B30" s="341" t="n">
        <v>312.593849</v>
      </c>
      <c r="C30" s="11">
        <f si="0" t="shared"/>
        <v>2.218896509444945E-2</v>
      </c>
      <c r="E30" s="38">
        <v>19</v>
      </c>
      <c r="F30" s="343" t="n">
        <v>745.0</v>
      </c>
      <c r="G30" s="11">
        <f si="1" t="shared"/>
        <v>7.7546017891710478E-3</v>
      </c>
    </row>
    <row r="31" spans="1:7" x14ac:dyDescent="0.25">
      <c r="A31">
        <v>20</v>
      </c>
      <c r="B31" s="341" t="n">
        <v>0.0</v>
      </c>
      <c r="C31" s="11">
        <f si="0" t="shared"/>
        <v>4.034551920261701E-3</v>
      </c>
      <c r="E31" s="39">
        <v>20</v>
      </c>
      <c r="F31" s="343" t="n">
        <v>622.0</v>
      </c>
      <c r="G31" s="11">
        <f si="1" t="shared"/>
        <v>7.3479720055439103E-3</v>
      </c>
    </row>
    <row r="32" spans="1:7" x14ac:dyDescent="0.25">
      <c r="A32">
        <v>21</v>
      </c>
      <c r="B32" s="341" t="n">
        <v>1039.492931</v>
      </c>
      <c r="C32" s="11">
        <f si="0" t="shared"/>
        <v>4.4749468548084597E-3</v>
      </c>
      <c r="E32" s="40">
        <v>21</v>
      </c>
      <c r="F32" s="343" t="n">
        <v>578.0</v>
      </c>
      <c r="G32" s="11">
        <f si="1" t="shared"/>
        <v>6.13953701476467E-3</v>
      </c>
    </row>
    <row r="33" spans="1:7" x14ac:dyDescent="0.25">
      <c r="A33">
        <v>22</v>
      </c>
      <c r="B33" s="341" t="n">
        <v>58.569585</v>
      </c>
      <c r="C33" s="11">
        <f si="0" t="shared"/>
        <v>3.4247019033473432E-3</v>
      </c>
      <c r="E33" s="41">
        <v>22</v>
      </c>
      <c r="F33" s="343" t="n">
        <v>459.0</v>
      </c>
      <c r="G33" s="11">
        <f si="1" t="shared"/>
        <v>5.6756354306266681E-3</v>
      </c>
    </row>
    <row r="34" spans="1:7" x14ac:dyDescent="0.25">
      <c r="A34">
        <v>23</v>
      </c>
      <c r="B34" s="341" t="n">
        <v>527.936824</v>
      </c>
      <c r="C34" s="11">
        <f si="0" t="shared"/>
        <v>4.1505522969578473E-3</v>
      </c>
      <c r="E34" s="42">
        <v>23</v>
      </c>
      <c r="F34" s="343" t="n">
        <v>449.0</v>
      </c>
      <c r="G34" s="11">
        <f si="1" t="shared"/>
        <v>5.400730788174519E-3</v>
      </c>
    </row>
    <row r="35" spans="1:7" x14ac:dyDescent="0.25">
      <c r="A35">
        <v>24</v>
      </c>
      <c r="B35" s="341" t="n">
        <v>290.456397</v>
      </c>
      <c r="C35" s="11">
        <f si="0" t="shared"/>
        <v>1.3729019841585519E-3</v>
      </c>
      <c r="E35" s="43">
        <v>24</v>
      </c>
      <c r="F35" s="343" t="n">
        <v>336.0</v>
      </c>
      <c r="G35" s="11">
        <f si="1" t="shared"/>
        <v>4.7936497027593556E-3</v>
      </c>
    </row>
    <row r="36" spans="1:7" x14ac:dyDescent="0.25">
      <c r="A36">
        <v>25</v>
      </c>
      <c r="B36" s="341" t="n">
        <v>0.0</v>
      </c>
      <c r="C36" s="11">
        <f si="0" t="shared"/>
        <v>5.2304989338479903E-3</v>
      </c>
      <c r="E36" s="44">
        <v>25</v>
      </c>
      <c r="F36" s="343" t="n">
        <v>340.0</v>
      </c>
      <c r="G36" s="11">
        <f si="1" t="shared"/>
        <v>4.6504702014821941E-3</v>
      </c>
    </row>
    <row r="37" spans="1:7" x14ac:dyDescent="0.25">
      <c r="A37">
        <v>26</v>
      </c>
      <c r="B37" s="341" t="n">
        <v>27.094128</v>
      </c>
      <c r="C37" s="11">
        <f si="0" t="shared"/>
        <v>4.7845403668359161E-4</v>
      </c>
      <c r="E37" s="45">
        <v>26</v>
      </c>
      <c r="F37" s="343" t="n">
        <v>255.0</v>
      </c>
      <c r="G37" s="11">
        <f si="1" t="shared"/>
        <v>3.556578811724683E-3</v>
      </c>
    </row>
    <row r="38" spans="1:7" x14ac:dyDescent="0.25">
      <c r="A38">
        <v>27</v>
      </c>
      <c r="B38" s="341" t="n">
        <v>361.133825</v>
      </c>
      <c r="C38" s="11">
        <f si="0" t="shared"/>
        <v>4.6660202411261658E-3</v>
      </c>
      <c r="E38" s="46">
        <v>27</v>
      </c>
      <c r="F38" s="343" t="n">
        <v>249.0</v>
      </c>
      <c r="G38" s="11">
        <f si="1" t="shared"/>
        <v>3.4878526511116456E-3</v>
      </c>
    </row>
    <row r="39" spans="1:7" x14ac:dyDescent="0.25">
      <c r="A39">
        <v>28</v>
      </c>
      <c r="B39" s="341" t="n">
        <v>98.120978</v>
      </c>
      <c r="C39" s="11">
        <f si="0" t="shared"/>
        <v>3.1170632308824275E-3</v>
      </c>
      <c r="E39" s="47">
        <v>28</v>
      </c>
      <c r="F39" s="343" t="n">
        <v>203.0</v>
      </c>
      <c r="G39" s="11">
        <f si="1" t="shared"/>
        <v>2.9323161861562605E-3</v>
      </c>
    </row>
    <row r="40" spans="1:7" x14ac:dyDescent="0.25">
      <c r="A40">
        <v>29</v>
      </c>
      <c r="B40" s="341" t="n">
        <v>74.388674</v>
      </c>
      <c r="C40" s="11">
        <f si="0" t="shared"/>
        <v>9.9381221581872226E-3</v>
      </c>
      <c r="E40" s="48">
        <v>29</v>
      </c>
      <c r="F40" s="343" t="n">
        <v>163.0</v>
      </c>
      <c r="G40" s="11">
        <f si="1" t="shared"/>
        <v>2.6745930838573701E-3</v>
      </c>
    </row>
    <row r="41" spans="1:7" x14ac:dyDescent="0.25">
      <c r="A41">
        <v>30</v>
      </c>
      <c r="B41" s="341" t="n">
        <v>462.366312</v>
      </c>
      <c r="C41" s="11">
        <f si="0" t="shared"/>
        <v>1.2334416009359629E-3</v>
      </c>
      <c r="E41" s="49">
        <v>30</v>
      </c>
      <c r="F41" s="343" t="n">
        <v>155.0</v>
      </c>
      <c r="G41" s="11">
        <f si="1" t="shared"/>
        <v>2.325235100741097E-3</v>
      </c>
    </row>
    <row r="42" spans="1:7" x14ac:dyDescent="0.25">
      <c r="A42">
        <v>31</v>
      </c>
      <c r="B42" s="341" t="n">
        <v>91.38179</v>
      </c>
      <c r="C42" s="11">
        <f si="0" t="shared"/>
        <v>0</v>
      </c>
      <c r="E42" s="50">
        <v>31</v>
      </c>
      <c r="F42" s="343" t="n">
        <v>190.0</v>
      </c>
      <c r="G42" s="11">
        <f si="1" t="shared"/>
        <v>2.1992371396171951E-3</v>
      </c>
    </row>
    <row r="43" spans="1:7" x14ac:dyDescent="0.25">
      <c r="A43">
        <v>32</v>
      </c>
      <c r="B43" s="341" t="n">
        <v>0.0</v>
      </c>
      <c r="C43" s="11">
        <f si="0" t="shared"/>
        <v>1.1720235996260981E-2</v>
      </c>
      <c r="E43" s="51">
        <v>32</v>
      </c>
      <c r="F43" s="343" t="n">
        <v>103.0</v>
      </c>
      <c r="G43" s="11">
        <f si="1" t="shared"/>
        <v>1.9357868572672187E-3</v>
      </c>
    </row>
    <row r="44" spans="1:7" x14ac:dyDescent="0.25">
      <c r="A44">
        <v>33</v>
      </c>
      <c r="B44" s="341" t="n">
        <v>77.636286</v>
      </c>
      <c r="C44" s="11">
        <f si="0" t="shared"/>
        <v>1.8060379970486192E-3</v>
      </c>
      <c r="E44" s="52">
        <v>33</v>
      </c>
      <c r="F44" s="343" t="n">
        <v>85.0</v>
      </c>
      <c r="G44" s="11">
        <f si="1" t="shared"/>
        <v>1.7410627355302795E-3</v>
      </c>
    </row>
    <row r="45" spans="1:7" x14ac:dyDescent="0.25">
      <c r="A45">
        <v>34</v>
      </c>
      <c r="B45" s="341" t="n">
        <v>28.392781</v>
      </c>
      <c r="C45" s="11">
        <f si="0" t="shared"/>
        <v>1.96876358207875E-4</v>
      </c>
      <c r="E45" s="53">
        <v>34</v>
      </c>
      <c r="F45" s="343" t="n">
        <v>73.0</v>
      </c>
      <c r="G45" s="11">
        <f si="1" t="shared"/>
        <v>1.3917047524140064E-3</v>
      </c>
    </row>
    <row r="46" spans="1:7" x14ac:dyDescent="0.25">
      <c r="A46">
        <v>35</v>
      </c>
      <c r="B46" s="341" t="n">
        <v>0.0</v>
      </c>
      <c r="C46" s="11">
        <f si="0" t="shared"/>
        <v>2.5725922533325666E-3</v>
      </c>
      <c r="E46" s="54">
        <v>35</v>
      </c>
      <c r="F46" s="343" t="n">
        <v>104.0</v>
      </c>
      <c r="G46" s="11">
        <f si="1" t="shared"/>
        <v>1.5635201539465997E-3</v>
      </c>
    </row>
    <row r="47" spans="1:7" x14ac:dyDescent="0.25">
      <c r="A47">
        <v>36</v>
      </c>
      <c r="B47" s="341" t="n">
        <v>0.0</v>
      </c>
      <c r="C47" s="11">
        <f si="0" t="shared"/>
        <v>0</v>
      </c>
      <c r="E47" s="55">
        <v>36</v>
      </c>
      <c r="F47" s="343" t="n">
        <v>63.0</v>
      </c>
      <c r="G47" s="11">
        <f si="1" t="shared"/>
        <v>1.2027078107281536E-3</v>
      </c>
    </row>
    <row r="48" spans="1:7" x14ac:dyDescent="0.25">
      <c r="A48">
        <v>37</v>
      </c>
      <c r="B48" s="341" t="n">
        <v>0.0</v>
      </c>
      <c r="C48" s="11">
        <f si="0" t="shared"/>
        <v>4.0199357571683858E-4</v>
      </c>
      <c r="E48" s="56">
        <v>37</v>
      </c>
      <c r="F48" s="343" t="n">
        <v>40.0</v>
      </c>
      <c r="G48" s="11">
        <f si="1" t="shared"/>
        <v>1.2198893508814129E-3</v>
      </c>
    </row>
    <row r="49" spans="1:7" x14ac:dyDescent="0.25">
      <c r="A49">
        <v>38</v>
      </c>
      <c r="B49" s="341" t="n">
        <v>0.0</v>
      </c>
      <c r="C49" s="11">
        <f si="0" t="shared"/>
        <v>0</v>
      </c>
      <c r="E49" s="57">
        <v>38</v>
      </c>
      <c r="F49" s="343" t="n">
        <v>88.0</v>
      </c>
      <c r="G49" s="11">
        <f si="1" t="shared"/>
        <v>8.1898674730536175E-4</v>
      </c>
    </row>
    <row r="50" spans="1:7" x14ac:dyDescent="0.25">
      <c r="A50">
        <v>39</v>
      </c>
      <c r="B50" s="341" t="n">
        <v>0.0</v>
      </c>
      <c r="C50" s="11">
        <f si="0" t="shared"/>
        <v>0</v>
      </c>
      <c r="E50" s="58">
        <v>39</v>
      </c>
      <c r="F50" s="343" t="n">
        <v>46.0</v>
      </c>
      <c r="G50" s="11">
        <f si="1" t="shared"/>
        <v>9.2780316827600429E-4</v>
      </c>
    </row>
    <row r="51" spans="1:7" x14ac:dyDescent="0.25">
      <c r="A51">
        <v>40</v>
      </c>
      <c r="B51" s="341" t="n">
        <v>0.0</v>
      </c>
      <c r="C51" s="11">
        <f si="0" t="shared"/>
        <v>0</v>
      </c>
      <c r="E51" s="59">
        <v>40</v>
      </c>
      <c r="F51" s="343" t="n">
        <v>58.0</v>
      </c>
      <c r="G51" s="11">
        <f si="1" t="shared"/>
        <v>6.2426262556842258E-4</v>
      </c>
    </row>
    <row r="52" spans="1:7" x14ac:dyDescent="0.25">
      <c r="A52">
        <v>41</v>
      </c>
      <c r="B52" s="341" t="n">
        <v>0.0</v>
      </c>
      <c r="C52" s="11">
        <f si="0" t="shared"/>
        <v>0</v>
      </c>
      <c r="E52" s="60">
        <v>41</v>
      </c>
      <c r="F52" s="343" t="n">
        <v>38.0</v>
      </c>
      <c r="G52" s="11">
        <f si="1" t="shared"/>
        <v>7.4453340664123796E-4</v>
      </c>
    </row>
    <row r="53" spans="1:7" x14ac:dyDescent="0.25">
      <c r="A53">
        <v>42</v>
      </c>
      <c r="B53" s="341" t="n">
        <v>0.0</v>
      </c>
      <c r="C53" s="11">
        <f si="0" t="shared"/>
        <v>3.1349052867271059E-3</v>
      </c>
      <c r="E53" s="61">
        <v>42</v>
      </c>
      <c r="F53" s="343" t="n">
        <v>25.0</v>
      </c>
      <c r="G53" s="11">
        <f si="1" t="shared"/>
        <v>5.6126364500647173E-4</v>
      </c>
    </row>
    <row r="54" spans="1:7" x14ac:dyDescent="0.25">
      <c r="A54">
        <v>43</v>
      </c>
      <c r="B54" s="341" t="n">
        <v>0.0</v>
      </c>
      <c r="C54" s="11">
        <f si="0" t="shared"/>
        <v>0</v>
      </c>
      <c r="E54" s="62">
        <v>43</v>
      </c>
      <c r="F54" s="343" t="n">
        <v>22.0</v>
      </c>
      <c r="G54" s="11">
        <f si="1" t="shared"/>
        <v>5.1544620459778015E-4</v>
      </c>
    </row>
    <row r="55" spans="1:7" x14ac:dyDescent="0.25">
      <c r="A55">
        <v>44</v>
      </c>
      <c r="B55" s="341" t="n">
        <v>0.0</v>
      </c>
      <c r="C55" s="11">
        <f si="0" t="shared"/>
        <v>0</v>
      </c>
      <c r="E55" s="63">
        <v>44</v>
      </c>
      <c r="F55" s="343" t="n">
        <v>14.0</v>
      </c>
      <c r="G55" s="11">
        <f si="1" t="shared"/>
        <v>5.4980928490429878E-4</v>
      </c>
    </row>
    <row r="56" spans="1:7" x14ac:dyDescent="0.25">
      <c r="A56">
        <v>45</v>
      </c>
      <c r="B56" s="341" t="n">
        <v>0.0</v>
      </c>
      <c r="C56" s="11">
        <f si="0" t="shared"/>
        <v>0</v>
      </c>
      <c r="E56" s="64">
        <v>45</v>
      </c>
      <c r="F56" s="343" t="n">
        <v>27.0</v>
      </c>
      <c r="G56" s="11">
        <f si="1" t="shared"/>
        <v>4.6962876418908857E-4</v>
      </c>
    </row>
    <row r="57" spans="1:7" x14ac:dyDescent="0.25">
      <c r="A57">
        <v>46</v>
      </c>
      <c r="B57" s="341" t="n">
        <v>0.0</v>
      </c>
      <c r="C57" s="11">
        <f si="0" t="shared"/>
        <v>0</v>
      </c>
      <c r="E57" s="65">
        <v>46</v>
      </c>
      <c r="F57" s="343" t="n">
        <v>21.0</v>
      </c>
      <c r="G57" s="11">
        <f si="1" t="shared"/>
        <v>5.2117338464886657E-4</v>
      </c>
    </row>
    <row r="58" spans="1:7" x14ac:dyDescent="0.25">
      <c r="A58">
        <v>47</v>
      </c>
      <c r="B58" s="341" t="n">
        <v>0.0</v>
      </c>
      <c r="C58" s="11">
        <f si="0" t="shared"/>
        <v>0</v>
      </c>
      <c r="E58" s="66">
        <v>47</v>
      </c>
      <c r="F58" s="343" t="n">
        <v>12.0</v>
      </c>
      <c r="G58" s="11">
        <f si="1" t="shared"/>
        <v>4.7535594424017504E-4</v>
      </c>
    </row>
    <row r="59" spans="1:7" x14ac:dyDescent="0.25">
      <c r="A59">
        <v>48</v>
      </c>
      <c r="B59" s="341" t="n">
        <v>0.0</v>
      </c>
      <c r="C59" s="11">
        <f si="0" t="shared"/>
        <v>0</v>
      </c>
      <c r="E59" s="67">
        <v>48</v>
      </c>
      <c r="F59" s="343" t="n">
        <v>11.0</v>
      </c>
      <c r="G59" s="11">
        <f si="1" t="shared"/>
        <v>2.9781336265649518E-4</v>
      </c>
    </row>
    <row r="60" spans="1:7" x14ac:dyDescent="0.25">
      <c r="A60">
        <v>49</v>
      </c>
      <c r="B60" s="341" t="n">
        <v>0.0</v>
      </c>
      <c r="C60" s="11">
        <f si="0" t="shared"/>
        <v>0</v>
      </c>
      <c r="E60" s="68">
        <v>49</v>
      </c>
      <c r="F60" s="343" t="n">
        <v>10.0</v>
      </c>
      <c r="G60" s="11">
        <f si="1" t="shared"/>
        <v>2.3481438209454428E-4</v>
      </c>
    </row>
    <row r="61" spans="1:7" x14ac:dyDescent="0.25">
      <c r="A61">
        <v>50</v>
      </c>
      <c r="B61" s="341" t="n">
        <v>0.0</v>
      </c>
      <c r="C61" s="11">
        <f si="0" t="shared"/>
        <v>0</v>
      </c>
      <c r="E61" s="69">
        <v>50</v>
      </c>
      <c r="F61" s="343" t="n">
        <v>4.0</v>
      </c>
      <c r="G61" s="11">
        <f si="1" t="shared"/>
        <v>2.1190566189019849E-4</v>
      </c>
    </row>
    <row r="62" spans="1:7" x14ac:dyDescent="0.25">
      <c r="A62">
        <v>51</v>
      </c>
      <c r="B62" s="341" t="n">
        <v>0.0</v>
      </c>
      <c r="C62" s="11">
        <f si="0" t="shared"/>
        <v>0</v>
      </c>
      <c r="E62" s="70">
        <v>51</v>
      </c>
      <c r="F62" s="343" t="n">
        <v>0.0</v>
      </c>
      <c r="G62" s="11">
        <f si="1" t="shared"/>
        <v>2.1190566189019849E-4</v>
      </c>
    </row>
    <row r="63" spans="1:7" x14ac:dyDescent="0.25">
      <c r="A63">
        <v>52</v>
      </c>
      <c r="B63" s="341" t="n">
        <v>0.0</v>
      </c>
      <c r="C63" s="11">
        <f si="0" t="shared"/>
        <v>0</v>
      </c>
      <c r="E63" s="71">
        <v>52</v>
      </c>
      <c r="F63" s="343" t="n">
        <v>27.0</v>
      </c>
      <c r="G63" s="11">
        <f si="1" t="shared"/>
        <v>1.7181540153259338E-4</v>
      </c>
    </row>
    <row r="64" spans="1:7" x14ac:dyDescent="0.25">
      <c r="A64">
        <v>53</v>
      </c>
      <c r="B64" s="341" t="n">
        <v>0.0</v>
      </c>
      <c r="C64" s="11">
        <f si="0" t="shared"/>
        <v>0</v>
      </c>
      <c r="E64" s="72">
        <v>53</v>
      </c>
      <c r="F64" s="343" t="n">
        <v>88.0</v>
      </c>
      <c r="G64" s="11">
        <f si="1" t="shared"/>
        <v>9.7362060868469587E-5</v>
      </c>
    </row>
    <row r="65" spans="1:7" x14ac:dyDescent="0.25">
      <c r="A65">
        <v>54</v>
      </c>
      <c r="B65" s="341" t="n">
        <v>0.0</v>
      </c>
      <c r="C65" s="11">
        <f si="0" t="shared"/>
        <v>0</v>
      </c>
      <c r="E65" s="73">
        <v>54</v>
      </c>
      <c r="F65" s="343" t="n">
        <v>6.0</v>
      </c>
      <c r="G65" s="11">
        <f si="1" t="shared"/>
        <v>8.0180520715210244E-5</v>
      </c>
    </row>
    <row r="66" spans="1:7" x14ac:dyDescent="0.25">
      <c r="A66">
        <v>55</v>
      </c>
      <c r="B66" s="341" t="n">
        <v>0.0</v>
      </c>
      <c r="C66" s="11">
        <f si="0" t="shared"/>
        <v>2.4254728077207458E-4</v>
      </c>
      <c r="E66" s="74">
        <v>55</v>
      </c>
      <c r="F66" s="343" t="n">
        <v>16.0</v>
      </c>
      <c r="G66" s="11">
        <f si="1" t="shared"/>
        <v>1.0881642097064247E-4</v>
      </c>
    </row>
    <row r="67" spans="1:7" x14ac:dyDescent="0.25">
      <c r="A67">
        <v>56</v>
      </c>
      <c r="B67" s="341" t="n">
        <v>0.0</v>
      </c>
      <c r="C67" s="11">
        <f si="0" t="shared"/>
        <v>0</v>
      </c>
      <c r="E67" s="75">
        <v>56</v>
      </c>
      <c r="F67" s="343" t="n">
        <v>44.0</v>
      </c>
      <c r="G67" s="11">
        <f si="1" t="shared"/>
        <v>1.4317950127716114E-4</v>
      </c>
    </row>
    <row r="68" spans="1:7" x14ac:dyDescent="0.25">
      <c r="A68">
        <v>57</v>
      </c>
      <c r="B68" s="341" t="n">
        <v>0.0</v>
      </c>
      <c r="C68" s="11">
        <f si="0" t="shared"/>
        <v>0</v>
      </c>
      <c r="E68" s="76">
        <v>57</v>
      </c>
      <c r="F68" s="343" t="n">
        <v>40.0</v>
      </c>
      <c r="G68" s="11">
        <f si="1" t="shared"/>
        <v>6.29989805619509E-5</v>
      </c>
    </row>
    <row r="69" spans="1:7" x14ac:dyDescent="0.25">
      <c r="A69">
        <v>58</v>
      </c>
      <c r="B69" s="341" t="n">
        <v>0.0</v>
      </c>
      <c r="C69" s="11">
        <f si="0" t="shared"/>
        <v>0</v>
      </c>
      <c r="E69" s="77">
        <v>58</v>
      </c>
      <c r="F69" s="343" t="n">
        <v>32.0</v>
      </c>
      <c r="G69" s="11">
        <f si="1" t="shared"/>
        <v>7.4453340664123796E-5</v>
      </c>
    </row>
    <row r="70" spans="1:7" x14ac:dyDescent="0.25">
      <c r="A70">
        <v>59</v>
      </c>
      <c r="B70" s="341" t="n">
        <v>0.0</v>
      </c>
      <c r="C70" s="11">
        <f si="0" t="shared"/>
        <v>0</v>
      </c>
      <c r="E70" s="78">
        <v>59</v>
      </c>
      <c r="F70" s="343" t="n">
        <v>11.0</v>
      </c>
      <c r="G70" s="11">
        <f si="1" t="shared"/>
        <v>2.8635900255432229E-5</v>
      </c>
    </row>
    <row r="71" spans="1:7" x14ac:dyDescent="0.25">
      <c r="A71">
        <v>60</v>
      </c>
      <c r="B71" s="341" t="n">
        <v>0.0</v>
      </c>
      <c r="C71" s="11">
        <f si="0" t="shared"/>
        <v>0</v>
      </c>
      <c r="E71" s="79">
        <v>60</v>
      </c>
      <c r="F71" s="343" t="n">
        <v>6.0</v>
      </c>
      <c r="G71" s="11">
        <f si="1" t="shared"/>
        <v>3.4363080306518674E-5</v>
      </c>
    </row>
    <row r="72" spans="1:7" x14ac:dyDescent="0.25">
      <c r="A72">
        <v>61</v>
      </c>
      <c r="B72" s="341" t="n">
        <v>0.0</v>
      </c>
      <c r="C72" s="11">
        <f si="0" t="shared"/>
        <v>0</v>
      </c>
      <c r="E72" s="80">
        <v>61</v>
      </c>
      <c r="F72" s="343" t="n">
        <v>18.0</v>
      </c>
      <c r="G72" s="11">
        <f si="1" t="shared"/>
        <v>1.7181540153259337E-5</v>
      </c>
    </row>
    <row r="73" spans="1:7" x14ac:dyDescent="0.25">
      <c r="A73">
        <v>62</v>
      </c>
      <c r="B73" s="341" t="n">
        <v>0.0</v>
      </c>
      <c r="C73" s="11">
        <f si="0" t="shared"/>
        <v>0</v>
      </c>
      <c r="E73" s="81">
        <v>62</v>
      </c>
      <c r="F73" s="343" t="n">
        <v>3.0</v>
      </c>
      <c r="G73" s="11">
        <f si="1" t="shared"/>
        <v>4.0090260357605122E-5</v>
      </c>
    </row>
    <row r="74" spans="1:7" x14ac:dyDescent="0.25">
      <c r="A74">
        <v>63</v>
      </c>
      <c r="B74" s="341" t="n">
        <v>0.0</v>
      </c>
      <c r="C74" s="11">
        <f si="0" t="shared"/>
        <v>0</v>
      </c>
      <c r="E74" s="82">
        <v>63</v>
      </c>
      <c r="F74" s="343" t="n">
        <v>1.0</v>
      </c>
      <c r="G74" s="11">
        <f si="1" t="shared"/>
        <v>2.2908720204345785E-5</v>
      </c>
    </row>
    <row r="75" spans="1:7" x14ac:dyDescent="0.25">
      <c r="A75">
        <v>64</v>
      </c>
      <c r="B75" s="341" t="n">
        <v>0.0</v>
      </c>
      <c r="C75" s="11">
        <f si="0" t="shared"/>
        <v>0</v>
      </c>
      <c r="E75" s="83">
        <v>64</v>
      </c>
      <c r="F75" s="343" t="n">
        <v>2.0</v>
      </c>
      <c r="G75" s="11">
        <f si="1" t="shared"/>
        <v>0</v>
      </c>
    </row>
    <row r="76" spans="1:7" x14ac:dyDescent="0.25">
      <c r="A76">
        <v>65</v>
      </c>
      <c r="B76" s="341" t="n">
        <v>0.0</v>
      </c>
      <c r="C76" s="11">
        <f si="0" t="shared"/>
        <v>0</v>
      </c>
      <c r="E76" s="84">
        <v>65</v>
      </c>
      <c r="F76" s="343" t="n">
        <v>35.0</v>
      </c>
      <c r="G76" s="11">
        <f si="1" t="shared"/>
        <v>5.7271800510864462E-6</v>
      </c>
    </row>
    <row r="77" spans="1:7" x14ac:dyDescent="0.25">
      <c r="A77">
        <v>66</v>
      </c>
      <c r="B77" s="341" t="n">
        <v>0.0</v>
      </c>
      <c r="C77" s="11">
        <f ref="C77:C102" si="2" t="shared">B77/B$102</f>
        <v>0</v>
      </c>
      <c r="E77" s="85">
        <v>66</v>
      </c>
      <c r="F77" s="343" t="n">
        <v>0.0</v>
      </c>
      <c r="G77" s="11">
        <f ref="G77:G102" si="3" t="shared">F77/F$102</f>
        <v>2.2908720204345785E-5</v>
      </c>
    </row>
    <row r="78" spans="1:7" x14ac:dyDescent="0.25">
      <c r="A78">
        <v>67</v>
      </c>
      <c r="B78" s="341" t="n">
        <v>0.0</v>
      </c>
      <c r="C78" s="11">
        <f si="2" t="shared"/>
        <v>0</v>
      </c>
      <c r="E78" s="86">
        <v>67</v>
      </c>
      <c r="F78" s="343" t="n">
        <v>34.0</v>
      </c>
      <c r="G78" s="11">
        <f si="3" t="shared"/>
        <v>1.1454360102172892E-5</v>
      </c>
    </row>
    <row r="79" spans="1:7" x14ac:dyDescent="0.25">
      <c r="A79">
        <v>68</v>
      </c>
      <c r="B79" s="341" t="n">
        <v>0.0</v>
      </c>
      <c r="C79" s="11">
        <f si="2" t="shared"/>
        <v>0</v>
      </c>
      <c r="E79" s="87">
        <v>68</v>
      </c>
      <c r="F79" s="343" t="n">
        <v>52.0</v>
      </c>
      <c r="G79" s="11">
        <f si="3" t="shared"/>
        <v>2.8635900255432229E-5</v>
      </c>
    </row>
    <row r="80" spans="1:7" x14ac:dyDescent="0.25">
      <c r="A80">
        <v>69</v>
      </c>
      <c r="B80" s="341" t="n">
        <v>0.0</v>
      </c>
      <c r="C80" s="11">
        <f si="2" t="shared"/>
        <v>0</v>
      </c>
      <c r="E80" s="88">
        <v>69</v>
      </c>
      <c r="F80" s="343" t="n">
        <v>10.0</v>
      </c>
      <c r="G80" s="11">
        <f si="3" t="shared"/>
        <v>5.7271800510864462E-6</v>
      </c>
    </row>
    <row r="81" spans="1:7" x14ac:dyDescent="0.25">
      <c r="A81">
        <v>70</v>
      </c>
      <c r="B81" s="341" t="n">
        <v>0.0</v>
      </c>
      <c r="C81" s="11">
        <f si="2" t="shared"/>
        <v>0</v>
      </c>
      <c r="E81" s="89">
        <v>70</v>
      </c>
      <c r="F81" s="343" t="n">
        <v>3.0</v>
      </c>
      <c r="G81" s="11">
        <f si="3" t="shared"/>
        <v>5.7271800510864462E-6</v>
      </c>
    </row>
    <row r="82" spans="1:7" x14ac:dyDescent="0.25">
      <c r="A82">
        <v>71</v>
      </c>
      <c r="B82" s="341" t="n">
        <v>0.0</v>
      </c>
      <c r="C82" s="11">
        <f si="2" t="shared"/>
        <v>0</v>
      </c>
      <c r="E82" s="90">
        <v>71</v>
      </c>
      <c r="F82" s="343" t="n">
        <v>3.0</v>
      </c>
      <c r="G82" s="11">
        <f si="3" t="shared"/>
        <v>1.1454360102172892E-5</v>
      </c>
    </row>
    <row r="83" spans="1:7" x14ac:dyDescent="0.25">
      <c r="A83">
        <v>72</v>
      </c>
      <c r="B83" s="341" t="n">
        <v>0.0</v>
      </c>
      <c r="C83" s="11">
        <f si="2" t="shared"/>
        <v>0</v>
      </c>
      <c r="E83" s="91">
        <v>72</v>
      </c>
      <c r="F83" s="343" t="n">
        <v>3.0</v>
      </c>
      <c r="G83" s="11">
        <f si="3" t="shared"/>
        <v>0</v>
      </c>
    </row>
    <row r="84" spans="1:7" x14ac:dyDescent="0.25">
      <c r="A84">
        <v>73</v>
      </c>
      <c r="B84" s="341" t="n">
        <v>0.0</v>
      </c>
      <c r="C84" s="11">
        <f si="2" t="shared"/>
        <v>0</v>
      </c>
      <c r="E84" s="92">
        <v>73</v>
      </c>
      <c r="F84" s="343" t="n">
        <v>13.0</v>
      </c>
      <c r="G84" s="11">
        <f si="3" t="shared"/>
        <v>1.1454360102172892E-5</v>
      </c>
    </row>
    <row r="85" spans="1:7" x14ac:dyDescent="0.25">
      <c r="A85">
        <v>74</v>
      </c>
      <c r="B85" s="341" t="n">
        <v>0.0</v>
      </c>
      <c r="C85" s="11">
        <f si="2" t="shared"/>
        <v>0</v>
      </c>
      <c r="E85" s="93">
        <v>74</v>
      </c>
      <c r="F85" s="343" t="n">
        <v>22.0</v>
      </c>
      <c r="G85" s="11">
        <f si="3" t="shared"/>
        <v>1.1454360102172892E-5</v>
      </c>
    </row>
    <row r="86" spans="1:7" x14ac:dyDescent="0.25">
      <c r="A86">
        <v>75</v>
      </c>
      <c r="B86" s="341" t="n">
        <v>0.0</v>
      </c>
      <c r="C86" s="11">
        <f si="2" t="shared"/>
        <v>0</v>
      </c>
      <c r="E86" s="94">
        <v>75</v>
      </c>
      <c r="F86" s="343" t="n">
        <v>7.0</v>
      </c>
      <c r="G86" s="11">
        <f si="3" t="shared"/>
        <v>1.1454360102172892E-5</v>
      </c>
    </row>
    <row r="87" spans="1:7" x14ac:dyDescent="0.25">
      <c r="A87">
        <v>76</v>
      </c>
      <c r="B87" s="341" t="n">
        <v>0.0</v>
      </c>
      <c r="C87" s="11">
        <f si="2" t="shared"/>
        <v>0</v>
      </c>
      <c r="E87" s="95">
        <v>76</v>
      </c>
      <c r="F87" s="343" t="n">
        <v>3.0</v>
      </c>
      <c r="G87" s="11">
        <f si="3" t="shared"/>
        <v>5.7271800510864462E-6</v>
      </c>
    </row>
    <row r="88" spans="1:7" x14ac:dyDescent="0.25">
      <c r="A88">
        <v>77</v>
      </c>
      <c r="B88" s="341" t="n">
        <v>0.0</v>
      </c>
      <c r="C88" s="11">
        <f si="2" t="shared"/>
        <v>0</v>
      </c>
      <c r="E88" s="96">
        <v>77</v>
      </c>
      <c r="F88" s="343" t="n">
        <v>12.0</v>
      </c>
      <c r="G88" s="11">
        <f si="3" t="shared"/>
        <v>0</v>
      </c>
    </row>
    <row r="89" spans="1:7" x14ac:dyDescent="0.25">
      <c r="A89">
        <v>78</v>
      </c>
      <c r="B89" s="341" t="n">
        <v>0.0</v>
      </c>
      <c r="C89" s="11">
        <f si="2" t="shared"/>
        <v>0</v>
      </c>
      <c r="E89" s="97">
        <v>78</v>
      </c>
      <c r="F89" s="343" t="n">
        <v>0.0</v>
      </c>
      <c r="G89" s="11">
        <f si="3" t="shared"/>
        <v>1.1454360102172892E-5</v>
      </c>
    </row>
    <row r="90" spans="1:7" x14ac:dyDescent="0.25">
      <c r="A90">
        <v>79</v>
      </c>
      <c r="B90" s="341" t="n">
        <v>0.0</v>
      </c>
      <c r="C90" s="11">
        <f si="2" t="shared"/>
        <v>0</v>
      </c>
      <c r="E90" s="98">
        <v>79</v>
      </c>
      <c r="F90" s="343" t="n">
        <v>0.0</v>
      </c>
      <c r="G90" s="11">
        <f si="3" t="shared"/>
        <v>0</v>
      </c>
    </row>
    <row r="91" spans="1:7" x14ac:dyDescent="0.25">
      <c r="A91">
        <v>80</v>
      </c>
      <c r="B91" s="341" t="n">
        <v>0.0</v>
      </c>
      <c r="C91" s="11">
        <f si="2" t="shared"/>
        <v>0</v>
      </c>
      <c r="E91" s="99">
        <v>80</v>
      </c>
      <c r="F91" s="343" t="n">
        <v>0.0</v>
      </c>
      <c r="G91" s="11">
        <f si="3" t="shared"/>
        <v>0</v>
      </c>
    </row>
    <row r="92" spans="1:7" x14ac:dyDescent="0.25">
      <c r="A92">
        <v>81</v>
      </c>
      <c r="B92" s="341" t="n">
        <v>0.0</v>
      </c>
      <c r="C92" s="11">
        <f si="2" t="shared"/>
        <v>0</v>
      </c>
      <c r="E92" s="100">
        <v>81</v>
      </c>
      <c r="F92" s="343" t="n">
        <v>3.0</v>
      </c>
      <c r="G92" s="11">
        <f si="3" t="shared"/>
        <v>0</v>
      </c>
    </row>
    <row r="93" spans="1:7" x14ac:dyDescent="0.25">
      <c r="A93">
        <v>82</v>
      </c>
      <c r="B93" s="341" t="n">
        <v>0.0</v>
      </c>
      <c r="C93" s="11">
        <f si="2" t="shared"/>
        <v>0</v>
      </c>
      <c r="E93" s="101">
        <v>82</v>
      </c>
      <c r="F93" s="343" t="n">
        <v>0.0</v>
      </c>
      <c r="G93" s="11">
        <f si="3" t="shared"/>
        <v>0</v>
      </c>
    </row>
    <row r="94" spans="1:7" x14ac:dyDescent="0.25">
      <c r="A94">
        <v>83</v>
      </c>
      <c r="B94" s="341" t="n">
        <v>0.0</v>
      </c>
      <c r="C94" s="11">
        <f si="2" t="shared"/>
        <v>0</v>
      </c>
      <c r="E94" s="102">
        <v>83</v>
      </c>
      <c r="F94" s="343" t="n">
        <v>0.0</v>
      </c>
      <c r="G94" s="11">
        <f si="3" t="shared"/>
        <v>0</v>
      </c>
    </row>
    <row r="95" spans="1:7" x14ac:dyDescent="0.25">
      <c r="A95">
        <v>84</v>
      </c>
      <c r="B95" s="341" t="n">
        <v>0.0</v>
      </c>
      <c r="C95" s="11">
        <f si="2" t="shared"/>
        <v>0</v>
      </c>
      <c r="E95" s="103">
        <v>84</v>
      </c>
      <c r="F95" s="343" t="n">
        <v>2.0</v>
      </c>
      <c r="G95" s="11">
        <f si="3" t="shared"/>
        <v>5.7271800510864462E-6</v>
      </c>
    </row>
    <row r="96" spans="1:7" x14ac:dyDescent="0.25">
      <c r="A96">
        <v>85</v>
      </c>
      <c r="B96" s="341" t="n">
        <v>0.0</v>
      </c>
      <c r="C96" s="11">
        <f si="2" t="shared"/>
        <v>0</v>
      </c>
      <c r="E96" s="104">
        <v>85</v>
      </c>
      <c r="F96" s="343" t="n">
        <v>0.0</v>
      </c>
      <c r="G96" s="11">
        <f si="3" t="shared"/>
        <v>1.1454360102172892E-5</v>
      </c>
    </row>
    <row r="97" spans="1:7" x14ac:dyDescent="0.25">
      <c r="A97">
        <v>86</v>
      </c>
      <c r="B97" s="341" t="n">
        <v>0.0</v>
      </c>
      <c r="C97" s="11">
        <f si="2" t="shared"/>
        <v>0</v>
      </c>
      <c r="E97" s="105">
        <v>86</v>
      </c>
      <c r="F97" s="343" t="n">
        <v>1.0</v>
      </c>
      <c r="G97" s="11">
        <f si="3" t="shared"/>
        <v>5.7271800510864462E-6</v>
      </c>
    </row>
    <row r="98" spans="1:7" x14ac:dyDescent="0.25">
      <c r="A98">
        <v>87</v>
      </c>
      <c r="B98" s="341" t="n">
        <v>0.0</v>
      </c>
      <c r="C98" s="11">
        <f si="2" t="shared"/>
        <v>0</v>
      </c>
      <c r="E98" s="106">
        <v>87</v>
      </c>
      <c r="F98" s="343" t="n">
        <v>2.0</v>
      </c>
      <c r="G98" s="11">
        <f si="3" t="shared"/>
        <v>0</v>
      </c>
    </row>
    <row r="99" spans="1:7" x14ac:dyDescent="0.25">
      <c r="A99">
        <v>88</v>
      </c>
      <c r="B99" s="341" t="n">
        <v>0.0</v>
      </c>
      <c r="C99" s="11">
        <f si="2" t="shared"/>
        <v>0</v>
      </c>
      <c r="E99" s="107">
        <v>88</v>
      </c>
      <c r="F99" s="343" t="n">
        <v>0.0</v>
      </c>
      <c r="G99" s="11">
        <f si="3" t="shared"/>
        <v>0</v>
      </c>
    </row>
    <row r="100" spans="1:7" x14ac:dyDescent="0.25">
      <c r="A100">
        <v>89</v>
      </c>
      <c r="B100" s="341" t="n">
        <v>0.0</v>
      </c>
      <c r="C100" s="11">
        <f si="2" t="shared"/>
        <v>0</v>
      </c>
      <c r="E100" s="108">
        <v>89</v>
      </c>
      <c r="F100" s="343" t="n">
        <v>1.0</v>
      </c>
      <c r="G100" s="11">
        <f si="3" t="shared"/>
        <v>1.1454360102172892E-5</v>
      </c>
    </row>
    <row ht="15.75" r="101" spans="1:7" thickBot="1" x14ac:dyDescent="0.3">
      <c r="A101" s="1">
        <v>90</v>
      </c>
      <c r="B101" s="342" t="n">
        <v>0.0</v>
      </c>
      <c r="C101" s="11">
        <f si="2" t="shared"/>
        <v>0</v>
      </c>
      <c r="E101" s="292">
        <v>90</v>
      </c>
      <c r="F101" s="344" t="n">
        <v>73.0</v>
      </c>
      <c r="G101" s="11">
        <f si="3" t="shared"/>
        <v>5.7271800510864462E-6</v>
      </c>
    </row>
    <row r="102" spans="1:7" x14ac:dyDescent="0.25">
      <c r="B102" s="341">
        <f>SUM(B11:B101)</f>
        <v>144426.68616399996</v>
      </c>
      <c r="C102" s="11">
        <f si="2" t="shared"/>
        <v>1</v>
      </c>
      <c r="F102" s="341">
        <f>SUM(F11:F101)</f>
        <v>174606</v>
      </c>
      <c r="G102" s="11">
        <f si="3" t="shared"/>
        <v>1</v>
      </c>
    </row>
  </sheetData>
  <pageMargins bottom="0.75" footer="0.3" header="0.3" left="0.7" right="0.7" top="0.75"/>
  <pageSetup orientation="portrait" r:id="rId1"/>
  <drawing r:id="rId2"/>
</worksheet>
</file>

<file path=xl/worksheets/sheet2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2"/>
  <dimension ref="A1:M102"/>
  <sheetViews>
    <sheetView workbookViewId="0">
      <selection activeCell="X16" sqref="X16"/>
    </sheetView>
  </sheetViews>
  <sheetFormatPr defaultRowHeight="15" x14ac:dyDescent="0.25"/>
  <cols>
    <col min="2" max="2" bestFit="true" customWidth="true" width="9.5703125" collapsed="true"/>
  </cols>
  <sheetData>
    <row r="1" spans="1:12" x14ac:dyDescent="0.25">
      <c r="A1" t="s">
        <v>0</v>
      </c>
    </row>
    <row r="2" spans="1:12" x14ac:dyDescent="0.25">
      <c r="A2" t="s">
        <v>243</v>
      </c>
    </row>
    <row r="3" spans="1:12" x14ac:dyDescent="0.25">
      <c r="A3" t="s">
        <v>245</v>
      </c>
    </row>
    <row r="4" spans="1:12" x14ac:dyDescent="0.25">
      <c r="A4" t="s">
        <v>7</v>
      </c>
    </row>
    <row r="5" spans="1:12" x14ac:dyDescent="0.25">
      <c r="A5" t="s">
        <v>8</v>
      </c>
    </row>
    <row r="7" spans="1:12" x14ac:dyDescent="0.25">
      <c r="A7" t="s">
        <v>9</v>
      </c>
    </row>
    <row ht="15.75" r="9" spans="1:12" thickBot="1" x14ac:dyDescent="0.3">
      <c r="A9" s="4" t="s">
        <v>35</v>
      </c>
      <c r="B9" s="1"/>
      <c r="E9" s="4" t="s">
        <v>11</v>
      </c>
      <c r="F9" s="1"/>
      <c r="J9" s="10" t="s">
        <v>18</v>
      </c>
    </row>
    <row r="10" spans="1:12" x14ac:dyDescent="0.25">
      <c r="A10" s="2" t="s">
        <v>15</v>
      </c>
      <c r="B10" s="5" t="s">
        <v>4</v>
      </c>
      <c r="C10" s="5" t="s">
        <v>36</v>
      </c>
      <c r="E10" s="2" t="s">
        <v>15</v>
      </c>
      <c r="F10" s="5" t="s">
        <v>4</v>
      </c>
      <c r="G10" s="5" t="s">
        <v>16</v>
      </c>
      <c r="J10" s="2"/>
      <c r="K10" s="5" t="s">
        <v>36</v>
      </c>
      <c r="L10" s="5" t="s">
        <v>16</v>
      </c>
    </row>
    <row r="11" spans="1:12" x14ac:dyDescent="0.25">
      <c r="A11">
        <v>0</v>
      </c>
      <c r="B11" s="8" t="n">
        <v>0.0</v>
      </c>
      <c r="C11" s="11">
        <f>B11/B$102</f>
        <v>3.8592156096906416E-2</v>
      </c>
      <c r="E11" s="109">
        <v>0</v>
      </c>
      <c r="F11" s="199" t="n">
        <v>3475.0</v>
      </c>
      <c r="G11" s="11">
        <f>F11/F$102</f>
        <v>2.4976232202787992E-2</v>
      </c>
      <c r="K11" s="8" t="n">
        <v>12.030228565854507</v>
      </c>
      <c r="L11" s="8" t="n">
        <v>14.69303351727468</v>
      </c>
    </row>
    <row r="12" spans="1:12" x14ac:dyDescent="0.25">
      <c r="A12">
        <v>1</v>
      </c>
      <c r="B12" s="8" t="n">
        <v>0.0</v>
      </c>
      <c r="C12" s="11">
        <f>B12/B$102</f>
        <v>9.0220080430315444E-2</v>
      </c>
      <c r="E12" s="110">
        <v>1</v>
      </c>
      <c r="F12" s="200" t="n">
        <v>2138.0</v>
      </c>
      <c r="G12" s="11">
        <f>F12/F$102</f>
        <v>9.3330126112504727E-2</v>
      </c>
      <c r="K12" s="8"/>
      <c r="L12" s="290"/>
    </row>
    <row r="13" spans="1:12" x14ac:dyDescent="0.25">
      <c r="A13">
        <v>2</v>
      </c>
      <c r="B13" s="8" t="n">
        <v>57.148435</v>
      </c>
      <c r="C13" s="11">
        <f ref="C13:C76" si="0" t="shared">B13/B$102</f>
        <v>9.8487477271673035E-2</v>
      </c>
      <c r="E13" s="111">
        <v>2</v>
      </c>
      <c r="F13" s="201" t="n">
        <v>2271.0</v>
      </c>
      <c r="G13" s="11">
        <f ref="G13:G76" si="1" t="shared">F13/F$102</f>
        <v>0.119583519466685</v>
      </c>
    </row>
    <row r="14" spans="1:12" x14ac:dyDescent="0.25">
      <c r="A14">
        <v>3</v>
      </c>
      <c r="B14" s="8" t="n">
        <v>4614.824598</v>
      </c>
      <c r="C14" s="11">
        <f si="0" t="shared"/>
        <v>8.4781528526492914E-2</v>
      </c>
      <c r="E14" s="112">
        <v>3</v>
      </c>
      <c r="F14" s="202" t="n">
        <v>3972.0</v>
      </c>
      <c r="G14" s="11">
        <f si="1" t="shared"/>
        <v>0.11728692026619933</v>
      </c>
    </row>
    <row r="15" spans="1:12" x14ac:dyDescent="0.25">
      <c r="A15">
        <v>4</v>
      </c>
      <c r="B15" s="8" t="n">
        <v>8621.721134</v>
      </c>
      <c r="C15" s="11">
        <f si="0" t="shared"/>
        <v>0.11652822502545947</v>
      </c>
      <c r="E15" s="113">
        <v>4</v>
      </c>
      <c r="F15" s="203" t="n">
        <v>6646.0</v>
      </c>
      <c r="G15" s="11">
        <f si="1" t="shared"/>
        <v>9.8954216922671617E-2</v>
      </c>
    </row>
    <row r="16" spans="1:12" x14ac:dyDescent="0.25">
      <c r="A16">
        <v>5</v>
      </c>
      <c r="B16" s="8" t="n">
        <v>11452.474017</v>
      </c>
      <c r="C16" s="11">
        <f si="0" t="shared"/>
        <v>0.10155436824428063</v>
      </c>
      <c r="E16" s="114">
        <v>5</v>
      </c>
      <c r="F16" s="204" t="n">
        <v>9276.0</v>
      </c>
      <c r="G16" s="11">
        <f si="1" t="shared"/>
        <v>7.4493430924481407E-2</v>
      </c>
    </row>
    <row r="17" spans="1:7" x14ac:dyDescent="0.25">
      <c r="A17">
        <v>6</v>
      </c>
      <c r="B17" s="8" t="n">
        <v>17876.685773</v>
      </c>
      <c r="C17" s="11">
        <f si="0" t="shared"/>
        <v>6.4169763145269176E-2</v>
      </c>
      <c r="E17" s="115">
        <v>6</v>
      </c>
      <c r="F17" s="205" t="n">
        <v>11603.0</v>
      </c>
      <c r="G17" s="11">
        <f si="1" t="shared"/>
        <v>6.5398669003356127E-2</v>
      </c>
    </row>
    <row r="18" spans="1:7" x14ac:dyDescent="0.25">
      <c r="A18">
        <v>7</v>
      </c>
      <c r="B18" s="8" t="n">
        <v>14702.958311</v>
      </c>
      <c r="C18" s="11">
        <f si="0" t="shared"/>
        <v>5.4656242718443181E-2</v>
      </c>
      <c r="E18" s="116">
        <v>7</v>
      </c>
      <c r="F18" s="206" t="n">
        <v>12292.0</v>
      </c>
      <c r="G18" s="11">
        <f si="1" t="shared"/>
        <v>5.3274228835206119E-2</v>
      </c>
    </row>
    <row r="19" spans="1:7" x14ac:dyDescent="0.25">
      <c r="A19">
        <v>8</v>
      </c>
      <c r="B19" s="8" t="n">
        <v>9137.078843</v>
      </c>
      <c r="C19" s="11">
        <f si="0" t="shared"/>
        <v>3.9627508869801875E-2</v>
      </c>
      <c r="E19" s="117">
        <v>8</v>
      </c>
      <c r="F19" s="207" t="n">
        <v>12688.0</v>
      </c>
      <c r="G19" s="11">
        <f si="1" t="shared"/>
        <v>4.8199947309943529E-2</v>
      </c>
    </row>
    <row r="20" spans="1:7" x14ac:dyDescent="0.25">
      <c r="A20">
        <v>9</v>
      </c>
      <c r="B20" s="8" t="n">
        <v>7454.049315</v>
      </c>
      <c r="C20" s="11">
        <f si="0" t="shared"/>
        <v>2.83203312049649E-2</v>
      </c>
      <c r="E20" s="118">
        <v>9</v>
      </c>
      <c r="F20" s="208" t="n">
        <v>12880.0</v>
      </c>
      <c r="G20" s="11">
        <f si="1" t="shared"/>
        <v>3.6877312348945625E-2</v>
      </c>
    </row>
    <row r="21" spans="1:7" x14ac:dyDescent="0.25">
      <c r="A21">
        <v>10</v>
      </c>
      <c r="B21" s="8" t="n">
        <v>6281.002948</v>
      </c>
      <c r="C21" s="11">
        <f si="0" t="shared"/>
        <v>2.6089310888995642E-2</v>
      </c>
      <c r="E21" s="119">
        <v>10</v>
      </c>
      <c r="F21" s="209" t="n">
        <v>11844.0</v>
      </c>
      <c r="G21" s="11">
        <f si="1" t="shared"/>
        <v>2.9947424487131027E-2</v>
      </c>
    </row>
    <row r="22" spans="1:7" x14ac:dyDescent="0.25">
      <c r="A22">
        <v>11</v>
      </c>
      <c r="B22" s="8" t="n">
        <v>10407.697105</v>
      </c>
      <c r="C22" s="11">
        <f si="0" t="shared"/>
        <v>1.3866623711949428E-2</v>
      </c>
      <c r="E22" s="120">
        <v>11</v>
      </c>
      <c r="F22" s="210" t="n">
        <v>10919.0</v>
      </c>
      <c r="G22" s="11">
        <f si="1" t="shared"/>
        <v>2.653975235673459E-2</v>
      </c>
    </row>
    <row r="23" spans="1:7" x14ac:dyDescent="0.25">
      <c r="A23">
        <v>12</v>
      </c>
      <c r="B23" s="8" t="n">
        <v>7618.856640999999</v>
      </c>
      <c r="C23" s="11">
        <f si="0" t="shared"/>
        <v>1.3505645984185185E-2</v>
      </c>
      <c r="E23" s="121">
        <v>12</v>
      </c>
      <c r="F23" s="211" t="n">
        <v>10093.0</v>
      </c>
      <c r="G23" s="11">
        <f si="1" t="shared"/>
        <v>1.9512502434051521E-2</v>
      </c>
    </row>
    <row r="24" spans="1:7" x14ac:dyDescent="0.25">
      <c r="A24">
        <v>13</v>
      </c>
      <c r="B24" s="8" t="n">
        <v>5166.452481</v>
      </c>
      <c r="C24" s="11">
        <f si="0" t="shared"/>
        <v>2.1500544632547421E-2</v>
      </c>
      <c r="E24" s="122">
        <v>13</v>
      </c>
      <c r="F24" s="212" t="n">
        <v>9199.0</v>
      </c>
      <c r="G24" s="11">
        <f si="1" t="shared"/>
        <v>1.5692473339976861E-2</v>
      </c>
    </row>
    <row r="25" spans="1:7" x14ac:dyDescent="0.25">
      <c r="A25">
        <v>14</v>
      </c>
      <c r="B25" s="8" t="n">
        <v>5504.407506</v>
      </c>
      <c r="C25" s="11">
        <f si="0" t="shared"/>
        <v>2.2913482541877268E-2</v>
      </c>
      <c r="E25" s="123">
        <v>14</v>
      </c>
      <c r="F25" s="213" t="n">
        <v>7534.0</v>
      </c>
      <c r="G25" s="11">
        <f si="1" t="shared"/>
        <v>1.418049780649004E-2</v>
      </c>
    </row>
    <row r="26" spans="1:7" x14ac:dyDescent="0.25">
      <c r="A26">
        <v>15</v>
      </c>
      <c r="B26" s="8" t="n">
        <v>4389.456105</v>
      </c>
      <c r="C26" s="11">
        <f si="0" t="shared"/>
        <v>2.6462535010047559E-2</v>
      </c>
      <c r="E26" s="124">
        <v>15</v>
      </c>
      <c r="F26" s="214" t="n">
        <v>6961.0</v>
      </c>
      <c r="G26" s="11">
        <f si="1" t="shared"/>
        <v>1.2817428954331467E-2</v>
      </c>
    </row>
    <row r="27" spans="1:7" x14ac:dyDescent="0.25">
      <c r="A27">
        <v>16</v>
      </c>
      <c r="B27" s="8" t="n">
        <v>1351.800855</v>
      </c>
      <c r="C27" s="11">
        <f si="0" t="shared"/>
        <v>7.0368326172488638E-3</v>
      </c>
      <c r="E27" s="125">
        <v>16</v>
      </c>
      <c r="F27" s="215" t="n">
        <v>5925.0</v>
      </c>
      <c r="G27" s="11">
        <f si="1" t="shared"/>
        <v>1.0990458518034889E-2</v>
      </c>
    </row>
    <row r="28" spans="1:7" x14ac:dyDescent="0.25">
      <c r="A28">
        <v>17</v>
      </c>
      <c r="B28" s="8" t="n">
        <v>3988.705784</v>
      </c>
      <c r="C28" s="11">
        <f si="0" t="shared"/>
        <v>5.575503450142294E-3</v>
      </c>
      <c r="E28" s="126">
        <v>17</v>
      </c>
      <c r="F28" s="216" t="n">
        <v>4888.0</v>
      </c>
      <c r="G28" s="11">
        <f si="1" t="shared"/>
        <v>1.0549465654101234E-2</v>
      </c>
    </row>
    <row r="29" spans="1:7" x14ac:dyDescent="0.25">
      <c r="A29">
        <v>18</v>
      </c>
      <c r="B29" s="8" t="n">
        <v>2007.759649</v>
      </c>
      <c r="C29" s="11">
        <f si="0" t="shared"/>
        <v>1.8898410775004985E-2</v>
      </c>
      <c r="E29" s="127">
        <v>18</v>
      </c>
      <c r="F29" s="217" t="n">
        <v>4286.0</v>
      </c>
      <c r="G29" s="11">
        <f si="1" t="shared"/>
        <v>1.1133638019312051E-2</v>
      </c>
    </row>
    <row r="30" spans="1:7" x14ac:dyDescent="0.25">
      <c r="A30">
        <v>19</v>
      </c>
      <c r="B30" s="8" t="n">
        <v>2609.614396</v>
      </c>
      <c r="C30" s="11">
        <f si="0" t="shared"/>
        <v>2.0011072716285862E-2</v>
      </c>
      <c r="E30" s="128">
        <v>19</v>
      </c>
      <c r="F30" s="218" t="n">
        <v>3922.0</v>
      </c>
      <c r="G30" s="11">
        <f si="1" t="shared"/>
        <v>1.0589555914458839E-2</v>
      </c>
    </row>
    <row r="31" spans="1:7" x14ac:dyDescent="0.25">
      <c r="A31">
        <v>20</v>
      </c>
      <c r="B31" s="8" t="n">
        <v>1194.35347</v>
      </c>
      <c r="C31" s="11">
        <f si="0" t="shared"/>
        <v>3.9369149919727866E-3</v>
      </c>
      <c r="E31" s="129">
        <v>20</v>
      </c>
      <c r="F31" s="219" t="n">
        <v>3372.0</v>
      </c>
      <c r="G31" s="11">
        <f si="1" t="shared"/>
        <v>1.0137108690423009E-2</v>
      </c>
    </row>
    <row r="32" spans="1:7" x14ac:dyDescent="0.25">
      <c r="A32">
        <v>21</v>
      </c>
      <c r="B32" s="8" t="n">
        <v>976.577416</v>
      </c>
      <c r="C32" s="11">
        <f si="0" t="shared"/>
        <v>1.7639322653343663E-2</v>
      </c>
      <c r="E32" s="130">
        <v>21</v>
      </c>
      <c r="F32" s="220" t="n">
        <v>3159.0</v>
      </c>
      <c r="G32" s="11">
        <f si="1" t="shared"/>
        <v>8.5907700766296689E-3</v>
      </c>
    </row>
    <row r="33" spans="1:7" x14ac:dyDescent="0.25">
      <c r="A33">
        <v>22</v>
      </c>
      <c r="B33" s="8" t="n">
        <v>559.600654</v>
      </c>
      <c r="C33" s="11">
        <f si="0" t="shared"/>
        <v>1.676605132551728E-2</v>
      </c>
      <c r="E33" s="131">
        <v>22</v>
      </c>
      <c r="F33" s="221" t="n">
        <v>2739.0</v>
      </c>
      <c r="G33" s="11">
        <f si="1" t="shared"/>
        <v>8.5334982761188054E-3</v>
      </c>
    </row>
    <row r="34" spans="1:7" x14ac:dyDescent="0.25">
      <c r="A34">
        <v>23</v>
      </c>
      <c r="B34" s="8" t="n">
        <v>987.749104</v>
      </c>
      <c r="C34" s="11">
        <f si="0" t="shared"/>
        <v>9.1745665305605056E-3</v>
      </c>
      <c r="E34" s="132">
        <v>23</v>
      </c>
      <c r="F34" s="222" t="n">
        <v>2300.0</v>
      </c>
      <c r="G34" s="11">
        <f si="1" t="shared"/>
        <v>7.502605866923244E-3</v>
      </c>
    </row>
    <row r="35" spans="1:7" x14ac:dyDescent="0.25">
      <c r="A35">
        <v>24</v>
      </c>
      <c r="B35" s="8" t="n">
        <v>1555.881402</v>
      </c>
      <c r="C35" s="11">
        <f si="0" t="shared"/>
        <v>2.9918569239298031E-3</v>
      </c>
      <c r="E35" s="133">
        <v>24</v>
      </c>
      <c r="F35" s="223" t="n">
        <v>2206.0</v>
      </c>
      <c r="G35" s="11">
        <f si="1" t="shared"/>
        <v>6.9699781221722046E-3</v>
      </c>
    </row>
    <row r="36" spans="1:7" x14ac:dyDescent="0.25">
      <c r="A36">
        <v>25</v>
      </c>
      <c r="B36" s="8" t="n">
        <v>1228.121218</v>
      </c>
      <c r="C36" s="11">
        <f si="0" t="shared"/>
        <v>6.9559210536702977E-3</v>
      </c>
      <c r="E36" s="134">
        <v>25</v>
      </c>
      <c r="F36" s="224" t="n">
        <v>1752.0</v>
      </c>
      <c r="G36" s="11">
        <f si="1" t="shared"/>
        <v>6.3800785769103007E-3</v>
      </c>
    </row>
    <row r="37" spans="1:7" x14ac:dyDescent="0.25">
      <c r="A37">
        <v>26</v>
      </c>
      <c r="B37" s="8" t="n">
        <v>490.476306</v>
      </c>
      <c r="C37" s="11">
        <f si="0" t="shared"/>
        <v>0</v>
      </c>
      <c r="E37" s="135">
        <v>26</v>
      </c>
      <c r="F37" s="225" t="n">
        <v>1598.0</v>
      </c>
      <c r="G37" s="11">
        <f si="1" t="shared"/>
        <v>6.0822652142538056E-3</v>
      </c>
    </row>
    <row r="38" spans="1:7" x14ac:dyDescent="0.25">
      <c r="A38">
        <v>27</v>
      </c>
      <c r="B38" s="8" t="n">
        <v>911.296188</v>
      </c>
      <c r="C38" s="11">
        <f si="0" t="shared"/>
        <v>1.6693427745494893E-3</v>
      </c>
      <c r="E38" s="136">
        <v>27</v>
      </c>
      <c r="F38" s="226" t="n">
        <v>1422.0</v>
      </c>
      <c r="G38" s="11">
        <f si="1" t="shared"/>
        <v>5.2804600071017036E-3</v>
      </c>
    </row>
    <row r="39" spans="1:7" x14ac:dyDescent="0.25">
      <c r="A39">
        <v>28</v>
      </c>
      <c r="B39" s="8" t="n">
        <v>270.482365</v>
      </c>
      <c r="C39" s="11">
        <f si="0" t="shared"/>
        <v>3.9570651184992331E-3</v>
      </c>
      <c r="E39" s="137">
        <v>28</v>
      </c>
      <c r="F39" s="227" t="n">
        <v>1225.0</v>
      </c>
      <c r="G39" s="11">
        <f si="1" t="shared"/>
        <v>4.3812927390811315E-3</v>
      </c>
    </row>
    <row r="40" spans="1:7" x14ac:dyDescent="0.25">
      <c r="A40">
        <v>29</v>
      </c>
      <c r="B40" s="8" t="n">
        <v>2257.105002</v>
      </c>
      <c r="C40" s="11">
        <f si="0" t="shared"/>
        <v>3.1170632308824275E-3</v>
      </c>
      <c r="E40" s="138">
        <v>29</v>
      </c>
      <c r="F40" s="228" t="n">
        <v>1180.0</v>
      </c>
      <c r="G40" s="11">
        <f si="1" t="shared"/>
        <v>4.3240209385702671E-3</v>
      </c>
    </row>
    <row r="41" spans="1:7" x14ac:dyDescent="0.25">
      <c r="A41">
        <v>30</v>
      </c>
      <c r="B41" s="8" t="n">
        <v>1022.537727</v>
      </c>
      <c r="C41" s="11">
        <f si="0" t="shared"/>
        <v>1.6319098226235479E-2</v>
      </c>
      <c r="E41" s="139">
        <v>30</v>
      </c>
      <c r="F41" s="229" t="n">
        <v>1077.0</v>
      </c>
      <c r="G41" s="11">
        <f si="1" t="shared"/>
        <v>3.7742116536659681E-3</v>
      </c>
    </row>
    <row r="42" spans="1:7" x14ac:dyDescent="0.25">
      <c r="A42">
        <v>31</v>
      </c>
      <c r="B42" s="8" t="n">
        <v>140.286747</v>
      </c>
      <c r="C42" s="11">
        <f si="0" t="shared"/>
        <v>0</v>
      </c>
      <c r="E42" s="140">
        <v>31</v>
      </c>
      <c r="F42" s="230" t="n">
        <v>930.0</v>
      </c>
      <c r="G42" s="11">
        <f si="1" t="shared"/>
        <v>3.1843121084040638E-3</v>
      </c>
    </row>
    <row r="43" spans="1:7" x14ac:dyDescent="0.25">
      <c r="A43">
        <v>32</v>
      </c>
      <c r="B43" s="8" t="n">
        <v>779.624367</v>
      </c>
      <c r="C43" s="11">
        <f si="0" t="shared"/>
        <v>1.3747130068091926E-2</v>
      </c>
      <c r="E43" s="141">
        <v>32</v>
      </c>
      <c r="F43" s="231" t="n">
        <v>776.0</v>
      </c>
      <c r="G43" s="11">
        <f si="1" t="shared"/>
        <v>2.9437705462584331E-3</v>
      </c>
    </row>
    <row r="44" spans="1:7" x14ac:dyDescent="0.25">
      <c r="A44">
        <v>33</v>
      </c>
      <c r="B44" s="8" t="n">
        <v>33.485045</v>
      </c>
      <c r="C44" s="11">
        <f si="0" t="shared"/>
        <v>8.6972116674729886E-4</v>
      </c>
      <c r="E44" s="142">
        <v>33</v>
      </c>
      <c r="F44" s="232" t="n">
        <v>711.0</v>
      </c>
      <c r="G44" s="11">
        <f si="1" t="shared"/>
        <v>3.1155859477910268E-3</v>
      </c>
    </row>
    <row r="45" spans="1:7" x14ac:dyDescent="0.25">
      <c r="A45">
        <v>34</v>
      </c>
      <c r="B45" s="8" t="n">
        <v>192.883763</v>
      </c>
      <c r="C45" s="11">
        <f si="0" t="shared"/>
        <v>5.0342808473385458E-4</v>
      </c>
      <c r="E45" s="143">
        <v>34</v>
      </c>
      <c r="F45" s="233" t="n">
        <v>679.0</v>
      </c>
      <c r="G45" s="11">
        <f si="1" t="shared"/>
        <v>2.6345028234997653E-3</v>
      </c>
    </row>
    <row r="46" spans="1:7" x14ac:dyDescent="0.25">
      <c r="A46">
        <v>35</v>
      </c>
      <c r="B46" s="8" t="n">
        <v>298.291266</v>
      </c>
      <c r="C46" s="11">
        <f si="0" t="shared"/>
        <v>4.44933673317346E-4</v>
      </c>
      <c r="E46" s="144">
        <v>35</v>
      </c>
      <c r="F46" s="234" t="n">
        <v>580.0</v>
      </c>
      <c r="G46" s="11">
        <f si="1" t="shared"/>
        <v>2.2679633002302326E-3</v>
      </c>
    </row>
    <row r="47" spans="1:7" x14ac:dyDescent="0.25">
      <c r="A47">
        <v>36</v>
      </c>
      <c r="B47" s="8" t="n">
        <v>414.061788</v>
      </c>
      <c r="C47" s="11">
        <f si="0" t="shared"/>
        <v>0</v>
      </c>
      <c r="E47" s="145">
        <v>36</v>
      </c>
      <c r="F47" s="235" t="n">
        <v>573.0</v>
      </c>
      <c r="G47" s="11">
        <f si="1" t="shared"/>
        <v>2.0789663585443797E-3</v>
      </c>
    </row>
    <row r="48" spans="1:7" x14ac:dyDescent="0.25">
      <c r="A48">
        <v>37</v>
      </c>
      <c r="B48" s="8" t="n">
        <v>21.137344</v>
      </c>
      <c r="C48" s="11">
        <f si="0" t="shared"/>
        <v>2.0063328162979625E-4</v>
      </c>
      <c r="E48" s="146">
        <v>37</v>
      </c>
      <c r="F48" s="236" t="n">
        <v>420.0</v>
      </c>
      <c r="G48" s="11">
        <f si="1" t="shared"/>
        <v>1.8556063365520086E-3</v>
      </c>
    </row>
    <row r="49" spans="1:7" x14ac:dyDescent="0.25">
      <c r="A49">
        <v>38</v>
      </c>
      <c r="B49" s="8" t="n">
        <v>541.739719</v>
      </c>
      <c r="C49" s="11">
        <f si="0" t="shared"/>
        <v>1.6528523941131785E-3</v>
      </c>
      <c r="E49" s="147">
        <v>38</v>
      </c>
      <c r="F49" s="237" t="n">
        <v>426.0</v>
      </c>
      <c r="G49" s="11">
        <f si="1" t="shared"/>
        <v>1.6723365749172422E-3</v>
      </c>
    </row>
    <row r="50" spans="1:7" x14ac:dyDescent="0.25">
      <c r="A50">
        <v>39</v>
      </c>
      <c r="B50" s="8" t="n">
        <v>185.463773</v>
      </c>
      <c r="C50" s="11">
        <f si="0" t="shared"/>
        <v>3.3317816449349807E-3</v>
      </c>
      <c r="E50" s="148">
        <v>39</v>
      </c>
      <c r="F50" s="238" t="n">
        <v>424.0</v>
      </c>
      <c r="G50" s="11">
        <f si="1" t="shared"/>
        <v>1.6150647744063778E-3</v>
      </c>
    </row>
    <row r="51" spans="1:7" x14ac:dyDescent="0.25">
      <c r="A51">
        <v>40</v>
      </c>
      <c r="B51" s="8" t="n">
        <v>1191.272855</v>
      </c>
      <c r="C51" s="11">
        <f si="0" t="shared"/>
        <v>0</v>
      </c>
      <c r="E51" s="149">
        <v>40</v>
      </c>
      <c r="F51" s="239" t="n">
        <v>382.0</v>
      </c>
      <c r="G51" s="11">
        <f si="1" t="shared"/>
        <v>1.3630688521585742E-3</v>
      </c>
    </row>
    <row r="52" spans="1:7" x14ac:dyDescent="0.25">
      <c r="A52">
        <v>41</v>
      </c>
      <c r="B52" s="8" t="n">
        <v>0.0</v>
      </c>
      <c r="C52" s="11">
        <f si="0" t="shared"/>
        <v>9.4969950251610222E-4</v>
      </c>
      <c r="E52" s="150">
        <v>41</v>
      </c>
      <c r="F52" s="240" t="n">
        <v>355.0</v>
      </c>
      <c r="G52" s="11">
        <f si="1" t="shared"/>
        <v>1.1397088301662028E-3</v>
      </c>
    </row>
    <row r="53" spans="1:7" x14ac:dyDescent="0.25">
      <c r="A53">
        <v>42</v>
      </c>
      <c r="B53" s="8" t="n">
        <v>312.79596300000003</v>
      </c>
      <c r="C53" s="11">
        <f si="0" t="shared"/>
        <v>0</v>
      </c>
      <c r="E53" s="151">
        <v>42</v>
      </c>
      <c r="F53" s="241" t="n">
        <v>308.0</v>
      </c>
      <c r="G53" s="11">
        <f si="1" t="shared"/>
        <v>1.0480739493488197E-3</v>
      </c>
    </row>
    <row r="54" spans="1:7" x14ac:dyDescent="0.25">
      <c r="A54">
        <v>43</v>
      </c>
      <c r="B54" s="8" t="n">
        <v>0.0</v>
      </c>
      <c r="C54" s="11">
        <f si="0" t="shared"/>
        <v>5.5517917865227932E-4</v>
      </c>
      <c r="E54" s="152">
        <v>43</v>
      </c>
      <c r="F54" s="242" t="n">
        <v>257.0</v>
      </c>
      <c r="G54" s="11">
        <f si="1" t="shared"/>
        <v>1.0423467692977331E-3</v>
      </c>
    </row>
    <row r="55" spans="1:7" x14ac:dyDescent="0.25">
      <c r="A55">
        <v>44</v>
      </c>
      <c r="B55" s="8" t="n">
        <v>0.0</v>
      </c>
      <c r="C55" s="11">
        <f si="0" t="shared"/>
        <v>0</v>
      </c>
      <c r="E55" s="153">
        <v>44</v>
      </c>
      <c r="F55" s="243" t="n">
        <v>235.0</v>
      </c>
      <c r="G55" s="11">
        <f si="1" t="shared"/>
        <v>7.788964869477567E-4</v>
      </c>
    </row>
    <row r="56" spans="1:7" x14ac:dyDescent="0.25">
      <c r="A56">
        <v>45</v>
      </c>
      <c r="B56" s="8" t="n">
        <v>0.0</v>
      </c>
      <c r="C56" s="11">
        <f si="0" t="shared"/>
        <v>5.5517917865227932E-4</v>
      </c>
      <c r="E56" s="154">
        <v>45</v>
      </c>
      <c r="F56" s="244" t="n">
        <v>231.0</v>
      </c>
      <c r="G56" s="11">
        <f si="1" t="shared"/>
        <v>8.2471392735644828E-4</v>
      </c>
    </row>
    <row r="57" spans="1:7" x14ac:dyDescent="0.25">
      <c r="A57">
        <v>46</v>
      </c>
      <c r="B57" s="8" t="n">
        <v>520.935897</v>
      </c>
      <c r="C57" s="11">
        <f si="0" t="shared"/>
        <v>1.0519273413743218E-3</v>
      </c>
      <c r="E57" s="155">
        <v>46</v>
      </c>
      <c r="F57" s="245" t="n">
        <v>201.0</v>
      </c>
      <c r="G57" s="11">
        <f si="1" t="shared"/>
        <v>6.1280826546624974E-4</v>
      </c>
    </row>
    <row r="58" spans="1:7" x14ac:dyDescent="0.25">
      <c r="A58">
        <v>47</v>
      </c>
      <c r="B58" s="8" t="n">
        <v>34.050388</v>
      </c>
      <c r="C58" s="11">
        <f si="0" t="shared"/>
        <v>5.7014051341243812E-4</v>
      </c>
      <c r="E58" s="156">
        <v>47</v>
      </c>
      <c r="F58" s="246" t="n">
        <v>178.0</v>
      </c>
      <c r="G58" s="11">
        <f si="1" t="shared"/>
        <v>6.8153442607928711E-4</v>
      </c>
    </row>
    <row r="59" spans="1:7" x14ac:dyDescent="0.25">
      <c r="A59">
        <v>48</v>
      </c>
      <c r="B59" s="8" t="n">
        <v>134.248838</v>
      </c>
      <c r="C59" s="11">
        <f si="0" t="shared"/>
        <v>0</v>
      </c>
      <c r="E59" s="157">
        <v>48</v>
      </c>
      <c r="F59" s="247" t="n">
        <v>156.0</v>
      </c>
      <c r="G59" s="11">
        <f si="1" t="shared"/>
        <v>5.4408210485321236E-4</v>
      </c>
    </row>
    <row r="60" spans="1:7" x14ac:dyDescent="0.25">
      <c r="A60">
        <v>49</v>
      </c>
      <c r="B60" s="8" t="n">
        <v>156.450833</v>
      </c>
      <c r="C60" s="11">
        <f si="0" t="shared"/>
        <v>0</v>
      </c>
      <c r="E60" s="158">
        <v>49</v>
      </c>
      <c r="F60" s="248" t="n">
        <v>179.0</v>
      </c>
      <c r="G60" s="11">
        <f si="1" t="shared"/>
        <v>3.8372106342279187E-4</v>
      </c>
    </row>
    <row r="61" spans="1:7" x14ac:dyDescent="0.25">
      <c r="A61">
        <v>50</v>
      </c>
      <c r="B61" s="8" t="n">
        <v>0.0</v>
      </c>
      <c r="C61" s="11">
        <f si="0" t="shared"/>
        <v>0</v>
      </c>
      <c r="E61" s="159">
        <v>50</v>
      </c>
      <c r="F61" s="249" t="n">
        <v>144.0</v>
      </c>
      <c r="G61" s="11">
        <f si="1" t="shared"/>
        <v>4.9253748439343436E-4</v>
      </c>
    </row>
    <row r="62" spans="1:7" x14ac:dyDescent="0.25">
      <c r="A62">
        <v>51</v>
      </c>
      <c r="B62" s="8" t="n">
        <v>137.605542</v>
      </c>
      <c r="C62" s="11">
        <f si="0" t="shared"/>
        <v>0</v>
      </c>
      <c r="E62" s="160">
        <v>51</v>
      </c>
      <c r="F62" s="250" t="n">
        <v>130.0</v>
      </c>
      <c r="G62" s="11">
        <f si="1" t="shared"/>
        <v>3.8372106342279187E-4</v>
      </c>
    </row>
    <row r="63" spans="1:7" x14ac:dyDescent="0.25">
      <c r="A63">
        <v>52</v>
      </c>
      <c r="B63" s="8" t="n">
        <v>74.388674</v>
      </c>
      <c r="C63" s="11">
        <f si="0" t="shared"/>
        <v>0</v>
      </c>
      <c r="E63" s="161">
        <v>52</v>
      </c>
      <c r="F63" s="251" t="n">
        <v>142.0</v>
      </c>
      <c r="G63" s="11">
        <f si="1" t="shared"/>
        <v>3.6081234321844608E-4</v>
      </c>
    </row>
    <row r="64" spans="1:7" x14ac:dyDescent="0.25">
      <c r="A64">
        <v>53</v>
      </c>
      <c r="B64" s="8" t="n">
        <v>0.0</v>
      </c>
      <c r="C64" s="11">
        <f si="0" t="shared"/>
        <v>0</v>
      </c>
      <c r="E64" s="162">
        <v>53</v>
      </c>
      <c r="F64" s="252" t="n">
        <v>115.0</v>
      </c>
      <c r="G64" s="11">
        <f si="1" t="shared"/>
        <v>2.4054156214563073E-4</v>
      </c>
    </row>
    <row r="65" spans="1:7" x14ac:dyDescent="0.25">
      <c r="A65">
        <v>54</v>
      </c>
      <c r="B65" s="8" t="n">
        <v>91.38179</v>
      </c>
      <c r="C65" s="11">
        <f si="0" t="shared"/>
        <v>0</v>
      </c>
      <c r="E65" s="163">
        <v>54</v>
      </c>
      <c r="F65" s="253" t="n">
        <v>89.0</v>
      </c>
      <c r="G65" s="11">
        <f si="1" t="shared"/>
        <v>3.0354054270758166E-4</v>
      </c>
    </row>
    <row r="66" spans="1:7" x14ac:dyDescent="0.25">
      <c r="A66">
        <v>55</v>
      </c>
      <c r="B66" s="8" t="n">
        <v>0.0</v>
      </c>
      <c r="C66" s="11">
        <f si="0" t="shared"/>
        <v>0</v>
      </c>
      <c r="E66" s="164">
        <v>55</v>
      </c>
      <c r="F66" s="254" t="n">
        <v>79.0</v>
      </c>
      <c r="G66" s="11">
        <f si="1" t="shared"/>
        <v>2.1763284194128494E-4</v>
      </c>
    </row>
    <row r="67" spans="1:7" x14ac:dyDescent="0.25">
      <c r="A67">
        <v>56</v>
      </c>
      <c r="B67" s="8" t="n">
        <v>0.0</v>
      </c>
      <c r="C67" s="11">
        <f si="0" t="shared"/>
        <v>0</v>
      </c>
      <c r="E67" s="165">
        <v>56</v>
      </c>
      <c r="F67" s="255" t="n">
        <v>72.0</v>
      </c>
      <c r="G67" s="11">
        <f si="1" t="shared"/>
        <v>2.1763284194128494E-4</v>
      </c>
    </row>
    <row r="68" spans="1:7" x14ac:dyDescent="0.25">
      <c r="A68">
        <v>57</v>
      </c>
      <c r="B68" s="8" t="n">
        <v>0.0</v>
      </c>
      <c r="C68" s="11">
        <f si="0" t="shared"/>
        <v>0</v>
      </c>
      <c r="E68" s="166">
        <v>57</v>
      </c>
      <c r="F68" s="256" t="n">
        <v>71.0</v>
      </c>
      <c r="G68" s="11">
        <f si="1" t="shared"/>
        <v>1.8899694168585273E-4</v>
      </c>
    </row>
    <row r="69" spans="1:7" x14ac:dyDescent="0.25">
      <c r="A69">
        <v>58</v>
      </c>
      <c r="B69" s="8" t="n">
        <v>28.392781</v>
      </c>
      <c r="C69" s="11">
        <f si="0" t="shared"/>
        <v>0</v>
      </c>
      <c r="E69" s="167">
        <v>58</v>
      </c>
      <c r="F69" s="257" t="n">
        <v>68.0</v>
      </c>
      <c r="G69" s="11">
        <f si="1" t="shared"/>
        <v>1.374523212260747E-4</v>
      </c>
    </row>
    <row r="70" spans="1:7" x14ac:dyDescent="0.25">
      <c r="A70">
        <v>59</v>
      </c>
      <c r="B70" s="8" t="n">
        <v>0.0</v>
      </c>
      <c r="C70" s="11">
        <f si="0" t="shared"/>
        <v>0</v>
      </c>
      <c r="E70" s="168">
        <v>59</v>
      </c>
      <c r="F70" s="258" t="n">
        <v>67.0</v>
      </c>
      <c r="G70" s="11">
        <f si="1" t="shared"/>
        <v>1.1454360102172892E-4</v>
      </c>
    </row>
    <row r="71" spans="1:7" x14ac:dyDescent="0.25">
      <c r="A71">
        <v>60</v>
      </c>
      <c r="B71" s="8" t="n">
        <v>0.0</v>
      </c>
      <c r="C71" s="11">
        <f si="0" t="shared"/>
        <v>0</v>
      </c>
      <c r="E71" s="169">
        <v>60</v>
      </c>
      <c r="F71" s="259" t="n">
        <v>60.0</v>
      </c>
      <c r="G71" s="11">
        <f si="1" t="shared"/>
        <v>1.5463386137933404E-4</v>
      </c>
    </row>
    <row r="72" spans="1:7" x14ac:dyDescent="0.25">
      <c r="A72">
        <v>61</v>
      </c>
      <c r="B72" s="8" t="n">
        <v>0.0</v>
      </c>
      <c r="C72" s="11">
        <f si="0" t="shared"/>
        <v>0</v>
      </c>
      <c r="E72" s="170">
        <v>61</v>
      </c>
      <c r="F72" s="260" t="n">
        <v>50.0</v>
      </c>
      <c r="G72" s="11">
        <f si="1" t="shared"/>
        <v>1.4890668132824759E-4</v>
      </c>
    </row>
    <row r="73" spans="1:7" x14ac:dyDescent="0.25">
      <c r="A73">
        <v>62</v>
      </c>
      <c r="B73" s="8" t="n">
        <v>0.0</v>
      </c>
      <c r="C73" s="11">
        <f si="0" t="shared"/>
        <v>0</v>
      </c>
      <c r="E73" s="171">
        <v>62</v>
      </c>
      <c r="F73" s="261" t="n">
        <v>54.0</v>
      </c>
      <c r="G73" s="11">
        <f si="1" t="shared"/>
        <v>1.3172514117498825E-4</v>
      </c>
    </row>
    <row r="74" spans="1:7" x14ac:dyDescent="0.25">
      <c r="A74">
        <v>63</v>
      </c>
      <c r="B74" s="8" t="n">
        <v>30.573918</v>
      </c>
      <c r="C74" s="11">
        <f si="0" t="shared"/>
        <v>0</v>
      </c>
      <c r="E74" s="172">
        <v>63</v>
      </c>
      <c r="F74" s="262" t="n">
        <v>39.0</v>
      </c>
      <c r="G74" s="11">
        <f si="1" t="shared"/>
        <v>8.5907700766296692E-5</v>
      </c>
    </row>
    <row r="75" spans="1:7" x14ac:dyDescent="0.25">
      <c r="A75">
        <v>64</v>
      </c>
      <c r="B75" s="8" t="n">
        <v>0.0</v>
      </c>
      <c r="C75" s="11">
        <f si="0" t="shared"/>
        <v>0</v>
      </c>
      <c r="E75" s="173">
        <v>64</v>
      </c>
      <c r="F75" s="263" t="n">
        <v>49.0</v>
      </c>
      <c r="G75" s="11">
        <f si="1" t="shared"/>
        <v>8.5907700766296692E-5</v>
      </c>
    </row>
    <row r="76" spans="1:7" x14ac:dyDescent="0.25">
      <c r="A76">
        <v>65</v>
      </c>
      <c r="B76" s="8" t="n">
        <v>0.0</v>
      </c>
      <c r="C76" s="11">
        <f si="0" t="shared"/>
        <v>0</v>
      </c>
      <c r="E76" s="174">
        <v>65</v>
      </c>
      <c r="F76" s="264" t="n">
        <v>41.0</v>
      </c>
      <c r="G76" s="11">
        <f si="1" t="shared"/>
        <v>8.0180520715210244E-5</v>
      </c>
    </row>
    <row r="77" spans="1:7" x14ac:dyDescent="0.25">
      <c r="A77">
        <v>66</v>
      </c>
      <c r="B77" s="8" t="n">
        <v>0.0</v>
      </c>
      <c r="C77" s="11">
        <f ref="C77:C102" si="2" t="shared">B77/B$102</f>
        <v>0</v>
      </c>
      <c r="E77" s="175">
        <v>66</v>
      </c>
      <c r="F77" s="265" t="n">
        <v>34.0</v>
      </c>
      <c r="G77" s="11">
        <f ref="G77:G102" si="3" t="shared">F77/F$102</f>
        <v>7.4453340664123796E-5</v>
      </c>
    </row>
    <row r="78" spans="1:7" x14ac:dyDescent="0.25">
      <c r="A78">
        <v>67</v>
      </c>
      <c r="B78" s="8" t="n">
        <v>0.0</v>
      </c>
      <c r="C78" s="11">
        <f si="2" t="shared"/>
        <v>0</v>
      </c>
      <c r="E78" s="176">
        <v>67</v>
      </c>
      <c r="F78" s="266" t="n">
        <v>45.0</v>
      </c>
      <c r="G78" s="11">
        <f si="3" t="shared"/>
        <v>2.8635900255432229E-5</v>
      </c>
    </row>
    <row r="79" spans="1:7" x14ac:dyDescent="0.25">
      <c r="A79">
        <v>68</v>
      </c>
      <c r="B79" s="8" t="n">
        <v>0.0</v>
      </c>
      <c r="C79" s="11">
        <f si="2" t="shared"/>
        <v>0</v>
      </c>
      <c r="E79" s="177">
        <v>68</v>
      </c>
      <c r="F79" s="267" t="n">
        <v>39.0</v>
      </c>
      <c r="G79" s="11">
        <f si="3" t="shared"/>
        <v>7.4453340664123796E-5</v>
      </c>
    </row>
    <row r="80" spans="1:7" x14ac:dyDescent="0.25">
      <c r="A80">
        <v>69</v>
      </c>
      <c r="B80" s="8" t="n">
        <v>0.0</v>
      </c>
      <c r="C80" s="11">
        <f si="2" t="shared"/>
        <v>0</v>
      </c>
      <c r="E80" s="178">
        <v>69</v>
      </c>
      <c r="F80" s="268" t="n">
        <v>28.0</v>
      </c>
      <c r="G80" s="11">
        <f si="3" t="shared"/>
        <v>5.7271800510864459E-5</v>
      </c>
    </row>
    <row r="81" spans="1:7" x14ac:dyDescent="0.25">
      <c r="A81">
        <v>70</v>
      </c>
      <c r="B81" s="8" t="n">
        <v>0.0</v>
      </c>
      <c r="C81" s="11">
        <f si="2" t="shared"/>
        <v>0</v>
      </c>
      <c r="E81" s="179">
        <v>70</v>
      </c>
      <c r="F81" s="269" t="n">
        <v>43.0</v>
      </c>
      <c r="G81" s="11">
        <f si="3" t="shared"/>
        <v>3.4363080306518674E-5</v>
      </c>
    </row>
    <row r="82" spans="1:7" x14ac:dyDescent="0.25">
      <c r="A82">
        <v>71</v>
      </c>
      <c r="B82" s="8" t="n">
        <v>0.0</v>
      </c>
      <c r="C82" s="11">
        <f si="2" t="shared"/>
        <v>2.4254728077207458E-4</v>
      </c>
      <c r="E82" s="180">
        <v>71</v>
      </c>
      <c r="F82" s="270" t="n">
        <v>49.0</v>
      </c>
      <c r="G82" s="11">
        <f si="3" t="shared"/>
        <v>2.8635900255432229E-5</v>
      </c>
    </row>
    <row r="83" spans="1:7" x14ac:dyDescent="0.25">
      <c r="A83">
        <v>72</v>
      </c>
      <c r="B83" s="8" t="n">
        <v>0.0</v>
      </c>
      <c r="C83" s="11">
        <f si="2" t="shared"/>
        <v>0</v>
      </c>
      <c r="E83" s="181">
        <v>72</v>
      </c>
      <c r="F83" s="271" t="n">
        <v>20.0</v>
      </c>
      <c r="G83" s="11">
        <f si="3" t="shared"/>
        <v>5.1544620459778018E-5</v>
      </c>
    </row>
    <row r="84" spans="1:7" x14ac:dyDescent="0.25">
      <c r="A84">
        <v>73</v>
      </c>
      <c r="B84" s="8" t="n">
        <v>47.062368</v>
      </c>
      <c r="C84" s="11">
        <f si="2" t="shared"/>
        <v>0</v>
      </c>
      <c r="E84" s="182">
        <v>73</v>
      </c>
      <c r="F84" s="272" t="n">
        <v>37.0</v>
      </c>
      <c r="G84" s="11">
        <f si="3" t="shared"/>
        <v>1.7181540153259337E-5</v>
      </c>
    </row>
    <row r="85" spans="1:7" x14ac:dyDescent="0.25">
      <c r="A85">
        <v>74</v>
      </c>
      <c r="B85" s="8" t="n">
        <v>0.0</v>
      </c>
      <c r="C85" s="11">
        <f si="2" t="shared"/>
        <v>0</v>
      </c>
      <c r="E85" s="183">
        <v>74</v>
      </c>
      <c r="F85" s="273" t="n">
        <v>34.0</v>
      </c>
      <c r="G85" s="11">
        <f si="3" t="shared"/>
        <v>1.7181540153259337E-5</v>
      </c>
    </row>
    <row r="86" spans="1:7" x14ac:dyDescent="0.25">
      <c r="A86">
        <v>75</v>
      </c>
      <c r="B86" s="8" t="n">
        <v>0.0</v>
      </c>
      <c r="C86" s="11">
        <f si="2" t="shared"/>
        <v>0</v>
      </c>
      <c r="E86" s="184">
        <v>75</v>
      </c>
      <c r="F86" s="274" t="n">
        <v>26.0</v>
      </c>
      <c r="G86" s="11">
        <f si="3" t="shared"/>
        <v>2.8635900255432229E-5</v>
      </c>
    </row>
    <row r="87" spans="1:7" x14ac:dyDescent="0.25">
      <c r="A87">
        <v>76</v>
      </c>
      <c r="B87" s="8" t="n">
        <v>0.0</v>
      </c>
      <c r="C87" s="11">
        <f si="2" t="shared"/>
        <v>0</v>
      </c>
      <c r="E87" s="185">
        <v>76</v>
      </c>
      <c r="F87" s="275" t="n">
        <v>28.0</v>
      </c>
      <c r="G87" s="11">
        <f si="3" t="shared"/>
        <v>2.2908720204345785E-5</v>
      </c>
    </row>
    <row r="88" spans="1:7" x14ac:dyDescent="0.25">
      <c r="A88">
        <v>77</v>
      </c>
      <c r="B88" s="8" t="n">
        <v>0.0</v>
      </c>
      <c r="C88" s="11">
        <f si="2" t="shared"/>
        <v>0</v>
      </c>
      <c r="E88" s="186">
        <v>77</v>
      </c>
      <c r="F88" s="276" t="n">
        <v>16.0</v>
      </c>
      <c r="G88" s="11">
        <f si="3" t="shared"/>
        <v>1.1454360102172892E-5</v>
      </c>
    </row>
    <row r="89" spans="1:7" x14ac:dyDescent="0.25">
      <c r="A89">
        <v>78</v>
      </c>
      <c r="B89" s="8" t="n">
        <v>0.0</v>
      </c>
      <c r="C89" s="11">
        <f si="2" t="shared"/>
        <v>0</v>
      </c>
      <c r="E89" s="187">
        <v>78</v>
      </c>
      <c r="F89" s="277" t="n">
        <v>17.0</v>
      </c>
      <c r="G89" s="11">
        <f si="3" t="shared"/>
        <v>1.7181540153259337E-5</v>
      </c>
    </row>
    <row r="90" spans="1:7" x14ac:dyDescent="0.25">
      <c r="A90">
        <v>79</v>
      </c>
      <c r="B90" s="8" t="n">
        <v>0.0</v>
      </c>
      <c r="C90" s="11">
        <f si="2" t="shared"/>
        <v>0</v>
      </c>
      <c r="E90" s="188">
        <v>79</v>
      </c>
      <c r="F90" s="278" t="n">
        <v>10.0</v>
      </c>
      <c r="G90" s="11">
        <f si="3" t="shared"/>
        <v>1.7181540153259337E-5</v>
      </c>
    </row>
    <row r="91" spans="1:7" x14ac:dyDescent="0.25">
      <c r="A91">
        <v>80</v>
      </c>
      <c r="B91" s="8" t="n">
        <v>0.0</v>
      </c>
      <c r="C91" s="11">
        <f si="2" t="shared"/>
        <v>0</v>
      </c>
      <c r="E91" s="189">
        <v>80</v>
      </c>
      <c r="F91" s="279" t="n">
        <v>23.0</v>
      </c>
      <c r="G91" s="11">
        <f si="3" t="shared"/>
        <v>5.7271800510864462E-6</v>
      </c>
    </row>
    <row r="92" spans="1:7" x14ac:dyDescent="0.25">
      <c r="A92">
        <v>81</v>
      </c>
      <c r="B92" s="8" t="n">
        <v>0.0</v>
      </c>
      <c r="C92" s="11">
        <f si="2" t="shared"/>
        <v>0</v>
      </c>
      <c r="E92" s="190">
        <v>81</v>
      </c>
      <c r="F92" s="280" t="n">
        <v>24.0</v>
      </c>
      <c r="G92" s="11">
        <f si="3" t="shared"/>
        <v>1.1454360102172892E-5</v>
      </c>
    </row>
    <row r="93" spans="1:7" x14ac:dyDescent="0.25">
      <c r="A93">
        <v>82</v>
      </c>
      <c r="B93" s="8" t="n">
        <v>0.0</v>
      </c>
      <c r="C93" s="11">
        <f si="2" t="shared"/>
        <v>0</v>
      </c>
      <c r="E93" s="191">
        <v>82</v>
      </c>
      <c r="F93" s="281" t="n">
        <v>15.0</v>
      </c>
      <c r="G93" s="11">
        <f si="3" t="shared"/>
        <v>5.7271800510864462E-6</v>
      </c>
    </row>
    <row r="94" spans="1:7" x14ac:dyDescent="0.25">
      <c r="A94">
        <v>83</v>
      </c>
      <c r="B94" s="8" t="n">
        <v>0.0</v>
      </c>
      <c r="C94" s="11">
        <f si="2" t="shared"/>
        <v>0</v>
      </c>
      <c r="E94" s="192">
        <v>83</v>
      </c>
      <c r="F94" s="282" t="n">
        <v>20.0</v>
      </c>
      <c r="G94" s="11">
        <f si="3" t="shared"/>
        <v>1.1454360102172892E-5</v>
      </c>
    </row>
    <row r="95" spans="1:7" x14ac:dyDescent="0.25">
      <c r="A95">
        <v>84</v>
      </c>
      <c r="B95" s="8" t="n">
        <v>0.0</v>
      </c>
      <c r="C95" s="11">
        <f si="2" t="shared"/>
        <v>0</v>
      </c>
      <c r="E95" s="193">
        <v>84</v>
      </c>
      <c r="F95" s="283" t="n">
        <v>31.0</v>
      </c>
      <c r="G95" s="11">
        <f si="3" t="shared"/>
        <v>0</v>
      </c>
    </row>
    <row r="96" spans="1:7" x14ac:dyDescent="0.25">
      <c r="A96">
        <v>85</v>
      </c>
      <c r="B96" s="8" t="n">
        <v>0.0</v>
      </c>
      <c r="C96" s="11">
        <f si="2" t="shared"/>
        <v>0</v>
      </c>
      <c r="E96" s="194">
        <v>85</v>
      </c>
      <c r="F96" s="284" t="n">
        <v>13.0</v>
      </c>
      <c r="G96" s="11">
        <f si="3" t="shared"/>
        <v>5.7271800510864462E-6</v>
      </c>
    </row>
    <row r="97" spans="1:7" x14ac:dyDescent="0.25">
      <c r="A97">
        <v>86</v>
      </c>
      <c r="B97" s="8" t="n">
        <v>0.0</v>
      </c>
      <c r="C97" s="11">
        <f si="2" t="shared"/>
        <v>0</v>
      </c>
      <c r="E97" s="195">
        <v>86</v>
      </c>
      <c r="F97" s="285" t="n">
        <v>25.0</v>
      </c>
      <c r="G97" s="11">
        <f si="3" t="shared"/>
        <v>5.7271800510864462E-6</v>
      </c>
    </row>
    <row r="98" spans="1:7" x14ac:dyDescent="0.25">
      <c r="A98">
        <v>87</v>
      </c>
      <c r="B98" s="8" t="n">
        <v>0.0</v>
      </c>
      <c r="C98" s="11">
        <f si="2" t="shared"/>
        <v>0</v>
      </c>
      <c r="E98" s="196">
        <v>87</v>
      </c>
      <c r="F98" s="286" t="n">
        <v>12.0</v>
      </c>
      <c r="G98" s="11">
        <f si="3" t="shared"/>
        <v>5.7271800510864462E-6</v>
      </c>
    </row>
    <row r="99" spans="1:7" x14ac:dyDescent="0.25">
      <c r="A99">
        <v>88</v>
      </c>
      <c r="B99" s="8" t="n">
        <v>0.0</v>
      </c>
      <c r="C99" s="11">
        <f si="2" t="shared"/>
        <v>0</v>
      </c>
      <c r="E99" s="197">
        <v>88</v>
      </c>
      <c r="F99" s="287" t="n">
        <v>15.0</v>
      </c>
      <c r="G99" s="11">
        <f si="3" t="shared"/>
        <v>0</v>
      </c>
    </row>
    <row r="100" spans="1:7" x14ac:dyDescent="0.25">
      <c r="A100">
        <v>89</v>
      </c>
      <c r="B100" s="8" t="n">
        <v>0.0</v>
      </c>
      <c r="C100" s="11">
        <f si="2" t="shared"/>
        <v>0</v>
      </c>
      <c r="E100" s="198">
        <v>89</v>
      </c>
      <c r="F100" s="288" t="n">
        <v>8.0</v>
      </c>
      <c r="G100" s="11">
        <f si="3" t="shared"/>
        <v>5.7271800510864462E-6</v>
      </c>
    </row>
    <row ht="15.75" r="101" spans="1:7" thickBot="1" x14ac:dyDescent="0.3">
      <c r="A101" s="1">
        <v>90</v>
      </c>
      <c r="B101" s="9" t="n">
        <v>0.0</v>
      </c>
      <c r="C101" s="11">
        <f si="2" t="shared"/>
        <v>0</v>
      </c>
      <c r="E101" s="292">
        <v>90</v>
      </c>
      <c r="F101" s="292" t="n">
        <v>1632.0</v>
      </c>
      <c r="G101" s="11">
        <f si="3" t="shared"/>
        <v>4.581744040869157E-5</v>
      </c>
    </row>
    <row r="102" spans="1:7" x14ac:dyDescent="0.25">
      <c r="B102" s="8">
        <f>SUM(B11:B101)</f>
        <v>144426.68616399996</v>
      </c>
      <c r="C102" s="11">
        <f si="2" t="shared"/>
        <v>1</v>
      </c>
      <c r="F102" s="8">
        <f>SUM(F11:F101)</f>
        <v>174606</v>
      </c>
      <c r="G102" s="11">
        <f si="3" t="shared"/>
        <v>1</v>
      </c>
    </row>
  </sheetData>
  <pageMargins bottom="0.75" footer="0.3" header="0.3" left="0.7" right="0.7" top="0.75"/>
  <drawing r:id="rId1"/>
</worksheet>
</file>

<file path=xl/worksheets/sheet3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4"/>
  <dimension ref="A1:AG41"/>
  <sheetViews>
    <sheetView tabSelected="1" topLeftCell="F16" workbookViewId="0" zoomScaleNormal="100">
      <selection activeCell="P45" sqref="P45"/>
    </sheetView>
  </sheetViews>
  <sheetFormatPr defaultRowHeight="15" x14ac:dyDescent="0.25"/>
  <cols>
    <col min="4" max="4" bestFit="true" customWidth="true" width="12.28515625" collapsed="true"/>
    <col min="13" max="14" bestFit="true" customWidth="true" width="10.5703125" collapsed="true"/>
    <col min="15" max="15" bestFit="true" customWidth="true" width="12.42578125" collapsed="true"/>
    <col min="16" max="18" bestFit="true" customWidth="true" width="10.5703125" collapsed="true"/>
    <col min="19" max="19" customWidth="true" width="10.5703125" collapsed="true"/>
    <col min="26" max="26" bestFit="true" customWidth="true" width="12.28515625" collapsed="true"/>
  </cols>
  <sheetData>
    <row r="1" spans="1:21" x14ac:dyDescent="0.25">
      <c r="A1" t="s">
        <v>2</v>
      </c>
    </row>
    <row r="2" spans="1:21" x14ac:dyDescent="0.25">
      <c r="A2" t="s">
        <v>243</v>
      </c>
    </row>
    <row r="3" spans="1:21" x14ac:dyDescent="0.25">
      <c r="A3" t="s">
        <v>14</v>
      </c>
    </row>
    <row ht="15.75" r="5" spans="1:21" thickBot="1" x14ac:dyDescent="0.3">
      <c r="A5" s="4" t="s">
        <v>38</v>
      </c>
      <c r="B5" s="1"/>
      <c r="C5" s="1"/>
      <c r="D5" s="1"/>
      <c r="E5" s="1"/>
      <c r="F5" s="1"/>
      <c r="G5" s="1"/>
      <c r="H5" s="1"/>
      <c r="I5" s="1"/>
      <c r="J5" s="1"/>
      <c r="L5" s="4" t="s">
        <v>33</v>
      </c>
      <c r="M5" s="1"/>
      <c r="N5" s="1"/>
      <c r="O5" s="1"/>
      <c r="P5" s="1"/>
      <c r="Q5" s="1"/>
      <c r="R5" s="1"/>
      <c r="S5" s="1"/>
      <c r="T5" s="1"/>
      <c r="U5" s="1"/>
    </row>
    <row r="6" spans="1:21" x14ac:dyDescent="0.25">
      <c r="A6" s="2" t="s">
        <v>12</v>
      </c>
      <c r="B6" s="3">
        <f>$A$7</f>
        <v>1</v>
      </c>
      <c r="C6" s="3">
        <f>$A$8</f>
        <v>2</v>
      </c>
      <c r="D6" s="3">
        <f>$A$9</f>
        <v>3</v>
      </c>
      <c r="E6" s="3">
        <f>$A$10</f>
        <v>4</v>
      </c>
      <c r="F6" s="3">
        <f>$A$11</f>
        <v>5</v>
      </c>
      <c r="G6" s="3">
        <f>$A$12</f>
        <v>6</v>
      </c>
      <c r="H6" s="3">
        <v>7</v>
      </c>
      <c r="I6" s="3" t="s">
        <v>13</v>
      </c>
      <c r="J6" s="3" t="s">
        <v>4</v>
      </c>
      <c r="L6" s="2" t="s">
        <v>12</v>
      </c>
      <c r="M6" s="3">
        <f>$A$7</f>
        <v>1</v>
      </c>
      <c r="N6" s="3">
        <f>$A$8</f>
        <v>2</v>
      </c>
      <c r="O6" s="3">
        <f>$A$9</f>
        <v>3</v>
      </c>
      <c r="P6" s="3">
        <f>$A$10</f>
        <v>4</v>
      </c>
      <c r="Q6" s="3">
        <f>$A$11</f>
        <v>5</v>
      </c>
      <c r="R6" s="3">
        <f>$A$12</f>
        <v>6</v>
      </c>
      <c r="S6" s="3">
        <v>7</v>
      </c>
      <c r="T6" s="3" t="s">
        <v>13</v>
      </c>
      <c r="U6" s="3" t="s">
        <v>4</v>
      </c>
    </row>
    <row r="7" spans="1:21" x14ac:dyDescent="0.25">
      <c r="A7" s="294">
        <v>1</v>
      </c>
      <c r="B7" s="12" t="n">
        <v>53052.247988</v>
      </c>
      <c r="C7" s="12" t="n">
        <v>0.0</v>
      </c>
      <c r="D7" s="12" t="n">
        <v>0.0</v>
      </c>
      <c r="E7" s="12" t="n">
        <v>230.307428</v>
      </c>
      <c r="F7" s="12" t="n">
        <v>1414.621934</v>
      </c>
      <c r="G7" s="12" t="n">
        <v>1974.430737</v>
      </c>
      <c r="H7" s="12" t="n">
        <v>237.834127</v>
      </c>
      <c r="I7" s="12"/>
      <c r="J7" s="12">
        <f ref="J7:J14" si="0" t="shared">SUM(B7:I7)</f>
        <v>14473</v>
      </c>
      <c r="K7" s="12"/>
      <c r="L7">
        <f>$A$7</f>
        <v>1</v>
      </c>
      <c r="M7" s="343" t="n">
        <v>44992.0</v>
      </c>
      <c r="N7" s="343" t="n">
        <v>3343.0</v>
      </c>
      <c r="O7" s="343" t="n">
        <v>4067.0</v>
      </c>
      <c r="P7" s="343" t="n">
        <v>7285.0</v>
      </c>
      <c r="Q7" s="343" t="n">
        <v>4908.0</v>
      </c>
      <c r="R7" s="343" t="n">
        <v>5694.0</v>
      </c>
      <c r="S7" s="343" t="n">
        <v>3681.0</v>
      </c>
      <c r="T7" s="291"/>
      <c r="U7" s="12">
        <f ref="U7:U14" si="1" t="shared">SUM(M7:T7)</f>
        <v>16105</v>
      </c>
    </row>
    <row r="8" spans="1:21" x14ac:dyDescent="0.25">
      <c r="A8">
        <v>2</v>
      </c>
      <c r="B8" s="12" t="n">
        <v>0.0</v>
      </c>
      <c r="C8" s="12" t="n">
        <v>7362.074943</v>
      </c>
      <c r="D8" s="12" t="n">
        <v>0.0</v>
      </c>
      <c r="E8" s="12" t="n">
        <v>0.0</v>
      </c>
      <c r="F8" s="12" t="n">
        <v>0.0</v>
      </c>
      <c r="G8" s="12" t="n">
        <v>778.4306359999999</v>
      </c>
      <c r="H8" s="12" t="n">
        <v>0.0</v>
      </c>
      <c r="I8" s="12"/>
      <c r="J8" s="12">
        <f si="0" t="shared"/>
        <v>23181</v>
      </c>
      <c r="K8" s="12"/>
      <c r="L8">
        <f>$A$8</f>
        <v>2</v>
      </c>
      <c r="M8" s="343" t="n">
        <v>6564.0</v>
      </c>
      <c r="N8" s="343" t="n">
        <v>1800.0</v>
      </c>
      <c r="O8" s="343" t="n">
        <v>1349.0</v>
      </c>
      <c r="P8" s="343" t="n">
        <v>1677.0</v>
      </c>
      <c r="Q8" s="343" t="n">
        <v>1153.0</v>
      </c>
      <c r="R8" s="343" t="n">
        <v>1111.0</v>
      </c>
      <c r="S8" s="343" t="n">
        <v>1070.0</v>
      </c>
      <c r="T8" s="291"/>
      <c r="U8" s="12">
        <f si="1" t="shared"/>
        <v>22018</v>
      </c>
    </row>
    <row r="9" spans="1:21" x14ac:dyDescent="0.25">
      <c r="A9">
        <v>3</v>
      </c>
      <c r="B9" s="12" t="n">
        <v>417.620652</v>
      </c>
      <c r="C9" s="12" t="n">
        <v>0.0</v>
      </c>
      <c r="D9" s="12" t="n">
        <v>4644.250832</v>
      </c>
      <c r="E9" s="12" t="n">
        <v>0.0</v>
      </c>
      <c r="F9" s="12" t="n">
        <v>65.242152</v>
      </c>
      <c r="G9" s="12" t="n">
        <v>0.0</v>
      </c>
      <c r="H9" s="12" t="n">
        <v>0.0</v>
      </c>
      <c r="I9" s="12"/>
      <c r="J9" s="12">
        <f si="0" t="shared"/>
        <v>16850</v>
      </c>
      <c r="K9" s="13"/>
      <c r="L9">
        <f>$A$9</f>
        <v>3</v>
      </c>
      <c r="M9" s="343" t="n">
        <v>4088.0</v>
      </c>
      <c r="N9" s="343" t="n">
        <v>840.0</v>
      </c>
      <c r="O9" s="343" t="n">
        <v>3065.0</v>
      </c>
      <c r="P9" s="343" t="n">
        <v>1901.0</v>
      </c>
      <c r="Q9" s="343" t="n">
        <v>918.0</v>
      </c>
      <c r="R9" s="343" t="n">
        <v>542.0</v>
      </c>
      <c r="S9" s="343" t="n">
        <v>245.0</v>
      </c>
      <c r="T9" s="291"/>
      <c r="U9" s="12">
        <f si="1" t="shared"/>
        <v>14573</v>
      </c>
    </row>
    <row r="10" spans="1:21" x14ac:dyDescent="0.25">
      <c r="A10">
        <v>4</v>
      </c>
      <c r="B10" s="12" t="n">
        <v>462.344373</v>
      </c>
      <c r="C10" s="12" t="n">
        <v>0.0</v>
      </c>
      <c r="D10" s="12" t="n">
        <v>0.0</v>
      </c>
      <c r="E10" s="12" t="n">
        <v>22335.262543</v>
      </c>
      <c r="F10" s="12" t="n">
        <v>0.0</v>
      </c>
      <c r="G10" s="12" t="n">
        <v>1089.315345</v>
      </c>
      <c r="H10" s="12" t="n">
        <v>56.768877</v>
      </c>
      <c r="I10" s="12"/>
      <c r="J10" s="12">
        <f si="0" t="shared"/>
        <v>5363</v>
      </c>
      <c r="K10" s="13"/>
      <c r="L10">
        <f>$A$10</f>
        <v>4</v>
      </c>
      <c r="M10" s="343" t="n">
        <v>9394.0</v>
      </c>
      <c r="N10" s="343" t="n">
        <v>1706.0</v>
      </c>
      <c r="O10" s="343" t="n">
        <v>3177.0</v>
      </c>
      <c r="P10" s="343" t="n">
        <v>6672.0</v>
      </c>
      <c r="Q10" s="343" t="n">
        <v>2148.0</v>
      </c>
      <c r="R10" s="343" t="n">
        <v>1541.0</v>
      </c>
      <c r="S10" s="343" t="n">
        <v>966.0</v>
      </c>
      <c r="T10" s="291"/>
      <c r="U10" s="12">
        <f si="1" t="shared"/>
        <v>5682</v>
      </c>
    </row>
    <row r="11" spans="1:21" x14ac:dyDescent="0.25">
      <c r="A11">
        <v>5</v>
      </c>
      <c r="B11" s="12" t="n">
        <v>692.388643</v>
      </c>
      <c r="C11" s="12" t="n">
        <v>0.0</v>
      </c>
      <c r="D11" s="12" t="n">
        <v>870.868481</v>
      </c>
      <c r="E11" s="12" t="n">
        <v>0.0</v>
      </c>
      <c r="F11" s="12" t="n">
        <v>16143.278277</v>
      </c>
      <c r="G11" s="12" t="n">
        <v>30.573918</v>
      </c>
      <c r="H11" s="12" t="n">
        <v>0.0</v>
      </c>
      <c r="I11" s="12"/>
      <c r="J11" s="12">
        <f si="0" t="shared"/>
        <v>57371</v>
      </c>
      <c r="K11" s="13"/>
      <c r="L11">
        <f>$A$11</f>
        <v>5</v>
      </c>
      <c r="M11" s="343" t="n">
        <v>8221.0</v>
      </c>
      <c r="N11" s="343" t="n">
        <v>904.0</v>
      </c>
      <c r="O11" s="343" t="n">
        <v>1425.0</v>
      </c>
      <c r="P11" s="343" t="n">
        <v>1651.0</v>
      </c>
      <c r="Q11" s="343" t="n">
        <v>3881.0</v>
      </c>
      <c r="R11" s="343" t="n">
        <v>2275.0</v>
      </c>
      <c r="S11" s="343" t="n">
        <v>1028.0</v>
      </c>
      <c r="T11" s="291"/>
      <c r="U11" s="12">
        <f si="1" t="shared"/>
        <v>57787</v>
      </c>
    </row>
    <row r="12" spans="1:21" x14ac:dyDescent="0.25">
      <c r="A12">
        <v>6</v>
      </c>
      <c r="B12" s="12" t="n">
        <v>1103.452837</v>
      </c>
      <c r="C12" s="12" t="n">
        <v>0.0</v>
      </c>
      <c r="D12" s="12" t="n">
        <v>0.0</v>
      </c>
      <c r="E12" s="12" t="n">
        <v>1906.0314</v>
      </c>
      <c r="F12" s="12" t="n">
        <v>0.0</v>
      </c>
      <c r="G12" s="12" t="n">
        <v>12057.382329</v>
      </c>
      <c r="H12" s="12" t="n">
        <v>0.0</v>
      </c>
      <c r="I12" s="12"/>
      <c r="J12" s="12">
        <f si="0" t="shared"/>
        <v>8411</v>
      </c>
      <c r="K12" s="13"/>
      <c r="L12">
        <f>$A$12</f>
        <v>6</v>
      </c>
      <c r="M12" s="343" t="n">
        <v>8907.0</v>
      </c>
      <c r="N12" s="343" t="n">
        <v>529.0</v>
      </c>
      <c r="O12" s="343" t="n">
        <v>666.0</v>
      </c>
      <c r="P12" s="343" t="n">
        <v>1647.0</v>
      </c>
      <c r="Q12" s="343" t="n">
        <v>2032.0</v>
      </c>
      <c r="R12" s="343" t="n">
        <v>5167.0</v>
      </c>
      <c r="S12" s="343" t="n">
        <v>1298.0</v>
      </c>
      <c r="T12" s="291"/>
      <c r="U12" s="12">
        <f si="1" t="shared"/>
        <v>7626</v>
      </c>
    </row>
    <row r="13" spans="1:21" x14ac:dyDescent="0.25">
      <c r="A13">
        <v>7</v>
      </c>
      <c r="B13" s="12" t="n">
        <v>3742.036445</v>
      </c>
      <c r="C13" s="12" t="n">
        <v>0.0</v>
      </c>
      <c r="D13" s="12" t="n">
        <v>0.0</v>
      </c>
      <c r="E13" s="12" t="n">
        <v>119.811999</v>
      </c>
      <c r="F13" s="12" t="n">
        <v>0.0</v>
      </c>
      <c r="G13" s="12" t="n">
        <v>58.569585</v>
      </c>
      <c r="H13" s="12" t="n">
        <v>9217.861926</v>
      </c>
      <c r="I13" s="12"/>
      <c r="J13" s="12">
        <f si="0" t="shared"/>
        <v>13749</v>
      </c>
      <c r="K13" s="13"/>
      <c r="L13">
        <v>7</v>
      </c>
      <c r="M13" s="343" t="n">
        <v>5386.0</v>
      </c>
      <c r="N13" s="343" t="n">
        <v>648.0</v>
      </c>
      <c r="O13" s="343" t="n">
        <v>572.0</v>
      </c>
      <c r="P13" s="343" t="n">
        <v>1394.0</v>
      </c>
      <c r="Q13" s="343" t="n">
        <v>904.0</v>
      </c>
      <c r="R13" s="343" t="n">
        <v>1341.0</v>
      </c>
      <c r="S13" s="343" t="n">
        <v>3147.0</v>
      </c>
      <c r="T13" s="291"/>
      <c r="U13" s="12">
        <f si="1" t="shared"/>
        <v>10202</v>
      </c>
    </row>
    <row r="14" spans="1:21" x14ac:dyDescent="0.25">
      <c r="A14" s="7" t="s">
        <v>13</v>
      </c>
      <c r="B14" s="14"/>
      <c r="C14" s="14"/>
      <c r="D14" s="14"/>
      <c r="E14" s="14"/>
      <c r="F14" s="14"/>
      <c r="G14" s="14"/>
      <c r="H14" s="14"/>
      <c r="I14" s="14"/>
      <c r="J14" s="14">
        <f si="0" t="shared"/>
        <v>0</v>
      </c>
      <c r="K14" s="12"/>
      <c r="L14" s="293" t="s">
        <v>13</v>
      </c>
      <c r="M14" s="14"/>
      <c r="N14" s="14"/>
      <c r="O14" s="14"/>
      <c r="P14" s="14"/>
      <c r="Q14" s="14"/>
      <c r="R14" s="14"/>
      <c r="S14" s="14"/>
      <c r="T14" s="14"/>
      <c r="U14" s="14">
        <f si="1" t="shared"/>
        <v>0</v>
      </c>
    </row>
    <row ht="15.75" r="15" spans="1:21" thickBot="1" x14ac:dyDescent="0.3">
      <c r="A15" s="1" t="s">
        <v>4</v>
      </c>
      <c r="B15" s="15">
        <f ref="B15:J15" si="2" t="shared">SUM(B7:B14)</f>
        <v>15353</v>
      </c>
      <c r="C15" s="15">
        <f si="2" t="shared"/>
        <v>23900</v>
      </c>
      <c r="D15" s="15">
        <f si="2" t="shared"/>
        <v>16574</v>
      </c>
      <c r="E15" s="15">
        <f si="2" t="shared"/>
        <v>5699</v>
      </c>
      <c r="F15" s="15">
        <f si="2" t="shared"/>
        <v>60277</v>
      </c>
      <c r="G15" s="15">
        <f si="2" t="shared"/>
        <v>7695</v>
      </c>
      <c r="H15" s="15">
        <f si="2" t="shared"/>
        <v>9900</v>
      </c>
      <c r="I15" s="15">
        <f si="2" t="shared"/>
        <v>0</v>
      </c>
      <c r="J15" s="15">
        <f si="2" t="shared"/>
        <v>139398</v>
      </c>
      <c r="K15" s="12"/>
      <c r="L15" s="15" t="s">
        <v>4</v>
      </c>
      <c r="M15" s="15">
        <f ref="M15:U15" si="3" t="shared">SUM(M7:M14)</f>
        <v>15218</v>
      </c>
      <c r="N15" s="15">
        <f si="3" t="shared"/>
        <v>22381</v>
      </c>
      <c r="O15" s="15">
        <f si="3" t="shared"/>
        <v>12504</v>
      </c>
      <c r="P15" s="15">
        <f si="3" t="shared"/>
        <v>5601</v>
      </c>
      <c r="Q15" s="15">
        <f si="3" t="shared"/>
        <v>61562</v>
      </c>
      <c r="R15" s="15">
        <f si="3" t="shared"/>
        <v>7819</v>
      </c>
      <c r="S15" s="15">
        <f si="3" t="shared"/>
        <v>8908</v>
      </c>
      <c r="T15" s="15">
        <f si="3" t="shared"/>
        <v>0</v>
      </c>
      <c r="U15" s="15">
        <f si="3" t="shared"/>
        <v>133993</v>
      </c>
    </row>
    <row ht="15.75" r="18" spans="1:32" thickBot="1" x14ac:dyDescent="0.3">
      <c r="A18" s="4" t="s">
        <v>39</v>
      </c>
      <c r="B18" s="1"/>
      <c r="C18" s="1"/>
      <c r="D18" s="1"/>
      <c r="E18" s="1"/>
      <c r="F18" s="1"/>
      <c r="G18" s="1"/>
      <c r="H18" s="1"/>
      <c r="I18" s="1"/>
      <c r="J18" s="1"/>
      <c r="L18" s="4" t="s">
        <v>34</v>
      </c>
      <c r="M18" s="1"/>
      <c r="N18" s="1"/>
      <c r="O18" s="1"/>
      <c r="P18" s="1"/>
      <c r="Q18" s="1"/>
      <c r="R18" s="1"/>
      <c r="S18" s="1"/>
      <c r="T18" s="1"/>
      <c r="U18" s="1"/>
    </row>
    <row r="19" spans="1:32" x14ac:dyDescent="0.25">
      <c r="A19" s="2" t="s">
        <v>12</v>
      </c>
      <c r="B19" s="3">
        <f>$A$7</f>
        <v>1</v>
      </c>
      <c r="C19" s="3">
        <f>$A$8</f>
        <v>2</v>
      </c>
      <c r="D19" s="3">
        <f>$A$9</f>
        <v>3</v>
      </c>
      <c r="E19" s="3">
        <f>$A$10</f>
        <v>4</v>
      </c>
      <c r="F19" s="3">
        <f>$A$11</f>
        <v>5</v>
      </c>
      <c r="G19" s="3">
        <f>$A$12</f>
        <v>6</v>
      </c>
      <c r="H19" s="3">
        <v>7</v>
      </c>
      <c r="I19" s="3" t="s">
        <v>13</v>
      </c>
      <c r="J19" s="3" t="s">
        <v>4</v>
      </c>
      <c r="L19" s="2" t="s">
        <v>12</v>
      </c>
      <c r="M19" s="3">
        <f>$A$7</f>
        <v>1</v>
      </c>
      <c r="N19" s="3">
        <f>$A$8</f>
        <v>2</v>
      </c>
      <c r="O19" s="3">
        <f>$A$9</f>
        <v>3</v>
      </c>
      <c r="P19" s="3">
        <f>$A$10</f>
        <v>4</v>
      </c>
      <c r="Q19" s="3">
        <f>$A$11</f>
        <v>5</v>
      </c>
      <c r="R19" s="3">
        <f>$A$12</f>
        <v>6</v>
      </c>
      <c r="S19" s="3">
        <v>7</v>
      </c>
      <c r="T19" s="3" t="s">
        <v>13</v>
      </c>
      <c r="U19" s="3" t="s">
        <v>4</v>
      </c>
    </row>
    <row r="20" spans="1:32" x14ac:dyDescent="0.25">
      <c r="A20">
        <f>$A$7</f>
        <v>1</v>
      </c>
      <c r="B20" s="12">
        <f ref="B20:I20" si="4" t="shared">IFERROR(($U7/$J7)*B7,0)</f>
        <v>12860.186899744351</v>
      </c>
      <c r="C20" s="12">
        <f si="4" t="shared"/>
        <v>2113.1344572652524</v>
      </c>
      <c r="D20" s="12">
        <f si="4" t="shared"/>
        <v>0</v>
      </c>
      <c r="E20" s="12">
        <f si="4" t="shared"/>
        <v>0</v>
      </c>
      <c r="F20" s="12">
        <f si="4" t="shared"/>
        <v>1131.6786429903959</v>
      </c>
      <c r="G20" s="12">
        <f si="4" t="shared"/>
        <v>0</v>
      </c>
      <c r="H20" s="12">
        <f si="4" t="shared"/>
        <v>0</v>
      </c>
      <c r="I20" s="12">
        <f si="4" t="shared"/>
        <v>0</v>
      </c>
      <c r="J20" s="12">
        <f ref="J20:J27" si="5" t="shared">SUM(B20:I20)</f>
        <v>16105</v>
      </c>
      <c r="K20" s="12"/>
      <c r="L20">
        <f>$A$7</f>
        <v>1</v>
      </c>
      <c r="M20" s="12">
        <f>M7</f>
        <v>13040</v>
      </c>
      <c r="N20" s="12">
        <f ref="N20:T20" si="6" t="shared">N7</f>
        <v>343</v>
      </c>
      <c r="O20" s="12">
        <f si="6" t="shared"/>
        <v>0</v>
      </c>
      <c r="P20" s="12">
        <f si="6" t="shared"/>
        <v>0</v>
      </c>
      <c r="Q20" s="12">
        <f si="6" t="shared"/>
        <v>2089</v>
      </c>
      <c r="R20" s="12">
        <f si="6" t="shared"/>
        <v>631</v>
      </c>
      <c r="S20" s="12">
        <f si="6" t="shared"/>
        <v>2</v>
      </c>
      <c r="T20" s="12">
        <f si="6" t="shared"/>
        <v>0</v>
      </c>
      <c r="U20" s="12">
        <f ref="U20:U26" si="7" t="shared">U7</f>
        <v>16105</v>
      </c>
    </row>
    <row r="21" spans="1:32" x14ac:dyDescent="0.25">
      <c r="A21">
        <f>$A$8</f>
        <v>2</v>
      </c>
      <c r="B21" s="12">
        <f ref="B21:G25" si="8" t="shared">IFERROR(($U8/$J8)*B8,0)</f>
        <v>926.08386178335707</v>
      </c>
      <c r="C21" s="12">
        <f si="8" t="shared"/>
        <v>20552.412924377724</v>
      </c>
      <c r="D21" s="12">
        <f si="8" t="shared"/>
        <v>0</v>
      </c>
      <c r="E21" s="12">
        <f si="8" t="shared"/>
        <v>0</v>
      </c>
      <c r="F21" s="12">
        <f si="8" t="shared"/>
        <v>482.51343772917477</v>
      </c>
      <c r="G21" s="12">
        <f si="8" t="shared"/>
        <v>0</v>
      </c>
      <c r="H21" s="12">
        <f ref="H21:H27" si="9" t="shared">IFERROR(($U8/$J8)*H8,0)</f>
        <v>56.989776109745051</v>
      </c>
      <c r="I21" s="12">
        <f ref="I21:I27" si="10" t="shared">IFERROR(($U8/$J8)*I8,0)</f>
        <v>0</v>
      </c>
      <c r="J21" s="12">
        <f si="5" t="shared"/>
        <v>22018.000000000004</v>
      </c>
      <c r="K21" s="12"/>
      <c r="L21">
        <f>$A$8</f>
        <v>2</v>
      </c>
      <c r="M21" s="12">
        <f ref="M21:T21" si="11" t="shared">M8</f>
        <v>153</v>
      </c>
      <c r="N21" s="12">
        <f si="11" t="shared"/>
        <v>21043</v>
      </c>
      <c r="O21" s="12">
        <f si="11" t="shared"/>
        <v>0</v>
      </c>
      <c r="P21" s="12">
        <f si="11" t="shared"/>
        <v>0</v>
      </c>
      <c r="Q21" s="12">
        <f si="11" t="shared"/>
        <v>712</v>
      </c>
      <c r="R21" s="12">
        <f si="11" t="shared"/>
        <v>5</v>
      </c>
      <c r="S21" s="12">
        <f si="11" t="shared"/>
        <v>105</v>
      </c>
      <c r="T21" s="12">
        <f si="11" t="shared"/>
        <v>0</v>
      </c>
      <c r="U21" s="12">
        <f si="7" t="shared"/>
        <v>22018</v>
      </c>
    </row>
    <row r="22" spans="1:32" x14ac:dyDescent="0.25">
      <c r="A22">
        <f>$A$9</f>
        <v>3</v>
      </c>
      <c r="B22" s="12">
        <f si="8" t="shared"/>
        <v>29.405459940652818</v>
      </c>
      <c r="C22" s="12">
        <f si="8" t="shared"/>
        <v>0</v>
      </c>
      <c r="D22" s="12">
        <f si="8" t="shared"/>
        <v>13235.051572700297</v>
      </c>
      <c r="E22" s="12">
        <f si="8" t="shared"/>
        <v>736.00136498516326</v>
      </c>
      <c r="F22" s="12">
        <f si="8" t="shared"/>
        <v>572.54160237388726</v>
      </c>
      <c r="G22" s="12">
        <f si="8" t="shared"/>
        <v>0</v>
      </c>
      <c r="H22" s="12">
        <f si="9" t="shared"/>
        <v>0</v>
      </c>
      <c r="I22" s="12">
        <f si="10" t="shared"/>
        <v>0</v>
      </c>
      <c r="J22" s="12">
        <f si="5" t="shared"/>
        <v>14573</v>
      </c>
      <c r="K22" s="13"/>
      <c r="L22">
        <f>$A$9</f>
        <v>3</v>
      </c>
      <c r="M22" s="12">
        <f ref="M22:T22" si="12" t="shared">M9</f>
        <v>1</v>
      </c>
      <c r="N22" s="12">
        <f si="12" t="shared"/>
        <v>0</v>
      </c>
      <c r="O22" s="12">
        <f si="12" t="shared"/>
        <v>11624</v>
      </c>
      <c r="P22" s="12">
        <f si="12" t="shared"/>
        <v>721</v>
      </c>
      <c r="Q22" s="12">
        <f si="12" t="shared"/>
        <v>2152</v>
      </c>
      <c r="R22" s="12">
        <f si="12" t="shared"/>
        <v>0</v>
      </c>
      <c r="S22" s="12">
        <f si="12" t="shared"/>
        <v>75</v>
      </c>
      <c r="T22" s="12">
        <f si="12" t="shared"/>
        <v>0</v>
      </c>
      <c r="U22" s="12">
        <f si="7" t="shared"/>
        <v>14573</v>
      </c>
    </row>
    <row r="23" spans="1:32" x14ac:dyDescent="0.25">
      <c r="A23">
        <f>$A$10</f>
        <v>4</v>
      </c>
      <c r="B23" s="12">
        <f si="8" t="shared"/>
        <v>0</v>
      </c>
      <c r="C23" s="12">
        <f si="8" t="shared"/>
        <v>0</v>
      </c>
      <c r="D23" s="12">
        <f si="8" t="shared"/>
        <v>74.163714338989379</v>
      </c>
      <c r="E23" s="12">
        <f si="8" t="shared"/>
        <v>5136.3669587917211</v>
      </c>
      <c r="F23" s="12">
        <f si="8" t="shared"/>
        <v>471.4693268692896</v>
      </c>
      <c r="G23" s="12">
        <f si="8" t="shared"/>
        <v>0</v>
      </c>
      <c r="H23" s="12">
        <f si="9" t="shared"/>
        <v>0</v>
      </c>
      <c r="I23" s="12">
        <f si="10" t="shared"/>
        <v>0</v>
      </c>
      <c r="J23" s="12">
        <f si="5" t="shared"/>
        <v>5682</v>
      </c>
      <c r="K23" s="13"/>
      <c r="L23">
        <f>$A$10</f>
        <v>4</v>
      </c>
      <c r="M23" s="12">
        <f ref="M23:T23" si="13" t="shared">M10</f>
        <v>0</v>
      </c>
      <c r="N23" s="12">
        <f si="13" t="shared"/>
        <v>0</v>
      </c>
      <c r="O23" s="12">
        <f si="13" t="shared"/>
        <v>393</v>
      </c>
      <c r="P23" s="12">
        <f si="13" t="shared"/>
        <v>4801</v>
      </c>
      <c r="Q23" s="12">
        <f si="13" t="shared"/>
        <v>487</v>
      </c>
      <c r="R23" s="12">
        <f si="13" t="shared"/>
        <v>0</v>
      </c>
      <c r="S23" s="12">
        <f si="13" t="shared"/>
        <v>1</v>
      </c>
      <c r="T23" s="12">
        <f si="13" t="shared"/>
        <v>0</v>
      </c>
      <c r="U23" s="12">
        <f si="7" t="shared"/>
        <v>5682</v>
      </c>
    </row>
    <row r="24" spans="1:32" x14ac:dyDescent="0.25">
      <c r="A24">
        <f>$A$11</f>
        <v>5</v>
      </c>
      <c r="B24" s="12">
        <f si="8" t="shared"/>
        <v>2025.581861916299</v>
      </c>
      <c r="C24" s="12">
        <f si="8" t="shared"/>
        <v>249.79826044517262</v>
      </c>
      <c r="D24" s="12">
        <f si="8" t="shared"/>
        <v>1209.7085112687594</v>
      </c>
      <c r="E24" s="12">
        <f si="8" t="shared"/>
        <v>0</v>
      </c>
      <c r="F24" s="12">
        <f si="8" t="shared"/>
        <v>54098.446654232968</v>
      </c>
      <c r="G24" s="12">
        <f si="8" t="shared"/>
        <v>0</v>
      </c>
      <c r="H24" s="12">
        <f si="9" t="shared"/>
        <v>203.46471213679382</v>
      </c>
      <c r="I24" s="12">
        <f si="10" t="shared"/>
        <v>0</v>
      </c>
      <c r="J24" s="12">
        <f si="5" t="shared"/>
        <v>57786.999999999993</v>
      </c>
      <c r="K24" s="13"/>
      <c r="L24">
        <f>$A$11</f>
        <v>5</v>
      </c>
      <c r="M24" s="12">
        <f ref="M24:T24" si="14" t="shared">M11</f>
        <v>1584</v>
      </c>
      <c r="N24" s="12">
        <f si="14" t="shared"/>
        <v>719</v>
      </c>
      <c r="O24" s="12">
        <f si="14" t="shared"/>
        <v>314</v>
      </c>
      <c r="P24" s="12">
        <f si="14" t="shared"/>
        <v>79</v>
      </c>
      <c r="Q24" s="12">
        <f si="14" t="shared"/>
        <v>54480</v>
      </c>
      <c r="R24" s="12">
        <f si="14" t="shared"/>
        <v>0</v>
      </c>
      <c r="S24" s="12">
        <f si="14" t="shared"/>
        <v>611</v>
      </c>
      <c r="T24" s="12">
        <f si="14" t="shared"/>
        <v>0</v>
      </c>
      <c r="U24" s="12">
        <f si="7" t="shared"/>
        <v>57787</v>
      </c>
    </row>
    <row r="25" spans="1:32" x14ac:dyDescent="0.25">
      <c r="A25">
        <f>$A$12</f>
        <v>6</v>
      </c>
      <c r="B25" s="12">
        <f si="8" t="shared"/>
        <v>649.17560337653072</v>
      </c>
      <c r="C25" s="12">
        <f si="8" t="shared"/>
        <v>0</v>
      </c>
      <c r="D25" s="12">
        <f si="8" t="shared"/>
        <v>0</v>
      </c>
      <c r="E25" s="12">
        <f si="8" t="shared"/>
        <v>0</v>
      </c>
      <c r="F25" s="12">
        <f si="8" t="shared"/>
        <v>0</v>
      </c>
      <c r="G25" s="12">
        <f si="8" t="shared"/>
        <v>6976.8243966234695</v>
      </c>
      <c r="H25" s="12">
        <f si="9" t="shared"/>
        <v>0</v>
      </c>
      <c r="I25" s="12">
        <f si="10" t="shared"/>
        <v>0</v>
      </c>
      <c r="J25" s="12">
        <f si="5" t="shared"/>
        <v>7626</v>
      </c>
      <c r="K25" s="13"/>
      <c r="L25">
        <f>$A$12</f>
        <v>6</v>
      </c>
      <c r="M25" s="12">
        <f ref="M25:T26" si="15" t="shared">M12</f>
        <v>433</v>
      </c>
      <c r="N25" s="12">
        <f si="15" t="shared"/>
        <v>3</v>
      </c>
      <c r="O25" s="12">
        <f si="15" t="shared"/>
        <v>0</v>
      </c>
      <c r="P25" s="12">
        <f si="15" t="shared"/>
        <v>0</v>
      </c>
      <c r="Q25" s="12">
        <f si="15" t="shared"/>
        <v>7</v>
      </c>
      <c r="R25" s="12">
        <f si="15" t="shared"/>
        <v>7183</v>
      </c>
      <c r="S25" s="12">
        <f si="15" t="shared"/>
        <v>0</v>
      </c>
      <c r="T25" s="12">
        <f si="15" t="shared"/>
        <v>0</v>
      </c>
      <c r="U25" s="12">
        <f si="7" t="shared"/>
        <v>7626</v>
      </c>
    </row>
    <row r="26" spans="1:32" x14ac:dyDescent="0.25">
      <c r="A26">
        <v>7</v>
      </c>
      <c r="B26" s="12">
        <f>IFERROR(($U13/$J13)*B13,0)</f>
        <v>44.521056076805586</v>
      </c>
      <c r="C26" s="12">
        <f ref="C26:G26" si="16" t="shared">IFERROR(($U13/$J13)*C13,0)</f>
        <v>85.332024147210703</v>
      </c>
      <c r="D26" s="12">
        <f si="16" t="shared"/>
        <v>0</v>
      </c>
      <c r="E26" s="12">
        <f si="16" t="shared"/>
        <v>0</v>
      </c>
      <c r="F26" s="12">
        <f si="16" t="shared"/>
        <v>2920.5812786384463</v>
      </c>
      <c r="G26" s="12">
        <f si="16" t="shared"/>
        <v>0</v>
      </c>
      <c r="H26" s="12">
        <f si="9" t="shared"/>
        <v>7151.5656411375376</v>
      </c>
      <c r="I26" s="12">
        <f si="10" t="shared"/>
        <v>0</v>
      </c>
      <c r="J26" s="12">
        <f si="5" t="shared"/>
        <v>10202</v>
      </c>
      <c r="K26" s="13"/>
      <c r="L26">
        <v>7</v>
      </c>
      <c r="M26" s="12">
        <f si="15" t="shared"/>
        <v>7</v>
      </c>
      <c r="N26" s="12">
        <f si="15" t="shared"/>
        <v>273</v>
      </c>
      <c r="O26" s="12">
        <f si="15" t="shared"/>
        <v>173</v>
      </c>
      <c r="P26" s="12">
        <f si="15" t="shared"/>
        <v>0</v>
      </c>
      <c r="Q26" s="12">
        <f si="15" t="shared"/>
        <v>1635</v>
      </c>
      <c r="R26" s="12">
        <f si="15" t="shared"/>
        <v>0</v>
      </c>
      <c r="S26" s="12">
        <f si="15" t="shared"/>
        <v>8114</v>
      </c>
      <c r="T26" s="12">
        <f si="15" t="shared"/>
        <v>0</v>
      </c>
      <c r="U26" s="12">
        <f si="7" t="shared"/>
        <v>10202</v>
      </c>
    </row>
    <row r="27" spans="1:32" x14ac:dyDescent="0.25">
      <c r="A27" s="7" t="s">
        <v>13</v>
      </c>
      <c r="B27" s="14">
        <f>IFERROR(($U14/$J14)*B14,0)</f>
        <v>0</v>
      </c>
      <c r="C27" s="14">
        <f>IFERROR(($U14/$J14)*C14,0)</f>
        <v>0</v>
      </c>
      <c r="D27" s="14">
        <f>IFERROR(($U14/$J14)*D14,0)</f>
        <v>0</v>
      </c>
      <c r="E27" s="14">
        <f>IFERROR(($U14/$J14)*E14,0)</f>
        <v>0</v>
      </c>
      <c r="F27" s="14">
        <f>IFERROR(($U14/$J14)*F14,0)</f>
        <v>0</v>
      </c>
      <c r="G27" s="14">
        <f>IFERROR(($U14/$J14)*G14,0)</f>
        <v>0</v>
      </c>
      <c r="H27" s="12">
        <f si="9" t="shared"/>
        <v>0</v>
      </c>
      <c r="I27" s="14">
        <f si="10" t="shared"/>
        <v>0</v>
      </c>
      <c r="J27" s="14">
        <f si="5" t="shared"/>
        <v>0</v>
      </c>
      <c r="K27" s="12"/>
      <c r="L27" s="293" t="s">
        <v>13</v>
      </c>
      <c r="M27" s="14">
        <f ref="M27:T27" si="17" t="shared">M14</f>
        <v>0</v>
      </c>
      <c r="N27" s="14">
        <f si="17" t="shared"/>
        <v>0</v>
      </c>
      <c r="O27" s="14">
        <f si="17" t="shared"/>
        <v>0</v>
      </c>
      <c r="P27" s="14">
        <f si="17" t="shared"/>
        <v>0</v>
      </c>
      <c r="Q27" s="14">
        <f si="17" t="shared"/>
        <v>0</v>
      </c>
      <c r="R27" s="14">
        <f si="17" t="shared"/>
        <v>0</v>
      </c>
      <c r="S27" s="12">
        <f si="17" t="shared"/>
        <v>0</v>
      </c>
      <c r="T27" s="14">
        <f si="17" t="shared"/>
        <v>0</v>
      </c>
      <c r="U27" s="14">
        <f ref="U27:U28" si="18" t="shared">U14</f>
        <v>0</v>
      </c>
    </row>
    <row ht="15.75" r="28" spans="1:32" thickBot="1" x14ac:dyDescent="0.3">
      <c r="A28" s="1" t="s">
        <v>4</v>
      </c>
      <c r="B28" s="15">
        <f ref="B28:J28" si="19" t="shared">SUM(B20:B27)</f>
        <v>16534.954742837999</v>
      </c>
      <c r="C28" s="15">
        <f si="19" t="shared"/>
        <v>23000.677666235359</v>
      </c>
      <c r="D28" s="15">
        <f si="19" t="shared"/>
        <v>14518.923798308046</v>
      </c>
      <c r="E28" s="15">
        <f si="19" t="shared"/>
        <v>5872.3683237768846</v>
      </c>
      <c r="F28" s="15">
        <f si="19" t="shared"/>
        <v>59677.230942834161</v>
      </c>
      <c r="G28" s="15">
        <f si="19" t="shared"/>
        <v>6976.8243966234695</v>
      </c>
      <c r="H28" s="402">
        <f si="19" t="shared"/>
        <v>7412.0201293840764</v>
      </c>
      <c r="I28" s="15">
        <f si="19" t="shared"/>
        <v>0</v>
      </c>
      <c r="J28" s="15">
        <f si="19" t="shared"/>
        <v>133993</v>
      </c>
      <c r="K28" s="12"/>
      <c r="L28" s="15" t="s">
        <v>4</v>
      </c>
      <c r="M28" s="15">
        <f ref="M28:T28" si="20" t="shared">M15</f>
        <v>15218</v>
      </c>
      <c r="N28" s="15">
        <f si="20" t="shared"/>
        <v>22381</v>
      </c>
      <c r="O28" s="15">
        <f si="20" t="shared"/>
        <v>12504</v>
      </c>
      <c r="P28" s="15">
        <f si="20" t="shared"/>
        <v>5601</v>
      </c>
      <c r="Q28" s="15">
        <f si="20" t="shared"/>
        <v>61562</v>
      </c>
      <c r="R28" s="15">
        <f si="20" t="shared"/>
        <v>7819</v>
      </c>
      <c r="S28" s="402">
        <f si="20" t="shared"/>
        <v>8908</v>
      </c>
      <c r="T28" s="15">
        <f si="20" t="shared"/>
        <v>0</v>
      </c>
      <c r="U28" s="15">
        <f si="18" t="shared"/>
        <v>133993</v>
      </c>
    </row>
    <row ht="15.75" r="31" spans="1:32" thickBot="1" x14ac:dyDescent="0.3">
      <c r="A31" s="4" t="s">
        <v>40</v>
      </c>
      <c r="B31" s="1"/>
      <c r="C31" s="1"/>
      <c r="D31" s="1"/>
      <c r="E31" s="1"/>
      <c r="F31" s="1"/>
      <c r="G31" s="1"/>
      <c r="H31" s="1"/>
      <c r="I31" s="1"/>
      <c r="J31" s="1"/>
      <c r="L31" s="4" t="s">
        <v>34</v>
      </c>
      <c r="M31" s="1"/>
      <c r="N31" s="1"/>
      <c r="O31" s="1"/>
      <c r="P31" s="1"/>
      <c r="Q31" s="1"/>
      <c r="R31" s="1"/>
      <c r="S31" s="1"/>
      <c r="T31" s="1"/>
      <c r="U31" s="1"/>
      <c r="W31" s="4" t="s">
        <v>34</v>
      </c>
      <c r="X31" s="1"/>
      <c r="Y31" s="1"/>
      <c r="Z31" s="1"/>
      <c r="AA31" s="1"/>
      <c r="AB31" s="1"/>
      <c r="AC31" s="1"/>
      <c r="AD31" s="1"/>
      <c r="AE31" s="1"/>
      <c r="AF31" s="1"/>
    </row>
    <row r="32" spans="1:32" x14ac:dyDescent="0.25">
      <c r="A32" s="2" t="s">
        <v>12</v>
      </c>
      <c r="B32" s="3">
        <f>$A$7</f>
        <v>1</v>
      </c>
      <c r="C32" s="3">
        <f>$A$8</f>
        <v>2</v>
      </c>
      <c r="D32" s="3">
        <f>$A$9</f>
        <v>3</v>
      </c>
      <c r="E32" s="3">
        <f>$A$10</f>
        <v>4</v>
      </c>
      <c r="F32" s="3">
        <f>$A$11</f>
        <v>5</v>
      </c>
      <c r="G32" s="3">
        <f>$A$12</f>
        <v>6</v>
      </c>
      <c r="H32" s="3">
        <v>7</v>
      </c>
      <c r="I32" s="3" t="s">
        <v>13</v>
      </c>
      <c r="J32" s="3" t="s">
        <v>4</v>
      </c>
      <c r="L32" s="2" t="s">
        <v>12</v>
      </c>
      <c r="M32" s="3">
        <f>$A$7</f>
        <v>1</v>
      </c>
      <c r="N32" s="3">
        <f>$A$8</f>
        <v>2</v>
      </c>
      <c r="O32" s="3">
        <f>$A$9</f>
        <v>3</v>
      </c>
      <c r="P32" s="3">
        <f>$A$10</f>
        <v>4</v>
      </c>
      <c r="Q32" s="3">
        <f>$A$11</f>
        <v>5</v>
      </c>
      <c r="R32" s="3">
        <f>$A$12</f>
        <v>6</v>
      </c>
      <c r="S32" s="3">
        <v>7</v>
      </c>
      <c r="T32" s="3" t="s">
        <v>13</v>
      </c>
      <c r="U32" s="3" t="s">
        <v>4</v>
      </c>
      <c r="W32" s="2" t="s">
        <v>12</v>
      </c>
      <c r="X32" s="3">
        <f>$A$7</f>
        <v>1</v>
      </c>
      <c r="Y32" s="3">
        <f>$A$8</f>
        <v>2</v>
      </c>
      <c r="Z32" s="3">
        <f>$A$9</f>
        <v>3</v>
      </c>
      <c r="AA32" s="3">
        <f>$A$10</f>
        <v>4</v>
      </c>
      <c r="AB32" s="3">
        <f>$A$11</f>
        <v>5</v>
      </c>
      <c r="AC32" s="3">
        <f>$A$12</f>
        <v>6</v>
      </c>
      <c r="AD32" s="3">
        <v>7</v>
      </c>
      <c r="AE32" s="3" t="s">
        <v>13</v>
      </c>
      <c r="AF32" s="3" t="s">
        <v>4</v>
      </c>
    </row>
    <row r="33" spans="1:32" x14ac:dyDescent="0.25">
      <c r="A33">
        <f>$A$7</f>
        <v>1</v>
      </c>
      <c r="B33" s="16">
        <f ref="B33:I33" si="21" t="shared">IFERROR(B20/$J$28,0)</f>
        <v>9.5976557728719783E-2</v>
      </c>
      <c r="C33" s="16">
        <f si="21" t="shared"/>
        <v>1.5770483960096813E-2</v>
      </c>
      <c r="D33" s="16">
        <f si="21" t="shared"/>
        <v>0</v>
      </c>
      <c r="E33" s="16">
        <f si="21" t="shared"/>
        <v>0</v>
      </c>
      <c r="F33" s="16">
        <f si="21" t="shared"/>
        <v>8.4458042061182001E-3</v>
      </c>
      <c r="G33" s="16">
        <f si="21" t="shared"/>
        <v>0</v>
      </c>
      <c r="H33" s="16">
        <f si="21" t="shared"/>
        <v>0</v>
      </c>
      <c r="I33" s="16">
        <f si="21" t="shared"/>
        <v>0</v>
      </c>
      <c r="J33" s="16">
        <f ref="J33:J38" si="22" t="shared">J20/$J$28</f>
        <v>0.12019284589493481</v>
      </c>
      <c r="K33" s="12"/>
      <c r="L33">
        <f>$A$7</f>
        <v>1</v>
      </c>
      <c r="M33" s="16">
        <f ref="M33:T33" si="23" t="shared">IFERROR(M20/$U$28,0)</f>
        <v>9.7318516638928904E-2</v>
      </c>
      <c r="N33" s="16">
        <f si="23" t="shared"/>
        <v>2.5598352152724395E-3</v>
      </c>
      <c r="O33" s="16">
        <f si="23" t="shared"/>
        <v>0</v>
      </c>
      <c r="P33" s="16">
        <f si="23" t="shared"/>
        <v>0</v>
      </c>
      <c r="Q33" s="16">
        <f si="23" t="shared"/>
        <v>1.5590366660944975E-2</v>
      </c>
      <c r="R33" s="16">
        <f si="23" t="shared"/>
        <v>4.7092012269297646E-3</v>
      </c>
      <c r="S33" s="16">
        <f si="23" t="shared"/>
        <v>1.4926152858731426E-5</v>
      </c>
      <c r="T33" s="16">
        <f si="23" t="shared"/>
        <v>0</v>
      </c>
      <c r="U33" s="16">
        <f ref="U33:U41" si="24" t="shared">U20/$U$28</f>
        <v>0.12019284589493481</v>
      </c>
      <c r="W33">
        <f>$A$7</f>
        <v>1</v>
      </c>
      <c r="X33" s="16">
        <f ref="X33:AD33" si="25" t="shared">M33-B33</f>
        <v>1.3419589102091206E-3</v>
      </c>
      <c r="Y33" s="16">
        <f si="25" t="shared"/>
        <v>-1.3210648744824374E-2</v>
      </c>
      <c r="Z33" s="16">
        <f si="25" t="shared"/>
        <v>0</v>
      </c>
      <c r="AA33" s="16">
        <f si="25" t="shared"/>
        <v>0</v>
      </c>
      <c r="AB33" s="16">
        <f si="25" t="shared"/>
        <v>7.1445624548267753E-3</v>
      </c>
      <c r="AC33" s="16">
        <f si="25" t="shared"/>
        <v>4.7092012269297646E-3</v>
      </c>
      <c r="AD33" s="16">
        <f si="25" t="shared"/>
        <v>1.4926152858731426E-5</v>
      </c>
      <c r="AE33" s="16">
        <f ref="AE33" si="26" t="shared">T33-I33</f>
        <v>0</v>
      </c>
      <c r="AF33" s="16">
        <f ref="AF33:AF41" si="27" t="shared">U33-J33</f>
        <v>0</v>
      </c>
    </row>
    <row r="34" spans="1:32" x14ac:dyDescent="0.25">
      <c r="A34">
        <f>$A$8</f>
        <v>2</v>
      </c>
      <c r="B34" s="16">
        <f ref="B34:G38" si="28" t="shared">IFERROR(B21/$J$28,0)</f>
        <v>6.9114346404913467E-3</v>
      </c>
      <c r="C34" s="16">
        <f si="28" t="shared"/>
        <v>0.15338422846251465</v>
      </c>
      <c r="D34" s="16">
        <f si="28" t="shared"/>
        <v>0</v>
      </c>
      <c r="E34" s="16">
        <f si="28" t="shared"/>
        <v>0</v>
      </c>
      <c r="F34" s="16">
        <f si="28" t="shared"/>
        <v>3.6010346639688252E-3</v>
      </c>
      <c r="G34" s="16">
        <f si="28" t="shared"/>
        <v>0</v>
      </c>
      <c r="H34" s="16">
        <f ref="H34:H40" si="29" t="shared">IFERROR(H21/$J$28,0)</f>
        <v>4.2531905479946749E-4</v>
      </c>
      <c r="I34" s="16">
        <f>IFERROR(I21/$J$28,0)</f>
        <v>0</v>
      </c>
      <c r="J34" s="16">
        <f si="22" t="shared"/>
        <v>0.1643220168217743</v>
      </c>
      <c r="K34" s="12"/>
      <c r="L34">
        <f>$A$8</f>
        <v>2</v>
      </c>
      <c r="M34" s="16">
        <f ref="M34:R38" si="30" t="shared">IFERROR(M21/$U$28,0)</f>
        <v>1.141850693692954E-3</v>
      </c>
      <c r="N34" s="16">
        <f si="30" t="shared"/>
        <v>0.1570455173031427</v>
      </c>
      <c r="O34" s="16">
        <f si="30" t="shared"/>
        <v>0</v>
      </c>
      <c r="P34" s="16">
        <f si="30" t="shared"/>
        <v>0</v>
      </c>
      <c r="Q34" s="16">
        <f si="30" t="shared"/>
        <v>5.313710417708388E-3</v>
      </c>
      <c r="R34" s="16">
        <f si="30" t="shared"/>
        <v>3.7315382146828563E-5</v>
      </c>
      <c r="S34" s="16">
        <f ref="S34:S40" si="31" t="shared">IFERROR(S21/$U$28,0)</f>
        <v>7.8362302508339988E-4</v>
      </c>
      <c r="T34" s="16">
        <f ref="T34:T40" si="32" t="shared">IFERROR(T21/$U$28,0)</f>
        <v>0</v>
      </c>
      <c r="U34" s="16">
        <f si="24" t="shared"/>
        <v>0.16432201682177427</v>
      </c>
      <c r="W34">
        <f>$A$8</f>
        <v>2</v>
      </c>
      <c r="X34" s="16">
        <f ref="X34:X40" si="33" t="shared">M34-B34</f>
        <v>-5.7695839467983932E-3</v>
      </c>
      <c r="Y34" s="16">
        <f ref="Y34:Y40" si="34" t="shared">N34-C34</f>
        <v>3.6612888406280519E-3</v>
      </c>
      <c r="Z34" s="16">
        <f ref="Z34:Z40" si="35" t="shared">O34-D34</f>
        <v>0</v>
      </c>
      <c r="AA34" s="16">
        <f ref="AA34:AA40" si="36" t="shared">P34-E34</f>
        <v>0</v>
      </c>
      <c r="AB34" s="16">
        <f ref="AB34:AB40" si="37" t="shared">Q34-F34</f>
        <v>1.7126757537395628E-3</v>
      </c>
      <c r="AC34" s="16">
        <f ref="AC34:AC40" si="38" t="shared">R34-G34</f>
        <v>3.7315382146828563E-5</v>
      </c>
      <c r="AD34" s="16">
        <f ref="AD34:AD40" si="39" t="shared">S34-H34</f>
        <v>3.5830397028393238E-4</v>
      </c>
      <c r="AE34" s="16">
        <f ref="AE34:AE40" si="40" t="shared">T34-I34</f>
        <v>0</v>
      </c>
      <c r="AF34" s="16">
        <f si="27" t="shared"/>
        <v>0</v>
      </c>
    </row>
    <row r="35" spans="1:32" x14ac:dyDescent="0.25">
      <c r="A35">
        <f>$A$9</f>
        <v>3</v>
      </c>
      <c r="B35" s="16">
        <f si="28" t="shared"/>
        <v>2.1945519497774374E-4</v>
      </c>
      <c r="C35" s="16">
        <f si="28" t="shared"/>
        <v>0</v>
      </c>
      <c r="D35" s="16">
        <f si="28" t="shared"/>
        <v>9.8774201433659198E-2</v>
      </c>
      <c r="E35" s="16">
        <f si="28" t="shared"/>
        <v>5.4928344390017632E-3</v>
      </c>
      <c r="F35" s="16">
        <f si="28" t="shared"/>
        <v>4.2729217375078342E-3</v>
      </c>
      <c r="G35" s="16">
        <f si="28" t="shared"/>
        <v>0</v>
      </c>
      <c r="H35" s="16">
        <f si="29" t="shared"/>
        <v>0</v>
      </c>
      <c r="I35" s="16">
        <f>IFERROR(I22/$J$28,0)</f>
        <v>0</v>
      </c>
      <c r="J35" s="16">
        <f si="22" t="shared"/>
        <v>0.10875941280514653</v>
      </c>
      <c r="K35" s="13"/>
      <c r="L35">
        <f>$A$9</f>
        <v>3</v>
      </c>
      <c r="M35" s="16">
        <f si="30" t="shared"/>
        <v>7.4630764293657129E-6</v>
      </c>
      <c r="N35" s="16">
        <f si="30" t="shared"/>
        <v>0</v>
      </c>
      <c r="O35" s="16">
        <f si="30" t="shared"/>
        <v>8.6750800414947052E-2</v>
      </c>
      <c r="P35" s="16">
        <f si="30" t="shared"/>
        <v>5.3808781055726795E-3</v>
      </c>
      <c r="Q35" s="16">
        <f si="30" t="shared"/>
        <v>1.6060540475995016E-2</v>
      </c>
      <c r="R35" s="16">
        <f si="30" t="shared"/>
        <v>0</v>
      </c>
      <c r="S35" s="16">
        <f si="31" t="shared"/>
        <v>5.597307322024285E-4</v>
      </c>
      <c r="T35" s="16">
        <f si="32" t="shared"/>
        <v>0</v>
      </c>
      <c r="U35" s="16">
        <f si="24" t="shared"/>
        <v>0.10875941280514653</v>
      </c>
      <c r="W35">
        <f>$A$9</f>
        <v>3</v>
      </c>
      <c r="X35" s="16">
        <f si="33" t="shared"/>
        <v>-2.1199211854837802E-4</v>
      </c>
      <c r="Y35" s="16">
        <f si="34" t="shared"/>
        <v>0</v>
      </c>
      <c r="Z35" s="16">
        <f si="35" t="shared"/>
        <v>-1.2023401018712146E-2</v>
      </c>
      <c r="AA35" s="16">
        <f si="36" t="shared"/>
        <v>-1.1195633342908368E-4</v>
      </c>
      <c r="AB35" s="16">
        <f si="37" t="shared"/>
        <v>1.1787618738487181E-2</v>
      </c>
      <c r="AC35" s="16">
        <f si="38" t="shared"/>
        <v>0</v>
      </c>
      <c r="AD35" s="16">
        <f si="39" t="shared"/>
        <v>5.597307322024285E-4</v>
      </c>
      <c r="AE35" s="16">
        <f si="40" t="shared"/>
        <v>0</v>
      </c>
      <c r="AF35" s="16">
        <f si="27" t="shared"/>
        <v>0</v>
      </c>
    </row>
    <row r="36" spans="1:32" x14ac:dyDescent="0.25">
      <c r="A36">
        <f>$A$10</f>
        <v>4</v>
      </c>
      <c r="B36" s="16">
        <f si="28" t="shared"/>
        <v>0</v>
      </c>
      <c r="C36" s="16">
        <f si="28" t="shared"/>
        <v>0</v>
      </c>
      <c r="D36" s="16">
        <f si="28" t="shared"/>
        <v>5.5348946839752357E-4</v>
      </c>
      <c r="E36" s="16">
        <f si="28" t="shared"/>
        <v>3.8333099182731346E-2</v>
      </c>
      <c r="F36" s="16">
        <f si="28" t="shared"/>
        <v>3.5186116205271141E-3</v>
      </c>
      <c r="G36" s="16">
        <f si="28" t="shared"/>
        <v>0</v>
      </c>
      <c r="H36" s="16">
        <f si="29" t="shared"/>
        <v>0</v>
      </c>
      <c r="I36" s="16">
        <f>IFERROR(I23/$J$28,0)</f>
        <v>0</v>
      </c>
      <c r="J36" s="16">
        <f si="22" t="shared"/>
        <v>4.2405200271655979E-2</v>
      </c>
      <c r="K36" s="13"/>
      <c r="L36">
        <f>$A$10</f>
        <v>4</v>
      </c>
      <c r="M36" s="16">
        <f si="30" t="shared"/>
        <v>0</v>
      </c>
      <c r="N36" s="16">
        <f si="30" t="shared"/>
        <v>0</v>
      </c>
      <c r="O36" s="16">
        <f si="30" t="shared"/>
        <v>2.9329890367407255E-3</v>
      </c>
      <c r="P36" s="16">
        <f si="30" t="shared"/>
        <v>3.5830229937384786E-2</v>
      </c>
      <c r="Q36" s="16">
        <f si="30" t="shared"/>
        <v>3.6345182211011025E-3</v>
      </c>
      <c r="R36" s="16">
        <f si="30" t="shared"/>
        <v>0</v>
      </c>
      <c r="S36" s="16">
        <f si="31" t="shared"/>
        <v>7.4630764293657129E-6</v>
      </c>
      <c r="T36" s="16">
        <f si="32" t="shared"/>
        <v>0</v>
      </c>
      <c r="U36" s="16">
        <f si="24" t="shared"/>
        <v>4.2405200271655979E-2</v>
      </c>
      <c r="W36">
        <f>$A$10</f>
        <v>4</v>
      </c>
      <c r="X36" s="16">
        <f si="33" t="shared"/>
        <v>0</v>
      </c>
      <c r="Y36" s="16">
        <f si="34" t="shared"/>
        <v>0</v>
      </c>
      <c r="Z36" s="16">
        <f si="35" t="shared"/>
        <v>2.3794995683432017E-3</v>
      </c>
      <c r="AA36" s="16">
        <f si="36" t="shared"/>
        <v>-2.5028692453465604E-3</v>
      </c>
      <c r="AB36" s="16">
        <f si="37" t="shared"/>
        <v>1.1590660057398837E-4</v>
      </c>
      <c r="AC36" s="16">
        <f si="38" t="shared"/>
        <v>0</v>
      </c>
      <c r="AD36" s="16">
        <f si="39" t="shared"/>
        <v>7.4630764293657129E-6</v>
      </c>
      <c r="AE36" s="16">
        <f si="40" t="shared"/>
        <v>0</v>
      </c>
      <c r="AF36" s="16">
        <f si="27" t="shared"/>
        <v>0</v>
      </c>
    </row>
    <row r="37" spans="1:32" x14ac:dyDescent="0.25">
      <c r="A37">
        <f>$A$11</f>
        <v>5</v>
      </c>
      <c r="B37" s="16">
        <f si="28" t="shared"/>
        <v>1.5117072249418245E-2</v>
      </c>
      <c r="C37" s="16">
        <f si="28" t="shared"/>
        <v>1.8642635096249253E-3</v>
      </c>
      <c r="D37" s="16">
        <f si="28" t="shared"/>
        <v>9.0281470768529652E-3</v>
      </c>
      <c r="E37" s="16">
        <f si="28" t="shared"/>
        <v>0</v>
      </c>
      <c r="F37" s="16">
        <f si="28" t="shared"/>
        <v>0.40374084209050448</v>
      </c>
      <c r="G37" s="16">
        <f si="28" t="shared"/>
        <v>0</v>
      </c>
      <c r="H37" s="16">
        <f si="29" t="shared"/>
        <v>1.5184726973557858E-3</v>
      </c>
      <c r="I37" s="16">
        <f>IFERROR(I24/$J$28,0)</f>
        <v>0</v>
      </c>
      <c r="J37" s="16">
        <f si="22" t="shared"/>
        <v>0.43126879762375642</v>
      </c>
      <c r="K37" s="13"/>
      <c r="L37">
        <f>$A$11</f>
        <v>5</v>
      </c>
      <c r="M37" s="16">
        <f si="30" t="shared"/>
        <v>1.182151306411529E-2</v>
      </c>
      <c r="N37" s="16">
        <f si="30" t="shared"/>
        <v>5.3659519527139475E-3</v>
      </c>
      <c r="O37" s="16">
        <f si="30" t="shared"/>
        <v>2.343405998820834E-3</v>
      </c>
      <c r="P37" s="16">
        <f si="30" t="shared"/>
        <v>5.8958303791989137E-4</v>
      </c>
      <c r="Q37" s="16">
        <f si="30" t="shared"/>
        <v>0.40658840387184403</v>
      </c>
      <c r="R37" s="16">
        <f si="30" t="shared"/>
        <v>0</v>
      </c>
      <c r="S37" s="16">
        <f si="31" t="shared"/>
        <v>4.5599396983424505E-3</v>
      </c>
      <c r="T37" s="16">
        <f si="32" t="shared"/>
        <v>0</v>
      </c>
      <c r="U37" s="16">
        <f si="24" t="shared"/>
        <v>0.43126879762375647</v>
      </c>
      <c r="W37">
        <f>$A$11</f>
        <v>5</v>
      </c>
      <c r="X37" s="16">
        <f si="33" t="shared"/>
        <v>-3.2955591853029553E-3</v>
      </c>
      <c r="Y37" s="16">
        <f si="34" t="shared"/>
        <v>3.5016884430890223E-3</v>
      </c>
      <c r="Z37" s="16">
        <f si="35" t="shared"/>
        <v>-6.6847410780321312E-3</v>
      </c>
      <c r="AA37" s="16">
        <f si="36" t="shared"/>
        <v>5.8958303791989137E-4</v>
      </c>
      <c r="AB37" s="16">
        <f si="37" t="shared"/>
        <v>2.8475617813395471E-3</v>
      </c>
      <c r="AC37" s="16">
        <f si="38" t="shared"/>
        <v>0</v>
      </c>
      <c r="AD37" s="16">
        <f si="39" t="shared"/>
        <v>3.0414670009866647E-3</v>
      </c>
      <c r="AE37" s="16">
        <f si="40" t="shared"/>
        <v>0</v>
      </c>
      <c r="AF37" s="16">
        <f si="27" t="shared"/>
        <v>0</v>
      </c>
    </row>
    <row r="38" spans="1:32" x14ac:dyDescent="0.25">
      <c r="A38">
        <f>$A$12</f>
        <v>6</v>
      </c>
      <c r="B38" s="16">
        <f si="28" t="shared"/>
        <v>4.8448471440786511E-3</v>
      </c>
      <c r="C38" s="16">
        <f si="28" t="shared"/>
        <v>0</v>
      </c>
      <c r="D38" s="16">
        <f si="28" t="shared"/>
        <v>0</v>
      </c>
      <c r="E38" s="16">
        <f si="28" t="shared"/>
        <v>0</v>
      </c>
      <c r="F38" s="16">
        <f si="28" t="shared"/>
        <v>0</v>
      </c>
      <c r="G38" s="16">
        <f si="28" t="shared"/>
        <v>5.2068573706264276E-2</v>
      </c>
      <c r="H38" s="16">
        <f si="29" t="shared"/>
        <v>0</v>
      </c>
      <c r="I38" s="16">
        <f>IFERROR(I25/$J$28,0)</f>
        <v>0</v>
      </c>
      <c r="J38" s="16">
        <f si="22" t="shared"/>
        <v>5.6913420850342927E-2</v>
      </c>
      <c r="K38" s="13"/>
      <c r="L38">
        <f>$A$12</f>
        <v>6</v>
      </c>
      <c r="M38" s="16">
        <f si="30" t="shared"/>
        <v>3.231512093915354E-3</v>
      </c>
      <c r="N38" s="16">
        <f si="30" t="shared"/>
        <v>2.2389229288097141E-5</v>
      </c>
      <c r="O38" s="16">
        <f si="30" t="shared"/>
        <v>0</v>
      </c>
      <c r="P38" s="16">
        <f si="30" t="shared"/>
        <v>0</v>
      </c>
      <c r="Q38" s="16">
        <f si="30" t="shared"/>
        <v>5.2241535005559992E-5</v>
      </c>
      <c r="R38" s="16">
        <f si="30" t="shared"/>
        <v>5.3607277992133918E-2</v>
      </c>
      <c r="S38" s="16">
        <f si="31" t="shared"/>
        <v>0</v>
      </c>
      <c r="T38" s="16">
        <f si="32" t="shared"/>
        <v>0</v>
      </c>
      <c r="U38" s="16">
        <f si="24" t="shared"/>
        <v>5.6913420850342927E-2</v>
      </c>
      <c r="W38">
        <f>$A$12</f>
        <v>6</v>
      </c>
      <c r="X38" s="16">
        <f si="33" t="shared"/>
        <v>-1.6133350501632972E-3</v>
      </c>
      <c r="Y38" s="16">
        <f si="34" t="shared"/>
        <v>2.2389229288097141E-5</v>
      </c>
      <c r="Z38" s="16">
        <f si="35" t="shared"/>
        <v>0</v>
      </c>
      <c r="AA38" s="16">
        <f si="36" t="shared"/>
        <v>0</v>
      </c>
      <c r="AB38" s="16">
        <f si="37" t="shared"/>
        <v>5.2241535005559992E-5</v>
      </c>
      <c r="AC38" s="16">
        <f si="38" t="shared"/>
        <v>1.5387042858696423E-3</v>
      </c>
      <c r="AD38" s="16">
        <f si="39" t="shared"/>
        <v>0</v>
      </c>
      <c r="AE38" s="16">
        <f si="40" t="shared"/>
        <v>0</v>
      </c>
      <c r="AF38" s="16">
        <f si="27" t="shared"/>
        <v>0</v>
      </c>
    </row>
    <row r="39" spans="1:32" x14ac:dyDescent="0.25">
      <c r="A39">
        <v>7</v>
      </c>
      <c r="B39" s="16">
        <f>IFERROR(B26/$J$28,0)</f>
        <v>3.322640442172769E-4</v>
      </c>
      <c r="C39" s="16">
        <f ref="C39:J39" si="41" t="shared">IFERROR(C26/$J$28,0)</f>
        <v>6.3683941808311407E-4</v>
      </c>
      <c r="D39" s="16">
        <f si="41" t="shared"/>
        <v>0</v>
      </c>
      <c r="E39" s="16">
        <f si="41" t="shared"/>
        <v>0</v>
      </c>
      <c r="F39" s="16">
        <f si="41" t="shared"/>
        <v>2.1796521300653366E-2</v>
      </c>
      <c r="G39" s="16">
        <f si="41" t="shared"/>
        <v>0</v>
      </c>
      <c r="H39" s="16">
        <f si="29" t="shared"/>
        <v>5.3372680969435253E-2</v>
      </c>
      <c r="I39" s="16">
        <f si="41" t="shared"/>
        <v>0</v>
      </c>
      <c r="J39" s="16">
        <f si="41" t="shared"/>
        <v>7.6138305732389E-2</v>
      </c>
      <c r="K39" s="13"/>
      <c r="L39">
        <v>7</v>
      </c>
      <c r="M39" s="16">
        <f>IFERROR(M26/$U$28,0)</f>
        <v>5.2241535005559992E-5</v>
      </c>
      <c r="N39" s="16">
        <f ref="N39:R39" si="42" t="shared">IFERROR(N26/$U$28,0)</f>
        <v>2.0374198652168395E-3</v>
      </c>
      <c r="O39" s="16">
        <f si="42" t="shared"/>
        <v>1.2911122222802683E-3</v>
      </c>
      <c r="P39" s="16">
        <f si="42" t="shared"/>
        <v>0</v>
      </c>
      <c r="Q39" s="16">
        <f si="42" t="shared"/>
        <v>1.2202129962012941E-2</v>
      </c>
      <c r="R39" s="16">
        <f si="42" t="shared"/>
        <v>0</v>
      </c>
      <c r="S39" s="16">
        <f si="31" t="shared"/>
        <v>6.0555402147873395E-2</v>
      </c>
      <c r="T39" s="16">
        <f si="32" t="shared"/>
        <v>0</v>
      </c>
      <c r="U39" s="16">
        <f si="24" t="shared"/>
        <v>7.6138305732389E-2</v>
      </c>
      <c r="W39">
        <v>7</v>
      </c>
      <c r="X39" s="16">
        <f si="33" t="shared"/>
        <v>-2.800225092117169E-4</v>
      </c>
      <c r="Y39" s="16">
        <f si="34" t="shared"/>
        <v>1.4005804471337255E-3</v>
      </c>
      <c r="Z39" s="16">
        <f si="35" t="shared"/>
        <v>1.2911122222802683E-3</v>
      </c>
      <c r="AA39" s="16">
        <f si="36" t="shared"/>
        <v>0</v>
      </c>
      <c r="AB39" s="16">
        <f si="37" t="shared"/>
        <v>-9.5943913386404255E-3</v>
      </c>
      <c r="AC39" s="16">
        <f si="38" t="shared"/>
        <v>0</v>
      </c>
      <c r="AD39" s="16">
        <f si="39" t="shared"/>
        <v>7.1827211784381423E-3</v>
      </c>
      <c r="AE39" s="16">
        <f si="40" t="shared"/>
        <v>0</v>
      </c>
      <c r="AF39" s="16">
        <f si="27" t="shared"/>
        <v>0</v>
      </c>
    </row>
    <row r="40" spans="1:32" x14ac:dyDescent="0.25">
      <c r="A40" s="7" t="s">
        <v>13</v>
      </c>
      <c r="B40" s="17">
        <f>IFERROR(B27/$J$28,0)</f>
        <v>0</v>
      </c>
      <c r="C40" s="17">
        <f>IFERROR(C27/$J$28,0)</f>
        <v>0</v>
      </c>
      <c r="D40" s="17">
        <f>IFERROR(D27/$J$28,0)</f>
        <v>0</v>
      </c>
      <c r="E40" s="17">
        <f>IFERROR(E27/$J$28,0)</f>
        <v>0</v>
      </c>
      <c r="F40" s="17">
        <f>IFERROR(F27/$J$28,0)</f>
        <v>0</v>
      </c>
      <c r="G40" s="17">
        <f>IFERROR(G27/$J$28,0)</f>
        <v>0</v>
      </c>
      <c r="H40" s="16">
        <f si="29" t="shared"/>
        <v>0</v>
      </c>
      <c r="I40" s="17">
        <f>IFERROR(I27/$J$28,0)</f>
        <v>0</v>
      </c>
      <c r="J40" s="17">
        <f>J27/$J$28</f>
        <v>0</v>
      </c>
      <c r="K40" s="12"/>
      <c r="L40" s="293" t="s">
        <v>13</v>
      </c>
      <c r="M40" s="17">
        <f>IFERROR(M27/$U$28,0)</f>
        <v>0</v>
      </c>
      <c r="N40" s="17">
        <f>IFERROR(N27/$U$28,0)</f>
        <v>0</v>
      </c>
      <c r="O40" s="17">
        <f>IFERROR(O27/$U$28,0)</f>
        <v>0</v>
      </c>
      <c r="P40" s="17">
        <f>IFERROR(P27/$U$28,0)</f>
        <v>0</v>
      </c>
      <c r="Q40" s="17">
        <f>IFERROR(Q27/$U$28,0)</f>
        <v>0</v>
      </c>
      <c r="R40" s="17">
        <f>IFERROR(R27/$U$28,0)</f>
        <v>0</v>
      </c>
      <c r="S40" s="16">
        <f si="31" t="shared"/>
        <v>0</v>
      </c>
      <c r="T40" s="17">
        <f si="32" t="shared"/>
        <v>0</v>
      </c>
      <c r="U40" s="17">
        <f si="24" t="shared"/>
        <v>0</v>
      </c>
      <c r="W40" s="293" t="s">
        <v>13</v>
      </c>
      <c r="X40" s="17">
        <f si="33" t="shared"/>
        <v>0</v>
      </c>
      <c r="Y40" s="17">
        <f si="34" t="shared"/>
        <v>0</v>
      </c>
      <c r="Z40" s="17">
        <f si="35" t="shared"/>
        <v>0</v>
      </c>
      <c r="AA40" s="17">
        <f si="36" t="shared"/>
        <v>0</v>
      </c>
      <c r="AB40" s="17">
        <f si="37" t="shared"/>
        <v>0</v>
      </c>
      <c r="AC40" s="17">
        <f si="38" t="shared"/>
        <v>0</v>
      </c>
      <c r="AD40" s="16">
        <f si="39" t="shared"/>
        <v>0</v>
      </c>
      <c r="AE40" s="17">
        <f si="40" t="shared"/>
        <v>0</v>
      </c>
      <c r="AF40" s="17">
        <f si="27" t="shared"/>
        <v>0</v>
      </c>
    </row>
    <row ht="15.75" r="41" spans="1:32" thickBot="1" x14ac:dyDescent="0.3">
      <c r="A41" s="1" t="s">
        <v>4</v>
      </c>
      <c r="B41" s="18">
        <f ref="B41:I41" si="43" t="shared">B28/$J$28</f>
        <v>0.12340163100190307</v>
      </c>
      <c r="C41" s="18">
        <f si="43" t="shared"/>
        <v>0.17165581535031949</v>
      </c>
      <c r="D41" s="18">
        <f si="43" t="shared"/>
        <v>0.10835583797890969</v>
      </c>
      <c r="E41" s="18">
        <f si="43" t="shared"/>
        <v>4.3825933621733107E-2</v>
      </c>
      <c r="F41" s="18">
        <f si="43" t="shared"/>
        <v>0.44537573561927984</v>
      </c>
      <c r="G41" s="18">
        <f si="43" t="shared"/>
        <v>5.2068573706264276E-2</v>
      </c>
      <c r="H41" s="403">
        <f si="43" t="shared"/>
        <v>5.5316472721590501E-2</v>
      </c>
      <c r="I41" s="18">
        <f si="43" t="shared"/>
        <v>0</v>
      </c>
      <c r="J41" s="18">
        <f>J28/$J$28</f>
        <v>1</v>
      </c>
      <c r="K41" s="12"/>
      <c r="L41" s="15" t="s">
        <v>4</v>
      </c>
      <c r="M41" s="18">
        <f ref="M41:T41" si="44" t="shared">M28/$U$28</f>
        <v>0.11357309710208742</v>
      </c>
      <c r="N41" s="18">
        <f si="44" t="shared"/>
        <v>0.16703111356563402</v>
      </c>
      <c r="O41" s="18">
        <f si="44" t="shared"/>
        <v>9.3318307672788883E-2</v>
      </c>
      <c r="P41" s="18">
        <f si="44" t="shared"/>
        <v>4.1800691080877361E-2</v>
      </c>
      <c r="Q41" s="18">
        <f si="44" t="shared"/>
        <v>0.45944191114461203</v>
      </c>
      <c r="R41" s="18">
        <f si="44" t="shared"/>
        <v>5.8353794601210512E-2</v>
      </c>
      <c r="S41" s="403">
        <f si="44" t="shared"/>
        <v>6.6481084832789777E-2</v>
      </c>
      <c r="T41" s="18">
        <f si="44" t="shared"/>
        <v>0</v>
      </c>
      <c r="U41" s="18">
        <f si="24" t="shared"/>
        <v>1</v>
      </c>
      <c r="W41" s="15" t="s">
        <v>4</v>
      </c>
      <c r="X41" s="18">
        <f ref="X41:AD41" si="45" t="shared">M41-B41</f>
        <v>-9.828533899815653E-3</v>
      </c>
      <c r="Y41" s="18">
        <f si="45" t="shared"/>
        <v>-4.6247017846854643E-3</v>
      </c>
      <c r="Z41" s="18">
        <f si="45" t="shared"/>
        <v>-1.5037530306120803E-2</v>
      </c>
      <c r="AA41" s="18">
        <f si="45" t="shared"/>
        <v>-2.0252425408557456E-3</v>
      </c>
      <c r="AB41" s="18">
        <f si="45" t="shared"/>
        <v>1.4066175525332181E-2</v>
      </c>
      <c r="AC41" s="18">
        <f si="45" t="shared"/>
        <v>6.2852208949462363E-3</v>
      </c>
      <c r="AD41" s="18">
        <f si="45" t="shared"/>
        <v>1.1164612111199276E-2</v>
      </c>
      <c r="AE41" s="18">
        <f ref="AE41" si="46" t="shared">T41-I41</f>
        <v>0</v>
      </c>
      <c r="AF41" s="18">
        <f si="27" t="shared"/>
        <v>0</v>
      </c>
    </row>
  </sheetData>
  <pageMargins bottom="0.75" footer="0.3" header="0.3" left="0.7" right="0.7" top="0.75"/>
  <pageSetup orientation="portrait" r:id="rId1"/>
  <ignoredErrors>
    <ignoredError formulaRange="1" sqref="J7:J12"/>
  </ignoredErrors>
</worksheet>
</file>

<file path=xl/worksheets/sheet4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dimension ref="A1:D15"/>
  <sheetViews>
    <sheetView workbookViewId="0">
      <selection activeCell="B3" sqref="B3"/>
    </sheetView>
  </sheetViews>
  <sheetFormatPr defaultRowHeight="15" x14ac:dyDescent="0.25"/>
  <sheetData>
    <row r="1" spans="1:3" x14ac:dyDescent="0.25">
      <c r="A1" s="10" t="s">
        <v>19</v>
      </c>
    </row>
    <row r="2" spans="1:3" x14ac:dyDescent="0.25">
      <c r="A2">
        <v>1</v>
      </c>
      <c r="B2" t="s">
        <v>246</v>
      </c>
    </row>
    <row r="3" spans="1:3" x14ac:dyDescent="0.25">
      <c r="B3" t="s">
        <v>20</v>
      </c>
      <c r="C3" t="s">
        <v>21</v>
      </c>
    </row>
    <row r="4" spans="1:3" x14ac:dyDescent="0.25">
      <c r="B4" t="s">
        <v>22</v>
      </c>
      <c r="C4" t="s">
        <v>23</v>
      </c>
    </row>
    <row r="5" spans="1:3" x14ac:dyDescent="0.25">
      <c r="B5" t="s">
        <v>24</v>
      </c>
      <c r="C5" t="s">
        <v>25</v>
      </c>
    </row>
    <row r="6" spans="1:3" x14ac:dyDescent="0.25">
      <c r="B6" t="s">
        <v>26</v>
      </c>
      <c r="C6" t="s">
        <v>27</v>
      </c>
    </row>
    <row r="8" spans="1:3" x14ac:dyDescent="0.25">
      <c r="A8">
        <v>2</v>
      </c>
      <c r="B8" t="s">
        <v>28</v>
      </c>
    </row>
    <row r="10" spans="1:3" x14ac:dyDescent="0.25">
      <c r="A10">
        <v>3</v>
      </c>
      <c r="B10" t="s">
        <v>29</v>
      </c>
    </row>
    <row r="12" spans="1:3" x14ac:dyDescent="0.25">
      <c r="A12">
        <v>4</v>
      </c>
      <c r="B12" t="s">
        <v>30</v>
      </c>
    </row>
    <row r="14" spans="1:3" x14ac:dyDescent="0.25">
      <c r="A14">
        <v>5</v>
      </c>
      <c r="B14" t="s">
        <v>31</v>
      </c>
    </row>
    <row r="15" spans="1:3" x14ac:dyDescent="0.25">
      <c r="B15" t="s">
        <v>32</v>
      </c>
    </row>
  </sheetData>
  <pageMargins bottom="0.75" footer="0.3" header="0.3" left="0.7" right="0.7" top="0.75"/>
</worksheet>
</file>

<file path=xl/worksheets/sheet5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dimension ref="A1:E104"/>
  <sheetViews>
    <sheetView workbookViewId="0">
      <selection activeCell="K26" sqref="K26"/>
    </sheetView>
  </sheetViews>
  <sheetFormatPr defaultRowHeight="15" x14ac:dyDescent="0.25"/>
  <cols>
    <col min="2" max="2" customWidth="true" width="10.7109375" collapsed="true"/>
    <col min="3" max="3" customWidth="true" width="13.7109375" collapsed="true"/>
  </cols>
  <sheetData>
    <row r="1" spans="1:4" x14ac:dyDescent="0.25">
      <c r="A1" s="297" t="s">
        <v>311</v>
      </c>
    </row>
    <row r="2" spans="1:4" x14ac:dyDescent="0.25">
      <c r="A2" t="s">
        <v>247</v>
      </c>
      <c r="B2" t="s">
        <v>254</v>
      </c>
      <c r="C2" t="s">
        <v>91</v>
      </c>
      <c r="D2" t="s">
        <v>269</v>
      </c>
    </row>
    <row r="3" spans="1:4" x14ac:dyDescent="0.25">
      <c r="A3">
        <v>1</v>
      </c>
      <c r="B3" t="s">
        <v>45</v>
      </c>
      <c r="C3" t="s">
        <v>270</v>
      </c>
      <c r="D3" t="s">
        <v>46</v>
      </c>
    </row>
    <row r="4" spans="1:4" x14ac:dyDescent="0.25">
      <c r="A4">
        <v>2</v>
      </c>
      <c r="B4" t="s">
        <v>48</v>
      </c>
      <c r="C4" t="s">
        <v>270</v>
      </c>
      <c r="D4" t="s">
        <v>49</v>
      </c>
    </row>
    <row r="5" spans="1:4" x14ac:dyDescent="0.25">
      <c r="A5">
        <v>3</v>
      </c>
      <c r="B5" t="s">
        <v>51</v>
      </c>
      <c r="C5" t="s">
        <v>270</v>
      </c>
      <c r="D5" t="s">
        <v>52</v>
      </c>
    </row>
    <row r="6" spans="1:4" x14ac:dyDescent="0.25">
      <c r="A6">
        <v>4</v>
      </c>
      <c r="B6" t="s">
        <v>54</v>
      </c>
      <c r="C6" t="s">
        <v>270</v>
      </c>
      <c r="D6" t="s">
        <v>55</v>
      </c>
    </row>
    <row r="7" spans="1:4" x14ac:dyDescent="0.25">
      <c r="A7">
        <v>5</v>
      </c>
      <c r="B7" t="s">
        <v>57</v>
      </c>
      <c r="C7" t="s">
        <v>270</v>
      </c>
      <c r="D7" t="s">
        <v>58</v>
      </c>
    </row>
    <row r="8" spans="1:4" x14ac:dyDescent="0.25">
      <c r="A8">
        <v>6</v>
      </c>
      <c r="B8" t="s">
        <v>59</v>
      </c>
      <c r="C8" t="s">
        <v>270</v>
      </c>
      <c r="D8" t="s">
        <v>60</v>
      </c>
    </row>
    <row r="9" spans="1:4" x14ac:dyDescent="0.25">
      <c r="A9">
        <v>7</v>
      </c>
      <c r="B9" t="s">
        <v>61</v>
      </c>
      <c r="C9" t="s">
        <v>270</v>
      </c>
      <c r="D9" t="s">
        <v>62</v>
      </c>
    </row>
    <row r="10" spans="1:4" x14ac:dyDescent="0.25">
      <c r="A10">
        <v>8</v>
      </c>
      <c r="B10" t="s">
        <v>64</v>
      </c>
      <c r="C10" t="s">
        <v>270</v>
      </c>
      <c r="D10" t="s">
        <v>65</v>
      </c>
    </row>
    <row r="11" spans="1:4" x14ac:dyDescent="0.25">
      <c r="A11">
        <v>9</v>
      </c>
      <c r="B11" t="s">
        <v>66</v>
      </c>
      <c r="C11" t="s">
        <v>270</v>
      </c>
      <c r="D11" t="s">
        <v>67</v>
      </c>
    </row>
    <row r="12" spans="1:4" x14ac:dyDescent="0.25">
      <c r="A12">
        <v>10</v>
      </c>
      <c r="B12" t="s">
        <v>68</v>
      </c>
      <c r="C12" t="s">
        <v>270</v>
      </c>
      <c r="D12" t="s">
        <v>69</v>
      </c>
    </row>
    <row r="13" spans="1:4" x14ac:dyDescent="0.25">
      <c r="A13">
        <v>11</v>
      </c>
      <c r="B13" t="s">
        <v>70</v>
      </c>
      <c r="C13" t="s">
        <v>270</v>
      </c>
      <c r="D13" t="s">
        <v>71</v>
      </c>
    </row>
    <row r="14" spans="1:4" x14ac:dyDescent="0.25">
      <c r="A14">
        <v>12</v>
      </c>
      <c r="B14" t="s">
        <v>72</v>
      </c>
      <c r="C14" t="s">
        <v>270</v>
      </c>
      <c r="D14" t="s">
        <v>73</v>
      </c>
    </row>
    <row r="15" spans="1:4" x14ac:dyDescent="0.25">
      <c r="A15">
        <v>13</v>
      </c>
      <c r="B15" t="s">
        <v>74</v>
      </c>
      <c r="C15" t="s">
        <v>270</v>
      </c>
      <c r="D15" t="s">
        <v>75</v>
      </c>
    </row>
    <row r="16" spans="1:4" x14ac:dyDescent="0.25">
      <c r="A16">
        <v>14</v>
      </c>
      <c r="B16" t="s">
        <v>76</v>
      </c>
      <c r="C16" t="s">
        <v>270</v>
      </c>
      <c r="D16" t="s">
        <v>77</v>
      </c>
    </row>
    <row r="17" spans="1:4" x14ac:dyDescent="0.25">
      <c r="A17">
        <v>15</v>
      </c>
      <c r="B17" t="s">
        <v>78</v>
      </c>
      <c r="C17" t="s">
        <v>270</v>
      </c>
      <c r="D17" t="s">
        <v>79</v>
      </c>
    </row>
    <row r="18" spans="1:4" x14ac:dyDescent="0.25">
      <c r="A18">
        <v>16</v>
      </c>
      <c r="B18" t="s">
        <v>80</v>
      </c>
      <c r="C18" t="s">
        <v>270</v>
      </c>
      <c r="D18" t="s">
        <v>81</v>
      </c>
    </row>
    <row r="19" spans="1:4" x14ac:dyDescent="0.25">
      <c r="A19">
        <v>17</v>
      </c>
      <c r="B19" t="s">
        <v>83</v>
      </c>
      <c r="C19" t="s">
        <v>270</v>
      </c>
      <c r="D19" t="s">
        <v>84</v>
      </c>
    </row>
    <row r="20" spans="1:4" x14ac:dyDescent="0.25">
      <c r="A20">
        <v>18</v>
      </c>
      <c r="B20" t="s">
        <v>86</v>
      </c>
      <c r="C20" t="s">
        <v>270</v>
      </c>
      <c r="D20" t="s">
        <v>87</v>
      </c>
    </row>
    <row r="21" spans="1:4" x14ac:dyDescent="0.25">
      <c r="A21">
        <v>19</v>
      </c>
      <c r="B21" t="s">
        <v>89</v>
      </c>
      <c r="C21" t="s">
        <v>270</v>
      </c>
      <c r="D21" t="s">
        <v>90</v>
      </c>
    </row>
    <row r="22" spans="1:4" x14ac:dyDescent="0.25">
      <c r="A22">
        <v>20</v>
      </c>
      <c r="B22" t="s">
        <v>92</v>
      </c>
      <c r="C22" t="s">
        <v>88</v>
      </c>
      <c r="D22" t="s">
        <v>93</v>
      </c>
    </row>
    <row r="23" spans="1:4" x14ac:dyDescent="0.25">
      <c r="A23">
        <v>21</v>
      </c>
      <c r="B23" t="s">
        <v>94</v>
      </c>
      <c r="C23" t="s">
        <v>88</v>
      </c>
      <c r="D23" t="s">
        <v>95</v>
      </c>
    </row>
    <row r="24" spans="1:4" x14ac:dyDescent="0.25">
      <c r="A24">
        <v>22</v>
      </c>
      <c r="B24" t="s">
        <v>96</v>
      </c>
      <c r="C24" t="s">
        <v>88</v>
      </c>
      <c r="D24" t="s">
        <v>97</v>
      </c>
    </row>
    <row r="25" spans="1:4" x14ac:dyDescent="0.25">
      <c r="A25">
        <v>23</v>
      </c>
      <c r="B25" t="s">
        <v>98</v>
      </c>
      <c r="C25" t="s">
        <v>88</v>
      </c>
      <c r="D25" t="s">
        <v>99</v>
      </c>
    </row>
    <row r="26" spans="1:4" x14ac:dyDescent="0.25">
      <c r="A26">
        <v>24</v>
      </c>
      <c r="B26" t="s">
        <v>100</v>
      </c>
      <c r="C26" t="s">
        <v>88</v>
      </c>
      <c r="D26" t="s">
        <v>101</v>
      </c>
    </row>
    <row r="27" spans="1:4" x14ac:dyDescent="0.25">
      <c r="A27">
        <v>25</v>
      </c>
      <c r="B27" t="s">
        <v>103</v>
      </c>
      <c r="C27" t="s">
        <v>88</v>
      </c>
      <c r="D27" t="s">
        <v>104</v>
      </c>
    </row>
    <row r="28" spans="1:4" x14ac:dyDescent="0.25">
      <c r="A28">
        <v>26</v>
      </c>
      <c r="B28" t="s">
        <v>105</v>
      </c>
      <c r="C28" t="s">
        <v>102</v>
      </c>
      <c r="D28" t="s">
        <v>93</v>
      </c>
    </row>
    <row r="29" spans="1:4" x14ac:dyDescent="0.25">
      <c r="A29">
        <v>27</v>
      </c>
      <c r="B29" t="s">
        <v>106</v>
      </c>
      <c r="C29" t="s">
        <v>102</v>
      </c>
      <c r="D29" t="s">
        <v>95</v>
      </c>
    </row>
    <row r="30" spans="1:4" x14ac:dyDescent="0.25">
      <c r="A30">
        <v>28</v>
      </c>
      <c r="B30" t="s">
        <v>108</v>
      </c>
      <c r="C30" t="s">
        <v>102</v>
      </c>
      <c r="D30" t="s">
        <v>97</v>
      </c>
    </row>
    <row r="31" spans="1:4" x14ac:dyDescent="0.25">
      <c r="A31">
        <v>29</v>
      </c>
      <c r="B31" t="s">
        <v>109</v>
      </c>
      <c r="C31" t="s">
        <v>102</v>
      </c>
      <c r="D31" t="s">
        <v>99</v>
      </c>
    </row>
    <row r="32" spans="1:4" x14ac:dyDescent="0.25">
      <c r="A32">
        <v>30</v>
      </c>
      <c r="B32" t="s">
        <v>110</v>
      </c>
      <c r="C32" t="s">
        <v>102</v>
      </c>
      <c r="D32" t="s">
        <v>111</v>
      </c>
    </row>
    <row r="33" spans="1:4" x14ac:dyDescent="0.25">
      <c r="A33">
        <v>31</v>
      </c>
      <c r="B33" t="s">
        <v>112</v>
      </c>
      <c r="C33" t="s">
        <v>102</v>
      </c>
      <c r="D33" t="s">
        <v>113</v>
      </c>
    </row>
    <row r="34" spans="1:4" x14ac:dyDescent="0.25">
      <c r="A34">
        <v>32</v>
      </c>
      <c r="B34" t="s">
        <v>114</v>
      </c>
      <c r="C34" t="s">
        <v>102</v>
      </c>
      <c r="D34" t="s">
        <v>115</v>
      </c>
    </row>
    <row r="35" spans="1:4" x14ac:dyDescent="0.25">
      <c r="A35">
        <v>33</v>
      </c>
      <c r="B35" t="s">
        <v>116</v>
      </c>
      <c r="C35" t="s">
        <v>102</v>
      </c>
      <c r="D35" t="s">
        <v>117</v>
      </c>
    </row>
    <row r="36" spans="1:4" x14ac:dyDescent="0.25">
      <c r="A36">
        <v>34</v>
      </c>
      <c r="B36" t="s">
        <v>118</v>
      </c>
      <c r="C36" t="s">
        <v>102</v>
      </c>
      <c r="D36" t="s">
        <v>119</v>
      </c>
    </row>
    <row r="37" spans="1:4" x14ac:dyDescent="0.25">
      <c r="A37">
        <v>35</v>
      </c>
      <c r="B37" t="s">
        <v>121</v>
      </c>
      <c r="C37" t="s">
        <v>102</v>
      </c>
      <c r="D37" t="s">
        <v>122</v>
      </c>
    </row>
    <row r="38" spans="1:4" x14ac:dyDescent="0.25">
      <c r="A38">
        <v>36</v>
      </c>
      <c r="B38" t="s">
        <v>123</v>
      </c>
      <c r="C38" t="s">
        <v>120</v>
      </c>
      <c r="D38" t="s">
        <v>93</v>
      </c>
    </row>
    <row r="39" spans="1:4" x14ac:dyDescent="0.25">
      <c r="A39">
        <v>37</v>
      </c>
      <c r="B39" t="s">
        <v>124</v>
      </c>
      <c r="C39" t="s">
        <v>120</v>
      </c>
      <c r="D39" t="s">
        <v>95</v>
      </c>
    </row>
    <row r="40" spans="1:4" x14ac:dyDescent="0.25">
      <c r="A40">
        <v>38</v>
      </c>
      <c r="B40" t="s">
        <v>126</v>
      </c>
      <c r="C40" t="s">
        <v>120</v>
      </c>
      <c r="D40" t="s">
        <v>97</v>
      </c>
    </row>
    <row r="41" spans="1:4" x14ac:dyDescent="0.25">
      <c r="A41">
        <v>39</v>
      </c>
      <c r="B41" t="s">
        <v>127</v>
      </c>
      <c r="C41" t="s">
        <v>120</v>
      </c>
      <c r="D41" t="s">
        <v>99</v>
      </c>
    </row>
    <row r="42" spans="1:4" x14ac:dyDescent="0.25">
      <c r="A42">
        <v>40</v>
      </c>
      <c r="B42" t="s">
        <v>128</v>
      </c>
      <c r="C42" t="s">
        <v>120</v>
      </c>
      <c r="D42" t="s">
        <v>111</v>
      </c>
    </row>
    <row r="43" spans="1:4" x14ac:dyDescent="0.25">
      <c r="A43">
        <v>41</v>
      </c>
      <c r="B43" t="s">
        <v>129</v>
      </c>
      <c r="C43" t="s">
        <v>120</v>
      </c>
      <c r="D43" t="s">
        <v>113</v>
      </c>
    </row>
    <row r="44" spans="1:4" x14ac:dyDescent="0.25">
      <c r="A44">
        <v>42</v>
      </c>
      <c r="B44" t="s">
        <v>131</v>
      </c>
      <c r="C44" t="s">
        <v>120</v>
      </c>
      <c r="D44" t="s">
        <v>132</v>
      </c>
    </row>
    <row r="45" spans="1:4" x14ac:dyDescent="0.25">
      <c r="A45">
        <v>43</v>
      </c>
      <c r="B45" t="s">
        <v>133</v>
      </c>
      <c r="C45" t="s">
        <v>130</v>
      </c>
      <c r="D45" t="s">
        <v>93</v>
      </c>
    </row>
    <row r="46" spans="1:4" x14ac:dyDescent="0.25">
      <c r="A46">
        <v>44</v>
      </c>
      <c r="B46" t="s">
        <v>134</v>
      </c>
      <c r="C46" t="s">
        <v>130</v>
      </c>
      <c r="D46" t="s">
        <v>135</v>
      </c>
    </row>
    <row r="47" spans="1:4" x14ac:dyDescent="0.25">
      <c r="A47">
        <v>45</v>
      </c>
      <c r="B47" t="s">
        <v>136</v>
      </c>
      <c r="C47" t="s">
        <v>130</v>
      </c>
      <c r="D47" t="s">
        <v>137</v>
      </c>
    </row>
    <row r="48" spans="1:4" x14ac:dyDescent="0.25">
      <c r="A48">
        <v>46</v>
      </c>
      <c r="B48" t="s">
        <v>138</v>
      </c>
      <c r="C48" t="s">
        <v>130</v>
      </c>
      <c r="D48" t="s">
        <v>139</v>
      </c>
    </row>
    <row r="49" spans="1:4" x14ac:dyDescent="0.25">
      <c r="A49">
        <v>47</v>
      </c>
      <c r="B49" t="s">
        <v>140</v>
      </c>
      <c r="C49" t="s">
        <v>130</v>
      </c>
      <c r="D49" t="s">
        <v>141</v>
      </c>
    </row>
    <row r="50" spans="1:4" x14ac:dyDescent="0.25">
      <c r="A50">
        <v>48</v>
      </c>
      <c r="B50" t="s">
        <v>143</v>
      </c>
      <c r="C50" t="s">
        <v>130</v>
      </c>
      <c r="D50" t="s">
        <v>144</v>
      </c>
    </row>
    <row r="51" spans="1:4" x14ac:dyDescent="0.25">
      <c r="A51">
        <v>49</v>
      </c>
      <c r="B51" t="s">
        <v>145</v>
      </c>
      <c r="C51" t="s">
        <v>142</v>
      </c>
      <c r="D51" t="s">
        <v>93</v>
      </c>
    </row>
    <row r="52" spans="1:4" x14ac:dyDescent="0.25">
      <c r="A52">
        <v>50</v>
      </c>
      <c r="B52" t="s">
        <v>146</v>
      </c>
      <c r="C52" t="s">
        <v>142</v>
      </c>
      <c r="D52" t="s">
        <v>95</v>
      </c>
    </row>
    <row r="53" spans="1:4" x14ac:dyDescent="0.25">
      <c r="A53">
        <v>51</v>
      </c>
      <c r="B53" t="s">
        <v>147</v>
      </c>
      <c r="C53" t="s">
        <v>142</v>
      </c>
      <c r="D53" t="s">
        <v>97</v>
      </c>
    </row>
    <row r="54" spans="1:4" x14ac:dyDescent="0.25">
      <c r="A54">
        <v>52</v>
      </c>
      <c r="B54" t="s">
        <v>148</v>
      </c>
      <c r="C54" t="s">
        <v>142</v>
      </c>
      <c r="D54" t="s">
        <v>99</v>
      </c>
    </row>
    <row r="55" spans="1:4" x14ac:dyDescent="0.25">
      <c r="A55">
        <v>53</v>
      </c>
      <c r="B55" t="s">
        <v>149</v>
      </c>
      <c r="C55" t="s">
        <v>142</v>
      </c>
      <c r="D55" t="s">
        <v>111</v>
      </c>
    </row>
    <row r="56" spans="1:4" x14ac:dyDescent="0.25">
      <c r="A56">
        <v>54</v>
      </c>
      <c r="B56" t="s">
        <v>150</v>
      </c>
      <c r="C56" t="s">
        <v>142</v>
      </c>
      <c r="D56" t="s">
        <v>151</v>
      </c>
    </row>
    <row r="57" spans="1:4" x14ac:dyDescent="0.25">
      <c r="A57">
        <v>55</v>
      </c>
      <c r="B57" t="s">
        <v>152</v>
      </c>
      <c r="C57" t="s">
        <v>142</v>
      </c>
      <c r="D57" t="s">
        <v>115</v>
      </c>
    </row>
    <row r="58" spans="1:4" x14ac:dyDescent="0.25">
      <c r="A58">
        <v>56</v>
      </c>
      <c r="B58" t="s">
        <v>153</v>
      </c>
      <c r="C58" t="s">
        <v>142</v>
      </c>
      <c r="D58" t="s">
        <v>119</v>
      </c>
    </row>
    <row r="59" spans="1:4" x14ac:dyDescent="0.25">
      <c r="A59">
        <v>57</v>
      </c>
      <c r="B59" t="s">
        <v>154</v>
      </c>
      <c r="C59" t="s">
        <v>142</v>
      </c>
      <c r="D59" t="s">
        <v>122</v>
      </c>
    </row>
    <row r="60" spans="1:4" x14ac:dyDescent="0.25">
      <c r="A60">
        <v>118</v>
      </c>
      <c r="B60" t="s">
        <v>271</v>
      </c>
    </row>
    <row r="61" spans="1:4" x14ac:dyDescent="0.25">
      <c r="A61">
        <v>70</v>
      </c>
      <c r="B61" t="s">
        <v>155</v>
      </c>
      <c r="C61" t="s">
        <v>88</v>
      </c>
    </row>
    <row r="62" spans="1:4" x14ac:dyDescent="0.25">
      <c r="A62">
        <v>71</v>
      </c>
      <c r="B62" t="s">
        <v>156</v>
      </c>
      <c r="C62" t="s">
        <v>88</v>
      </c>
      <c r="D62" t="s">
        <v>157</v>
      </c>
    </row>
    <row r="63" spans="1:4" x14ac:dyDescent="0.25">
      <c r="A63">
        <v>72</v>
      </c>
      <c r="B63" t="s">
        <v>158</v>
      </c>
      <c r="C63" t="s">
        <v>88</v>
      </c>
      <c r="D63" t="s">
        <v>159</v>
      </c>
    </row>
    <row r="64" spans="1:4" x14ac:dyDescent="0.25">
      <c r="A64">
        <v>73</v>
      </c>
      <c r="B64" t="s">
        <v>160</v>
      </c>
      <c r="C64" t="s">
        <v>88</v>
      </c>
      <c r="D64" t="s">
        <v>161</v>
      </c>
    </row>
    <row r="65" spans="1:4" x14ac:dyDescent="0.25">
      <c r="A65">
        <v>74</v>
      </c>
      <c r="B65" t="s">
        <v>162</v>
      </c>
      <c r="C65" t="s">
        <v>88</v>
      </c>
      <c r="D65" t="s">
        <v>163</v>
      </c>
    </row>
    <row r="66" spans="1:4" x14ac:dyDescent="0.25">
      <c r="A66">
        <v>75</v>
      </c>
      <c r="B66" t="s">
        <v>164</v>
      </c>
      <c r="C66" t="s">
        <v>88</v>
      </c>
      <c r="D66" t="s">
        <v>165</v>
      </c>
    </row>
    <row r="67" spans="1:4" x14ac:dyDescent="0.25">
      <c r="A67">
        <v>76</v>
      </c>
      <c r="B67" t="s">
        <v>166</v>
      </c>
      <c r="C67" t="s">
        <v>88</v>
      </c>
      <c r="D67" t="s">
        <v>167</v>
      </c>
    </row>
    <row r="68" spans="1:4" x14ac:dyDescent="0.25">
      <c r="A68">
        <v>77</v>
      </c>
      <c r="B68" t="s">
        <v>168</v>
      </c>
      <c r="C68" t="s">
        <v>88</v>
      </c>
      <c r="D68" t="s">
        <v>169</v>
      </c>
    </row>
    <row r="69" spans="1:4" x14ac:dyDescent="0.25">
      <c r="A69">
        <v>78</v>
      </c>
      <c r="B69" t="s">
        <v>170</v>
      </c>
      <c r="C69" t="s">
        <v>88</v>
      </c>
      <c r="D69" t="s">
        <v>171</v>
      </c>
    </row>
    <row r="70" spans="1:4" x14ac:dyDescent="0.25">
      <c r="A70">
        <v>79</v>
      </c>
      <c r="B70" t="s">
        <v>172</v>
      </c>
      <c r="C70" t="s">
        <v>88</v>
      </c>
      <c r="D70" t="s">
        <v>173</v>
      </c>
    </row>
    <row r="71" spans="1:4" x14ac:dyDescent="0.25">
      <c r="A71">
        <v>80</v>
      </c>
      <c r="B71" t="s">
        <v>174</v>
      </c>
      <c r="C71" t="s">
        <v>88</v>
      </c>
      <c r="D71" t="s">
        <v>175</v>
      </c>
    </row>
    <row r="72" spans="1:4" x14ac:dyDescent="0.25">
      <c r="A72">
        <v>81</v>
      </c>
      <c r="B72" t="s">
        <v>176</v>
      </c>
      <c r="C72" t="s">
        <v>88</v>
      </c>
      <c r="D72" t="s">
        <v>177</v>
      </c>
    </row>
    <row r="73" spans="1:4" x14ac:dyDescent="0.25">
      <c r="A73">
        <v>82</v>
      </c>
      <c r="B73" t="s">
        <v>178</v>
      </c>
      <c r="C73" t="s">
        <v>88</v>
      </c>
      <c r="D73" t="s">
        <v>177</v>
      </c>
    </row>
    <row r="74" spans="1:4" x14ac:dyDescent="0.25">
      <c r="A74">
        <v>83</v>
      </c>
      <c r="B74" t="s">
        <v>179</v>
      </c>
      <c r="C74" t="s">
        <v>88</v>
      </c>
      <c r="D74" t="s">
        <v>180</v>
      </c>
    </row>
    <row r="75" spans="1:4" x14ac:dyDescent="0.25">
      <c r="A75">
        <v>84</v>
      </c>
      <c r="B75" t="s">
        <v>181</v>
      </c>
      <c r="C75" t="s">
        <v>88</v>
      </c>
      <c r="D75" t="s">
        <v>182</v>
      </c>
    </row>
    <row r="76" spans="1:4" x14ac:dyDescent="0.25">
      <c r="A76">
        <v>85</v>
      </c>
      <c r="B76" t="s">
        <v>183</v>
      </c>
      <c r="C76" t="s">
        <v>88</v>
      </c>
      <c r="D76" t="s">
        <v>184</v>
      </c>
    </row>
    <row r="77" spans="1:4" x14ac:dyDescent="0.25">
      <c r="A77">
        <v>86</v>
      </c>
      <c r="B77" t="s">
        <v>185</v>
      </c>
      <c r="C77" t="s">
        <v>88</v>
      </c>
      <c r="D77" t="s">
        <v>186</v>
      </c>
    </row>
    <row r="78" spans="1:4" x14ac:dyDescent="0.25">
      <c r="A78">
        <v>87</v>
      </c>
      <c r="B78" t="s">
        <v>187</v>
      </c>
      <c r="C78" t="s">
        <v>88</v>
      </c>
      <c r="D78" t="s">
        <v>188</v>
      </c>
    </row>
    <row r="79" spans="1:4" x14ac:dyDescent="0.25">
      <c r="A79">
        <v>88</v>
      </c>
      <c r="B79" t="s">
        <v>189</v>
      </c>
      <c r="C79" t="s">
        <v>88</v>
      </c>
      <c r="D79" t="s">
        <v>190</v>
      </c>
    </row>
    <row r="80" spans="1:4" x14ac:dyDescent="0.25">
      <c r="A80">
        <v>89</v>
      </c>
      <c r="B80" t="s">
        <v>191</v>
      </c>
      <c r="C80" t="s">
        <v>102</v>
      </c>
      <c r="D80" t="s">
        <v>192</v>
      </c>
    </row>
    <row r="81" spans="1:4" x14ac:dyDescent="0.25">
      <c r="A81">
        <v>90</v>
      </c>
      <c r="B81" t="s">
        <v>193</v>
      </c>
      <c r="C81" t="s">
        <v>102</v>
      </c>
      <c r="D81" t="s">
        <v>194</v>
      </c>
    </row>
    <row r="82" spans="1:4" x14ac:dyDescent="0.25">
      <c r="A82">
        <v>91</v>
      </c>
      <c r="B82" t="s">
        <v>195</v>
      </c>
      <c r="C82" t="s">
        <v>102</v>
      </c>
      <c r="D82" t="s">
        <v>196</v>
      </c>
    </row>
    <row r="83" spans="1:4" x14ac:dyDescent="0.25">
      <c r="A83">
        <v>92</v>
      </c>
      <c r="B83" t="s">
        <v>197</v>
      </c>
      <c r="C83" t="s">
        <v>102</v>
      </c>
      <c r="D83" t="s">
        <v>198</v>
      </c>
    </row>
    <row r="84" spans="1:4" x14ac:dyDescent="0.25">
      <c r="A84">
        <v>93</v>
      </c>
      <c r="B84" t="s">
        <v>199</v>
      </c>
      <c r="C84" t="s">
        <v>102</v>
      </c>
      <c r="D84" t="s">
        <v>200</v>
      </c>
    </row>
    <row r="85" spans="1:4" x14ac:dyDescent="0.25">
      <c r="A85">
        <v>94</v>
      </c>
      <c r="B85" t="s">
        <v>201</v>
      </c>
      <c r="C85" t="s">
        <v>102</v>
      </c>
      <c r="D85" t="s">
        <v>202</v>
      </c>
    </row>
    <row r="86" spans="1:4" x14ac:dyDescent="0.25">
      <c r="A86">
        <v>95</v>
      </c>
      <c r="B86" t="s">
        <v>203</v>
      </c>
      <c r="C86" t="s">
        <v>102</v>
      </c>
      <c r="D86" t="s">
        <v>204</v>
      </c>
    </row>
    <row r="87" spans="1:4" x14ac:dyDescent="0.25">
      <c r="A87">
        <v>96</v>
      </c>
      <c r="B87" t="s">
        <v>205</v>
      </c>
      <c r="C87" t="s">
        <v>102</v>
      </c>
      <c r="D87" t="s">
        <v>206</v>
      </c>
    </row>
    <row r="88" spans="1:4" x14ac:dyDescent="0.25">
      <c r="A88">
        <v>97</v>
      </c>
      <c r="B88" t="s">
        <v>207</v>
      </c>
      <c r="C88" t="s">
        <v>102</v>
      </c>
      <c r="D88" t="s">
        <v>208</v>
      </c>
    </row>
    <row r="89" spans="1:4" x14ac:dyDescent="0.25">
      <c r="A89">
        <v>98</v>
      </c>
      <c r="B89" t="s">
        <v>209</v>
      </c>
      <c r="C89" t="s">
        <v>120</v>
      </c>
      <c r="D89" t="s">
        <v>194</v>
      </c>
    </row>
    <row r="90" spans="1:4" x14ac:dyDescent="0.25">
      <c r="A90">
        <v>99</v>
      </c>
      <c r="B90" t="s">
        <v>210</v>
      </c>
      <c r="C90" t="s">
        <v>120</v>
      </c>
      <c r="D90" t="s">
        <v>196</v>
      </c>
    </row>
    <row r="91" spans="1:4" x14ac:dyDescent="0.25">
      <c r="A91">
        <v>100</v>
      </c>
      <c r="B91" t="s">
        <v>211</v>
      </c>
      <c r="C91" t="s">
        <v>120</v>
      </c>
      <c r="D91" t="s">
        <v>198</v>
      </c>
    </row>
    <row r="92" spans="1:4" x14ac:dyDescent="0.25">
      <c r="A92">
        <v>101</v>
      </c>
      <c r="B92" t="s">
        <v>212</v>
      </c>
      <c r="C92" t="s">
        <v>120</v>
      </c>
      <c r="D92" t="s">
        <v>200</v>
      </c>
    </row>
    <row r="93" spans="1:4" x14ac:dyDescent="0.25">
      <c r="A93">
        <v>102</v>
      </c>
      <c r="B93" t="s">
        <v>213</v>
      </c>
      <c r="C93" t="s">
        <v>130</v>
      </c>
      <c r="D93" t="s">
        <v>194</v>
      </c>
    </row>
    <row r="94" spans="1:4" x14ac:dyDescent="0.25">
      <c r="A94">
        <v>103</v>
      </c>
      <c r="B94" t="s">
        <v>214</v>
      </c>
      <c r="C94" t="s">
        <v>130</v>
      </c>
      <c r="D94" t="s">
        <v>196</v>
      </c>
    </row>
    <row r="95" spans="1:4" x14ac:dyDescent="0.25">
      <c r="A95">
        <v>104</v>
      </c>
      <c r="B95" t="s">
        <v>215</v>
      </c>
      <c r="C95" t="s">
        <v>130</v>
      </c>
      <c r="D95" t="s">
        <v>198</v>
      </c>
    </row>
    <row r="96" spans="1:4" x14ac:dyDescent="0.25">
      <c r="A96">
        <v>105</v>
      </c>
      <c r="B96" t="s">
        <v>216</v>
      </c>
      <c r="C96" t="s">
        <v>130</v>
      </c>
      <c r="D96" t="s">
        <v>200</v>
      </c>
    </row>
    <row r="97" spans="1:4" x14ac:dyDescent="0.25">
      <c r="A97">
        <v>106</v>
      </c>
      <c r="B97" t="s">
        <v>217</v>
      </c>
      <c r="C97" t="s">
        <v>142</v>
      </c>
      <c r="D97" t="s">
        <v>194</v>
      </c>
    </row>
    <row r="98" spans="1:4" x14ac:dyDescent="0.25">
      <c r="A98">
        <v>107</v>
      </c>
      <c r="B98" t="s">
        <v>218</v>
      </c>
      <c r="C98" t="s">
        <v>142</v>
      </c>
      <c r="D98" t="s">
        <v>219</v>
      </c>
    </row>
    <row r="99" spans="1:4" x14ac:dyDescent="0.25">
      <c r="A99">
        <v>108</v>
      </c>
      <c r="B99" t="s">
        <v>220</v>
      </c>
      <c r="C99" t="s">
        <v>142</v>
      </c>
      <c r="D99" t="s">
        <v>196</v>
      </c>
    </row>
    <row r="100" spans="1:4" x14ac:dyDescent="0.25">
      <c r="A100">
        <v>109</v>
      </c>
      <c r="B100" t="s">
        <v>221</v>
      </c>
      <c r="C100" t="s">
        <v>142</v>
      </c>
      <c r="D100" t="s">
        <v>198</v>
      </c>
    </row>
    <row r="101" spans="1:4" x14ac:dyDescent="0.25">
      <c r="A101">
        <v>110</v>
      </c>
      <c r="B101" t="s">
        <v>222</v>
      </c>
      <c r="C101" t="s">
        <v>142</v>
      </c>
      <c r="D101" t="s">
        <v>200</v>
      </c>
    </row>
    <row r="102" spans="1:4" x14ac:dyDescent="0.25">
      <c r="A102">
        <v>111</v>
      </c>
      <c r="B102" t="s">
        <v>223</v>
      </c>
      <c r="C102" t="s">
        <v>142</v>
      </c>
      <c r="D102" t="s">
        <v>206</v>
      </c>
    </row>
    <row r="103" spans="1:4" x14ac:dyDescent="0.25">
      <c r="A103">
        <v>112</v>
      </c>
      <c r="B103" t="s">
        <v>224</v>
      </c>
      <c r="C103" t="s">
        <v>142</v>
      </c>
      <c r="D103" t="s">
        <v>225</v>
      </c>
    </row>
    <row r="104" spans="1:4" x14ac:dyDescent="0.25">
      <c r="A104">
        <v>113</v>
      </c>
      <c r="B104" t="s">
        <v>226</v>
      </c>
      <c r="C104" t="s">
        <v>142</v>
      </c>
      <c r="D104" t="s">
        <v>208</v>
      </c>
    </row>
  </sheetData>
  <pageMargins bottom="0.75" footer="0.3" header="0.3" left="0.7" right="0.7" top="0.75"/>
  <pageSetup orientation="portrait" r:id="rId1" verticalDpi="0"/>
</worksheet>
</file>

<file path=xl/worksheets/sheet6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>
    <tabColor rgb="FFFFFF00"/>
  </sheetPr>
  <dimension ref="A1:L625"/>
  <sheetViews>
    <sheetView workbookViewId="0">
      <selection activeCell="A8" sqref="A8:K625"/>
    </sheetView>
  </sheetViews>
  <sheetFormatPr defaultRowHeight="15" x14ac:dyDescent="0.25"/>
  <sheetData>
    <row r="1" spans="1:11" x14ac:dyDescent="0.25">
      <c r="A1" s="366" t="s">
        <v>227</v>
      </c>
      <c r="B1" s="367"/>
      <c r="C1" s="367"/>
      <c r="D1" s="367"/>
      <c r="E1" s="367"/>
      <c r="F1" s="367"/>
      <c r="G1" s="367"/>
      <c r="H1" s="367" t="s">
        <v>228</v>
      </c>
      <c r="I1" s="367"/>
      <c r="J1" s="367"/>
      <c r="K1" s="368"/>
    </row>
    <row r="2" spans="1:11" x14ac:dyDescent="0.25">
      <c r="A2" s="369">
        <v>1</v>
      </c>
      <c r="B2" s="370" t="s">
        <v>272</v>
      </c>
      <c r="C2" s="370"/>
      <c r="D2" s="370"/>
      <c r="E2" s="370"/>
      <c r="F2" s="370"/>
      <c r="G2" s="370"/>
      <c r="H2" s="370"/>
      <c r="I2" s="370"/>
      <c r="J2" s="370"/>
      <c r="K2" s="371"/>
    </row>
    <row r="3" spans="1:11" x14ac:dyDescent="0.25">
      <c r="A3" s="369">
        <v>2</v>
      </c>
      <c r="B3" s="370" t="s">
        <v>229</v>
      </c>
      <c r="C3" s="370"/>
      <c r="D3" s="370"/>
      <c r="E3" s="370"/>
      <c r="F3" s="370"/>
      <c r="G3" s="370"/>
      <c r="H3" s="370"/>
      <c r="I3" s="370"/>
      <c r="J3" s="370"/>
      <c r="K3" s="371"/>
    </row>
    <row r="4" spans="1:11" x14ac:dyDescent="0.25">
      <c r="A4" s="369">
        <v>3</v>
      </c>
      <c r="B4" s="370" t="s">
        <v>230</v>
      </c>
      <c r="C4" s="370"/>
      <c r="D4" s="370"/>
      <c r="E4" s="370"/>
      <c r="F4" s="370"/>
      <c r="G4" s="370"/>
      <c r="H4" s="370"/>
      <c r="I4" s="370"/>
      <c r="J4" s="370"/>
      <c r="K4" s="371"/>
    </row>
    <row r="5" spans="1:11" x14ac:dyDescent="0.25">
      <c r="A5" s="372">
        <v>4</v>
      </c>
      <c r="B5" s="373" t="s">
        <v>231</v>
      </c>
      <c r="C5" s="373"/>
      <c r="D5" s="373"/>
      <c r="E5" s="373"/>
      <c r="F5" s="373"/>
      <c r="G5" s="373"/>
      <c r="H5" s="373"/>
      <c r="I5" s="373"/>
      <c r="J5" s="373"/>
      <c r="K5" s="374"/>
    </row>
    <row r="8" spans="1:11" x14ac:dyDescent="0.25">
      <c r="B8" t="s">
        <v>232</v>
      </c>
      <c r="C8" t="s">
        <v>233</v>
      </c>
      <c r="D8" t="s">
        <v>234</v>
      </c>
      <c r="E8" t="s">
        <v>273</v>
      </c>
    </row>
    <row r="9" spans="1:11" x14ac:dyDescent="0.25">
      <c r="A9" t="s">
        <v>235</v>
      </c>
      <c r="B9" t="s">
        <v>236</v>
      </c>
      <c r="C9" t="s">
        <v>237</v>
      </c>
      <c r="D9" t="s">
        <v>238</v>
      </c>
      <c r="E9">
        <v>4</v>
      </c>
      <c r="F9" s="335">
        <v>0.63901620370370371</v>
      </c>
      <c r="G9" t="s">
        <v>239</v>
      </c>
      <c r="H9">
        <v>5</v>
      </c>
      <c r="I9" t="s">
        <v>274</v>
      </c>
      <c r="J9">
        <v>12</v>
      </c>
    </row>
    <row r="10" spans="1:11" x14ac:dyDescent="0.25">
      <c r="A10" t="s">
        <v>240</v>
      </c>
    </row>
    <row r="11" spans="1:11" x14ac:dyDescent="0.25">
      <c r="B11">
        <v>1</v>
      </c>
      <c r="C11" t="s">
        <v>45</v>
      </c>
      <c r="D11" t="s">
        <v>241</v>
      </c>
      <c r="E11">
        <v>1</v>
      </c>
    </row>
    <row r="12" spans="1:11" x14ac:dyDescent="0.25">
      <c r="B12">
        <v>2</v>
      </c>
      <c r="C12" t="s">
        <v>48</v>
      </c>
      <c r="D12" t="s">
        <v>242</v>
      </c>
      <c r="E12">
        <v>14.646264049799999</v>
      </c>
    </row>
    <row r="13" spans="1:11" x14ac:dyDescent="0.25">
      <c r="B13">
        <v>3</v>
      </c>
      <c r="C13" t="s">
        <v>51</v>
      </c>
      <c r="D13" t="s">
        <v>242</v>
      </c>
      <c r="E13" s="336">
        <v>0.22200781244000001</v>
      </c>
    </row>
    <row r="14" spans="1:11" x14ac:dyDescent="0.25">
      <c r="B14">
        <v>4</v>
      </c>
      <c r="C14" t="s">
        <v>54</v>
      </c>
      <c r="D14" t="s">
        <v>242</v>
      </c>
      <c r="E14" s="336">
        <v>-2.8145955800000001E-2</v>
      </c>
    </row>
    <row r="15" spans="1:11" x14ac:dyDescent="0.25">
      <c r="B15">
        <v>5</v>
      </c>
      <c r="C15" t="s">
        <v>57</v>
      </c>
      <c r="D15" t="s">
        <v>242</v>
      </c>
      <c r="E15">
        <v>9.8040262330000003E-2</v>
      </c>
    </row>
    <row r="16" spans="1:11" x14ac:dyDescent="0.25">
      <c r="B16">
        <v>6</v>
      </c>
      <c r="C16" t="s">
        <v>59</v>
      </c>
      <c r="D16" t="s">
        <v>242</v>
      </c>
      <c r="E16" s="336">
        <v>0.42673478574000001</v>
      </c>
    </row>
    <row r="17" spans="2:6" x14ac:dyDescent="0.25">
      <c r="B17">
        <v>7</v>
      </c>
      <c r="C17" t="s">
        <v>61</v>
      </c>
      <c r="D17" t="s">
        <v>242</v>
      </c>
      <c r="E17">
        <v>-1.7969923454700001</v>
      </c>
    </row>
    <row r="18" spans="2:6" x14ac:dyDescent="0.25">
      <c r="B18">
        <v>8</v>
      </c>
      <c r="C18" t="s">
        <v>64</v>
      </c>
      <c r="D18" t="s">
        <v>242</v>
      </c>
      <c r="E18" s="336">
        <v>1.4351261662999999</v>
      </c>
    </row>
    <row r="19" spans="2:6" x14ac:dyDescent="0.25">
      <c r="B19">
        <v>9</v>
      </c>
      <c r="C19" t="s">
        <v>66</v>
      </c>
      <c r="D19" t="s">
        <v>242</v>
      </c>
      <c r="E19" s="336">
        <v>0.75752967669000004</v>
      </c>
    </row>
    <row r="20" spans="2:6" x14ac:dyDescent="0.25">
      <c r="B20">
        <v>10</v>
      </c>
      <c r="C20" t="s">
        <v>68</v>
      </c>
      <c r="D20" t="s">
        <v>242</v>
      </c>
      <c r="E20">
        <v>-0.30290505894999997</v>
      </c>
    </row>
    <row r="21" spans="2:6" x14ac:dyDescent="0.25">
      <c r="B21">
        <v>11</v>
      </c>
      <c r="C21" t="s">
        <v>70</v>
      </c>
      <c r="D21" t="s">
        <v>242</v>
      </c>
      <c r="E21">
        <v>-0.87303985647000004</v>
      </c>
    </row>
    <row r="22" spans="2:6" x14ac:dyDescent="0.25">
      <c r="B22">
        <v>12</v>
      </c>
      <c r="C22" t="s">
        <v>72</v>
      </c>
      <c r="D22" t="s">
        <v>242</v>
      </c>
      <c r="E22">
        <v>-1.0505382935000001</v>
      </c>
    </row>
    <row r="23" spans="2:6" x14ac:dyDescent="0.25">
      <c r="B23">
        <v>13</v>
      </c>
      <c r="C23" t="s">
        <v>74</v>
      </c>
      <c r="D23" t="s">
        <v>242</v>
      </c>
      <c r="E23">
        <v>-0.48292853740000002</v>
      </c>
    </row>
    <row r="24" spans="2:6" x14ac:dyDescent="0.25">
      <c r="B24">
        <v>14</v>
      </c>
      <c r="C24" t="s">
        <v>76</v>
      </c>
      <c r="D24" t="s">
        <v>242</v>
      </c>
      <c r="E24">
        <v>-0.23954858711999999</v>
      </c>
    </row>
    <row r="25" spans="2:6" x14ac:dyDescent="0.25">
      <c r="B25">
        <v>15</v>
      </c>
      <c r="C25" t="s">
        <v>78</v>
      </c>
      <c r="D25" t="s">
        <v>242</v>
      </c>
      <c r="E25">
        <v>1.8108489737</v>
      </c>
    </row>
    <row r="26" spans="2:6" x14ac:dyDescent="0.25">
      <c r="B26">
        <v>16</v>
      </c>
      <c r="C26" t="s">
        <v>80</v>
      </c>
      <c r="D26" t="s">
        <v>242</v>
      </c>
      <c r="E26">
        <v>0.83658874170999997</v>
      </c>
    </row>
    <row r="27" spans="2:6" x14ac:dyDescent="0.25">
      <c r="B27">
        <v>17</v>
      </c>
      <c r="C27" t="s">
        <v>83</v>
      </c>
      <c r="D27" t="s">
        <v>241</v>
      </c>
      <c r="E27">
        <v>0</v>
      </c>
    </row>
    <row r="28" spans="2:6" x14ac:dyDescent="0.25">
      <c r="B28">
        <v>18</v>
      </c>
      <c r="C28" t="s">
        <v>86</v>
      </c>
      <c r="D28" t="s">
        <v>241</v>
      </c>
      <c r="E28">
        <v>0</v>
      </c>
    </row>
    <row r="29" spans="2:6" x14ac:dyDescent="0.25">
      <c r="B29">
        <v>19</v>
      </c>
      <c r="C29" t="s">
        <v>89</v>
      </c>
      <c r="D29" t="s">
        <v>241</v>
      </c>
      <c r="E29">
        <v>0</v>
      </c>
    </row>
    <row r="30" spans="2:6" x14ac:dyDescent="0.25">
      <c r="B30">
        <v>20</v>
      </c>
      <c r="C30" t="s">
        <v>92</v>
      </c>
      <c r="D30" t="s">
        <v>242</v>
      </c>
      <c r="E30">
        <v>0.62608089853000004</v>
      </c>
      <c r="F30" s="336"/>
    </row>
    <row r="31" spans="2:6" x14ac:dyDescent="0.25">
      <c r="B31">
        <v>21</v>
      </c>
      <c r="C31" t="s">
        <v>94</v>
      </c>
      <c r="D31" t="s">
        <v>242</v>
      </c>
      <c r="E31">
        <v>-8.6146833141499997</v>
      </c>
    </row>
    <row r="32" spans="2:6" x14ac:dyDescent="0.25">
      <c r="B32">
        <v>22</v>
      </c>
      <c r="C32" t="s">
        <v>96</v>
      </c>
      <c r="D32" t="s">
        <v>242</v>
      </c>
      <c r="E32">
        <v>-4.7070055634400001</v>
      </c>
    </row>
    <row r="33" spans="2:6" x14ac:dyDescent="0.25">
      <c r="B33">
        <v>23</v>
      </c>
      <c r="C33" t="s">
        <v>98</v>
      </c>
      <c r="D33" t="s">
        <v>242</v>
      </c>
      <c r="E33">
        <v>-4.09326880388</v>
      </c>
    </row>
    <row r="34" spans="2:6" x14ac:dyDescent="0.25">
      <c r="B34">
        <v>24</v>
      </c>
      <c r="C34" t="s">
        <v>100</v>
      </c>
      <c r="D34" t="s">
        <v>242</v>
      </c>
      <c r="E34">
        <v>0.20798702908</v>
      </c>
      <c r="F34" s="336"/>
    </row>
    <row r="35" spans="2:6" x14ac:dyDescent="0.25">
      <c r="B35">
        <v>25</v>
      </c>
      <c r="C35" t="s">
        <v>103</v>
      </c>
      <c r="D35" t="s">
        <v>242</v>
      </c>
      <c r="E35">
        <v>-0.13975410125000001</v>
      </c>
      <c r="F35" s="336"/>
    </row>
    <row r="36" spans="2:6" x14ac:dyDescent="0.25">
      <c r="B36">
        <v>26</v>
      </c>
      <c r="C36" t="s">
        <v>105</v>
      </c>
      <c r="D36" t="s">
        <v>242</v>
      </c>
      <c r="E36">
        <v>0.83837490119000002</v>
      </c>
      <c r="F36" s="336"/>
    </row>
    <row r="37" spans="2:6" x14ac:dyDescent="0.25">
      <c r="B37">
        <v>27</v>
      </c>
      <c r="C37" t="s">
        <v>106</v>
      </c>
      <c r="D37" t="s">
        <v>242</v>
      </c>
      <c r="E37">
        <v>-9.2935231723499996</v>
      </c>
    </row>
    <row r="38" spans="2:6" x14ac:dyDescent="0.25">
      <c r="B38">
        <v>28</v>
      </c>
      <c r="C38" t="s">
        <v>108</v>
      </c>
      <c r="D38" t="s">
        <v>242</v>
      </c>
      <c r="E38">
        <v>-3.4981009168599999</v>
      </c>
    </row>
    <row r="39" spans="2:6" x14ac:dyDescent="0.25">
      <c r="B39">
        <v>29</v>
      </c>
      <c r="C39" t="s">
        <v>109</v>
      </c>
      <c r="D39" t="s">
        <v>242</v>
      </c>
      <c r="E39">
        <v>-3.66532113402</v>
      </c>
    </row>
    <row r="40" spans="2:6" x14ac:dyDescent="0.25">
      <c r="B40">
        <v>30</v>
      </c>
      <c r="C40" t="s">
        <v>110</v>
      </c>
      <c r="D40" t="s">
        <v>242</v>
      </c>
      <c r="E40">
        <v>-0.32381248725</v>
      </c>
      <c r="F40" s="336"/>
    </row>
    <row r="41" spans="2:6" x14ac:dyDescent="0.25">
      <c r="B41">
        <v>31</v>
      </c>
      <c r="C41" t="s">
        <v>112</v>
      </c>
      <c r="D41" t="s">
        <v>242</v>
      </c>
      <c r="E41" s="336">
        <v>0.14322267177</v>
      </c>
      <c r="F41" s="336"/>
    </row>
    <row r="42" spans="2:6" x14ac:dyDescent="0.25">
      <c r="B42">
        <v>32</v>
      </c>
      <c r="C42" t="s">
        <v>114</v>
      </c>
      <c r="D42" t="s">
        <v>242</v>
      </c>
      <c r="E42">
        <v>-0.14826541710999999</v>
      </c>
      <c r="F42" s="336"/>
    </row>
    <row r="43" spans="2:6" x14ac:dyDescent="0.25">
      <c r="B43">
        <v>33</v>
      </c>
      <c r="C43" t="s">
        <v>116</v>
      </c>
      <c r="D43" t="s">
        <v>242</v>
      </c>
      <c r="E43">
        <v>0.18525614085</v>
      </c>
      <c r="F43" s="336"/>
    </row>
    <row r="44" spans="2:6" x14ac:dyDescent="0.25">
      <c r="B44">
        <v>34</v>
      </c>
      <c r="C44" t="s">
        <v>118</v>
      </c>
      <c r="D44" t="s">
        <v>242</v>
      </c>
      <c r="E44">
        <v>-0.10344899338999999</v>
      </c>
      <c r="F44" s="336"/>
    </row>
    <row r="45" spans="2:6" x14ac:dyDescent="0.25">
      <c r="B45">
        <v>35</v>
      </c>
      <c r="C45" t="s">
        <v>121</v>
      </c>
      <c r="D45" t="s">
        <v>242</v>
      </c>
      <c r="E45" s="336">
        <v>7.5098801229999998E-2</v>
      </c>
      <c r="F45" s="336"/>
    </row>
    <row r="46" spans="2:6" x14ac:dyDescent="0.25">
      <c r="B46">
        <v>36</v>
      </c>
      <c r="C46" t="s">
        <v>123</v>
      </c>
      <c r="D46" t="s">
        <v>242</v>
      </c>
      <c r="E46" s="336">
        <v>1.1126386876900001</v>
      </c>
      <c r="F46" s="336"/>
    </row>
    <row r="47" spans="2:6" x14ac:dyDescent="0.25">
      <c r="B47">
        <v>37</v>
      </c>
      <c r="C47" t="s">
        <v>124</v>
      </c>
      <c r="D47" t="s">
        <v>242</v>
      </c>
      <c r="E47">
        <v>-7.8810597731899996</v>
      </c>
    </row>
    <row r="48" spans="2:6" x14ac:dyDescent="0.25">
      <c r="B48">
        <v>38</v>
      </c>
      <c r="C48" t="s">
        <v>126</v>
      </c>
      <c r="D48" t="s">
        <v>242</v>
      </c>
      <c r="E48">
        <v>-8.0062297029800007</v>
      </c>
    </row>
    <row r="49" spans="2:6" x14ac:dyDescent="0.25">
      <c r="B49">
        <v>39</v>
      </c>
      <c r="C49" t="s">
        <v>127</v>
      </c>
      <c r="D49" t="s">
        <v>242</v>
      </c>
      <c r="E49">
        <v>-3.4078711737399998</v>
      </c>
    </row>
    <row r="50" spans="2:6" x14ac:dyDescent="0.25">
      <c r="B50">
        <v>40</v>
      </c>
      <c r="C50" t="s">
        <v>128</v>
      </c>
      <c r="D50" t="s">
        <v>242</v>
      </c>
      <c r="E50">
        <v>-0.25934246287000001</v>
      </c>
    </row>
    <row r="51" spans="2:6" x14ac:dyDescent="0.25">
      <c r="B51">
        <v>41</v>
      </c>
      <c r="C51" t="s">
        <v>129</v>
      </c>
      <c r="D51" t="s">
        <v>242</v>
      </c>
      <c r="E51">
        <v>-0.13916826495000001</v>
      </c>
      <c r="F51" s="336"/>
    </row>
    <row r="52" spans="2:6" x14ac:dyDescent="0.25">
      <c r="B52">
        <v>42</v>
      </c>
      <c r="C52" t="s">
        <v>131</v>
      </c>
      <c r="D52" t="s">
        <v>242</v>
      </c>
      <c r="E52">
        <v>0.51094315161000003</v>
      </c>
      <c r="F52" s="336"/>
    </row>
    <row r="53" spans="2:6" x14ac:dyDescent="0.25">
      <c r="B53">
        <v>43</v>
      </c>
      <c r="C53" t="s">
        <v>133</v>
      </c>
      <c r="D53" t="s">
        <v>242</v>
      </c>
      <c r="E53">
        <v>0.71812285494999994</v>
      </c>
      <c r="F53" s="336"/>
    </row>
    <row r="54" spans="2:6" x14ac:dyDescent="0.25">
      <c r="B54">
        <v>44</v>
      </c>
      <c r="C54" t="s">
        <v>134</v>
      </c>
      <c r="D54" t="s">
        <v>242</v>
      </c>
      <c r="E54">
        <v>-15.14732909554</v>
      </c>
    </row>
    <row r="55" spans="2:6" x14ac:dyDescent="0.25">
      <c r="B55">
        <v>45</v>
      </c>
      <c r="C55" t="s">
        <v>136</v>
      </c>
      <c r="D55" t="s">
        <v>242</v>
      </c>
      <c r="E55">
        <v>-4.0821681896699999</v>
      </c>
    </row>
    <row r="56" spans="2:6" x14ac:dyDescent="0.25">
      <c r="B56">
        <v>46</v>
      </c>
      <c r="C56" t="s">
        <v>138</v>
      </c>
      <c r="D56" t="s">
        <v>242</v>
      </c>
      <c r="E56">
        <v>-1.9121090734599999</v>
      </c>
    </row>
    <row r="57" spans="2:6" x14ac:dyDescent="0.25">
      <c r="B57">
        <v>47</v>
      </c>
      <c r="C57" t="s">
        <v>140</v>
      </c>
      <c r="D57" t="s">
        <v>242</v>
      </c>
      <c r="E57">
        <v>-1.3851302912200001</v>
      </c>
    </row>
    <row r="58" spans="2:6" x14ac:dyDescent="0.25">
      <c r="B58">
        <v>48</v>
      </c>
      <c r="C58" t="s">
        <v>143</v>
      </c>
      <c r="D58" t="s">
        <v>242</v>
      </c>
      <c r="E58">
        <v>0.18770524043</v>
      </c>
      <c r="F58" s="336"/>
    </row>
    <row r="59" spans="2:6" x14ac:dyDescent="0.25">
      <c r="B59">
        <v>49</v>
      </c>
      <c r="C59" t="s">
        <v>145</v>
      </c>
      <c r="D59" t="s">
        <v>242</v>
      </c>
      <c r="E59">
        <v>0.75868423218000003</v>
      </c>
      <c r="F59" s="336"/>
    </row>
    <row r="60" spans="2:6" x14ac:dyDescent="0.25">
      <c r="B60">
        <v>50</v>
      </c>
      <c r="C60" t="s">
        <v>146</v>
      </c>
      <c r="D60" t="s">
        <v>242</v>
      </c>
      <c r="E60">
        <v>-11.41930576164</v>
      </c>
    </row>
    <row r="61" spans="2:6" x14ac:dyDescent="0.25">
      <c r="B61">
        <v>51</v>
      </c>
      <c r="C61" t="s">
        <v>147</v>
      </c>
      <c r="D61" t="s">
        <v>242</v>
      </c>
      <c r="E61">
        <v>-5.0410177787699997</v>
      </c>
    </row>
    <row r="62" spans="2:6" x14ac:dyDescent="0.25">
      <c r="B62">
        <v>52</v>
      </c>
      <c r="C62" t="s">
        <v>148</v>
      </c>
      <c r="D62" t="s">
        <v>242</v>
      </c>
      <c r="E62">
        <v>-3.9034241353299999</v>
      </c>
    </row>
    <row r="63" spans="2:6" x14ac:dyDescent="0.25">
      <c r="B63">
        <v>53</v>
      </c>
      <c r="C63" t="s">
        <v>149</v>
      </c>
      <c r="D63" t="s">
        <v>242</v>
      </c>
      <c r="E63">
        <v>-0.39747668525000002</v>
      </c>
    </row>
    <row r="64" spans="2:6" x14ac:dyDescent="0.25">
      <c r="B64">
        <v>54</v>
      </c>
      <c r="C64" t="s">
        <v>150</v>
      </c>
      <c r="D64" t="s">
        <v>242</v>
      </c>
      <c r="E64">
        <v>0.21263122743000001</v>
      </c>
      <c r="F64" s="336"/>
    </row>
    <row r="65" spans="2:6" x14ac:dyDescent="0.25">
      <c r="B65">
        <v>55</v>
      </c>
      <c r="C65" t="s">
        <v>152</v>
      </c>
      <c r="D65" t="s">
        <v>242</v>
      </c>
      <c r="E65">
        <v>0.43455667627</v>
      </c>
      <c r="F65" s="336"/>
    </row>
    <row r="66" spans="2:6" x14ac:dyDescent="0.25">
      <c r="B66">
        <v>56</v>
      </c>
      <c r="C66" t="s">
        <v>153</v>
      </c>
      <c r="D66" t="s">
        <v>242</v>
      </c>
      <c r="E66">
        <v>-0.77182497547999995</v>
      </c>
      <c r="F66" s="336"/>
    </row>
    <row r="67" spans="2:6" x14ac:dyDescent="0.25">
      <c r="B67">
        <v>57</v>
      </c>
      <c r="C67" t="s">
        <v>154</v>
      </c>
      <c r="D67" t="s">
        <v>242</v>
      </c>
      <c r="E67" s="336">
        <v>7.732925786E-2</v>
      </c>
      <c r="F67" s="336"/>
    </row>
    <row r="68" spans="2:6" x14ac:dyDescent="0.25">
      <c r="B68">
        <v>70</v>
      </c>
      <c r="C68" t="s">
        <v>155</v>
      </c>
      <c r="D68" t="s">
        <v>242</v>
      </c>
      <c r="E68" s="336">
        <v>0.28212328097</v>
      </c>
      <c r="F68" s="336"/>
    </row>
    <row r="69" spans="2:6" x14ac:dyDescent="0.25">
      <c r="B69">
        <v>71</v>
      </c>
      <c r="C69" t="s">
        <v>156</v>
      </c>
      <c r="D69" t="s">
        <v>241</v>
      </c>
      <c r="E69">
        <v>0</v>
      </c>
      <c r="F69" s="336"/>
    </row>
    <row r="70" spans="2:6" x14ac:dyDescent="0.25">
      <c r="B70">
        <v>72</v>
      </c>
      <c r="C70" t="s">
        <v>158</v>
      </c>
      <c r="D70" t="s">
        <v>242</v>
      </c>
      <c r="E70">
        <v>-3.71465268105</v>
      </c>
    </row>
    <row r="71" spans="2:6" x14ac:dyDescent="0.25">
      <c r="B71">
        <v>73</v>
      </c>
      <c r="C71" t="s">
        <v>160</v>
      </c>
      <c r="D71" t="s">
        <v>242</v>
      </c>
      <c r="E71">
        <v>-2.3682469103699999</v>
      </c>
    </row>
    <row r="72" spans="2:6" x14ac:dyDescent="0.25">
      <c r="B72">
        <v>74</v>
      </c>
      <c r="C72" t="s">
        <v>162</v>
      </c>
      <c r="D72" t="s">
        <v>242</v>
      </c>
      <c r="E72">
        <v>-2.6135679522899999</v>
      </c>
    </row>
    <row r="73" spans="2:6" x14ac:dyDescent="0.25">
      <c r="B73">
        <v>75</v>
      </c>
      <c r="C73" t="s">
        <v>164</v>
      </c>
      <c r="D73" t="s">
        <v>242</v>
      </c>
      <c r="E73">
        <v>-3.2783954524199999</v>
      </c>
    </row>
    <row r="74" spans="2:6" x14ac:dyDescent="0.25">
      <c r="B74">
        <v>76</v>
      </c>
      <c r="C74" t="s">
        <v>166</v>
      </c>
      <c r="D74" t="s">
        <v>242</v>
      </c>
      <c r="E74">
        <v>-2.7864533272199998</v>
      </c>
    </row>
    <row r="75" spans="2:6" x14ac:dyDescent="0.25">
      <c r="B75">
        <v>77</v>
      </c>
      <c r="C75" t="s">
        <v>168</v>
      </c>
      <c r="D75" t="s">
        <v>242</v>
      </c>
      <c r="E75">
        <v>-2.4397388537100002</v>
      </c>
    </row>
    <row r="76" spans="2:6" x14ac:dyDescent="0.25">
      <c r="B76">
        <v>78</v>
      </c>
      <c r="C76" t="s">
        <v>170</v>
      </c>
      <c r="D76" t="s">
        <v>242</v>
      </c>
      <c r="E76">
        <v>-3.8618208476799998</v>
      </c>
    </row>
    <row r="77" spans="2:6" x14ac:dyDescent="0.25">
      <c r="B77">
        <v>79</v>
      </c>
      <c r="C77" t="s">
        <v>172</v>
      </c>
      <c r="D77" t="s">
        <v>242</v>
      </c>
      <c r="E77">
        <v>-21.721852511200002</v>
      </c>
    </row>
    <row r="78" spans="2:6" x14ac:dyDescent="0.25">
      <c r="B78">
        <v>80</v>
      </c>
      <c r="C78" t="s">
        <v>174</v>
      </c>
      <c r="D78" t="s">
        <v>242</v>
      </c>
      <c r="E78">
        <v>-1.01264089672</v>
      </c>
    </row>
    <row r="79" spans="2:6" x14ac:dyDescent="0.25">
      <c r="B79">
        <v>81</v>
      </c>
      <c r="C79" t="s">
        <v>176</v>
      </c>
      <c r="D79" t="s">
        <v>242</v>
      </c>
      <c r="E79">
        <v>-5.1766396376000001</v>
      </c>
    </row>
    <row r="80" spans="2:6" x14ac:dyDescent="0.25">
      <c r="B80">
        <v>82</v>
      </c>
      <c r="C80" t="s">
        <v>178</v>
      </c>
      <c r="D80" t="s">
        <v>242</v>
      </c>
      <c r="E80">
        <v>-2.28857439545</v>
      </c>
    </row>
    <row r="81" spans="2:5" x14ac:dyDescent="0.25">
      <c r="B81">
        <v>83</v>
      </c>
      <c r="C81" t="s">
        <v>179</v>
      </c>
      <c r="D81" t="s">
        <v>242</v>
      </c>
      <c r="E81">
        <v>-3.4002747143900001</v>
      </c>
    </row>
    <row r="82" spans="2:5" x14ac:dyDescent="0.25">
      <c r="B82">
        <v>84</v>
      </c>
      <c r="C82" t="s">
        <v>181</v>
      </c>
      <c r="D82" t="s">
        <v>242</v>
      </c>
      <c r="E82">
        <v>-1.5824120396100001</v>
      </c>
    </row>
    <row r="83" spans="2:5" x14ac:dyDescent="0.25">
      <c r="B83">
        <v>85</v>
      </c>
      <c r="C83" t="s">
        <v>183</v>
      </c>
      <c r="D83" t="s">
        <v>242</v>
      </c>
      <c r="E83">
        <v>-3.8472578798099999</v>
      </c>
    </row>
    <row r="84" spans="2:5" x14ac:dyDescent="0.25">
      <c r="B84">
        <v>86</v>
      </c>
      <c r="C84" t="s">
        <v>185</v>
      </c>
      <c r="D84" t="s">
        <v>242</v>
      </c>
      <c r="E84">
        <v>-3.1031248195800001</v>
      </c>
    </row>
    <row r="85" spans="2:5" x14ac:dyDescent="0.25">
      <c r="B85">
        <v>87</v>
      </c>
      <c r="C85" t="s">
        <v>187</v>
      </c>
      <c r="D85" t="s">
        <v>242</v>
      </c>
      <c r="E85">
        <v>-19.5604248241</v>
      </c>
    </row>
    <row r="86" spans="2:5" x14ac:dyDescent="0.25">
      <c r="B86">
        <v>88</v>
      </c>
      <c r="C86" t="s">
        <v>189</v>
      </c>
      <c r="D86" t="s">
        <v>241</v>
      </c>
      <c r="E86">
        <v>0</v>
      </c>
    </row>
    <row r="87" spans="2:5" x14ac:dyDescent="0.25">
      <c r="B87">
        <v>89</v>
      </c>
      <c r="C87" t="s">
        <v>191</v>
      </c>
      <c r="D87" t="s">
        <v>242</v>
      </c>
      <c r="E87">
        <v>-5.3998296944700002</v>
      </c>
    </row>
    <row r="88" spans="2:5" x14ac:dyDescent="0.25">
      <c r="B88">
        <v>90</v>
      </c>
      <c r="C88" t="s">
        <v>193</v>
      </c>
      <c r="D88" t="s">
        <v>242</v>
      </c>
      <c r="E88">
        <v>-17.4219403528</v>
      </c>
    </row>
    <row r="89" spans="2:5" x14ac:dyDescent="0.25">
      <c r="B89">
        <v>91</v>
      </c>
      <c r="C89" t="s">
        <v>195</v>
      </c>
      <c r="D89" t="s">
        <v>242</v>
      </c>
      <c r="E89">
        <v>-10.161549352</v>
      </c>
    </row>
    <row r="90" spans="2:5" x14ac:dyDescent="0.25">
      <c r="B90">
        <v>92</v>
      </c>
      <c r="C90" t="s">
        <v>197</v>
      </c>
      <c r="D90" t="s">
        <v>242</v>
      </c>
      <c r="E90">
        <v>-0.87415121182</v>
      </c>
    </row>
    <row r="91" spans="2:5" x14ac:dyDescent="0.25">
      <c r="B91">
        <v>93</v>
      </c>
      <c r="C91" t="s">
        <v>199</v>
      </c>
      <c r="D91" t="s">
        <v>242</v>
      </c>
      <c r="E91">
        <v>-0.74080192435000003</v>
      </c>
    </row>
    <row r="92" spans="2:5" x14ac:dyDescent="0.25">
      <c r="B92">
        <v>94</v>
      </c>
      <c r="C92" t="s">
        <v>201</v>
      </c>
      <c r="D92" t="s">
        <v>241</v>
      </c>
      <c r="E92">
        <v>0</v>
      </c>
    </row>
    <row r="93" spans="2:5" x14ac:dyDescent="0.25">
      <c r="B93">
        <v>95</v>
      </c>
      <c r="C93" t="s">
        <v>203</v>
      </c>
      <c r="D93" t="s">
        <v>242</v>
      </c>
      <c r="E93">
        <v>-10.7800625269</v>
      </c>
    </row>
    <row r="94" spans="2:5" x14ac:dyDescent="0.25">
      <c r="B94">
        <v>96</v>
      </c>
      <c r="C94" t="s">
        <v>205</v>
      </c>
      <c r="D94" t="s">
        <v>242</v>
      </c>
      <c r="E94">
        <v>-17.598302231800002</v>
      </c>
    </row>
    <row r="95" spans="2:5" x14ac:dyDescent="0.25">
      <c r="B95">
        <v>97</v>
      </c>
      <c r="C95" t="s">
        <v>207</v>
      </c>
      <c r="D95" t="s">
        <v>242</v>
      </c>
      <c r="E95">
        <v>-7.3399914692000001</v>
      </c>
    </row>
    <row r="96" spans="2:5" x14ac:dyDescent="0.25">
      <c r="B96">
        <v>98</v>
      </c>
      <c r="C96" t="s">
        <v>209</v>
      </c>
      <c r="D96" t="s">
        <v>242</v>
      </c>
      <c r="E96">
        <v>-11.813486662400001</v>
      </c>
    </row>
    <row r="97" spans="2:5" x14ac:dyDescent="0.25">
      <c r="B97">
        <v>99</v>
      </c>
      <c r="C97" t="s">
        <v>210</v>
      </c>
      <c r="D97" t="s">
        <v>242</v>
      </c>
      <c r="E97">
        <v>-12.070734291200001</v>
      </c>
    </row>
    <row r="98" spans="2:5" x14ac:dyDescent="0.25">
      <c r="B98">
        <v>100</v>
      </c>
      <c r="C98" t="s">
        <v>211</v>
      </c>
      <c r="D98" t="s">
        <v>241</v>
      </c>
      <c r="E98">
        <v>0</v>
      </c>
    </row>
    <row r="99" spans="2:5" x14ac:dyDescent="0.25">
      <c r="B99">
        <v>101</v>
      </c>
      <c r="C99" t="s">
        <v>212</v>
      </c>
      <c r="D99" t="s">
        <v>242</v>
      </c>
      <c r="E99">
        <v>-11.328569288200001</v>
      </c>
    </row>
    <row r="100" spans="2:5" x14ac:dyDescent="0.25">
      <c r="B100">
        <v>102</v>
      </c>
      <c r="C100" t="s">
        <v>213</v>
      </c>
      <c r="D100" t="s">
        <v>241</v>
      </c>
      <c r="E100">
        <v>0</v>
      </c>
    </row>
    <row r="101" spans="2:5" x14ac:dyDescent="0.25">
      <c r="B101">
        <v>103</v>
      </c>
      <c r="C101" t="s">
        <v>214</v>
      </c>
      <c r="D101" t="s">
        <v>242</v>
      </c>
      <c r="E101">
        <v>-12.623617921899999</v>
      </c>
    </row>
    <row r="102" spans="2:5" x14ac:dyDescent="0.25">
      <c r="B102">
        <v>104</v>
      </c>
      <c r="C102" t="s">
        <v>215</v>
      </c>
      <c r="D102" t="s">
        <v>242</v>
      </c>
      <c r="E102">
        <v>-12.9367414966</v>
      </c>
    </row>
    <row r="103" spans="2:5" x14ac:dyDescent="0.25">
      <c r="B103">
        <v>105</v>
      </c>
      <c r="C103" t="s">
        <v>216</v>
      </c>
      <c r="D103" t="s">
        <v>242</v>
      </c>
      <c r="E103">
        <v>-21.748737142</v>
      </c>
    </row>
    <row r="104" spans="2:5" x14ac:dyDescent="0.25">
      <c r="B104">
        <v>106</v>
      </c>
      <c r="C104" t="s">
        <v>217</v>
      </c>
      <c r="D104" t="s">
        <v>242</v>
      </c>
      <c r="E104">
        <v>-1.1770951513500001</v>
      </c>
    </row>
    <row r="105" spans="2:5" x14ac:dyDescent="0.25">
      <c r="B105">
        <v>107</v>
      </c>
      <c r="C105" t="s">
        <v>218</v>
      </c>
      <c r="D105" t="s">
        <v>242</v>
      </c>
      <c r="E105">
        <v>-1.0914895580199999</v>
      </c>
    </row>
    <row r="106" spans="2:5" x14ac:dyDescent="0.25">
      <c r="B106">
        <v>108</v>
      </c>
      <c r="C106" t="s">
        <v>220</v>
      </c>
      <c r="D106" t="s">
        <v>242</v>
      </c>
      <c r="E106">
        <v>-6.6396727717899999</v>
      </c>
    </row>
    <row r="107" spans="2:5" x14ac:dyDescent="0.25">
      <c r="B107">
        <v>109</v>
      </c>
      <c r="C107" t="s">
        <v>221</v>
      </c>
      <c r="D107" t="s">
        <v>242</v>
      </c>
      <c r="E107">
        <v>-6.1680097229099999</v>
      </c>
    </row>
    <row r="108" spans="2:5" x14ac:dyDescent="0.25">
      <c r="B108">
        <v>110</v>
      </c>
      <c r="C108" t="s">
        <v>222</v>
      </c>
      <c r="D108" t="s">
        <v>242</v>
      </c>
      <c r="E108">
        <v>-2.9287550310000001</v>
      </c>
    </row>
    <row r="109" spans="2:5" x14ac:dyDescent="0.25">
      <c r="B109">
        <v>111</v>
      </c>
      <c r="C109" t="s">
        <v>223</v>
      </c>
      <c r="D109" t="s">
        <v>241</v>
      </c>
      <c r="E109">
        <v>0</v>
      </c>
    </row>
    <row r="110" spans="2:5" x14ac:dyDescent="0.25">
      <c r="B110">
        <v>112</v>
      </c>
      <c r="C110" t="s">
        <v>224</v>
      </c>
      <c r="D110" t="s">
        <v>241</v>
      </c>
      <c r="E110">
        <v>0</v>
      </c>
    </row>
    <row r="111" spans="2:5" x14ac:dyDescent="0.25">
      <c r="B111">
        <v>113</v>
      </c>
      <c r="C111" t="s">
        <v>226</v>
      </c>
      <c r="D111" t="s">
        <v>242</v>
      </c>
      <c r="E111">
        <v>-5.4368248499099998</v>
      </c>
    </row>
    <row r="112" spans="2:5" x14ac:dyDescent="0.25">
      <c r="B112">
        <v>114</v>
      </c>
      <c r="C112" t="s">
        <v>275</v>
      </c>
      <c r="D112" t="s">
        <v>242</v>
      </c>
      <c r="E112">
        <v>-0.8</v>
      </c>
    </row>
    <row r="113" spans="2:11" x14ac:dyDescent="0.25">
      <c r="B113">
        <v>115</v>
      </c>
      <c r="C113" t="s">
        <v>276</v>
      </c>
      <c r="D113" t="s">
        <v>242</v>
      </c>
      <c r="E113">
        <v>-0.8</v>
      </c>
    </row>
    <row r="114" spans="2:11" x14ac:dyDescent="0.25">
      <c r="B114">
        <v>116</v>
      </c>
      <c r="C114" s="336" t="s">
        <v>277</v>
      </c>
      <c r="D114" s="336" t="s">
        <v>242</v>
      </c>
      <c r="E114" s="336">
        <v>-0.8</v>
      </c>
    </row>
    <row r="115" spans="2:11" x14ac:dyDescent="0.25">
      <c r="B115">
        <v>117</v>
      </c>
      <c r="C115" t="s">
        <v>278</v>
      </c>
      <c r="D115" t="s">
        <v>242</v>
      </c>
      <c r="E115">
        <v>-0.8</v>
      </c>
    </row>
    <row r="116" spans="2:11" x14ac:dyDescent="0.25">
      <c r="B116">
        <v>118</v>
      </c>
      <c r="C116" t="s">
        <v>279</v>
      </c>
      <c r="D116" t="s">
        <v>242</v>
      </c>
      <c r="E116">
        <v>-0.8</v>
      </c>
    </row>
    <row r="117" spans="2:11" x14ac:dyDescent="0.25">
      <c r="B117">
        <v>119</v>
      </c>
      <c r="C117" t="s">
        <v>279</v>
      </c>
      <c r="D117" t="s">
        <v>242</v>
      </c>
      <c r="E117">
        <v>1</v>
      </c>
    </row>
    <row r="118" spans="2:11" x14ac:dyDescent="0.25">
      <c r="B118">
        <v>-1</v>
      </c>
    </row>
    <row r="119" spans="2:11" x14ac:dyDescent="0.25">
      <c r="B119">
        <v>6224</v>
      </c>
      <c r="C119" s="336">
        <v>-7606.4609487099997</v>
      </c>
      <c r="D119" s="336">
        <v>-24173.951410599999</v>
      </c>
      <c r="E119" s="336">
        <v>-15526.77065</v>
      </c>
    </row>
    <row r="120" spans="2:11" x14ac:dyDescent="0.25">
      <c r="B120">
        <v>2</v>
      </c>
      <c r="C120" t="s">
        <v>280</v>
      </c>
      <c r="D120" t="s">
        <v>239</v>
      </c>
      <c r="E120">
        <v>5</v>
      </c>
      <c r="F120" t="s">
        <v>274</v>
      </c>
      <c r="G120">
        <v>12</v>
      </c>
    </row>
    <row r="121" spans="2:11" x14ac:dyDescent="0.25">
      <c r="B121">
        <v>0</v>
      </c>
      <c r="C121">
        <v>0</v>
      </c>
      <c r="D121">
        <v>49800</v>
      </c>
      <c r="E121">
        <v>0</v>
      </c>
      <c r="F121">
        <v>37708</v>
      </c>
      <c r="G121">
        <v>21588</v>
      </c>
      <c r="H121">
        <v>0</v>
      </c>
      <c r="I121">
        <v>36596</v>
      </c>
      <c r="J121">
        <v>39363</v>
      </c>
      <c r="K121">
        <v>-31203</v>
      </c>
    </row>
    <row r="122" spans="2:11" x14ac:dyDescent="0.25">
      <c r="B122">
        <v>0</v>
      </c>
      <c r="C122">
        <v>52582</v>
      </c>
      <c r="D122">
        <v>23892</v>
      </c>
      <c r="E122">
        <v>26472</v>
      </c>
      <c r="F122">
        <v>-17920</v>
      </c>
      <c r="G122">
        <v>0</v>
      </c>
      <c r="H122">
        <v>-30934</v>
      </c>
      <c r="I122">
        <v>3529</v>
      </c>
      <c r="J122">
        <v>-4101</v>
      </c>
      <c r="K122">
        <v>-3162</v>
      </c>
    </row>
    <row r="123" spans="2:11" x14ac:dyDescent="0.25">
      <c r="B123">
        <v>-16860</v>
      </c>
      <c r="C123">
        <v>0</v>
      </c>
      <c r="D123">
        <v>-6278</v>
      </c>
      <c r="E123">
        <v>-1577</v>
      </c>
      <c r="F123">
        <v>-3470</v>
      </c>
      <c r="G123">
        <v>-2302</v>
      </c>
      <c r="H123">
        <v>-2735</v>
      </c>
      <c r="I123">
        <v>4101</v>
      </c>
      <c r="J123">
        <v>0</v>
      </c>
      <c r="K123">
        <v>-3144</v>
      </c>
    </row>
    <row r="124" spans="2:11" x14ac:dyDescent="0.25">
      <c r="B124">
        <v>-870</v>
      </c>
      <c r="C124">
        <v>-1920</v>
      </c>
      <c r="D124">
        <v>462</v>
      </c>
      <c r="E124">
        <v>-3895</v>
      </c>
      <c r="F124">
        <v>94</v>
      </c>
      <c r="G124">
        <v>7054</v>
      </c>
      <c r="H124">
        <v>0</v>
      </c>
      <c r="I124">
        <v>-7240</v>
      </c>
      <c r="J124">
        <v>20166</v>
      </c>
      <c r="K124">
        <v>-5199</v>
      </c>
    </row>
    <row r="125" spans="2:11" x14ac:dyDescent="0.25">
      <c r="B125">
        <v>3952</v>
      </c>
      <c r="C125">
        <v>-6787</v>
      </c>
      <c r="D125">
        <v>15175</v>
      </c>
      <c r="E125">
        <v>3032</v>
      </c>
      <c r="F125">
        <v>-7673</v>
      </c>
      <c r="G125">
        <v>0</v>
      </c>
      <c r="H125">
        <v>688</v>
      </c>
      <c r="I125">
        <v>-5029</v>
      </c>
      <c r="J125">
        <v>3380</v>
      </c>
      <c r="K125">
        <v>425</v>
      </c>
    </row>
    <row r="126" spans="2:11" x14ac:dyDescent="0.25">
      <c r="B126">
        <v>1993</v>
      </c>
      <c r="C126">
        <v>-101</v>
      </c>
      <c r="D126">
        <v>1861</v>
      </c>
      <c r="E126">
        <v>363</v>
      </c>
      <c r="F126">
        <v>6668</v>
      </c>
      <c r="G126">
        <v>0</v>
      </c>
      <c r="H126">
        <v>-6716</v>
      </c>
      <c r="I126">
        <v>7083</v>
      </c>
      <c r="J126">
        <v>-3332</v>
      </c>
      <c r="K126">
        <v>-83</v>
      </c>
    </row>
    <row r="127" spans="2:11" x14ac:dyDescent="0.25">
      <c r="B127">
        <v>-5391</v>
      </c>
      <c r="C127">
        <v>6225</v>
      </c>
      <c r="D127">
        <v>-2970</v>
      </c>
      <c r="E127">
        <v>964</v>
      </c>
      <c r="F127">
        <v>14674</v>
      </c>
      <c r="G127">
        <v>9975</v>
      </c>
      <c r="H127">
        <v>0</v>
      </c>
      <c r="I127">
        <v>126</v>
      </c>
      <c r="J127">
        <v>-7705</v>
      </c>
      <c r="K127">
        <v>783</v>
      </c>
    </row>
    <row r="128" spans="2:11" x14ac:dyDescent="0.25">
      <c r="B128">
        <v>-713</v>
      </c>
      <c r="C128">
        <v>376</v>
      </c>
      <c r="D128">
        <v>3089</v>
      </c>
      <c r="E128">
        <v>-4791</v>
      </c>
      <c r="F128">
        <v>-1607</v>
      </c>
      <c r="G128">
        <v>5012</v>
      </c>
      <c r="H128">
        <v>-50585</v>
      </c>
      <c r="I128">
        <v>-6286</v>
      </c>
      <c r="J128">
        <v>0</v>
      </c>
      <c r="K128">
        <v>897</v>
      </c>
    </row>
    <row r="129" spans="2:11" x14ac:dyDescent="0.25">
      <c r="B129">
        <v>-4351</v>
      </c>
      <c r="C129">
        <v>483</v>
      </c>
      <c r="D129">
        <v>-724</v>
      </c>
      <c r="E129">
        <v>1923</v>
      </c>
      <c r="F129">
        <v>-31825</v>
      </c>
      <c r="G129">
        <v>-570</v>
      </c>
      <c r="H129">
        <v>-698</v>
      </c>
      <c r="I129">
        <v>16457</v>
      </c>
      <c r="J129">
        <v>10929</v>
      </c>
      <c r="K129">
        <v>7953</v>
      </c>
    </row>
    <row r="130" spans="2:11" x14ac:dyDescent="0.25">
      <c r="B130">
        <v>-2619</v>
      </c>
      <c r="C130">
        <v>0</v>
      </c>
      <c r="D130">
        <v>-19</v>
      </c>
      <c r="E130">
        <v>180</v>
      </c>
      <c r="F130">
        <v>0</v>
      </c>
      <c r="G130">
        <v>588</v>
      </c>
      <c r="H130">
        <v>-235</v>
      </c>
      <c r="I130">
        <v>378</v>
      </c>
      <c r="J130">
        <v>-413</v>
      </c>
      <c r="K130">
        <v>-488</v>
      </c>
    </row>
    <row r="131" spans="2:11" x14ac:dyDescent="0.25">
      <c r="B131">
        <v>432</v>
      </c>
      <c r="C131">
        <v>514</v>
      </c>
      <c r="D131">
        <v>314</v>
      </c>
      <c r="E131">
        <v>-251</v>
      </c>
      <c r="F131">
        <v>181</v>
      </c>
      <c r="G131">
        <v>0</v>
      </c>
      <c r="H131">
        <v>-472</v>
      </c>
      <c r="I131">
        <v>-754</v>
      </c>
      <c r="J131">
        <v>-635</v>
      </c>
      <c r="K131">
        <v>-340</v>
      </c>
    </row>
    <row r="132" spans="2:11" x14ac:dyDescent="0.25">
      <c r="B132">
        <v>71</v>
      </c>
      <c r="C132">
        <v>948</v>
      </c>
      <c r="D132">
        <v>1150</v>
      </c>
      <c r="E132">
        <v>84</v>
      </c>
      <c r="F132">
        <v>-162</v>
      </c>
      <c r="G132">
        <v>280</v>
      </c>
      <c r="H132">
        <v>-63</v>
      </c>
      <c r="I132">
        <v>-247</v>
      </c>
      <c r="J132">
        <v>538</v>
      </c>
      <c r="K132">
        <v>1219</v>
      </c>
    </row>
    <row r="133" spans="2:11" x14ac:dyDescent="0.25">
      <c r="B133">
        <v>0</v>
      </c>
      <c r="C133">
        <v>0</v>
      </c>
      <c r="D133">
        <v>0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</row>
    <row r="134" spans="2:11" x14ac:dyDescent="0.25">
      <c r="B134">
        <v>0</v>
      </c>
      <c r="C134">
        <v>0</v>
      </c>
      <c r="D134">
        <v>0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</row>
    <row r="135" spans="2:11" x14ac:dyDescent="0.25">
      <c r="B135">
        <v>0</v>
      </c>
      <c r="C135">
        <v>0</v>
      </c>
      <c r="D135">
        <v>0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</row>
    <row r="136" spans="2:11" x14ac:dyDescent="0.25">
      <c r="B136">
        <v>0</v>
      </c>
      <c r="C136">
        <v>0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</row>
    <row r="137" spans="2:11" x14ac:dyDescent="0.25">
      <c r="B137">
        <v>0</v>
      </c>
      <c r="C137">
        <v>0</v>
      </c>
      <c r="D137">
        <v>0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</row>
    <row r="138" spans="2:11" x14ac:dyDescent="0.25">
      <c r="B138">
        <v>0</v>
      </c>
      <c r="C138">
        <v>0</v>
      </c>
      <c r="D138">
        <v>-39117</v>
      </c>
      <c r="E138">
        <v>-19812</v>
      </c>
      <c r="F138">
        <v>-15284</v>
      </c>
      <c r="G138">
        <v>-22102</v>
      </c>
      <c r="H138">
        <v>-2825</v>
      </c>
      <c r="I138">
        <v>8547</v>
      </c>
      <c r="J138">
        <v>18105</v>
      </c>
      <c r="K138">
        <v>2419</v>
      </c>
    </row>
    <row r="139" spans="2:11" x14ac:dyDescent="0.25">
      <c r="B139">
        <v>9895</v>
      </c>
      <c r="C139">
        <v>1949</v>
      </c>
      <c r="D139">
        <v>5049</v>
      </c>
      <c r="E139">
        <v>601</v>
      </c>
      <c r="F139">
        <v>7773</v>
      </c>
      <c r="G139">
        <v>38</v>
      </c>
      <c r="H139">
        <v>680</v>
      </c>
      <c r="I139">
        <v>0</v>
      </c>
      <c r="J139">
        <v>0</v>
      </c>
      <c r="K139">
        <v>0</v>
      </c>
    </row>
    <row r="140" spans="2:11" x14ac:dyDescent="0.25">
      <c r="B140">
        <v>0</v>
      </c>
      <c r="C140">
        <v>-2256</v>
      </c>
      <c r="D140">
        <v>-1754</v>
      </c>
      <c r="E140">
        <v>-546</v>
      </c>
      <c r="F140">
        <v>-4083</v>
      </c>
      <c r="G140">
        <v>3652</v>
      </c>
      <c r="H140">
        <v>-1090</v>
      </c>
      <c r="I140">
        <v>4021</v>
      </c>
      <c r="J140">
        <v>504</v>
      </c>
      <c r="K140">
        <v>1776</v>
      </c>
    </row>
    <row r="141" spans="2:11" x14ac:dyDescent="0.25">
      <c r="B141">
        <v>-666</v>
      </c>
      <c r="C141">
        <v>43</v>
      </c>
      <c r="D141">
        <v>429</v>
      </c>
      <c r="E141">
        <v>1649</v>
      </c>
      <c r="F141">
        <v>116</v>
      </c>
      <c r="G141">
        <v>99</v>
      </c>
      <c r="H141">
        <v>0</v>
      </c>
      <c r="I141">
        <v>0</v>
      </c>
      <c r="J141">
        <v>0</v>
      </c>
      <c r="K141">
        <v>24568</v>
      </c>
    </row>
    <row r="142" spans="2:11" x14ac:dyDescent="0.25">
      <c r="B142">
        <v>0</v>
      </c>
      <c r="C142">
        <v>8118</v>
      </c>
      <c r="D142">
        <v>5644</v>
      </c>
      <c r="E142">
        <v>-16004</v>
      </c>
      <c r="F142">
        <v>13211</v>
      </c>
      <c r="G142">
        <v>7007</v>
      </c>
      <c r="H142">
        <v>-4393</v>
      </c>
      <c r="I142">
        <v>1053</v>
      </c>
      <c r="J142">
        <v>-221</v>
      </c>
      <c r="K142">
        <v>-1887</v>
      </c>
    </row>
    <row r="143" spans="2:11" x14ac:dyDescent="0.25">
      <c r="B143">
        <v>-2421</v>
      </c>
      <c r="C143">
        <v>-4446</v>
      </c>
      <c r="D143">
        <v>-538</v>
      </c>
      <c r="E143">
        <v>-1460</v>
      </c>
      <c r="F143">
        <v>-125</v>
      </c>
      <c r="G143">
        <v>55</v>
      </c>
      <c r="H143">
        <v>0</v>
      </c>
      <c r="I143">
        <v>0</v>
      </c>
      <c r="J143">
        <v>0</v>
      </c>
      <c r="K143">
        <v>10807</v>
      </c>
    </row>
    <row r="144" spans="2:11" x14ac:dyDescent="0.25">
      <c r="B144">
        <v>-45367</v>
      </c>
      <c r="C144">
        <v>0</v>
      </c>
      <c r="D144">
        <v>-6208</v>
      </c>
      <c r="E144">
        <v>-22602</v>
      </c>
      <c r="F144">
        <v>1693</v>
      </c>
      <c r="G144">
        <v>-24259</v>
      </c>
      <c r="H144">
        <v>11383</v>
      </c>
      <c r="I144">
        <v>-6347</v>
      </c>
      <c r="J144">
        <v>5688</v>
      </c>
      <c r="K144">
        <v>-1480</v>
      </c>
    </row>
    <row r="145" spans="2:11" x14ac:dyDescent="0.25">
      <c r="B145">
        <v>-7526</v>
      </c>
      <c r="C145">
        <v>-183</v>
      </c>
      <c r="D145">
        <v>-5045</v>
      </c>
      <c r="E145">
        <v>-234</v>
      </c>
      <c r="F145">
        <v>-1263</v>
      </c>
      <c r="G145">
        <v>-153</v>
      </c>
      <c r="H145">
        <v>596</v>
      </c>
      <c r="I145">
        <v>0</v>
      </c>
      <c r="J145">
        <v>0</v>
      </c>
      <c r="K145">
        <v>0</v>
      </c>
    </row>
    <row r="146" spans="2:11" x14ac:dyDescent="0.25">
      <c r="B146">
        <v>70290</v>
      </c>
      <c r="C146">
        <v>27854</v>
      </c>
      <c r="D146">
        <v>-22538</v>
      </c>
      <c r="E146">
        <v>0</v>
      </c>
      <c r="F146">
        <v>1855</v>
      </c>
      <c r="G146">
        <v>1003</v>
      </c>
      <c r="H146">
        <v>1417</v>
      </c>
      <c r="I146">
        <v>518</v>
      </c>
      <c r="J146">
        <v>1173</v>
      </c>
      <c r="K146">
        <v>-439</v>
      </c>
    </row>
    <row r="147" spans="2:11" x14ac:dyDescent="0.25">
      <c r="B147">
        <v>1105</v>
      </c>
      <c r="C147">
        <v>171</v>
      </c>
      <c r="D147">
        <v>-292</v>
      </c>
      <c r="E147">
        <v>370</v>
      </c>
      <c r="F147">
        <v>405</v>
      </c>
      <c r="G147">
        <v>535</v>
      </c>
      <c r="H147">
        <v>99</v>
      </c>
      <c r="I147">
        <v>363</v>
      </c>
      <c r="J147">
        <v>34</v>
      </c>
      <c r="K147">
        <v>0</v>
      </c>
    </row>
    <row r="148" spans="2:11" x14ac:dyDescent="0.25">
      <c r="B148">
        <v>0</v>
      </c>
      <c r="C148">
        <v>0</v>
      </c>
      <c r="D148">
        <v>2299</v>
      </c>
      <c r="E148">
        <v>3354</v>
      </c>
      <c r="F148">
        <v>3986</v>
      </c>
      <c r="G148">
        <v>1435</v>
      </c>
      <c r="H148">
        <v>0</v>
      </c>
      <c r="I148">
        <v>-965</v>
      </c>
      <c r="J148">
        <v>-697</v>
      </c>
      <c r="K148">
        <v>-1468</v>
      </c>
    </row>
    <row r="149" spans="2:11" x14ac:dyDescent="0.25">
      <c r="B149">
        <v>-739</v>
      </c>
      <c r="C149">
        <v>269</v>
      </c>
      <c r="D149">
        <v>-337</v>
      </c>
      <c r="E149">
        <v>1455</v>
      </c>
      <c r="F149">
        <v>-113</v>
      </c>
      <c r="G149">
        <v>2618</v>
      </c>
      <c r="H149">
        <v>-975</v>
      </c>
      <c r="I149">
        <v>-351</v>
      </c>
      <c r="J149">
        <v>2743</v>
      </c>
      <c r="K149">
        <v>4350</v>
      </c>
    </row>
    <row r="150" spans="2:11" x14ac:dyDescent="0.25">
      <c r="B150">
        <v>-1446</v>
      </c>
      <c r="C150">
        <v>-1406</v>
      </c>
      <c r="D150">
        <v>0</v>
      </c>
      <c r="E150">
        <v>0</v>
      </c>
      <c r="F150">
        <v>0</v>
      </c>
      <c r="G150">
        <v>2809</v>
      </c>
      <c r="H150">
        <v>-2618</v>
      </c>
      <c r="I150">
        <v>382</v>
      </c>
      <c r="J150">
        <v>-34</v>
      </c>
      <c r="K150">
        <v>-18485</v>
      </c>
    </row>
    <row r="151" spans="2:11" x14ac:dyDescent="0.25">
      <c r="B151">
        <v>0</v>
      </c>
      <c r="C151">
        <v>-5944</v>
      </c>
      <c r="D151">
        <v>-4583</v>
      </c>
      <c r="E151">
        <v>-3286</v>
      </c>
      <c r="F151">
        <v>-3325</v>
      </c>
      <c r="G151">
        <v>-4040</v>
      </c>
      <c r="H151">
        <v>-1167</v>
      </c>
      <c r="I151">
        <v>14564</v>
      </c>
      <c r="J151">
        <v>2488</v>
      </c>
      <c r="K151">
        <v>6857</v>
      </c>
    </row>
    <row r="152" spans="2:11" x14ac:dyDescent="0.25">
      <c r="B152">
        <v>-6915</v>
      </c>
      <c r="C152">
        <v>-4589</v>
      </c>
      <c r="D152">
        <v>503</v>
      </c>
      <c r="E152">
        <v>853</v>
      </c>
      <c r="F152">
        <v>-508</v>
      </c>
      <c r="G152">
        <v>1694</v>
      </c>
      <c r="H152">
        <v>0</v>
      </c>
      <c r="I152">
        <v>0</v>
      </c>
      <c r="J152">
        <v>0</v>
      </c>
      <c r="K152">
        <v>4754</v>
      </c>
    </row>
    <row r="153" spans="2:11" x14ac:dyDescent="0.25">
      <c r="B153">
        <v>945</v>
      </c>
      <c r="C153">
        <v>-30</v>
      </c>
      <c r="D153">
        <v>1893</v>
      </c>
      <c r="E153">
        <v>-104</v>
      </c>
      <c r="F153">
        <v>600</v>
      </c>
      <c r="G153">
        <v>0</v>
      </c>
      <c r="H153">
        <v>6259</v>
      </c>
      <c r="I153">
        <v>1419</v>
      </c>
      <c r="J153">
        <v>1860</v>
      </c>
      <c r="K153">
        <v>609</v>
      </c>
    </row>
    <row r="154" spans="2:11" x14ac:dyDescent="0.25">
      <c r="B154">
        <v>3569</v>
      </c>
      <c r="C154">
        <v>-6837</v>
      </c>
      <c r="D154">
        <v>2653</v>
      </c>
      <c r="E154">
        <v>424</v>
      </c>
      <c r="F154">
        <v>172</v>
      </c>
      <c r="G154">
        <v>-1851</v>
      </c>
      <c r="H154">
        <v>-2605</v>
      </c>
      <c r="I154">
        <v>-365</v>
      </c>
      <c r="J154">
        <v>-601</v>
      </c>
      <c r="K154">
        <v>839</v>
      </c>
    </row>
    <row r="155" spans="2:11" x14ac:dyDescent="0.25">
      <c r="B155">
        <v>-305</v>
      </c>
      <c r="C155">
        <v>0</v>
      </c>
      <c r="D155">
        <v>0</v>
      </c>
      <c r="E155">
        <v>0</v>
      </c>
      <c r="F155">
        <v>-1812</v>
      </c>
      <c r="G155">
        <v>140</v>
      </c>
      <c r="H155">
        <v>730</v>
      </c>
      <c r="I155">
        <v>764</v>
      </c>
      <c r="J155">
        <v>134</v>
      </c>
      <c r="K155">
        <v>-105</v>
      </c>
    </row>
    <row r="156" spans="2:11" x14ac:dyDescent="0.25">
      <c r="B156">
        <v>26196</v>
      </c>
      <c r="C156">
        <v>0</v>
      </c>
      <c r="D156">
        <v>16899</v>
      </c>
      <c r="E156">
        <v>7256</v>
      </c>
      <c r="F156">
        <v>-12361</v>
      </c>
      <c r="G156">
        <v>17038</v>
      </c>
      <c r="H156">
        <v>6489</v>
      </c>
      <c r="I156">
        <v>-11296</v>
      </c>
      <c r="J156">
        <v>1057</v>
      </c>
      <c r="K156">
        <v>-1027</v>
      </c>
    </row>
    <row r="157" spans="2:11" x14ac:dyDescent="0.25">
      <c r="B157">
        <v>-7815</v>
      </c>
      <c r="C157">
        <v>-5686</v>
      </c>
      <c r="D157">
        <v>-4924</v>
      </c>
      <c r="E157">
        <v>-155</v>
      </c>
      <c r="F157">
        <v>-2450</v>
      </c>
      <c r="G157">
        <v>-920</v>
      </c>
      <c r="H157">
        <v>1261</v>
      </c>
      <c r="I157">
        <v>0</v>
      </c>
      <c r="J157">
        <v>0</v>
      </c>
      <c r="K157">
        <v>0</v>
      </c>
    </row>
    <row r="158" spans="2:11" x14ac:dyDescent="0.25">
      <c r="B158">
        <v>-7052</v>
      </c>
      <c r="C158">
        <v>-472</v>
      </c>
      <c r="D158">
        <v>5951</v>
      </c>
      <c r="E158">
        <v>-1491</v>
      </c>
      <c r="F158">
        <v>82</v>
      </c>
      <c r="G158">
        <v>4</v>
      </c>
      <c r="H158">
        <v>32227</v>
      </c>
      <c r="I158">
        <v>-31845</v>
      </c>
      <c r="J158">
        <v>0</v>
      </c>
      <c r="K158">
        <v>10586</v>
      </c>
    </row>
    <row r="159" spans="2:11" x14ac:dyDescent="0.25">
      <c r="B159">
        <v>-17381</v>
      </c>
      <c r="C159">
        <v>9071</v>
      </c>
      <c r="D159">
        <v>-18873</v>
      </c>
      <c r="E159">
        <v>12375</v>
      </c>
      <c r="F159">
        <v>-13507</v>
      </c>
      <c r="G159">
        <v>3721</v>
      </c>
      <c r="H159">
        <v>-1275</v>
      </c>
      <c r="I159">
        <v>-17170</v>
      </c>
      <c r="J159">
        <v>-6547</v>
      </c>
      <c r="K159">
        <v>-11039</v>
      </c>
    </row>
    <row r="160" spans="2:11" x14ac:dyDescent="0.25">
      <c r="B160">
        <v>-1454</v>
      </c>
      <c r="C160">
        <v>-5768</v>
      </c>
      <c r="D160">
        <v>-624</v>
      </c>
      <c r="E160">
        <v>493</v>
      </c>
      <c r="F160">
        <v>0</v>
      </c>
      <c r="G160">
        <v>0</v>
      </c>
      <c r="H160">
        <v>0</v>
      </c>
      <c r="I160">
        <v>-3256</v>
      </c>
      <c r="J160">
        <v>582</v>
      </c>
      <c r="K160">
        <v>-219</v>
      </c>
    </row>
    <row r="161" spans="2:11" x14ac:dyDescent="0.25">
      <c r="B161">
        <v>9708</v>
      </c>
      <c r="C161">
        <v>159</v>
      </c>
      <c r="D161">
        <v>-489</v>
      </c>
      <c r="E161">
        <v>59448</v>
      </c>
      <c r="F161">
        <v>25929</v>
      </c>
      <c r="G161">
        <v>-12861</v>
      </c>
      <c r="H161">
        <v>0</v>
      </c>
      <c r="I161">
        <v>23173</v>
      </c>
      <c r="J161">
        <v>9007</v>
      </c>
      <c r="K161">
        <v>8172</v>
      </c>
    </row>
    <row r="162" spans="2:11" x14ac:dyDescent="0.25">
      <c r="B162">
        <v>11748</v>
      </c>
      <c r="C162">
        <v>1150</v>
      </c>
      <c r="D162">
        <v>-10192</v>
      </c>
      <c r="E162">
        <v>7726</v>
      </c>
      <c r="F162">
        <v>-974</v>
      </c>
      <c r="G162">
        <v>-5483</v>
      </c>
      <c r="H162">
        <v>-7853</v>
      </c>
      <c r="I162">
        <v>-7275</v>
      </c>
      <c r="J162">
        <v>-633</v>
      </c>
      <c r="K162">
        <v>-4204</v>
      </c>
    </row>
    <row r="163" spans="2:11" x14ac:dyDescent="0.25">
      <c r="B163">
        <v>-373</v>
      </c>
      <c r="C163">
        <v>1296</v>
      </c>
      <c r="D163">
        <v>0</v>
      </c>
      <c r="E163">
        <v>0</v>
      </c>
      <c r="F163">
        <v>0</v>
      </c>
      <c r="G163">
        <v>-10977</v>
      </c>
      <c r="H163">
        <v>-830</v>
      </c>
      <c r="I163">
        <v>1830</v>
      </c>
      <c r="J163">
        <v>-1570</v>
      </c>
      <c r="K163">
        <v>342</v>
      </c>
    </row>
    <row r="164" spans="2:11" x14ac:dyDescent="0.25">
      <c r="B164">
        <v>-249</v>
      </c>
      <c r="C164">
        <v>75056</v>
      </c>
      <c r="D164">
        <v>20020</v>
      </c>
      <c r="E164">
        <v>35763</v>
      </c>
      <c r="F164">
        <v>31406</v>
      </c>
      <c r="G164">
        <v>0</v>
      </c>
      <c r="H164">
        <v>1373</v>
      </c>
      <c r="I164">
        <v>1008</v>
      </c>
      <c r="J164">
        <v>1021</v>
      </c>
      <c r="K164">
        <v>146</v>
      </c>
    </row>
    <row r="165" spans="2:11" x14ac:dyDescent="0.25">
      <c r="B165">
        <v>601</v>
      </c>
      <c r="C165">
        <v>224</v>
      </c>
      <c r="D165">
        <v>-567</v>
      </c>
      <c r="E165">
        <v>-32</v>
      </c>
      <c r="F165">
        <v>281</v>
      </c>
      <c r="G165">
        <v>-1300</v>
      </c>
      <c r="H165">
        <v>609</v>
      </c>
      <c r="I165">
        <v>1676</v>
      </c>
      <c r="J165">
        <v>113</v>
      </c>
      <c r="K165">
        <v>684</v>
      </c>
    </row>
    <row r="166" spans="2:11" x14ac:dyDescent="0.25">
      <c r="B166">
        <v>72</v>
      </c>
      <c r="C166">
        <v>0</v>
      </c>
      <c r="D166">
        <v>0</v>
      </c>
      <c r="E166">
        <v>0</v>
      </c>
      <c r="F166">
        <v>-629</v>
      </c>
      <c r="G166">
        <v>-74</v>
      </c>
      <c r="H166">
        <v>-54</v>
      </c>
      <c r="I166">
        <v>-224</v>
      </c>
      <c r="J166">
        <v>165</v>
      </c>
      <c r="K166">
        <v>-326</v>
      </c>
    </row>
    <row r="167" spans="2:11" x14ac:dyDescent="0.25">
      <c r="B167">
        <v>-761</v>
      </c>
      <c r="C167">
        <v>1511</v>
      </c>
      <c r="D167">
        <v>870</v>
      </c>
      <c r="E167">
        <v>-616</v>
      </c>
      <c r="F167">
        <v>537</v>
      </c>
      <c r="G167">
        <v>0</v>
      </c>
      <c r="H167">
        <v>-392</v>
      </c>
      <c r="I167">
        <v>-930</v>
      </c>
      <c r="J167">
        <v>-799</v>
      </c>
      <c r="K167">
        <v>386</v>
      </c>
    </row>
    <row r="168" spans="2:11" x14ac:dyDescent="0.25">
      <c r="B168">
        <v>88</v>
      </c>
      <c r="C168">
        <v>1549</v>
      </c>
      <c r="D168">
        <v>1156</v>
      </c>
      <c r="E168">
        <v>396</v>
      </c>
      <c r="F168">
        <v>-131</v>
      </c>
      <c r="G168">
        <v>86</v>
      </c>
      <c r="H168">
        <v>-408</v>
      </c>
      <c r="I168">
        <v>-124</v>
      </c>
      <c r="J168">
        <v>2044</v>
      </c>
      <c r="K168">
        <v>-4206</v>
      </c>
    </row>
    <row r="169" spans="2:11" x14ac:dyDescent="0.25">
      <c r="B169">
        <v>-3898</v>
      </c>
      <c r="C169">
        <v>0</v>
      </c>
      <c r="D169">
        <v>0</v>
      </c>
      <c r="E169">
        <v>0</v>
      </c>
      <c r="F169">
        <v>558</v>
      </c>
      <c r="G169">
        <v>228</v>
      </c>
      <c r="H169">
        <v>139</v>
      </c>
      <c r="I169">
        <v>131</v>
      </c>
      <c r="J169">
        <v>-781</v>
      </c>
      <c r="K169">
        <v>2294</v>
      </c>
    </row>
    <row r="170" spans="2:11" x14ac:dyDescent="0.25">
      <c r="B170">
        <v>-3470</v>
      </c>
      <c r="C170">
        <v>-1963</v>
      </c>
      <c r="D170">
        <v>-4261</v>
      </c>
      <c r="E170">
        <v>-2682</v>
      </c>
      <c r="F170">
        <v>-3828</v>
      </c>
      <c r="G170">
        <v>-27804</v>
      </c>
      <c r="H170">
        <v>0</v>
      </c>
      <c r="I170">
        <v>-608</v>
      </c>
      <c r="J170">
        <v>69</v>
      </c>
      <c r="K170">
        <v>261</v>
      </c>
    </row>
    <row r="171" spans="2:11" x14ac:dyDescent="0.25">
      <c r="B171">
        <v>-590</v>
      </c>
      <c r="C171">
        <v>-509</v>
      </c>
      <c r="D171">
        <v>-281</v>
      </c>
      <c r="E171">
        <v>-19</v>
      </c>
      <c r="F171">
        <v>801</v>
      </c>
      <c r="G171">
        <v>672</v>
      </c>
      <c r="H171">
        <v>-629</v>
      </c>
      <c r="I171">
        <v>-629</v>
      </c>
      <c r="J171">
        <v>416</v>
      </c>
      <c r="K171">
        <v>1292</v>
      </c>
    </row>
    <row r="172" spans="2:11" x14ac:dyDescent="0.25">
      <c r="B172">
        <v>1809</v>
      </c>
      <c r="C172">
        <v>1511</v>
      </c>
      <c r="D172">
        <v>0</v>
      </c>
      <c r="E172">
        <v>0</v>
      </c>
      <c r="F172">
        <v>0</v>
      </c>
      <c r="G172">
        <v>332</v>
      </c>
      <c r="H172">
        <v>119</v>
      </c>
      <c r="I172">
        <v>-151</v>
      </c>
      <c r="J172">
        <v>-4</v>
      </c>
      <c r="K172">
        <v>-328</v>
      </c>
    </row>
    <row r="173" spans="2:11" x14ac:dyDescent="0.25">
      <c r="B173">
        <v>892</v>
      </c>
      <c r="C173">
        <v>4499</v>
      </c>
      <c r="D173">
        <v>-2143</v>
      </c>
      <c r="E173">
        <v>2010</v>
      </c>
      <c r="F173">
        <v>2195</v>
      </c>
      <c r="G173">
        <v>4324</v>
      </c>
      <c r="H173">
        <v>-14247</v>
      </c>
      <c r="I173">
        <v>-43641</v>
      </c>
      <c r="J173">
        <v>0</v>
      </c>
      <c r="K173">
        <v>-769</v>
      </c>
    </row>
    <row r="174" spans="2:11" x14ac:dyDescent="0.25">
      <c r="B174">
        <v>-682</v>
      </c>
      <c r="C174">
        <v>-646</v>
      </c>
      <c r="D174">
        <v>-37</v>
      </c>
      <c r="E174">
        <v>-747</v>
      </c>
      <c r="F174">
        <v>-1404</v>
      </c>
      <c r="G174">
        <v>1611</v>
      </c>
      <c r="H174">
        <v>213</v>
      </c>
      <c r="I174">
        <v>539</v>
      </c>
      <c r="J174">
        <v>-470</v>
      </c>
      <c r="K174">
        <v>-62</v>
      </c>
    </row>
    <row r="175" spans="2:11" x14ac:dyDescent="0.25">
      <c r="B175">
        <v>213</v>
      </c>
      <c r="C175">
        <v>973</v>
      </c>
      <c r="D175">
        <v>-1587</v>
      </c>
      <c r="E175">
        <v>-823</v>
      </c>
      <c r="F175">
        <v>0</v>
      </c>
      <c r="G175">
        <v>0</v>
      </c>
      <c r="H175">
        <v>0</v>
      </c>
      <c r="I175">
        <v>516</v>
      </c>
      <c r="J175">
        <v>-53</v>
      </c>
      <c r="K175">
        <v>0</v>
      </c>
    </row>
    <row r="176" spans="2:11" x14ac:dyDescent="0.25">
      <c r="B176">
        <v>95</v>
      </c>
      <c r="C176">
        <v>687</v>
      </c>
      <c r="D176">
        <v>-1745</v>
      </c>
      <c r="E176">
        <v>3413</v>
      </c>
      <c r="F176">
        <v>2734</v>
      </c>
      <c r="G176">
        <v>5576</v>
      </c>
      <c r="H176">
        <v>3541</v>
      </c>
      <c r="I176">
        <v>-1869</v>
      </c>
      <c r="J176">
        <v>-34064</v>
      </c>
      <c r="K176">
        <v>-6456</v>
      </c>
    </row>
    <row r="177" spans="2:11" x14ac:dyDescent="0.25">
      <c r="B177">
        <v>-18975</v>
      </c>
      <c r="C177">
        <v>0</v>
      </c>
      <c r="D177">
        <v>-432</v>
      </c>
      <c r="E177">
        <v>-791</v>
      </c>
      <c r="F177">
        <v>4</v>
      </c>
      <c r="G177">
        <v>-1335</v>
      </c>
      <c r="H177">
        <v>-244</v>
      </c>
      <c r="I177">
        <v>48</v>
      </c>
      <c r="J177">
        <v>2750</v>
      </c>
      <c r="K177">
        <v>-574</v>
      </c>
    </row>
    <row r="178" spans="2:11" x14ac:dyDescent="0.25">
      <c r="B178">
        <v>1996</v>
      </c>
      <c r="C178">
        <v>-824</v>
      </c>
      <c r="D178">
        <v>-1193</v>
      </c>
      <c r="E178">
        <v>-313</v>
      </c>
      <c r="F178">
        <v>1398</v>
      </c>
      <c r="G178">
        <v>-4136</v>
      </c>
      <c r="H178">
        <v>-3261</v>
      </c>
      <c r="I178">
        <v>0</v>
      </c>
      <c r="J178">
        <v>0</v>
      </c>
      <c r="K178">
        <v>0</v>
      </c>
    </row>
    <row r="179" spans="2:11" x14ac:dyDescent="0.25">
      <c r="B179">
        <v>744</v>
      </c>
      <c r="C179">
        <v>213</v>
      </c>
      <c r="D179">
        <v>-73</v>
      </c>
      <c r="E179">
        <v>496</v>
      </c>
      <c r="F179">
        <v>-155</v>
      </c>
      <c r="G179">
        <v>622</v>
      </c>
      <c r="H179">
        <v>10996</v>
      </c>
      <c r="I179">
        <v>3785</v>
      </c>
      <c r="J179">
        <v>2979</v>
      </c>
      <c r="K179">
        <v>5031</v>
      </c>
    </row>
    <row r="180" spans="2:11" x14ac:dyDescent="0.25">
      <c r="B180">
        <v>6593</v>
      </c>
      <c r="C180">
        <v>-19007</v>
      </c>
      <c r="D180">
        <v>-962</v>
      </c>
      <c r="E180">
        <v>-9234</v>
      </c>
      <c r="F180">
        <v>1361</v>
      </c>
      <c r="G180">
        <v>0</v>
      </c>
      <c r="H180">
        <v>-4941</v>
      </c>
      <c r="I180">
        <v>-3655</v>
      </c>
      <c r="J180">
        <v>-2973</v>
      </c>
      <c r="K180">
        <v>-1682</v>
      </c>
    </row>
    <row r="181" spans="2:11" x14ac:dyDescent="0.25">
      <c r="B181">
        <v>-3497</v>
      </c>
      <c r="C181">
        <v>1054</v>
      </c>
      <c r="D181">
        <v>12142</v>
      </c>
      <c r="E181">
        <v>3197</v>
      </c>
      <c r="F181">
        <v>3327</v>
      </c>
      <c r="G181">
        <v>-3902</v>
      </c>
      <c r="H181">
        <v>-4918</v>
      </c>
      <c r="I181">
        <v>-158</v>
      </c>
      <c r="J181">
        <v>-815</v>
      </c>
      <c r="K181">
        <v>798</v>
      </c>
    </row>
    <row r="182" spans="2:11" x14ac:dyDescent="0.25">
      <c r="B182">
        <v>1649</v>
      </c>
      <c r="C182">
        <v>0</v>
      </c>
      <c r="D182">
        <v>0</v>
      </c>
      <c r="E182">
        <v>0</v>
      </c>
      <c r="F182">
        <v>3628</v>
      </c>
      <c r="G182">
        <v>646</v>
      </c>
      <c r="H182">
        <v>101</v>
      </c>
      <c r="I182">
        <v>1311</v>
      </c>
      <c r="J182">
        <v>-31</v>
      </c>
      <c r="K182">
        <v>270</v>
      </c>
    </row>
    <row r="183" spans="2:11" x14ac:dyDescent="0.25">
      <c r="B183">
        <v>3025</v>
      </c>
      <c r="C183">
        <v>418</v>
      </c>
      <c r="D183">
        <v>-183</v>
      </c>
      <c r="E183">
        <v>846</v>
      </c>
      <c r="F183">
        <v>744</v>
      </c>
      <c r="G183">
        <v>-130</v>
      </c>
      <c r="H183">
        <v>77</v>
      </c>
      <c r="I183">
        <v>150</v>
      </c>
      <c r="J183">
        <v>255</v>
      </c>
      <c r="K183">
        <v>456</v>
      </c>
    </row>
    <row r="184" spans="2:11" x14ac:dyDescent="0.25">
      <c r="B184">
        <v>0</v>
      </c>
      <c r="C184">
        <v>6652</v>
      </c>
      <c r="D184">
        <v>1247</v>
      </c>
      <c r="E184">
        <v>3151</v>
      </c>
      <c r="F184">
        <v>892</v>
      </c>
      <c r="G184">
        <v>3579</v>
      </c>
      <c r="H184">
        <v>-4955</v>
      </c>
      <c r="I184">
        <v>1696</v>
      </c>
      <c r="J184">
        <v>110</v>
      </c>
      <c r="K184">
        <v>-1736</v>
      </c>
    </row>
    <row r="185" spans="2:11" x14ac:dyDescent="0.25">
      <c r="B185">
        <v>-1596</v>
      </c>
      <c r="C185">
        <v>-3076</v>
      </c>
      <c r="D185">
        <v>-3</v>
      </c>
      <c r="E185">
        <v>-1205</v>
      </c>
      <c r="F185">
        <v>-248</v>
      </c>
      <c r="G185">
        <v>1098</v>
      </c>
      <c r="H185">
        <v>0</v>
      </c>
      <c r="I185">
        <v>0</v>
      </c>
      <c r="J185">
        <v>0</v>
      </c>
      <c r="K185">
        <v>-2406</v>
      </c>
    </row>
    <row r="186" spans="2:11" x14ac:dyDescent="0.25">
      <c r="B186">
        <v>-35</v>
      </c>
      <c r="C186">
        <v>511</v>
      </c>
      <c r="D186">
        <v>607</v>
      </c>
      <c r="E186">
        <v>270</v>
      </c>
      <c r="F186">
        <v>-513</v>
      </c>
      <c r="G186">
        <v>302</v>
      </c>
      <c r="H186">
        <v>802</v>
      </c>
      <c r="I186">
        <v>1387</v>
      </c>
      <c r="J186">
        <v>2205</v>
      </c>
      <c r="K186">
        <v>2262</v>
      </c>
    </row>
    <row r="187" spans="2:11" x14ac:dyDescent="0.25">
      <c r="B187">
        <v>85</v>
      </c>
      <c r="C187">
        <v>-324</v>
      </c>
      <c r="D187">
        <v>-99</v>
      </c>
      <c r="E187">
        <v>210</v>
      </c>
      <c r="F187">
        <v>11</v>
      </c>
      <c r="G187">
        <v>33871</v>
      </c>
      <c r="H187">
        <v>0</v>
      </c>
      <c r="I187">
        <v>15708</v>
      </c>
      <c r="J187">
        <v>7270</v>
      </c>
      <c r="K187">
        <v>-13617</v>
      </c>
    </row>
    <row r="188" spans="2:11" x14ac:dyDescent="0.25">
      <c r="B188">
        <v>17859</v>
      </c>
      <c r="C188">
        <v>5404</v>
      </c>
      <c r="D188">
        <v>-8787</v>
      </c>
      <c r="E188">
        <v>1194</v>
      </c>
      <c r="F188">
        <v>204</v>
      </c>
      <c r="G188">
        <v>-6361</v>
      </c>
      <c r="H188">
        <v>-4016</v>
      </c>
      <c r="I188">
        <v>-5552</v>
      </c>
      <c r="J188">
        <v>-862</v>
      </c>
      <c r="K188">
        <v>-3126</v>
      </c>
    </row>
    <row r="189" spans="2:11" x14ac:dyDescent="0.25">
      <c r="B189">
        <v>268</v>
      </c>
      <c r="C189">
        <v>51</v>
      </c>
      <c r="D189">
        <v>0</v>
      </c>
      <c r="E189">
        <v>0</v>
      </c>
      <c r="F189">
        <v>0</v>
      </c>
      <c r="G189">
        <v>-6695</v>
      </c>
      <c r="H189">
        <v>-538</v>
      </c>
      <c r="I189">
        <v>6013</v>
      </c>
      <c r="J189">
        <v>-1876</v>
      </c>
      <c r="K189">
        <v>173</v>
      </c>
    </row>
    <row r="190" spans="2:11" x14ac:dyDescent="0.25">
      <c r="B190">
        <v>-298</v>
      </c>
      <c r="C190">
        <v>-301</v>
      </c>
      <c r="D190">
        <v>1379</v>
      </c>
      <c r="E190">
        <v>7858</v>
      </c>
      <c r="F190">
        <v>1524</v>
      </c>
      <c r="G190">
        <v>4970</v>
      </c>
      <c r="H190">
        <v>51</v>
      </c>
      <c r="I190">
        <v>-68</v>
      </c>
      <c r="J190">
        <v>-244</v>
      </c>
      <c r="K190">
        <v>73</v>
      </c>
    </row>
    <row r="191" spans="2:11" x14ac:dyDescent="0.25">
      <c r="B191">
        <v>-169</v>
      </c>
      <c r="C191">
        <v>38078</v>
      </c>
      <c r="D191">
        <v>-22105</v>
      </c>
      <c r="E191">
        <v>0</v>
      </c>
      <c r="F191">
        <v>8748</v>
      </c>
      <c r="G191">
        <v>-15864</v>
      </c>
      <c r="H191">
        <v>7487</v>
      </c>
      <c r="I191">
        <v>-17030</v>
      </c>
      <c r="J191">
        <v>11660</v>
      </c>
      <c r="K191">
        <v>-10287</v>
      </c>
    </row>
    <row r="192" spans="2:11" x14ac:dyDescent="0.25">
      <c r="B192">
        <v>2811</v>
      </c>
      <c r="C192">
        <v>-1455</v>
      </c>
      <c r="D192">
        <v>-14122</v>
      </c>
      <c r="E192">
        <v>-4090</v>
      </c>
      <c r="F192">
        <v>-9491</v>
      </c>
      <c r="G192">
        <v>-837</v>
      </c>
      <c r="H192">
        <v>-4640</v>
      </c>
      <c r="I192">
        <v>247</v>
      </c>
      <c r="J192">
        <v>946</v>
      </c>
      <c r="K192">
        <v>0</v>
      </c>
    </row>
    <row r="193" spans="2:11" x14ac:dyDescent="0.25">
      <c r="B193">
        <v>0</v>
      </c>
      <c r="C193">
        <v>0</v>
      </c>
      <c r="D193">
        <v>-2368</v>
      </c>
      <c r="E193">
        <v>565</v>
      </c>
      <c r="F193">
        <v>-200</v>
      </c>
      <c r="G193">
        <v>8656</v>
      </c>
      <c r="H193">
        <v>105</v>
      </c>
      <c r="I193">
        <v>-284</v>
      </c>
      <c r="J193">
        <v>934</v>
      </c>
      <c r="K193">
        <v>1729</v>
      </c>
    </row>
    <row r="194" spans="2:11" x14ac:dyDescent="0.25">
      <c r="B194">
        <v>1697</v>
      </c>
      <c r="C194">
        <v>12362</v>
      </c>
      <c r="D194">
        <v>3684</v>
      </c>
      <c r="E194">
        <v>10</v>
      </c>
      <c r="F194">
        <v>-100</v>
      </c>
      <c r="G194">
        <v>-96</v>
      </c>
      <c r="H194">
        <v>-7</v>
      </c>
      <c r="I194">
        <v>333</v>
      </c>
      <c r="J194">
        <v>58183</v>
      </c>
      <c r="K194">
        <v>29969</v>
      </c>
    </row>
    <row r="195" spans="2:11" x14ac:dyDescent="0.25">
      <c r="B195">
        <v>-12464</v>
      </c>
      <c r="C195">
        <v>0</v>
      </c>
      <c r="D195">
        <v>18330</v>
      </c>
      <c r="E195">
        <v>7688</v>
      </c>
      <c r="F195">
        <v>6379</v>
      </c>
      <c r="G195">
        <v>11095</v>
      </c>
      <c r="H195">
        <v>-816</v>
      </c>
      <c r="I195">
        <v>-5884</v>
      </c>
      <c r="J195">
        <v>5212</v>
      </c>
      <c r="K195">
        <v>-1764</v>
      </c>
    </row>
    <row r="196" spans="2:11" x14ac:dyDescent="0.25">
      <c r="B196">
        <v>-5294</v>
      </c>
      <c r="C196">
        <v>-3914</v>
      </c>
      <c r="D196">
        <v>-7179</v>
      </c>
      <c r="E196">
        <v>-1524</v>
      </c>
      <c r="F196">
        <v>-4375</v>
      </c>
      <c r="G196">
        <v>465</v>
      </c>
      <c r="H196">
        <v>1050</v>
      </c>
      <c r="I196">
        <v>0</v>
      </c>
      <c r="J196">
        <v>0</v>
      </c>
      <c r="K196">
        <v>0</v>
      </c>
    </row>
    <row r="197" spans="2:11" x14ac:dyDescent="0.25">
      <c r="B197">
        <v>-9481</v>
      </c>
      <c r="C197">
        <v>-942</v>
      </c>
      <c r="D197">
        <v>1433</v>
      </c>
      <c r="E197">
        <v>-1937</v>
      </c>
      <c r="F197">
        <v>363</v>
      </c>
      <c r="G197">
        <v>-582</v>
      </c>
      <c r="H197">
        <v>360</v>
      </c>
      <c r="I197">
        <v>1580</v>
      </c>
      <c r="J197">
        <v>4249</v>
      </c>
      <c r="K197">
        <v>3293</v>
      </c>
    </row>
    <row r="198" spans="2:11" x14ac:dyDescent="0.25">
      <c r="B198">
        <v>7505</v>
      </c>
      <c r="C198">
        <v>195</v>
      </c>
      <c r="D198">
        <v>-213</v>
      </c>
      <c r="E198">
        <v>-112</v>
      </c>
      <c r="F198">
        <v>28</v>
      </c>
      <c r="G198">
        <v>80</v>
      </c>
      <c r="H198">
        <v>73562</v>
      </c>
      <c r="I198">
        <v>24688</v>
      </c>
      <c r="J198">
        <v>39582</v>
      </c>
      <c r="K198">
        <v>24845</v>
      </c>
    </row>
    <row r="199" spans="2:11" x14ac:dyDescent="0.25">
      <c r="B199">
        <v>0</v>
      </c>
      <c r="C199">
        <v>992</v>
      </c>
      <c r="D199">
        <v>514</v>
      </c>
      <c r="E199">
        <v>237</v>
      </c>
      <c r="F199">
        <v>681</v>
      </c>
      <c r="G199">
        <v>485</v>
      </c>
      <c r="H199">
        <v>-292</v>
      </c>
      <c r="I199">
        <v>900</v>
      </c>
      <c r="J199">
        <v>199</v>
      </c>
      <c r="K199">
        <v>320</v>
      </c>
    </row>
    <row r="200" spans="2:11" x14ac:dyDescent="0.25">
      <c r="B200">
        <v>-1463</v>
      </c>
      <c r="C200">
        <v>209</v>
      </c>
      <c r="D200">
        <v>2218</v>
      </c>
      <c r="E200">
        <v>1942</v>
      </c>
      <c r="F200">
        <v>-2063</v>
      </c>
      <c r="G200">
        <v>-2764</v>
      </c>
      <c r="H200">
        <v>0</v>
      </c>
      <c r="I200">
        <v>0</v>
      </c>
      <c r="J200">
        <v>0</v>
      </c>
      <c r="K200">
        <v>-223</v>
      </c>
    </row>
    <row r="201" spans="2:11" x14ac:dyDescent="0.25">
      <c r="B201">
        <v>-218</v>
      </c>
      <c r="C201">
        <v>66</v>
      </c>
      <c r="D201">
        <v>-289</v>
      </c>
      <c r="E201">
        <v>1173</v>
      </c>
      <c r="F201">
        <v>-2817</v>
      </c>
      <c r="G201">
        <v>-16</v>
      </c>
      <c r="H201">
        <v>76</v>
      </c>
      <c r="I201">
        <v>28</v>
      </c>
      <c r="J201">
        <v>-45</v>
      </c>
      <c r="K201">
        <v>56</v>
      </c>
    </row>
    <row r="202" spans="2:11" x14ac:dyDescent="0.25">
      <c r="B202">
        <v>307</v>
      </c>
      <c r="C202">
        <v>-1306</v>
      </c>
      <c r="D202">
        <v>-704</v>
      </c>
      <c r="E202">
        <v>1500</v>
      </c>
      <c r="F202">
        <v>-59</v>
      </c>
      <c r="G202">
        <v>4397</v>
      </c>
      <c r="H202">
        <v>3201</v>
      </c>
      <c r="I202">
        <v>4891</v>
      </c>
      <c r="J202">
        <v>4895</v>
      </c>
      <c r="K202">
        <v>2414</v>
      </c>
    </row>
    <row r="203" spans="2:11" x14ac:dyDescent="0.25">
      <c r="B203">
        <v>0</v>
      </c>
      <c r="C203">
        <v>689</v>
      </c>
      <c r="D203">
        <v>529</v>
      </c>
      <c r="E203">
        <v>309</v>
      </c>
      <c r="F203">
        <v>-60</v>
      </c>
      <c r="G203">
        <v>546</v>
      </c>
      <c r="H203">
        <v>213</v>
      </c>
      <c r="I203">
        <v>-517</v>
      </c>
      <c r="J203">
        <v>-406</v>
      </c>
      <c r="K203">
        <v>-991</v>
      </c>
    </row>
    <row r="204" spans="2:11" x14ac:dyDescent="0.25">
      <c r="B204">
        <v>224</v>
      </c>
      <c r="C204">
        <v>570</v>
      </c>
      <c r="D204">
        <v>-62</v>
      </c>
      <c r="E204">
        <v>771</v>
      </c>
      <c r="F204">
        <v>-729</v>
      </c>
      <c r="G204">
        <v>-398</v>
      </c>
      <c r="H204">
        <v>0</v>
      </c>
      <c r="I204">
        <v>0</v>
      </c>
      <c r="J204">
        <v>0</v>
      </c>
      <c r="K204">
        <v>-80</v>
      </c>
    </row>
    <row r="205" spans="2:11" x14ac:dyDescent="0.25">
      <c r="B205">
        <v>431</v>
      </c>
      <c r="C205">
        <v>75</v>
      </c>
      <c r="D205">
        <v>108</v>
      </c>
      <c r="E205">
        <v>-2067</v>
      </c>
      <c r="F205">
        <v>5583</v>
      </c>
      <c r="G205">
        <v>-89</v>
      </c>
      <c r="H205">
        <v>-155</v>
      </c>
      <c r="I205">
        <v>308</v>
      </c>
      <c r="J205">
        <v>-120</v>
      </c>
      <c r="K205">
        <v>286</v>
      </c>
    </row>
    <row r="206" spans="2:11" x14ac:dyDescent="0.25">
      <c r="B206">
        <v>-468</v>
      </c>
      <c r="C206">
        <v>2933</v>
      </c>
      <c r="D206">
        <v>1171</v>
      </c>
      <c r="E206">
        <v>-2606</v>
      </c>
      <c r="F206">
        <v>518</v>
      </c>
      <c r="G206">
        <v>-6025</v>
      </c>
      <c r="H206">
        <v>-10329</v>
      </c>
      <c r="I206">
        <v>-6888</v>
      </c>
      <c r="J206">
        <v>-4438</v>
      </c>
      <c r="K206">
        <v>-7437</v>
      </c>
    </row>
    <row r="207" spans="2:11" x14ac:dyDescent="0.25">
      <c r="B207">
        <v>-30449</v>
      </c>
      <c r="C207">
        <v>0</v>
      </c>
      <c r="D207">
        <v>-1830</v>
      </c>
      <c r="E207">
        <v>-1189</v>
      </c>
      <c r="F207">
        <v>-2386</v>
      </c>
      <c r="G207">
        <v>324</v>
      </c>
      <c r="H207">
        <v>184</v>
      </c>
      <c r="I207">
        <v>3482</v>
      </c>
      <c r="J207">
        <v>9966</v>
      </c>
      <c r="K207">
        <v>889</v>
      </c>
    </row>
    <row r="208" spans="2:11" x14ac:dyDescent="0.25">
      <c r="B208">
        <v>4639</v>
      </c>
      <c r="C208">
        <v>-94</v>
      </c>
      <c r="D208">
        <v>-785</v>
      </c>
      <c r="E208">
        <v>-1367</v>
      </c>
      <c r="F208">
        <v>985</v>
      </c>
      <c r="G208">
        <v>1763</v>
      </c>
      <c r="H208">
        <v>4634</v>
      </c>
      <c r="I208">
        <v>0</v>
      </c>
      <c r="J208">
        <v>0</v>
      </c>
      <c r="K208">
        <v>0</v>
      </c>
    </row>
    <row r="209" spans="2:11" x14ac:dyDescent="0.25">
      <c r="B209">
        <v>2837</v>
      </c>
      <c r="C209">
        <v>576</v>
      </c>
      <c r="D209">
        <v>371</v>
      </c>
      <c r="E209">
        <v>636</v>
      </c>
      <c r="F209">
        <v>-62</v>
      </c>
      <c r="G209">
        <v>522</v>
      </c>
      <c r="H209">
        <v>1983</v>
      </c>
      <c r="I209">
        <v>138</v>
      </c>
      <c r="J209">
        <v>-81</v>
      </c>
      <c r="K209">
        <v>-225</v>
      </c>
    </row>
    <row r="210" spans="2:11" x14ac:dyDescent="0.25">
      <c r="B210">
        <v>282</v>
      </c>
      <c r="C210">
        <v>-90</v>
      </c>
      <c r="D210">
        <v>162</v>
      </c>
      <c r="E210">
        <v>188</v>
      </c>
      <c r="F210">
        <v>-51</v>
      </c>
      <c r="G210">
        <v>223</v>
      </c>
      <c r="H210">
        <v>1620</v>
      </c>
      <c r="I210">
        <v>20</v>
      </c>
      <c r="J210">
        <v>18</v>
      </c>
      <c r="K210">
        <v>-103</v>
      </c>
    </row>
    <row r="211" spans="2:11" x14ac:dyDescent="0.25">
      <c r="B211">
        <v>102</v>
      </c>
      <c r="C211">
        <v>-298</v>
      </c>
      <c r="D211">
        <v>307</v>
      </c>
      <c r="E211">
        <v>0</v>
      </c>
      <c r="F211">
        <v>4531</v>
      </c>
      <c r="G211">
        <v>77</v>
      </c>
      <c r="H211">
        <v>2210</v>
      </c>
      <c r="I211">
        <v>-386</v>
      </c>
      <c r="J211">
        <v>3343</v>
      </c>
      <c r="K211">
        <v>-10027</v>
      </c>
    </row>
    <row r="212" spans="2:11" x14ac:dyDescent="0.25">
      <c r="B212">
        <v>3126</v>
      </c>
      <c r="C212">
        <v>-590</v>
      </c>
      <c r="D212">
        <v>-794</v>
      </c>
      <c r="E212">
        <v>-319</v>
      </c>
      <c r="F212">
        <v>-1486</v>
      </c>
      <c r="G212">
        <v>-612</v>
      </c>
      <c r="H212">
        <v>-83</v>
      </c>
      <c r="I212">
        <v>-281</v>
      </c>
      <c r="J212">
        <v>3514</v>
      </c>
      <c r="K212">
        <v>0</v>
      </c>
    </row>
    <row r="213" spans="2:11" x14ac:dyDescent="0.25">
      <c r="B213">
        <v>0</v>
      </c>
      <c r="C213">
        <v>0</v>
      </c>
      <c r="D213">
        <v>-809</v>
      </c>
      <c r="E213">
        <v>276</v>
      </c>
      <c r="F213">
        <v>409</v>
      </c>
      <c r="G213">
        <v>1208</v>
      </c>
      <c r="H213">
        <v>84</v>
      </c>
      <c r="I213">
        <v>-40</v>
      </c>
      <c r="J213">
        <v>759</v>
      </c>
      <c r="K213">
        <v>996</v>
      </c>
    </row>
    <row r="214" spans="2:11" x14ac:dyDescent="0.25">
      <c r="B214">
        <v>1276</v>
      </c>
      <c r="C214">
        <v>2183</v>
      </c>
      <c r="D214">
        <v>1836</v>
      </c>
      <c r="E214">
        <v>-34</v>
      </c>
      <c r="F214">
        <v>-312</v>
      </c>
      <c r="G214">
        <v>48</v>
      </c>
      <c r="H214">
        <v>110</v>
      </c>
      <c r="I214">
        <v>-8</v>
      </c>
      <c r="J214">
        <v>408</v>
      </c>
      <c r="K214">
        <v>812</v>
      </c>
    </row>
    <row r="215" spans="2:11" x14ac:dyDescent="0.25">
      <c r="B215">
        <v>952</v>
      </c>
      <c r="C215">
        <v>1737</v>
      </c>
      <c r="D215">
        <v>1173</v>
      </c>
      <c r="E215">
        <v>-154</v>
      </c>
      <c r="F215">
        <v>7</v>
      </c>
      <c r="G215">
        <v>37302</v>
      </c>
      <c r="H215">
        <v>0</v>
      </c>
      <c r="I215">
        <v>14083</v>
      </c>
      <c r="J215">
        <v>7024</v>
      </c>
      <c r="K215">
        <v>-9534</v>
      </c>
    </row>
    <row r="216" spans="2:11" x14ac:dyDescent="0.25">
      <c r="B216">
        <v>14608</v>
      </c>
      <c r="C216">
        <v>5122</v>
      </c>
      <c r="D216">
        <v>-14233</v>
      </c>
      <c r="E216">
        <v>-895</v>
      </c>
      <c r="F216">
        <v>-1357</v>
      </c>
      <c r="G216">
        <v>-4699</v>
      </c>
      <c r="H216">
        <v>-2316</v>
      </c>
      <c r="I216">
        <v>-2492</v>
      </c>
      <c r="J216">
        <v>-748</v>
      </c>
      <c r="K216">
        <v>-2436</v>
      </c>
    </row>
    <row r="217" spans="2:11" x14ac:dyDescent="0.25">
      <c r="B217">
        <v>1091</v>
      </c>
      <c r="C217">
        <v>1398</v>
      </c>
      <c r="D217">
        <v>0</v>
      </c>
      <c r="E217">
        <v>0</v>
      </c>
      <c r="F217">
        <v>0</v>
      </c>
      <c r="G217">
        <v>-5945</v>
      </c>
      <c r="H217">
        <v>-399</v>
      </c>
      <c r="I217">
        <v>4741</v>
      </c>
      <c r="J217">
        <v>-1531</v>
      </c>
      <c r="K217">
        <v>95</v>
      </c>
    </row>
    <row r="218" spans="2:11" x14ac:dyDescent="0.25">
      <c r="B218">
        <v>-180</v>
      </c>
      <c r="C218">
        <v>-483</v>
      </c>
      <c r="D218">
        <v>1504</v>
      </c>
      <c r="E218">
        <v>6629</v>
      </c>
      <c r="F218">
        <v>1352</v>
      </c>
      <c r="G218">
        <v>4285</v>
      </c>
      <c r="H218">
        <v>21</v>
      </c>
      <c r="I218">
        <v>-310</v>
      </c>
      <c r="J218">
        <v>-131</v>
      </c>
      <c r="K218">
        <v>11</v>
      </c>
    </row>
    <row r="219" spans="2:11" x14ac:dyDescent="0.25">
      <c r="B219">
        <v>-320</v>
      </c>
      <c r="C219">
        <v>-440</v>
      </c>
      <c r="D219">
        <v>1226</v>
      </c>
      <c r="E219">
        <v>6344</v>
      </c>
      <c r="F219">
        <v>908</v>
      </c>
      <c r="G219">
        <v>3304</v>
      </c>
      <c r="H219">
        <v>-84</v>
      </c>
      <c r="I219">
        <v>119</v>
      </c>
      <c r="J219">
        <v>21496</v>
      </c>
      <c r="K219">
        <v>-34302</v>
      </c>
    </row>
    <row r="220" spans="2:11" x14ac:dyDescent="0.25">
      <c r="B220">
        <v>0</v>
      </c>
      <c r="C220">
        <v>9091</v>
      </c>
      <c r="D220">
        <v>-16838</v>
      </c>
      <c r="E220">
        <v>6681</v>
      </c>
      <c r="F220">
        <v>-16861</v>
      </c>
      <c r="G220">
        <v>12507</v>
      </c>
      <c r="H220">
        <v>-17717</v>
      </c>
      <c r="I220">
        <v>-32</v>
      </c>
      <c r="J220">
        <v>-1622</v>
      </c>
      <c r="K220">
        <v>-13662</v>
      </c>
    </row>
    <row r="221" spans="2:11" x14ac:dyDescent="0.25">
      <c r="B221">
        <v>-1442</v>
      </c>
      <c r="C221">
        <v>-6666</v>
      </c>
      <c r="D221">
        <v>-1240</v>
      </c>
      <c r="E221">
        <v>-3463</v>
      </c>
      <c r="F221">
        <v>1</v>
      </c>
      <c r="G221">
        <v>1637</v>
      </c>
      <c r="H221">
        <v>0</v>
      </c>
      <c r="I221">
        <v>0</v>
      </c>
      <c r="J221">
        <v>0</v>
      </c>
      <c r="K221">
        <v>-2332</v>
      </c>
    </row>
    <row r="222" spans="2:11" x14ac:dyDescent="0.25">
      <c r="B222">
        <v>627</v>
      </c>
      <c r="C222">
        <v>-73</v>
      </c>
      <c r="D222">
        <v>8965</v>
      </c>
      <c r="E222">
        <v>82</v>
      </c>
      <c r="F222">
        <v>-299</v>
      </c>
      <c r="G222">
        <v>520</v>
      </c>
      <c r="H222">
        <v>2005</v>
      </c>
      <c r="I222">
        <v>2024</v>
      </c>
      <c r="J222">
        <v>12413</v>
      </c>
      <c r="K222">
        <v>3306</v>
      </c>
    </row>
    <row r="223" spans="2:11" x14ac:dyDescent="0.25">
      <c r="B223">
        <v>-42</v>
      </c>
      <c r="C223">
        <v>-316</v>
      </c>
      <c r="D223">
        <v>-101</v>
      </c>
      <c r="E223">
        <v>43</v>
      </c>
      <c r="F223">
        <v>163</v>
      </c>
      <c r="G223">
        <v>136</v>
      </c>
      <c r="H223">
        <v>1902</v>
      </c>
      <c r="I223">
        <v>1276</v>
      </c>
      <c r="J223">
        <v>10678</v>
      </c>
      <c r="K223">
        <v>2003</v>
      </c>
    </row>
    <row r="224" spans="2:11" x14ac:dyDescent="0.25">
      <c r="B224">
        <v>-266</v>
      </c>
      <c r="C224">
        <v>63</v>
      </c>
      <c r="D224">
        <v>41337</v>
      </c>
      <c r="E224">
        <v>28226</v>
      </c>
      <c r="F224">
        <v>-31897</v>
      </c>
      <c r="G224">
        <v>0</v>
      </c>
      <c r="H224">
        <v>23499</v>
      </c>
      <c r="I224">
        <v>9910</v>
      </c>
      <c r="J224">
        <v>7282</v>
      </c>
      <c r="K224">
        <v>13922</v>
      </c>
    </row>
    <row r="225" spans="2:11" x14ac:dyDescent="0.25">
      <c r="B225">
        <v>2815</v>
      </c>
      <c r="C225">
        <v>-7312</v>
      </c>
      <c r="D225">
        <v>2140</v>
      </c>
      <c r="E225">
        <v>-1892</v>
      </c>
      <c r="F225">
        <v>-6829</v>
      </c>
      <c r="G225">
        <v>-706</v>
      </c>
      <c r="H225">
        <v>-3236</v>
      </c>
      <c r="I225">
        <v>-2892</v>
      </c>
      <c r="J225">
        <v>-3598</v>
      </c>
      <c r="K225">
        <v>957</v>
      </c>
    </row>
    <row r="226" spans="2:11" x14ac:dyDescent="0.25">
      <c r="B226">
        <v>2612</v>
      </c>
      <c r="C226">
        <v>0</v>
      </c>
      <c r="D226">
        <v>0</v>
      </c>
      <c r="E226">
        <v>0</v>
      </c>
      <c r="F226">
        <v>-11586</v>
      </c>
      <c r="G226">
        <v>-1139</v>
      </c>
      <c r="H226">
        <v>1938</v>
      </c>
      <c r="I226">
        <v>-2489</v>
      </c>
      <c r="J226">
        <v>352</v>
      </c>
      <c r="K226">
        <v>-445</v>
      </c>
    </row>
    <row r="227" spans="2:11" x14ac:dyDescent="0.25">
      <c r="B227">
        <v>-864</v>
      </c>
      <c r="C227">
        <v>1616</v>
      </c>
      <c r="D227">
        <v>5116</v>
      </c>
      <c r="E227">
        <v>3168</v>
      </c>
      <c r="F227">
        <v>7887</v>
      </c>
      <c r="G227">
        <v>235</v>
      </c>
      <c r="H227">
        <v>-157</v>
      </c>
      <c r="I227">
        <v>-115</v>
      </c>
      <c r="J227">
        <v>-245</v>
      </c>
      <c r="K227">
        <v>-186</v>
      </c>
    </row>
    <row r="228" spans="2:11" x14ac:dyDescent="0.25">
      <c r="B228">
        <v>-561</v>
      </c>
      <c r="C228">
        <v>1811</v>
      </c>
      <c r="D228">
        <v>4792</v>
      </c>
      <c r="E228">
        <v>2427</v>
      </c>
      <c r="F228">
        <v>6523</v>
      </c>
      <c r="G228">
        <v>-99</v>
      </c>
      <c r="H228">
        <v>389</v>
      </c>
      <c r="I228">
        <v>64445</v>
      </c>
      <c r="J228">
        <v>24435</v>
      </c>
      <c r="K228">
        <v>25786</v>
      </c>
    </row>
    <row r="229" spans="2:11" x14ac:dyDescent="0.25">
      <c r="B229">
        <v>1491</v>
      </c>
      <c r="C229">
        <v>0</v>
      </c>
      <c r="D229">
        <v>981</v>
      </c>
      <c r="E229">
        <v>314</v>
      </c>
      <c r="F229">
        <v>-365</v>
      </c>
      <c r="G229">
        <v>474</v>
      </c>
      <c r="H229">
        <v>810</v>
      </c>
      <c r="I229">
        <v>396</v>
      </c>
      <c r="J229">
        <v>2202</v>
      </c>
      <c r="K229">
        <v>1019</v>
      </c>
    </row>
    <row r="230" spans="2:11" x14ac:dyDescent="0.25">
      <c r="B230">
        <v>881</v>
      </c>
      <c r="C230">
        <v>-1315</v>
      </c>
      <c r="D230">
        <v>-139</v>
      </c>
      <c r="E230">
        <v>713</v>
      </c>
      <c r="F230">
        <v>2371</v>
      </c>
      <c r="G230">
        <v>-2167</v>
      </c>
      <c r="H230">
        <v>-4328</v>
      </c>
      <c r="I230">
        <v>0</v>
      </c>
      <c r="J230">
        <v>0</v>
      </c>
      <c r="K230">
        <v>0</v>
      </c>
    </row>
    <row r="231" spans="2:11" x14ac:dyDescent="0.25">
      <c r="B231">
        <v>325</v>
      </c>
      <c r="C231">
        <v>319</v>
      </c>
      <c r="D231">
        <v>270</v>
      </c>
      <c r="E231">
        <v>83</v>
      </c>
      <c r="F231">
        <v>-811</v>
      </c>
      <c r="G231">
        <v>2522</v>
      </c>
      <c r="H231">
        <v>451</v>
      </c>
      <c r="I231">
        <v>37</v>
      </c>
      <c r="J231">
        <v>303</v>
      </c>
      <c r="K231">
        <v>-9</v>
      </c>
    </row>
    <row r="232" spans="2:11" x14ac:dyDescent="0.25">
      <c r="B232">
        <v>397</v>
      </c>
      <c r="C232">
        <v>-179</v>
      </c>
      <c r="D232">
        <v>1542</v>
      </c>
      <c r="E232">
        <v>417</v>
      </c>
      <c r="F232">
        <v>-935</v>
      </c>
      <c r="G232">
        <v>560</v>
      </c>
      <c r="H232">
        <v>245</v>
      </c>
      <c r="I232">
        <v>-209</v>
      </c>
      <c r="J232">
        <v>161</v>
      </c>
      <c r="K232">
        <v>14</v>
      </c>
    </row>
    <row r="233" spans="2:11" x14ac:dyDescent="0.25">
      <c r="B233">
        <v>73</v>
      </c>
      <c r="C233">
        <v>-1429</v>
      </c>
      <c r="D233">
        <v>3176</v>
      </c>
      <c r="E233">
        <v>8409</v>
      </c>
      <c r="F233">
        <v>4460</v>
      </c>
      <c r="G233">
        <v>-1252</v>
      </c>
      <c r="H233">
        <v>2584</v>
      </c>
      <c r="I233">
        <v>3443</v>
      </c>
      <c r="J233">
        <v>0</v>
      </c>
      <c r="K233">
        <v>-8299</v>
      </c>
    </row>
    <row r="234" spans="2:11" x14ac:dyDescent="0.25">
      <c r="B234">
        <v>-4473</v>
      </c>
      <c r="C234">
        <v>-2017</v>
      </c>
      <c r="D234">
        <v>-3414</v>
      </c>
      <c r="E234">
        <v>-3156</v>
      </c>
      <c r="F234">
        <v>936</v>
      </c>
      <c r="G234">
        <v>18009</v>
      </c>
      <c r="H234">
        <v>4598</v>
      </c>
      <c r="I234">
        <v>4896</v>
      </c>
      <c r="J234">
        <v>-10209</v>
      </c>
      <c r="K234">
        <v>-9675</v>
      </c>
    </row>
    <row r="235" spans="2:11" x14ac:dyDescent="0.25">
      <c r="B235">
        <v>-104</v>
      </c>
      <c r="C235">
        <v>-1119</v>
      </c>
      <c r="D235">
        <v>54</v>
      </c>
      <c r="E235">
        <v>503</v>
      </c>
      <c r="F235">
        <v>0</v>
      </c>
      <c r="G235">
        <v>0</v>
      </c>
      <c r="H235">
        <v>0</v>
      </c>
      <c r="I235">
        <v>6240</v>
      </c>
      <c r="J235">
        <v>1158</v>
      </c>
      <c r="K235">
        <v>-102</v>
      </c>
    </row>
    <row r="236" spans="2:11" x14ac:dyDescent="0.25">
      <c r="B236">
        <v>2137</v>
      </c>
      <c r="C236">
        <v>20</v>
      </c>
      <c r="D236">
        <v>172</v>
      </c>
      <c r="E236">
        <v>4946</v>
      </c>
      <c r="F236">
        <v>725</v>
      </c>
      <c r="G236">
        <v>-661</v>
      </c>
      <c r="H236">
        <v>1373</v>
      </c>
      <c r="I236">
        <v>980</v>
      </c>
      <c r="J236">
        <v>-181</v>
      </c>
      <c r="K236">
        <v>88</v>
      </c>
    </row>
    <row r="237" spans="2:11" x14ac:dyDescent="0.25">
      <c r="B237">
        <v>179</v>
      </c>
      <c r="C237">
        <v>571</v>
      </c>
      <c r="D237">
        <v>818</v>
      </c>
      <c r="E237">
        <v>3835</v>
      </c>
      <c r="F237">
        <v>382</v>
      </c>
      <c r="G237">
        <v>-574</v>
      </c>
      <c r="H237">
        <v>926</v>
      </c>
      <c r="I237">
        <v>336</v>
      </c>
      <c r="J237">
        <v>280</v>
      </c>
      <c r="K237">
        <v>-687</v>
      </c>
    </row>
    <row r="238" spans="2:11" x14ac:dyDescent="0.25">
      <c r="B238">
        <v>2353</v>
      </c>
      <c r="C238">
        <v>685</v>
      </c>
      <c r="D238">
        <v>-1009</v>
      </c>
      <c r="E238">
        <v>83</v>
      </c>
      <c r="F238">
        <v>-1381</v>
      </c>
      <c r="G238">
        <v>348</v>
      </c>
      <c r="H238">
        <v>0</v>
      </c>
      <c r="I238">
        <v>4351</v>
      </c>
      <c r="J238">
        <v>858</v>
      </c>
      <c r="K238">
        <v>3998</v>
      </c>
    </row>
    <row r="239" spans="2:11" x14ac:dyDescent="0.25">
      <c r="B239">
        <v>-840</v>
      </c>
      <c r="C239">
        <v>3195</v>
      </c>
      <c r="D239">
        <v>-3017</v>
      </c>
      <c r="E239">
        <v>7831</v>
      </c>
      <c r="F239">
        <v>2199</v>
      </c>
      <c r="G239">
        <v>-297</v>
      </c>
      <c r="H239">
        <v>-8151</v>
      </c>
      <c r="I239">
        <v>-6627</v>
      </c>
      <c r="J239">
        <v>949</v>
      </c>
      <c r="K239">
        <v>-787</v>
      </c>
    </row>
    <row r="240" spans="2:11" x14ac:dyDescent="0.25">
      <c r="B240">
        <v>79</v>
      </c>
      <c r="C240">
        <v>223</v>
      </c>
      <c r="D240">
        <v>0</v>
      </c>
      <c r="E240">
        <v>0</v>
      </c>
      <c r="F240">
        <v>0</v>
      </c>
      <c r="G240">
        <v>-433</v>
      </c>
      <c r="H240">
        <v>423</v>
      </c>
      <c r="I240">
        <v>298</v>
      </c>
      <c r="J240">
        <v>1205</v>
      </c>
      <c r="K240">
        <v>92</v>
      </c>
    </row>
    <row r="241" spans="2:11" x14ac:dyDescent="0.25">
      <c r="B241">
        <v>134</v>
      </c>
      <c r="C241">
        <v>2106</v>
      </c>
      <c r="D241">
        <v>1003</v>
      </c>
      <c r="E241">
        <v>1014</v>
      </c>
      <c r="F241">
        <v>2732</v>
      </c>
      <c r="G241">
        <v>2815</v>
      </c>
      <c r="H241">
        <v>46</v>
      </c>
      <c r="I241">
        <v>70</v>
      </c>
      <c r="J241">
        <v>105</v>
      </c>
      <c r="K241">
        <v>145</v>
      </c>
    </row>
    <row r="242" spans="2:11" x14ac:dyDescent="0.25">
      <c r="B242">
        <v>408</v>
      </c>
      <c r="C242">
        <v>1559</v>
      </c>
      <c r="D242">
        <v>881</v>
      </c>
      <c r="E242">
        <v>833</v>
      </c>
      <c r="F242">
        <v>2137</v>
      </c>
      <c r="G242">
        <v>1915</v>
      </c>
      <c r="H242">
        <v>112</v>
      </c>
      <c r="I242">
        <v>-49</v>
      </c>
      <c r="J242">
        <v>880</v>
      </c>
      <c r="K242">
        <v>831</v>
      </c>
    </row>
    <row r="243" spans="2:11" x14ac:dyDescent="0.25">
      <c r="B243">
        <v>528</v>
      </c>
      <c r="C243">
        <v>1673</v>
      </c>
      <c r="D243">
        <v>1382</v>
      </c>
      <c r="E243">
        <v>350</v>
      </c>
      <c r="F243">
        <v>49056</v>
      </c>
      <c r="G243">
        <v>0</v>
      </c>
      <c r="H243">
        <v>17445</v>
      </c>
      <c r="I243">
        <v>11032</v>
      </c>
      <c r="J243">
        <v>-15666</v>
      </c>
      <c r="K243">
        <v>21346</v>
      </c>
    </row>
    <row r="244" spans="2:11" x14ac:dyDescent="0.25">
      <c r="B244">
        <v>6812</v>
      </c>
      <c r="C244">
        <v>-8082</v>
      </c>
      <c r="D244">
        <v>3827</v>
      </c>
      <c r="E244">
        <v>770</v>
      </c>
      <c r="F244">
        <v>-2871</v>
      </c>
      <c r="G244">
        <v>-8907</v>
      </c>
      <c r="H244">
        <v>-8219</v>
      </c>
      <c r="I244">
        <v>-1743</v>
      </c>
      <c r="J244">
        <v>-3591</v>
      </c>
      <c r="K244">
        <v>-189</v>
      </c>
    </row>
    <row r="245" spans="2:11" x14ac:dyDescent="0.25">
      <c r="B245">
        <v>38</v>
      </c>
      <c r="C245">
        <v>0</v>
      </c>
      <c r="D245">
        <v>0</v>
      </c>
      <c r="E245">
        <v>0</v>
      </c>
      <c r="F245">
        <v>-6735</v>
      </c>
      <c r="G245">
        <v>-378</v>
      </c>
      <c r="H245">
        <v>7113</v>
      </c>
      <c r="I245">
        <v>-2622</v>
      </c>
      <c r="J245">
        <v>166</v>
      </c>
      <c r="K245">
        <v>-234</v>
      </c>
    </row>
    <row r="246" spans="2:11" x14ac:dyDescent="0.25">
      <c r="B246">
        <v>762</v>
      </c>
      <c r="C246">
        <v>1720</v>
      </c>
      <c r="D246">
        <v>8937</v>
      </c>
      <c r="E246">
        <v>1070</v>
      </c>
      <c r="F246">
        <v>5966</v>
      </c>
      <c r="G246">
        <v>61</v>
      </c>
      <c r="H246">
        <v>-3</v>
      </c>
      <c r="I246">
        <v>-218</v>
      </c>
      <c r="J246">
        <v>159</v>
      </c>
      <c r="K246">
        <v>47</v>
      </c>
    </row>
    <row r="247" spans="2:11" x14ac:dyDescent="0.25">
      <c r="B247">
        <v>676</v>
      </c>
      <c r="C247">
        <v>1454</v>
      </c>
      <c r="D247">
        <v>8885</v>
      </c>
      <c r="E247">
        <v>600</v>
      </c>
      <c r="F247">
        <v>4680</v>
      </c>
      <c r="G247">
        <v>338</v>
      </c>
      <c r="H247">
        <v>-270</v>
      </c>
      <c r="I247">
        <v>607</v>
      </c>
      <c r="J247">
        <v>1054</v>
      </c>
      <c r="K247">
        <v>7047</v>
      </c>
    </row>
    <row r="248" spans="2:11" x14ac:dyDescent="0.25">
      <c r="B248">
        <v>452</v>
      </c>
      <c r="C248">
        <v>5210</v>
      </c>
      <c r="D248">
        <v>360</v>
      </c>
      <c r="E248">
        <v>34253</v>
      </c>
      <c r="F248">
        <v>-21863</v>
      </c>
      <c r="G248">
        <v>0</v>
      </c>
      <c r="H248">
        <v>4194</v>
      </c>
      <c r="I248">
        <v>-25906</v>
      </c>
      <c r="J248">
        <v>8986</v>
      </c>
      <c r="K248">
        <v>-26243</v>
      </c>
    </row>
    <row r="249" spans="2:11" x14ac:dyDescent="0.25">
      <c r="B249">
        <v>12686</v>
      </c>
      <c r="C249">
        <v>-11462</v>
      </c>
      <c r="D249">
        <v>6701</v>
      </c>
      <c r="E249">
        <v>215</v>
      </c>
      <c r="F249">
        <v>-15946</v>
      </c>
      <c r="G249">
        <v>-10665</v>
      </c>
      <c r="H249">
        <v>-14333</v>
      </c>
      <c r="I249">
        <v>-330</v>
      </c>
      <c r="J249">
        <v>-4562</v>
      </c>
      <c r="K249">
        <v>-133</v>
      </c>
    </row>
    <row r="250" spans="2:11" x14ac:dyDescent="0.25">
      <c r="B250">
        <v>257</v>
      </c>
      <c r="C250">
        <v>0</v>
      </c>
      <c r="D250">
        <v>0</v>
      </c>
      <c r="E250">
        <v>0</v>
      </c>
      <c r="F250">
        <v>582</v>
      </c>
      <c r="G250">
        <v>1217</v>
      </c>
      <c r="H250">
        <v>-1094</v>
      </c>
      <c r="I250">
        <v>12558</v>
      </c>
      <c r="J250">
        <v>11</v>
      </c>
      <c r="K250">
        <v>-153</v>
      </c>
    </row>
    <row r="251" spans="2:11" x14ac:dyDescent="0.25">
      <c r="B251">
        <v>2878</v>
      </c>
      <c r="C251">
        <v>2118</v>
      </c>
      <c r="D251">
        <v>759</v>
      </c>
      <c r="E251">
        <v>16368</v>
      </c>
      <c r="F251">
        <v>3734</v>
      </c>
      <c r="G251">
        <v>-60</v>
      </c>
      <c r="H251">
        <v>47</v>
      </c>
      <c r="I251">
        <v>-19</v>
      </c>
      <c r="J251">
        <v>176</v>
      </c>
      <c r="K251">
        <v>772</v>
      </c>
    </row>
    <row r="252" spans="2:11" x14ac:dyDescent="0.25">
      <c r="B252">
        <v>2022</v>
      </c>
      <c r="C252">
        <v>2092</v>
      </c>
      <c r="D252">
        <v>24</v>
      </c>
      <c r="E252">
        <v>14070</v>
      </c>
      <c r="F252">
        <v>2124</v>
      </c>
      <c r="G252">
        <v>-82</v>
      </c>
      <c r="H252">
        <v>-129</v>
      </c>
      <c r="I252">
        <v>478</v>
      </c>
      <c r="J252">
        <v>2093</v>
      </c>
      <c r="K252">
        <v>-266</v>
      </c>
    </row>
    <row r="253" spans="2:11" x14ac:dyDescent="0.25">
      <c r="B253">
        <v>13774</v>
      </c>
      <c r="C253">
        <v>1329</v>
      </c>
      <c r="D253">
        <v>208</v>
      </c>
      <c r="E253">
        <v>58709</v>
      </c>
      <c r="F253">
        <v>39113</v>
      </c>
      <c r="G253">
        <v>-14143</v>
      </c>
      <c r="H253">
        <v>0</v>
      </c>
      <c r="I253">
        <v>19730</v>
      </c>
      <c r="J253">
        <v>9590</v>
      </c>
      <c r="K253">
        <v>8410</v>
      </c>
    </row>
    <row r="254" spans="2:11" x14ac:dyDescent="0.25">
      <c r="B254">
        <v>13423</v>
      </c>
      <c r="C254">
        <v>-3603</v>
      </c>
      <c r="D254">
        <v>-7643</v>
      </c>
      <c r="E254">
        <v>9658</v>
      </c>
      <c r="F254">
        <v>145</v>
      </c>
      <c r="G254">
        <v>-3734</v>
      </c>
      <c r="H254">
        <v>-9976</v>
      </c>
      <c r="I254">
        <v>-12734</v>
      </c>
      <c r="J254">
        <v>-3912</v>
      </c>
      <c r="K254">
        <v>-6814</v>
      </c>
    </row>
    <row r="255" spans="2:11" x14ac:dyDescent="0.25">
      <c r="B255">
        <v>57</v>
      </c>
      <c r="C255">
        <v>254</v>
      </c>
      <c r="D255">
        <v>0</v>
      </c>
      <c r="E255">
        <v>0</v>
      </c>
      <c r="F255">
        <v>0</v>
      </c>
      <c r="G255">
        <v>-10428</v>
      </c>
      <c r="H255">
        <v>-950</v>
      </c>
      <c r="I255">
        <v>1484</v>
      </c>
      <c r="J255">
        <v>-2381</v>
      </c>
      <c r="K255">
        <v>403</v>
      </c>
    </row>
    <row r="256" spans="2:11" x14ac:dyDescent="0.25">
      <c r="B256">
        <v>-849</v>
      </c>
      <c r="C256">
        <v>2084</v>
      </c>
      <c r="D256">
        <v>2261</v>
      </c>
      <c r="E256">
        <v>4875</v>
      </c>
      <c r="F256">
        <v>4176</v>
      </c>
      <c r="G256">
        <v>9828</v>
      </c>
      <c r="H256">
        <v>172</v>
      </c>
      <c r="I256">
        <v>-296</v>
      </c>
      <c r="J256">
        <v>-79</v>
      </c>
      <c r="K256">
        <v>252</v>
      </c>
    </row>
    <row r="257" spans="2:11" x14ac:dyDescent="0.25">
      <c r="B257">
        <v>392</v>
      </c>
      <c r="C257">
        <v>1659</v>
      </c>
      <c r="D257">
        <v>2268</v>
      </c>
      <c r="E257">
        <v>4616</v>
      </c>
      <c r="F257">
        <v>2921</v>
      </c>
      <c r="G257">
        <v>7936</v>
      </c>
      <c r="H257">
        <v>301</v>
      </c>
      <c r="I257">
        <v>-489</v>
      </c>
      <c r="J257">
        <v>607</v>
      </c>
      <c r="K257">
        <v>1684</v>
      </c>
    </row>
    <row r="258" spans="2:11" x14ac:dyDescent="0.25">
      <c r="B258">
        <v>3755</v>
      </c>
      <c r="C258">
        <v>2139</v>
      </c>
      <c r="D258">
        <v>7662</v>
      </c>
      <c r="E258">
        <v>148</v>
      </c>
      <c r="F258">
        <v>75944</v>
      </c>
      <c r="G258">
        <v>38368</v>
      </c>
      <c r="H258">
        <v>36649</v>
      </c>
      <c r="I258">
        <v>28988</v>
      </c>
      <c r="J258">
        <v>0</v>
      </c>
      <c r="K258">
        <v>929</v>
      </c>
    </row>
    <row r="259" spans="2:11" x14ac:dyDescent="0.25">
      <c r="B259">
        <v>325</v>
      </c>
      <c r="C259">
        <v>-171</v>
      </c>
      <c r="D259">
        <v>443</v>
      </c>
      <c r="E259">
        <v>831</v>
      </c>
      <c r="F259">
        <v>-441</v>
      </c>
      <c r="G259">
        <v>100</v>
      </c>
      <c r="H259">
        <v>-567</v>
      </c>
      <c r="I259">
        <v>487</v>
      </c>
      <c r="J259">
        <v>-1043</v>
      </c>
      <c r="K259">
        <v>-513</v>
      </c>
    </row>
    <row r="260" spans="2:11" x14ac:dyDescent="0.25">
      <c r="B260">
        <v>702</v>
      </c>
      <c r="C260">
        <v>1384</v>
      </c>
      <c r="D260">
        <v>-57</v>
      </c>
      <c r="E260">
        <v>140</v>
      </c>
      <c r="F260">
        <v>0</v>
      </c>
      <c r="G260">
        <v>0</v>
      </c>
      <c r="H260">
        <v>0</v>
      </c>
      <c r="I260">
        <v>-117</v>
      </c>
      <c r="J260">
        <v>85</v>
      </c>
      <c r="K260">
        <v>224</v>
      </c>
    </row>
    <row r="261" spans="2:11" x14ac:dyDescent="0.25">
      <c r="B261">
        <v>15</v>
      </c>
      <c r="C261">
        <v>-182</v>
      </c>
      <c r="D261">
        <v>607</v>
      </c>
      <c r="E261">
        <v>118</v>
      </c>
      <c r="F261">
        <v>63</v>
      </c>
      <c r="G261">
        <v>288</v>
      </c>
      <c r="H261">
        <v>77</v>
      </c>
      <c r="I261">
        <v>238</v>
      </c>
      <c r="J261">
        <v>-19</v>
      </c>
      <c r="K261">
        <v>305</v>
      </c>
    </row>
    <row r="262" spans="2:11" x14ac:dyDescent="0.25">
      <c r="B262">
        <v>128</v>
      </c>
      <c r="C262">
        <v>-226</v>
      </c>
      <c r="D262">
        <v>94</v>
      </c>
      <c r="E262">
        <v>39</v>
      </c>
      <c r="F262">
        <v>11</v>
      </c>
      <c r="G262">
        <v>219</v>
      </c>
      <c r="H262">
        <v>81</v>
      </c>
      <c r="I262">
        <v>116</v>
      </c>
      <c r="J262">
        <v>-332</v>
      </c>
      <c r="K262">
        <v>725</v>
      </c>
    </row>
    <row r="263" spans="2:11" x14ac:dyDescent="0.25">
      <c r="B263">
        <v>112</v>
      </c>
      <c r="C263">
        <v>39</v>
      </c>
      <c r="D263">
        <v>167</v>
      </c>
      <c r="E263">
        <v>42</v>
      </c>
      <c r="F263">
        <v>161</v>
      </c>
      <c r="G263">
        <v>359</v>
      </c>
      <c r="H263">
        <v>-764</v>
      </c>
      <c r="I263">
        <v>-1810</v>
      </c>
      <c r="J263">
        <v>215</v>
      </c>
      <c r="K263">
        <v>-993</v>
      </c>
    </row>
    <row r="264" spans="2:11" x14ac:dyDescent="0.25">
      <c r="B264">
        <v>59</v>
      </c>
      <c r="C264">
        <v>0</v>
      </c>
      <c r="D264">
        <v>-961</v>
      </c>
      <c r="E264">
        <v>-676</v>
      </c>
      <c r="F264">
        <v>-676</v>
      </c>
      <c r="G264">
        <v>-415</v>
      </c>
      <c r="H264">
        <v>-517</v>
      </c>
      <c r="I264">
        <v>195</v>
      </c>
      <c r="J264">
        <v>364</v>
      </c>
      <c r="K264">
        <v>798</v>
      </c>
    </row>
    <row r="265" spans="2:11" x14ac:dyDescent="0.25">
      <c r="B265">
        <v>-23</v>
      </c>
      <c r="C265">
        <v>-412</v>
      </c>
      <c r="D265">
        <v>74</v>
      </c>
      <c r="E265">
        <v>343</v>
      </c>
      <c r="F265">
        <v>141</v>
      </c>
      <c r="G265">
        <v>79</v>
      </c>
      <c r="H265">
        <v>-68</v>
      </c>
      <c r="I265">
        <v>0</v>
      </c>
      <c r="J265">
        <v>0</v>
      </c>
      <c r="K265">
        <v>0</v>
      </c>
    </row>
    <row r="266" spans="2:11" x14ac:dyDescent="0.25">
      <c r="B266">
        <v>466</v>
      </c>
      <c r="C266">
        <v>92</v>
      </c>
      <c r="D266">
        <v>-12</v>
      </c>
      <c r="E266">
        <v>144</v>
      </c>
      <c r="F266">
        <v>-218</v>
      </c>
      <c r="G266">
        <v>575</v>
      </c>
      <c r="H266">
        <v>162</v>
      </c>
      <c r="I266">
        <v>-44</v>
      </c>
      <c r="J266">
        <v>-67</v>
      </c>
      <c r="K266">
        <v>-27</v>
      </c>
    </row>
    <row r="267" spans="2:11" x14ac:dyDescent="0.25">
      <c r="B267">
        <v>-152</v>
      </c>
      <c r="C267">
        <v>-54</v>
      </c>
      <c r="D267">
        <v>294</v>
      </c>
      <c r="E267">
        <v>131</v>
      </c>
      <c r="F267">
        <v>-235</v>
      </c>
      <c r="G267">
        <v>63</v>
      </c>
      <c r="H267">
        <v>119</v>
      </c>
      <c r="I267">
        <v>-105</v>
      </c>
      <c r="J267">
        <v>-95</v>
      </c>
      <c r="K267">
        <v>-10</v>
      </c>
    </row>
    <row r="268" spans="2:11" x14ac:dyDescent="0.25">
      <c r="B268">
        <v>-181</v>
      </c>
      <c r="C268">
        <v>-404</v>
      </c>
      <c r="D268">
        <v>745</v>
      </c>
      <c r="E268">
        <v>94</v>
      </c>
      <c r="F268">
        <v>-31</v>
      </c>
      <c r="G268">
        <v>-89</v>
      </c>
      <c r="H268">
        <v>-21</v>
      </c>
      <c r="I268">
        <v>-205</v>
      </c>
      <c r="J268">
        <v>324</v>
      </c>
      <c r="K268">
        <v>-13</v>
      </c>
    </row>
    <row r="269" spans="2:11" x14ac:dyDescent="0.25">
      <c r="B269">
        <v>-1051</v>
      </c>
      <c r="C269">
        <v>-2675</v>
      </c>
      <c r="D269">
        <v>-698</v>
      </c>
      <c r="E269">
        <v>570</v>
      </c>
      <c r="F269">
        <v>-73888</v>
      </c>
      <c r="G269">
        <v>0</v>
      </c>
      <c r="H269">
        <v>145</v>
      </c>
      <c r="I269">
        <v>287</v>
      </c>
      <c r="J269">
        <v>652</v>
      </c>
      <c r="K269">
        <v>412</v>
      </c>
    </row>
    <row r="270" spans="2:11" x14ac:dyDescent="0.25">
      <c r="B270">
        <v>-177</v>
      </c>
      <c r="C270">
        <v>329</v>
      </c>
      <c r="D270">
        <v>1461</v>
      </c>
      <c r="E270">
        <v>345</v>
      </c>
      <c r="F270">
        <v>88</v>
      </c>
      <c r="G270">
        <v>-1433</v>
      </c>
      <c r="H270">
        <v>667</v>
      </c>
      <c r="I270">
        <v>1241</v>
      </c>
      <c r="J270">
        <v>1189</v>
      </c>
      <c r="K270">
        <v>-146</v>
      </c>
    </row>
    <row r="271" spans="2:11" x14ac:dyDescent="0.25">
      <c r="B271">
        <v>-371</v>
      </c>
      <c r="C271">
        <v>0</v>
      </c>
      <c r="D271">
        <v>0</v>
      </c>
      <c r="E271">
        <v>0</v>
      </c>
      <c r="F271">
        <v>182</v>
      </c>
      <c r="G271">
        <v>41</v>
      </c>
      <c r="H271">
        <v>-129</v>
      </c>
      <c r="I271">
        <v>-171</v>
      </c>
      <c r="J271">
        <v>77</v>
      </c>
      <c r="K271">
        <v>-17</v>
      </c>
    </row>
    <row r="272" spans="2:11" x14ac:dyDescent="0.25">
      <c r="B272">
        <v>217</v>
      </c>
      <c r="C272">
        <v>-5</v>
      </c>
      <c r="D272">
        <v>-86</v>
      </c>
      <c r="E272">
        <v>-167</v>
      </c>
      <c r="F272">
        <v>171</v>
      </c>
      <c r="G272">
        <v>45</v>
      </c>
      <c r="H272">
        <v>20</v>
      </c>
      <c r="I272">
        <v>-10</v>
      </c>
      <c r="J272">
        <v>89</v>
      </c>
      <c r="K272">
        <v>54</v>
      </c>
    </row>
    <row r="273" spans="2:11" x14ac:dyDescent="0.25">
      <c r="B273">
        <v>152</v>
      </c>
      <c r="C273">
        <v>10</v>
      </c>
      <c r="D273">
        <v>-103</v>
      </c>
      <c r="E273">
        <v>-170</v>
      </c>
      <c r="F273">
        <v>93</v>
      </c>
      <c r="G273">
        <v>186</v>
      </c>
      <c r="H273">
        <v>-144</v>
      </c>
      <c r="I273">
        <v>125</v>
      </c>
      <c r="J273">
        <v>-42</v>
      </c>
      <c r="K273">
        <v>-166</v>
      </c>
    </row>
    <row r="274" spans="2:11" x14ac:dyDescent="0.25">
      <c r="B274">
        <v>-282</v>
      </c>
      <c r="C274">
        <v>39</v>
      </c>
      <c r="D274">
        <v>52</v>
      </c>
      <c r="E274">
        <v>1565</v>
      </c>
      <c r="F274">
        <v>2774</v>
      </c>
      <c r="G274">
        <v>5810</v>
      </c>
      <c r="H274">
        <v>5315</v>
      </c>
      <c r="I274">
        <v>-4990</v>
      </c>
      <c r="J274">
        <v>-19268</v>
      </c>
      <c r="K274">
        <v>-17315</v>
      </c>
    </row>
    <row r="275" spans="2:11" x14ac:dyDescent="0.25">
      <c r="B275">
        <v>0</v>
      </c>
      <c r="C275">
        <v>-2115</v>
      </c>
      <c r="D275">
        <v>-1999</v>
      </c>
      <c r="E275">
        <v>-596</v>
      </c>
      <c r="F275">
        <v>-1065</v>
      </c>
      <c r="G275">
        <v>-907</v>
      </c>
      <c r="H275">
        <v>517</v>
      </c>
      <c r="I275">
        <v>2775</v>
      </c>
      <c r="J275">
        <v>2026</v>
      </c>
      <c r="K275">
        <v>1285</v>
      </c>
    </row>
    <row r="276" spans="2:11" x14ac:dyDescent="0.25">
      <c r="B276">
        <v>-1640</v>
      </c>
      <c r="C276">
        <v>-2149</v>
      </c>
      <c r="D276">
        <v>1376</v>
      </c>
      <c r="E276">
        <v>1814</v>
      </c>
      <c r="F276">
        <v>-50</v>
      </c>
      <c r="G276">
        <v>-96</v>
      </c>
      <c r="H276">
        <v>0</v>
      </c>
      <c r="I276">
        <v>0</v>
      </c>
      <c r="J276">
        <v>0</v>
      </c>
      <c r="K276">
        <v>1483</v>
      </c>
    </row>
    <row r="277" spans="2:11" x14ac:dyDescent="0.25">
      <c r="B277">
        <v>286</v>
      </c>
      <c r="C277">
        <v>-141</v>
      </c>
      <c r="D277">
        <v>501</v>
      </c>
      <c r="E277">
        <v>-232</v>
      </c>
      <c r="F277">
        <v>790</v>
      </c>
      <c r="G277">
        <v>894</v>
      </c>
      <c r="H277">
        <v>12</v>
      </c>
      <c r="I277">
        <v>-358</v>
      </c>
      <c r="J277">
        <v>96</v>
      </c>
      <c r="K277">
        <v>-142</v>
      </c>
    </row>
    <row r="278" spans="2:11" x14ac:dyDescent="0.25">
      <c r="B278">
        <v>-71</v>
      </c>
      <c r="C278">
        <v>417</v>
      </c>
      <c r="D278">
        <v>203</v>
      </c>
      <c r="E278">
        <v>-175</v>
      </c>
      <c r="F278">
        <v>231</v>
      </c>
      <c r="G278">
        <v>686</v>
      </c>
      <c r="H278">
        <v>-84</v>
      </c>
      <c r="I278">
        <v>-354</v>
      </c>
      <c r="J278">
        <v>100</v>
      </c>
      <c r="K278">
        <v>-237</v>
      </c>
    </row>
    <row r="279" spans="2:11" x14ac:dyDescent="0.25">
      <c r="B279">
        <v>-351</v>
      </c>
      <c r="C279">
        <v>747</v>
      </c>
      <c r="D279">
        <v>475</v>
      </c>
      <c r="E279">
        <v>-17</v>
      </c>
      <c r="F279">
        <v>-465</v>
      </c>
      <c r="G279">
        <v>-86</v>
      </c>
      <c r="H279">
        <v>-523</v>
      </c>
      <c r="I279">
        <v>483</v>
      </c>
      <c r="J279">
        <v>12264</v>
      </c>
      <c r="K279">
        <v>6104</v>
      </c>
    </row>
    <row r="280" spans="2:11" x14ac:dyDescent="0.25">
      <c r="B280">
        <v>4331</v>
      </c>
      <c r="C280">
        <v>6385</v>
      </c>
      <c r="D280">
        <v>7855</v>
      </c>
      <c r="E280">
        <v>-6567</v>
      </c>
      <c r="F280">
        <v>-2873</v>
      </c>
      <c r="G280">
        <v>-9199</v>
      </c>
      <c r="H280">
        <v>0</v>
      </c>
      <c r="I280">
        <v>-478</v>
      </c>
      <c r="J280">
        <v>-141</v>
      </c>
      <c r="K280">
        <v>198</v>
      </c>
    </row>
    <row r="281" spans="2:11" x14ac:dyDescent="0.25">
      <c r="B281">
        <v>595</v>
      </c>
      <c r="C281">
        <v>-126</v>
      </c>
      <c r="D281">
        <v>90</v>
      </c>
      <c r="E281">
        <v>-1099</v>
      </c>
      <c r="F281">
        <v>299</v>
      </c>
      <c r="G281">
        <v>-498</v>
      </c>
      <c r="H281">
        <v>465</v>
      </c>
      <c r="I281">
        <v>249</v>
      </c>
      <c r="J281">
        <v>545</v>
      </c>
      <c r="K281">
        <v>-761</v>
      </c>
    </row>
    <row r="282" spans="2:11" x14ac:dyDescent="0.25">
      <c r="B282">
        <v>-2247</v>
      </c>
      <c r="C282">
        <v>-2357</v>
      </c>
      <c r="D282">
        <v>0</v>
      </c>
      <c r="E282">
        <v>0</v>
      </c>
      <c r="F282">
        <v>0</v>
      </c>
      <c r="G282">
        <v>-912</v>
      </c>
      <c r="H282">
        <v>-1777</v>
      </c>
      <c r="I282">
        <v>-278</v>
      </c>
      <c r="J282">
        <v>-887</v>
      </c>
      <c r="K282">
        <v>7445</v>
      </c>
    </row>
    <row r="283" spans="2:11" x14ac:dyDescent="0.25">
      <c r="B283">
        <v>-19939</v>
      </c>
      <c r="C283">
        <v>-992</v>
      </c>
      <c r="D283">
        <v>209</v>
      </c>
      <c r="E283">
        <v>-975</v>
      </c>
      <c r="F283">
        <v>179</v>
      </c>
      <c r="G283">
        <v>-1336</v>
      </c>
      <c r="H283">
        <v>1713</v>
      </c>
      <c r="I283">
        <v>-10108</v>
      </c>
      <c r="J283">
        <v>-4383</v>
      </c>
      <c r="K283">
        <v>9330</v>
      </c>
    </row>
    <row r="284" spans="2:11" x14ac:dyDescent="0.25">
      <c r="B284">
        <v>-1736</v>
      </c>
      <c r="C284">
        <v>-322</v>
      </c>
      <c r="D284">
        <v>1880</v>
      </c>
      <c r="E284">
        <v>585</v>
      </c>
      <c r="F284">
        <v>-334</v>
      </c>
      <c r="G284">
        <v>289</v>
      </c>
      <c r="H284">
        <v>15316</v>
      </c>
      <c r="I284">
        <v>-27816</v>
      </c>
      <c r="J284">
        <v>-1857</v>
      </c>
      <c r="K284">
        <v>-484</v>
      </c>
    </row>
    <row r="285" spans="2:11" x14ac:dyDescent="0.25">
      <c r="B285">
        <v>-557</v>
      </c>
      <c r="C285">
        <v>-508</v>
      </c>
      <c r="D285">
        <v>-1226</v>
      </c>
      <c r="E285">
        <v>-11142</v>
      </c>
      <c r="F285">
        <v>923</v>
      </c>
      <c r="G285">
        <v>-421</v>
      </c>
      <c r="H285">
        <v>676</v>
      </c>
      <c r="I285">
        <v>-268</v>
      </c>
      <c r="J285">
        <v>956</v>
      </c>
      <c r="K285">
        <v>-2589</v>
      </c>
    </row>
    <row r="286" spans="2:11" x14ac:dyDescent="0.25">
      <c r="B286">
        <v>-2708</v>
      </c>
      <c r="C286">
        <v>557</v>
      </c>
      <c r="D286">
        <v>-2904</v>
      </c>
      <c r="E286">
        <v>0</v>
      </c>
      <c r="F286">
        <v>0</v>
      </c>
      <c r="G286">
        <v>0</v>
      </c>
      <c r="H286">
        <v>0</v>
      </c>
      <c r="I286">
        <v>0</v>
      </c>
      <c r="J286">
        <v>0</v>
      </c>
      <c r="K286">
        <v>0</v>
      </c>
    </row>
    <row r="287" spans="2:11" x14ac:dyDescent="0.25">
      <c r="B287">
        <v>0</v>
      </c>
      <c r="C287">
        <v>0</v>
      </c>
      <c r="D287">
        <v>0</v>
      </c>
      <c r="E287">
        <v>0</v>
      </c>
      <c r="F287">
        <v>0</v>
      </c>
      <c r="G287">
        <v>0</v>
      </c>
      <c r="H287">
        <v>0</v>
      </c>
      <c r="I287">
        <v>0</v>
      </c>
      <c r="J287">
        <v>0</v>
      </c>
      <c r="K287">
        <v>0</v>
      </c>
    </row>
    <row r="288" spans="2:11" x14ac:dyDescent="0.25">
      <c r="B288">
        <v>0</v>
      </c>
      <c r="C288">
        <v>0</v>
      </c>
      <c r="D288">
        <v>0</v>
      </c>
      <c r="E288">
        <v>0</v>
      </c>
      <c r="F288">
        <v>0</v>
      </c>
      <c r="G288">
        <v>0</v>
      </c>
      <c r="H288">
        <v>0</v>
      </c>
      <c r="I288">
        <v>0</v>
      </c>
      <c r="J288">
        <v>0</v>
      </c>
      <c r="K288">
        <v>0</v>
      </c>
    </row>
    <row r="289" spans="2:11" x14ac:dyDescent="0.25">
      <c r="B289">
        <v>0</v>
      </c>
      <c r="C289">
        <v>0</v>
      </c>
      <c r="D289">
        <v>0</v>
      </c>
      <c r="E289">
        <v>0</v>
      </c>
      <c r="F289">
        <v>0</v>
      </c>
      <c r="G289">
        <v>0</v>
      </c>
      <c r="H289">
        <v>0</v>
      </c>
      <c r="I289">
        <v>0</v>
      </c>
      <c r="J289">
        <v>0</v>
      </c>
      <c r="K289">
        <v>0</v>
      </c>
    </row>
    <row r="290" spans="2:11" x14ac:dyDescent="0.25">
      <c r="B290">
        <v>0</v>
      </c>
      <c r="C290">
        <v>0</v>
      </c>
      <c r="D290">
        <v>0</v>
      </c>
      <c r="E290">
        <v>0</v>
      </c>
      <c r="F290">
        <v>0</v>
      </c>
      <c r="G290">
        <v>0</v>
      </c>
      <c r="H290">
        <v>0</v>
      </c>
      <c r="I290">
        <v>0</v>
      </c>
      <c r="J290">
        <v>0</v>
      </c>
      <c r="K290">
        <v>0</v>
      </c>
    </row>
    <row r="291" spans="2:11" x14ac:dyDescent="0.25">
      <c r="B291">
        <v>0</v>
      </c>
      <c r="C291">
        <v>0</v>
      </c>
      <c r="D291">
        <v>0</v>
      </c>
      <c r="E291">
        <v>0</v>
      </c>
      <c r="F291">
        <v>0</v>
      </c>
      <c r="G291">
        <v>0</v>
      </c>
      <c r="H291">
        <v>0</v>
      </c>
      <c r="I291">
        <v>0</v>
      </c>
      <c r="J291">
        <v>0</v>
      </c>
      <c r="K291">
        <v>0</v>
      </c>
    </row>
    <row r="292" spans="2:11" x14ac:dyDescent="0.25">
      <c r="B292">
        <v>0</v>
      </c>
      <c r="C292">
        <v>0</v>
      </c>
      <c r="D292">
        <v>-346</v>
      </c>
      <c r="E292">
        <v>-401</v>
      </c>
      <c r="F292">
        <v>-189</v>
      </c>
      <c r="G292">
        <v>-336</v>
      </c>
      <c r="H292">
        <v>-41</v>
      </c>
      <c r="I292">
        <v>80</v>
      </c>
      <c r="J292">
        <v>126</v>
      </c>
      <c r="K292">
        <v>221</v>
      </c>
    </row>
    <row r="293" spans="2:11" x14ac:dyDescent="0.25">
      <c r="B293">
        <v>-1073</v>
      </c>
      <c r="C293">
        <v>-118</v>
      </c>
      <c r="D293">
        <v>-35</v>
      </c>
      <c r="E293">
        <v>179</v>
      </c>
      <c r="F293">
        <v>-607</v>
      </c>
      <c r="G293">
        <v>-64</v>
      </c>
      <c r="H293">
        <v>491</v>
      </c>
      <c r="I293">
        <v>0</v>
      </c>
      <c r="J293">
        <v>0</v>
      </c>
      <c r="K293">
        <v>0</v>
      </c>
    </row>
    <row r="294" spans="2:11" x14ac:dyDescent="0.25">
      <c r="B294">
        <v>1191</v>
      </c>
      <c r="C294">
        <v>102</v>
      </c>
      <c r="D294">
        <v>395</v>
      </c>
      <c r="E294">
        <v>1134</v>
      </c>
      <c r="F294">
        <v>2402</v>
      </c>
      <c r="G294">
        <v>-9614</v>
      </c>
      <c r="H294">
        <v>-150</v>
      </c>
      <c r="I294">
        <v>29</v>
      </c>
      <c r="J294">
        <v>-100</v>
      </c>
      <c r="K294">
        <v>266</v>
      </c>
    </row>
    <row r="295" spans="2:11" x14ac:dyDescent="0.25">
      <c r="B295">
        <v>-205</v>
      </c>
      <c r="C295">
        <v>281</v>
      </c>
      <c r="D295">
        <v>-1715</v>
      </c>
      <c r="E295">
        <v>-711</v>
      </c>
      <c r="F295">
        <v>1525</v>
      </c>
      <c r="G295">
        <v>-337</v>
      </c>
      <c r="H295">
        <v>-13</v>
      </c>
      <c r="I295">
        <v>324</v>
      </c>
      <c r="J295">
        <v>140</v>
      </c>
      <c r="K295">
        <v>151</v>
      </c>
    </row>
    <row r="296" spans="2:11" x14ac:dyDescent="0.25">
      <c r="B296">
        <v>62</v>
      </c>
      <c r="C296">
        <v>2489</v>
      </c>
      <c r="D296">
        <v>-4586</v>
      </c>
      <c r="E296">
        <v>-275</v>
      </c>
      <c r="F296">
        <v>-49</v>
      </c>
      <c r="G296">
        <v>-63</v>
      </c>
      <c r="H296">
        <v>108</v>
      </c>
      <c r="I296">
        <v>-187</v>
      </c>
      <c r="J296">
        <v>-1889</v>
      </c>
      <c r="K296">
        <v>178</v>
      </c>
    </row>
    <row r="297" spans="2:11" x14ac:dyDescent="0.25">
      <c r="B297">
        <v>-54</v>
      </c>
      <c r="C297">
        <v>117</v>
      </c>
      <c r="D297">
        <v>212</v>
      </c>
      <c r="E297">
        <v>143</v>
      </c>
      <c r="F297">
        <v>-436</v>
      </c>
      <c r="G297">
        <v>-440</v>
      </c>
      <c r="H297">
        <v>86</v>
      </c>
      <c r="I297">
        <v>-482</v>
      </c>
      <c r="J297">
        <v>16462</v>
      </c>
      <c r="K297">
        <v>0</v>
      </c>
    </row>
    <row r="298" spans="2:11" x14ac:dyDescent="0.25">
      <c r="B298">
        <v>0</v>
      </c>
      <c r="C298">
        <v>5</v>
      </c>
      <c r="D298">
        <v>148</v>
      </c>
      <c r="E298">
        <v>-55</v>
      </c>
      <c r="F298">
        <v>134</v>
      </c>
      <c r="G298">
        <v>159</v>
      </c>
      <c r="H298">
        <v>38</v>
      </c>
      <c r="I298">
        <v>-152</v>
      </c>
      <c r="J298">
        <v>542</v>
      </c>
      <c r="K298">
        <v>-351</v>
      </c>
    </row>
    <row r="299" spans="2:11" x14ac:dyDescent="0.25">
      <c r="B299">
        <v>248</v>
      </c>
      <c r="C299">
        <v>198</v>
      </c>
      <c r="D299">
        <v>-372</v>
      </c>
      <c r="E299">
        <v>34</v>
      </c>
      <c r="F299">
        <v>-180</v>
      </c>
      <c r="G299">
        <v>-544</v>
      </c>
      <c r="H299">
        <v>0</v>
      </c>
      <c r="I299">
        <v>0</v>
      </c>
      <c r="J299">
        <v>0</v>
      </c>
      <c r="K299">
        <v>1333</v>
      </c>
    </row>
    <row r="300" spans="2:11" x14ac:dyDescent="0.25">
      <c r="B300">
        <v>-578</v>
      </c>
      <c r="C300">
        <v>610</v>
      </c>
      <c r="D300">
        <v>1098</v>
      </c>
      <c r="E300">
        <v>2021</v>
      </c>
      <c r="F300">
        <v>-10072</v>
      </c>
      <c r="G300">
        <v>-119</v>
      </c>
      <c r="H300">
        <v>-4</v>
      </c>
      <c r="I300">
        <v>-37</v>
      </c>
      <c r="J300">
        <v>-37</v>
      </c>
      <c r="K300">
        <v>-128</v>
      </c>
    </row>
    <row r="301" spans="2:11" x14ac:dyDescent="0.25">
      <c r="B301">
        <v>91</v>
      </c>
      <c r="C301">
        <v>-545</v>
      </c>
      <c r="D301">
        <v>-255</v>
      </c>
      <c r="E301">
        <v>524</v>
      </c>
      <c r="F301">
        <v>-99</v>
      </c>
      <c r="G301">
        <v>-55</v>
      </c>
      <c r="H301">
        <v>90</v>
      </c>
      <c r="I301">
        <v>61</v>
      </c>
      <c r="J301">
        <v>-63</v>
      </c>
      <c r="K301">
        <v>-24</v>
      </c>
    </row>
    <row r="302" spans="2:11" x14ac:dyDescent="0.25">
      <c r="B302">
        <v>870</v>
      </c>
      <c r="C302">
        <v>-1559</v>
      </c>
      <c r="D302">
        <v>-137</v>
      </c>
      <c r="E302">
        <v>-61</v>
      </c>
      <c r="F302">
        <v>-25</v>
      </c>
      <c r="G302">
        <v>-73</v>
      </c>
      <c r="H302">
        <v>-87</v>
      </c>
      <c r="I302">
        <v>-607</v>
      </c>
      <c r="J302">
        <v>6</v>
      </c>
      <c r="K302">
        <v>-49</v>
      </c>
    </row>
    <row r="303" spans="2:11" x14ac:dyDescent="0.25">
      <c r="B303">
        <v>63</v>
      </c>
      <c r="C303">
        <v>-81</v>
      </c>
      <c r="D303">
        <v>-2</v>
      </c>
      <c r="E303">
        <v>-151</v>
      </c>
      <c r="F303">
        <v>-150</v>
      </c>
      <c r="G303">
        <v>31</v>
      </c>
      <c r="H303">
        <v>-170</v>
      </c>
      <c r="I303">
        <v>5646</v>
      </c>
      <c r="J303">
        <v>0</v>
      </c>
      <c r="K303">
        <v>22535</v>
      </c>
    </row>
    <row r="304" spans="2:11" x14ac:dyDescent="0.25">
      <c r="B304">
        <v>0</v>
      </c>
      <c r="C304">
        <v>-74</v>
      </c>
      <c r="D304">
        <v>55</v>
      </c>
      <c r="E304">
        <v>-105</v>
      </c>
      <c r="F304">
        <v>355</v>
      </c>
      <c r="G304">
        <v>-127</v>
      </c>
      <c r="H304">
        <v>353</v>
      </c>
      <c r="I304">
        <v>-30</v>
      </c>
      <c r="J304">
        <v>308</v>
      </c>
      <c r="K304">
        <v>-489</v>
      </c>
    </row>
    <row r="305" spans="2:11" x14ac:dyDescent="0.25">
      <c r="B305">
        <v>-171</v>
      </c>
      <c r="C305">
        <v>142</v>
      </c>
      <c r="D305">
        <v>774</v>
      </c>
      <c r="E305">
        <v>364</v>
      </c>
      <c r="F305">
        <v>-618</v>
      </c>
      <c r="G305">
        <v>344</v>
      </c>
      <c r="H305">
        <v>0</v>
      </c>
      <c r="I305">
        <v>0</v>
      </c>
      <c r="J305">
        <v>0</v>
      </c>
      <c r="K305">
        <v>20</v>
      </c>
    </row>
    <row r="306" spans="2:11" x14ac:dyDescent="0.25">
      <c r="B306">
        <v>-147</v>
      </c>
      <c r="C306">
        <v>686</v>
      </c>
      <c r="D306">
        <v>-893</v>
      </c>
      <c r="E306">
        <v>2320</v>
      </c>
      <c r="F306">
        <v>-7151</v>
      </c>
      <c r="G306">
        <v>-258</v>
      </c>
      <c r="H306">
        <v>7</v>
      </c>
      <c r="I306">
        <v>-195</v>
      </c>
      <c r="J306">
        <v>-40</v>
      </c>
      <c r="K306">
        <v>-322</v>
      </c>
    </row>
    <row r="307" spans="2:11" x14ac:dyDescent="0.25">
      <c r="B307">
        <v>446</v>
      </c>
      <c r="C307">
        <v>-2544</v>
      </c>
      <c r="D307">
        <v>-1082</v>
      </c>
      <c r="E307">
        <v>2339</v>
      </c>
      <c r="F307">
        <v>-465</v>
      </c>
      <c r="G307">
        <v>-71</v>
      </c>
      <c r="H307">
        <v>458</v>
      </c>
      <c r="I307">
        <v>185</v>
      </c>
      <c r="J307">
        <v>-147</v>
      </c>
      <c r="K307">
        <v>89</v>
      </c>
    </row>
    <row r="308" spans="2:11" x14ac:dyDescent="0.25">
      <c r="B308">
        <v>3863</v>
      </c>
      <c r="C308">
        <v>-6983</v>
      </c>
      <c r="D308">
        <v>-411</v>
      </c>
      <c r="E308">
        <v>-154</v>
      </c>
      <c r="F308">
        <v>-157</v>
      </c>
      <c r="G308">
        <v>-240</v>
      </c>
      <c r="H308">
        <v>-271</v>
      </c>
      <c r="I308">
        <v>-2807</v>
      </c>
      <c r="J308">
        <v>209</v>
      </c>
      <c r="K308">
        <v>-111</v>
      </c>
    </row>
    <row r="309" spans="2:11" x14ac:dyDescent="0.25">
      <c r="B309">
        <v>197</v>
      </c>
      <c r="C309">
        <v>-166</v>
      </c>
      <c r="D309">
        <v>198</v>
      </c>
      <c r="E309">
        <v>-638</v>
      </c>
      <c r="F309">
        <v>-676</v>
      </c>
      <c r="G309">
        <v>162</v>
      </c>
      <c r="H309">
        <v>-711</v>
      </c>
      <c r="I309">
        <v>25126</v>
      </c>
      <c r="J309">
        <v>0</v>
      </c>
      <c r="K309">
        <v>43666</v>
      </c>
    </row>
    <row r="310" spans="2:11" x14ac:dyDescent="0.25">
      <c r="B310">
        <v>34609</v>
      </c>
      <c r="C310">
        <v>0</v>
      </c>
      <c r="D310">
        <v>-454</v>
      </c>
      <c r="E310">
        <v>-103</v>
      </c>
      <c r="F310">
        <v>-367</v>
      </c>
      <c r="G310">
        <v>198</v>
      </c>
      <c r="H310">
        <v>-157</v>
      </c>
      <c r="I310">
        <v>339</v>
      </c>
      <c r="J310">
        <v>55</v>
      </c>
      <c r="K310">
        <v>-189</v>
      </c>
    </row>
    <row r="311" spans="2:11" x14ac:dyDescent="0.25">
      <c r="B311">
        <v>-724</v>
      </c>
      <c r="C311">
        <v>251</v>
      </c>
      <c r="D311">
        <v>192</v>
      </c>
      <c r="E311">
        <v>-157</v>
      </c>
      <c r="F311">
        <v>115</v>
      </c>
      <c r="G311">
        <v>-289</v>
      </c>
      <c r="H311">
        <v>553</v>
      </c>
      <c r="I311">
        <v>0</v>
      </c>
      <c r="J311">
        <v>0</v>
      </c>
      <c r="K311">
        <v>0</v>
      </c>
    </row>
    <row r="312" spans="2:11" x14ac:dyDescent="0.25">
      <c r="B312">
        <v>183</v>
      </c>
      <c r="C312">
        <v>-990</v>
      </c>
      <c r="D312">
        <v>803</v>
      </c>
      <c r="E312">
        <v>-742</v>
      </c>
      <c r="F312">
        <v>2104</v>
      </c>
      <c r="G312">
        <v>-6917</v>
      </c>
      <c r="H312">
        <v>-237</v>
      </c>
      <c r="I312">
        <v>-12</v>
      </c>
      <c r="J312">
        <v>-179</v>
      </c>
      <c r="K312">
        <v>-16</v>
      </c>
    </row>
    <row r="313" spans="2:11" x14ac:dyDescent="0.25">
      <c r="B313">
        <v>-369</v>
      </c>
      <c r="C313">
        <v>376</v>
      </c>
      <c r="D313">
        <v>-2288</v>
      </c>
      <c r="E313">
        <v>-966</v>
      </c>
      <c r="F313">
        <v>2075</v>
      </c>
      <c r="G313">
        <v>-435</v>
      </c>
      <c r="H313">
        <v>-57</v>
      </c>
      <c r="I313">
        <v>389</v>
      </c>
      <c r="J313">
        <v>160</v>
      </c>
      <c r="K313">
        <v>-112</v>
      </c>
    </row>
    <row r="314" spans="2:11" x14ac:dyDescent="0.25">
      <c r="B314">
        <v>28</v>
      </c>
      <c r="C314">
        <v>3398</v>
      </c>
      <c r="D314">
        <v>-6218</v>
      </c>
      <c r="E314">
        <v>-345</v>
      </c>
      <c r="F314">
        <v>-126</v>
      </c>
      <c r="G314">
        <v>-128</v>
      </c>
      <c r="H314">
        <v>-182</v>
      </c>
      <c r="I314">
        <v>-289</v>
      </c>
      <c r="J314">
        <v>-2536</v>
      </c>
      <c r="K314">
        <v>193</v>
      </c>
    </row>
    <row r="315" spans="2:11" x14ac:dyDescent="0.25">
      <c r="B315">
        <v>-135</v>
      </c>
      <c r="C315">
        <v>163</v>
      </c>
      <c r="D315">
        <v>-127</v>
      </c>
      <c r="E315">
        <v>119</v>
      </c>
      <c r="F315">
        <v>-577</v>
      </c>
      <c r="G315">
        <v>-604</v>
      </c>
      <c r="H315">
        <v>127</v>
      </c>
      <c r="I315">
        <v>-654</v>
      </c>
      <c r="J315">
        <v>22353</v>
      </c>
      <c r="K315">
        <v>0</v>
      </c>
    </row>
    <row r="316" spans="2:11" x14ac:dyDescent="0.25">
      <c r="B316">
        <v>41455</v>
      </c>
      <c r="C316">
        <v>30080</v>
      </c>
      <c r="D316">
        <v>57750</v>
      </c>
      <c r="E316">
        <v>0</v>
      </c>
      <c r="F316">
        <v>83</v>
      </c>
      <c r="G316">
        <v>212</v>
      </c>
      <c r="H316">
        <v>-36</v>
      </c>
      <c r="I316">
        <v>721</v>
      </c>
      <c r="J316">
        <v>-505</v>
      </c>
      <c r="K316">
        <v>485</v>
      </c>
    </row>
    <row r="317" spans="2:11" x14ac:dyDescent="0.25">
      <c r="B317">
        <v>-327</v>
      </c>
      <c r="C317">
        <v>375</v>
      </c>
      <c r="D317">
        <v>-913</v>
      </c>
      <c r="E317">
        <v>-183</v>
      </c>
      <c r="F317">
        <v>10</v>
      </c>
      <c r="G317">
        <v>521</v>
      </c>
      <c r="H317">
        <v>-406</v>
      </c>
      <c r="I317">
        <v>-585</v>
      </c>
      <c r="J317">
        <v>228</v>
      </c>
      <c r="K317">
        <v>0</v>
      </c>
    </row>
    <row r="318" spans="2:11" x14ac:dyDescent="0.25">
      <c r="B318">
        <v>0</v>
      </c>
      <c r="C318">
        <v>0</v>
      </c>
      <c r="D318">
        <v>-593</v>
      </c>
      <c r="E318">
        <v>-297</v>
      </c>
      <c r="F318">
        <v>653</v>
      </c>
      <c r="G318">
        <v>-1076</v>
      </c>
      <c r="H318">
        <v>2223</v>
      </c>
      <c r="I318">
        <v>-6735</v>
      </c>
      <c r="J318">
        <v>-330</v>
      </c>
      <c r="K318">
        <v>9</v>
      </c>
    </row>
    <row r="319" spans="2:11" x14ac:dyDescent="0.25">
      <c r="B319">
        <v>-125</v>
      </c>
      <c r="C319">
        <v>-20</v>
      </c>
      <c r="D319">
        <v>-197</v>
      </c>
      <c r="E319">
        <v>442</v>
      </c>
      <c r="F319">
        <v>-2549</v>
      </c>
      <c r="G319">
        <v>-1089</v>
      </c>
      <c r="H319">
        <v>2316</v>
      </c>
      <c r="I319">
        <v>-486</v>
      </c>
      <c r="J319">
        <v>-108</v>
      </c>
      <c r="K319">
        <v>471</v>
      </c>
    </row>
    <row r="320" spans="2:11" x14ac:dyDescent="0.25">
      <c r="B320">
        <v>260</v>
      </c>
      <c r="C320">
        <v>-144</v>
      </c>
      <c r="D320">
        <v>214</v>
      </c>
      <c r="E320">
        <v>3825</v>
      </c>
      <c r="F320">
        <v>-6952</v>
      </c>
      <c r="G320">
        <v>-469</v>
      </c>
      <c r="H320">
        <v>-163</v>
      </c>
      <c r="I320">
        <v>-90</v>
      </c>
      <c r="J320">
        <v>-243</v>
      </c>
      <c r="K320">
        <v>-136</v>
      </c>
    </row>
    <row r="321" spans="2:11" x14ac:dyDescent="0.25">
      <c r="B321">
        <v>-2818</v>
      </c>
      <c r="C321">
        <v>145</v>
      </c>
      <c r="D321">
        <v>-123</v>
      </c>
      <c r="E321">
        <v>265</v>
      </c>
      <c r="F321">
        <v>-203</v>
      </c>
      <c r="G321">
        <v>365</v>
      </c>
      <c r="H321">
        <v>-649</v>
      </c>
      <c r="I321">
        <v>-677</v>
      </c>
      <c r="J321">
        <v>149</v>
      </c>
      <c r="K321">
        <v>-738</v>
      </c>
    </row>
    <row r="322" spans="2:11" x14ac:dyDescent="0.25">
      <c r="B322">
        <v>25018</v>
      </c>
      <c r="C322">
        <v>0</v>
      </c>
      <c r="D322">
        <v>37599</v>
      </c>
      <c r="E322">
        <v>32930</v>
      </c>
      <c r="F322">
        <v>68240</v>
      </c>
      <c r="G322">
        <v>59126</v>
      </c>
      <c r="H322">
        <v>0</v>
      </c>
      <c r="I322">
        <v>247</v>
      </c>
      <c r="J322">
        <v>-134</v>
      </c>
      <c r="K322">
        <v>-30</v>
      </c>
    </row>
    <row r="323" spans="2:11" x14ac:dyDescent="0.25">
      <c r="B323">
        <v>270</v>
      </c>
      <c r="C323">
        <v>-36</v>
      </c>
      <c r="D323">
        <v>-120</v>
      </c>
      <c r="E323">
        <v>-63</v>
      </c>
      <c r="F323">
        <v>565</v>
      </c>
      <c r="G323">
        <v>-1255</v>
      </c>
      <c r="H323">
        <v>-106</v>
      </c>
      <c r="I323">
        <v>-145</v>
      </c>
      <c r="J323">
        <v>102</v>
      </c>
      <c r="K323">
        <v>-524</v>
      </c>
    </row>
    <row r="324" spans="2:11" x14ac:dyDescent="0.25">
      <c r="B324">
        <v>-1006</v>
      </c>
      <c r="C324">
        <v>-631</v>
      </c>
      <c r="D324">
        <v>0</v>
      </c>
      <c r="E324">
        <v>0</v>
      </c>
      <c r="F324">
        <v>0</v>
      </c>
      <c r="G324">
        <v>-1049</v>
      </c>
      <c r="H324">
        <v>472</v>
      </c>
      <c r="I324">
        <v>10</v>
      </c>
      <c r="J324">
        <v>-792</v>
      </c>
      <c r="K324">
        <v>2167</v>
      </c>
    </row>
    <row r="325" spans="2:11" x14ac:dyDescent="0.25">
      <c r="B325">
        <v>-8886</v>
      </c>
      <c r="C325">
        <v>-204</v>
      </c>
      <c r="D325">
        <v>44</v>
      </c>
      <c r="E325">
        <v>37</v>
      </c>
      <c r="F325">
        <v>244</v>
      </c>
      <c r="G325">
        <v>-29</v>
      </c>
      <c r="H325">
        <v>244</v>
      </c>
      <c r="I325">
        <v>-1421</v>
      </c>
      <c r="J325">
        <v>-658</v>
      </c>
      <c r="K325">
        <v>1355</v>
      </c>
    </row>
    <row r="326" spans="2:11" x14ac:dyDescent="0.25">
      <c r="B326">
        <v>-238</v>
      </c>
      <c r="C326">
        <v>-71</v>
      </c>
      <c r="D326">
        <v>309</v>
      </c>
      <c r="E326">
        <v>248</v>
      </c>
      <c r="F326">
        <v>120</v>
      </c>
      <c r="G326">
        <v>178</v>
      </c>
      <c r="H326">
        <v>2235</v>
      </c>
      <c r="I326">
        <v>-4005</v>
      </c>
      <c r="J326">
        <v>-335</v>
      </c>
      <c r="K326">
        <v>-67</v>
      </c>
    </row>
    <row r="327" spans="2:11" x14ac:dyDescent="0.25">
      <c r="B327">
        <v>23</v>
      </c>
      <c r="C327">
        <v>77</v>
      </c>
      <c r="D327">
        <v>-26</v>
      </c>
      <c r="E327">
        <v>-1586</v>
      </c>
      <c r="F327">
        <v>91</v>
      </c>
      <c r="G327">
        <v>-33</v>
      </c>
      <c r="H327">
        <v>239</v>
      </c>
      <c r="I327">
        <v>144</v>
      </c>
      <c r="J327">
        <v>286</v>
      </c>
      <c r="K327">
        <v>-381</v>
      </c>
    </row>
    <row r="328" spans="2:11" x14ac:dyDescent="0.25">
      <c r="B328">
        <v>-389</v>
      </c>
      <c r="C328">
        <v>83</v>
      </c>
      <c r="D328">
        <v>-430</v>
      </c>
      <c r="E328">
        <v>14478</v>
      </c>
      <c r="F328">
        <v>0</v>
      </c>
      <c r="G328">
        <v>32261</v>
      </c>
      <c r="H328">
        <v>29946</v>
      </c>
      <c r="I328">
        <v>54300</v>
      </c>
      <c r="J328">
        <v>45992</v>
      </c>
      <c r="K328">
        <v>52601</v>
      </c>
    </row>
    <row r="329" spans="2:11" x14ac:dyDescent="0.25">
      <c r="B329">
        <v>0</v>
      </c>
      <c r="C329">
        <v>92</v>
      </c>
      <c r="D329">
        <v>-161</v>
      </c>
      <c r="E329">
        <v>202</v>
      </c>
      <c r="F329">
        <v>34</v>
      </c>
      <c r="G329">
        <v>-223</v>
      </c>
      <c r="H329">
        <v>-8</v>
      </c>
      <c r="I329">
        <v>14</v>
      </c>
      <c r="J329">
        <v>465</v>
      </c>
      <c r="K329">
        <v>-865</v>
      </c>
    </row>
    <row r="330" spans="2:11" x14ac:dyDescent="0.25">
      <c r="B330">
        <v>-135</v>
      </c>
      <c r="C330">
        <v>-150</v>
      </c>
      <c r="D330">
        <v>484</v>
      </c>
      <c r="E330">
        <v>468</v>
      </c>
      <c r="F330">
        <v>-530</v>
      </c>
      <c r="G330">
        <v>186</v>
      </c>
      <c r="H330">
        <v>0</v>
      </c>
      <c r="I330">
        <v>0</v>
      </c>
      <c r="J330">
        <v>0</v>
      </c>
      <c r="K330">
        <v>-724</v>
      </c>
    </row>
    <row r="331" spans="2:11" x14ac:dyDescent="0.25">
      <c r="B331">
        <v>173</v>
      </c>
      <c r="C331">
        <v>695</v>
      </c>
      <c r="D331">
        <v>-881</v>
      </c>
      <c r="E331">
        <v>1810</v>
      </c>
      <c r="F331">
        <v>-3422</v>
      </c>
      <c r="G331">
        <v>-259</v>
      </c>
      <c r="H331">
        <v>55</v>
      </c>
      <c r="I331">
        <v>-209</v>
      </c>
      <c r="J331">
        <v>209</v>
      </c>
      <c r="K331">
        <v>-228</v>
      </c>
    </row>
    <row r="332" spans="2:11" x14ac:dyDescent="0.25">
      <c r="B332">
        <v>492</v>
      </c>
      <c r="C332">
        <v>-2830</v>
      </c>
      <c r="D332">
        <v>-1198</v>
      </c>
      <c r="E332">
        <v>2601</v>
      </c>
      <c r="F332">
        <v>-504</v>
      </c>
      <c r="G332">
        <v>-58</v>
      </c>
      <c r="H332">
        <v>550</v>
      </c>
      <c r="I332">
        <v>206</v>
      </c>
      <c r="J332">
        <v>45</v>
      </c>
      <c r="K332">
        <v>199</v>
      </c>
    </row>
    <row r="333" spans="2:11" x14ac:dyDescent="0.25">
      <c r="B333">
        <v>4284</v>
      </c>
      <c r="C333">
        <v>-7756</v>
      </c>
      <c r="D333">
        <v>-478</v>
      </c>
      <c r="E333">
        <v>-131</v>
      </c>
      <c r="F333">
        <v>-165</v>
      </c>
      <c r="G333">
        <v>-56</v>
      </c>
      <c r="H333">
        <v>-215</v>
      </c>
      <c r="I333">
        <v>-3114</v>
      </c>
      <c r="J333">
        <v>265</v>
      </c>
      <c r="K333">
        <v>-69</v>
      </c>
    </row>
    <row r="334" spans="2:11" x14ac:dyDescent="0.25">
      <c r="B334">
        <v>205</v>
      </c>
      <c r="C334">
        <v>93</v>
      </c>
      <c r="D334">
        <v>369</v>
      </c>
      <c r="E334">
        <v>-710</v>
      </c>
      <c r="F334">
        <v>-751</v>
      </c>
      <c r="G334">
        <v>175</v>
      </c>
      <c r="H334">
        <v>-786</v>
      </c>
      <c r="I334">
        <v>27899</v>
      </c>
      <c r="J334">
        <v>0</v>
      </c>
      <c r="K334">
        <v>39219</v>
      </c>
    </row>
    <row r="335" spans="2:11" x14ac:dyDescent="0.25">
      <c r="B335">
        <v>28113</v>
      </c>
      <c r="C335">
        <v>63489</v>
      </c>
      <c r="D335">
        <v>55943</v>
      </c>
      <c r="E335">
        <v>63602</v>
      </c>
      <c r="F335">
        <v>47505</v>
      </c>
      <c r="G335">
        <v>0</v>
      </c>
      <c r="H335">
        <v>-408</v>
      </c>
      <c r="I335">
        <v>-31</v>
      </c>
      <c r="J335">
        <v>31</v>
      </c>
      <c r="K335">
        <v>311</v>
      </c>
    </row>
    <row r="336" spans="2:11" x14ac:dyDescent="0.25">
      <c r="B336">
        <v>44</v>
      </c>
      <c r="C336">
        <v>185</v>
      </c>
      <c r="D336">
        <v>-823</v>
      </c>
      <c r="E336">
        <v>193</v>
      </c>
      <c r="F336">
        <v>108</v>
      </c>
      <c r="G336">
        <v>46</v>
      </c>
      <c r="H336">
        <v>-72</v>
      </c>
      <c r="I336">
        <v>769</v>
      </c>
      <c r="J336">
        <v>-437</v>
      </c>
      <c r="K336">
        <v>-1716</v>
      </c>
    </row>
    <row r="337" spans="2:11" x14ac:dyDescent="0.25">
      <c r="B337">
        <v>-1347</v>
      </c>
      <c r="C337">
        <v>0</v>
      </c>
      <c r="D337">
        <v>0</v>
      </c>
      <c r="E337">
        <v>0</v>
      </c>
      <c r="F337">
        <v>-520</v>
      </c>
      <c r="G337">
        <v>-346</v>
      </c>
      <c r="H337">
        <v>946</v>
      </c>
      <c r="I337">
        <v>-823</v>
      </c>
      <c r="J337">
        <v>4195</v>
      </c>
      <c r="K337">
        <v>-6830</v>
      </c>
    </row>
    <row r="338" spans="2:11" x14ac:dyDescent="0.25">
      <c r="B338">
        <v>-656</v>
      </c>
      <c r="C338">
        <v>153</v>
      </c>
      <c r="D338">
        <v>-717</v>
      </c>
      <c r="E338">
        <v>93</v>
      </c>
      <c r="F338">
        <v>-1003</v>
      </c>
      <c r="G338">
        <v>1245</v>
      </c>
      <c r="H338">
        <v>-7319</v>
      </c>
      <c r="I338">
        <v>-3159</v>
      </c>
      <c r="J338">
        <v>6751</v>
      </c>
      <c r="K338">
        <v>-1249</v>
      </c>
    </row>
    <row r="339" spans="2:11" x14ac:dyDescent="0.25">
      <c r="B339">
        <v>-195</v>
      </c>
      <c r="C339">
        <v>1360</v>
      </c>
      <c r="D339">
        <v>412</v>
      </c>
      <c r="E339">
        <v>-266</v>
      </c>
      <c r="F339">
        <v>169</v>
      </c>
      <c r="G339">
        <v>11082</v>
      </c>
      <c r="H339">
        <v>-20130</v>
      </c>
      <c r="I339">
        <v>-1304</v>
      </c>
      <c r="J339">
        <v>-348</v>
      </c>
      <c r="K339">
        <v>-422</v>
      </c>
    </row>
    <row r="340" spans="2:11" x14ac:dyDescent="0.25">
      <c r="B340">
        <v>-404</v>
      </c>
      <c r="C340">
        <v>-949</v>
      </c>
      <c r="D340">
        <v>-8062</v>
      </c>
      <c r="E340">
        <v>731</v>
      </c>
      <c r="F340">
        <v>-277</v>
      </c>
      <c r="G340">
        <v>510</v>
      </c>
      <c r="H340">
        <v>-197</v>
      </c>
      <c r="I340">
        <v>658</v>
      </c>
      <c r="J340">
        <v>-1863</v>
      </c>
      <c r="K340">
        <v>-1957</v>
      </c>
    </row>
    <row r="341" spans="2:11" x14ac:dyDescent="0.25">
      <c r="B341">
        <v>405</v>
      </c>
      <c r="C341">
        <v>-2080</v>
      </c>
      <c r="D341">
        <v>72335</v>
      </c>
      <c r="E341">
        <v>0</v>
      </c>
      <c r="F341">
        <v>31138</v>
      </c>
      <c r="G341">
        <v>19989</v>
      </c>
      <c r="H341">
        <v>49229</v>
      </c>
      <c r="I341">
        <v>42614</v>
      </c>
      <c r="J341">
        <v>48422</v>
      </c>
      <c r="K341">
        <v>34260</v>
      </c>
    </row>
    <row r="342" spans="2:11" x14ac:dyDescent="0.25">
      <c r="B342">
        <v>49207</v>
      </c>
      <c r="C342">
        <v>0</v>
      </c>
      <c r="D342">
        <v>153</v>
      </c>
      <c r="E342">
        <v>360</v>
      </c>
      <c r="F342">
        <v>87</v>
      </c>
      <c r="G342">
        <v>436</v>
      </c>
      <c r="H342">
        <v>293</v>
      </c>
      <c r="I342">
        <v>-2</v>
      </c>
      <c r="J342">
        <v>734</v>
      </c>
      <c r="K342">
        <v>-76</v>
      </c>
    </row>
    <row r="343" spans="2:11" x14ac:dyDescent="0.25">
      <c r="B343">
        <v>-524</v>
      </c>
      <c r="C343">
        <v>-33</v>
      </c>
      <c r="D343">
        <v>-609</v>
      </c>
      <c r="E343">
        <v>-9</v>
      </c>
      <c r="F343">
        <v>-384</v>
      </c>
      <c r="G343">
        <v>-388</v>
      </c>
      <c r="H343">
        <v>-551</v>
      </c>
      <c r="I343">
        <v>0</v>
      </c>
      <c r="J343">
        <v>0</v>
      </c>
      <c r="K343">
        <v>0</v>
      </c>
    </row>
    <row r="344" spans="2:11" x14ac:dyDescent="0.25">
      <c r="B344">
        <v>393</v>
      </c>
      <c r="C344">
        <v>1808</v>
      </c>
      <c r="D344">
        <v>504</v>
      </c>
      <c r="E344">
        <v>233</v>
      </c>
      <c r="F344">
        <v>22698</v>
      </c>
      <c r="G344">
        <v>-20147</v>
      </c>
      <c r="H344">
        <v>-163</v>
      </c>
      <c r="I344">
        <v>117</v>
      </c>
      <c r="J344">
        <v>-142</v>
      </c>
      <c r="K344">
        <v>143</v>
      </c>
    </row>
    <row r="345" spans="2:11" x14ac:dyDescent="0.25">
      <c r="B345">
        <v>-203</v>
      </c>
      <c r="C345">
        <v>505</v>
      </c>
      <c r="D345">
        <v>-3015</v>
      </c>
      <c r="E345">
        <v>-1301</v>
      </c>
      <c r="F345">
        <v>2784</v>
      </c>
      <c r="G345">
        <v>-508</v>
      </c>
      <c r="H345">
        <v>33</v>
      </c>
      <c r="I345">
        <v>614</v>
      </c>
      <c r="J345">
        <v>320</v>
      </c>
      <c r="K345">
        <v>-31</v>
      </c>
    </row>
    <row r="346" spans="2:11" x14ac:dyDescent="0.25">
      <c r="B346">
        <v>247</v>
      </c>
      <c r="C346">
        <v>4561</v>
      </c>
      <c r="D346">
        <v>-8290</v>
      </c>
      <c r="E346">
        <v>-447</v>
      </c>
      <c r="F346">
        <v>-91</v>
      </c>
      <c r="G346">
        <v>-71</v>
      </c>
      <c r="H346">
        <v>-139</v>
      </c>
      <c r="I346">
        <v>-235</v>
      </c>
      <c r="J346">
        <v>-3308</v>
      </c>
      <c r="K346">
        <v>494</v>
      </c>
    </row>
    <row r="347" spans="2:11" x14ac:dyDescent="0.25">
      <c r="B347">
        <v>13</v>
      </c>
      <c r="C347">
        <v>413</v>
      </c>
      <c r="D347">
        <v>18</v>
      </c>
      <c r="E347">
        <v>532</v>
      </c>
      <c r="F347">
        <v>-763</v>
      </c>
      <c r="G347">
        <v>-809</v>
      </c>
      <c r="H347">
        <v>177</v>
      </c>
      <c r="I347">
        <v>-843</v>
      </c>
      <c r="J347">
        <v>29764</v>
      </c>
      <c r="K347">
        <v>0</v>
      </c>
    </row>
    <row r="348" spans="2:11" x14ac:dyDescent="0.25">
      <c r="B348">
        <v>5854</v>
      </c>
      <c r="C348">
        <v>2998</v>
      </c>
      <c r="D348">
        <v>7822</v>
      </c>
      <c r="E348">
        <v>7019</v>
      </c>
      <c r="F348">
        <v>7720</v>
      </c>
      <c r="G348">
        <v>5215</v>
      </c>
      <c r="H348">
        <v>8028</v>
      </c>
      <c r="I348">
        <v>20458</v>
      </c>
      <c r="J348">
        <v>0</v>
      </c>
      <c r="K348">
        <v>511</v>
      </c>
    </row>
    <row r="349" spans="2:11" x14ac:dyDescent="0.25">
      <c r="B349">
        <v>334</v>
      </c>
      <c r="C349">
        <v>929</v>
      </c>
      <c r="D349">
        <v>252</v>
      </c>
      <c r="E349">
        <v>57</v>
      </c>
      <c r="F349">
        <v>-251</v>
      </c>
      <c r="G349">
        <v>-355</v>
      </c>
      <c r="H349">
        <v>464</v>
      </c>
      <c r="I349">
        <v>-853</v>
      </c>
      <c r="J349">
        <v>-61</v>
      </c>
      <c r="K349">
        <v>-718</v>
      </c>
    </row>
    <row r="350" spans="2:11" x14ac:dyDescent="0.25">
      <c r="B350">
        <v>-154</v>
      </c>
      <c r="C350">
        <v>-691</v>
      </c>
      <c r="D350">
        <v>-280</v>
      </c>
      <c r="E350">
        <v>-345</v>
      </c>
      <c r="F350">
        <v>0</v>
      </c>
      <c r="G350">
        <v>0</v>
      </c>
      <c r="H350">
        <v>0</v>
      </c>
      <c r="I350">
        <v>-494</v>
      </c>
      <c r="J350">
        <v>2595</v>
      </c>
      <c r="K350">
        <v>1170</v>
      </c>
    </row>
    <row r="351" spans="2:11" x14ac:dyDescent="0.25">
      <c r="B351">
        <v>-95</v>
      </c>
      <c r="C351">
        <v>9855</v>
      </c>
      <c r="D351">
        <v>-11376</v>
      </c>
      <c r="E351">
        <v>-217</v>
      </c>
      <c r="F351">
        <v>89</v>
      </c>
      <c r="G351">
        <v>-116</v>
      </c>
      <c r="H351">
        <v>218</v>
      </c>
      <c r="I351">
        <v>27</v>
      </c>
      <c r="J351">
        <v>292</v>
      </c>
      <c r="K351">
        <v>-1736</v>
      </c>
    </row>
    <row r="352" spans="2:11" x14ac:dyDescent="0.25">
      <c r="B352">
        <v>-738</v>
      </c>
      <c r="C352">
        <v>1565</v>
      </c>
      <c r="D352">
        <v>-319</v>
      </c>
      <c r="E352">
        <v>-69</v>
      </c>
      <c r="F352">
        <v>394</v>
      </c>
      <c r="G352">
        <v>139</v>
      </c>
      <c r="H352">
        <v>82</v>
      </c>
      <c r="I352">
        <v>270</v>
      </c>
      <c r="J352">
        <v>2572</v>
      </c>
      <c r="K352">
        <v>-4706</v>
      </c>
    </row>
    <row r="353" spans="2:11" x14ac:dyDescent="0.25">
      <c r="B353">
        <v>-375</v>
      </c>
      <c r="C353">
        <v>-29</v>
      </c>
      <c r="D353">
        <v>-43</v>
      </c>
      <c r="E353">
        <v>39</v>
      </c>
      <c r="F353">
        <v>14</v>
      </c>
      <c r="G353">
        <v>-1909</v>
      </c>
      <c r="H353">
        <v>175</v>
      </c>
      <c r="I353">
        <v>22</v>
      </c>
      <c r="J353">
        <v>158</v>
      </c>
      <c r="K353">
        <v>109</v>
      </c>
    </row>
    <row r="354" spans="2:11" x14ac:dyDescent="0.25">
      <c r="B354">
        <v>485</v>
      </c>
      <c r="C354">
        <v>-447</v>
      </c>
      <c r="D354">
        <v>-465</v>
      </c>
      <c r="E354">
        <v>88</v>
      </c>
      <c r="F354">
        <v>-503</v>
      </c>
      <c r="G354">
        <v>16914</v>
      </c>
      <c r="H354">
        <v>0</v>
      </c>
      <c r="I354">
        <v>3313</v>
      </c>
      <c r="J354">
        <v>1655</v>
      </c>
      <c r="K354">
        <v>4444</v>
      </c>
    </row>
    <row r="355" spans="2:11" x14ac:dyDescent="0.25">
      <c r="B355">
        <v>3957</v>
      </c>
      <c r="C355">
        <v>4407</v>
      </c>
      <c r="D355">
        <v>2991</v>
      </c>
      <c r="E355">
        <v>4625</v>
      </c>
      <c r="F355">
        <v>11721</v>
      </c>
      <c r="G355">
        <v>14523</v>
      </c>
      <c r="H355">
        <v>0</v>
      </c>
      <c r="I355">
        <v>136</v>
      </c>
      <c r="J355">
        <v>70</v>
      </c>
      <c r="K355">
        <v>542</v>
      </c>
    </row>
    <row r="356" spans="2:11" x14ac:dyDescent="0.25">
      <c r="B356">
        <v>758</v>
      </c>
      <c r="C356">
        <v>75</v>
      </c>
      <c r="D356">
        <v>193</v>
      </c>
      <c r="E356">
        <v>709</v>
      </c>
      <c r="F356">
        <v>-67</v>
      </c>
      <c r="G356">
        <v>-598</v>
      </c>
      <c r="H356">
        <v>379</v>
      </c>
      <c r="I356">
        <v>506</v>
      </c>
      <c r="J356">
        <v>573</v>
      </c>
      <c r="K356">
        <v>-584</v>
      </c>
    </row>
    <row r="357" spans="2:11" x14ac:dyDescent="0.25">
      <c r="B357">
        <v>-1108</v>
      </c>
      <c r="C357">
        <v>-1099</v>
      </c>
      <c r="D357">
        <v>0</v>
      </c>
      <c r="E357">
        <v>0</v>
      </c>
      <c r="F357">
        <v>0</v>
      </c>
      <c r="G357">
        <v>257</v>
      </c>
      <c r="H357">
        <v>-1725</v>
      </c>
      <c r="I357">
        <v>576</v>
      </c>
      <c r="J357">
        <v>489</v>
      </c>
      <c r="K357">
        <v>35433</v>
      </c>
    </row>
    <row r="358" spans="2:11" x14ac:dyDescent="0.25">
      <c r="B358">
        <v>-26091</v>
      </c>
      <c r="C358">
        <v>-456</v>
      </c>
      <c r="D358">
        <v>133</v>
      </c>
      <c r="E358">
        <v>-485</v>
      </c>
      <c r="F358">
        <v>88</v>
      </c>
      <c r="G358">
        <v>-528</v>
      </c>
      <c r="H358">
        <v>917</v>
      </c>
      <c r="I358">
        <v>-5372</v>
      </c>
      <c r="J358">
        <v>-2343</v>
      </c>
      <c r="K358">
        <v>4970</v>
      </c>
    </row>
    <row r="359" spans="2:11" x14ac:dyDescent="0.25">
      <c r="B359">
        <v>-924</v>
      </c>
      <c r="C359">
        <v>-94</v>
      </c>
      <c r="D359">
        <v>1036</v>
      </c>
      <c r="E359">
        <v>334</v>
      </c>
      <c r="F359">
        <v>-185</v>
      </c>
      <c r="G359">
        <v>303</v>
      </c>
      <c r="H359">
        <v>8162</v>
      </c>
      <c r="I359">
        <v>-14792</v>
      </c>
      <c r="J359">
        <v>-882</v>
      </c>
      <c r="K359">
        <v>-213</v>
      </c>
    </row>
    <row r="360" spans="2:11" x14ac:dyDescent="0.25">
      <c r="B360">
        <v>-284</v>
      </c>
      <c r="C360">
        <v>-308</v>
      </c>
      <c r="D360">
        <v>-484</v>
      </c>
      <c r="E360">
        <v>-5913</v>
      </c>
      <c r="F360">
        <v>591</v>
      </c>
      <c r="G360">
        <v>-155</v>
      </c>
      <c r="H360">
        <v>376</v>
      </c>
      <c r="I360">
        <v>-179</v>
      </c>
      <c r="J360">
        <v>667</v>
      </c>
      <c r="K360">
        <v>-1377</v>
      </c>
    </row>
    <row r="361" spans="2:11" x14ac:dyDescent="0.25">
      <c r="B361">
        <v>-1444</v>
      </c>
      <c r="C361">
        <v>327</v>
      </c>
      <c r="D361">
        <v>-1538</v>
      </c>
      <c r="E361">
        <v>53179</v>
      </c>
      <c r="F361">
        <v>0</v>
      </c>
      <c r="G361">
        <v>9798</v>
      </c>
      <c r="H361">
        <v>4487</v>
      </c>
      <c r="I361">
        <v>13715</v>
      </c>
      <c r="J361">
        <v>12300</v>
      </c>
      <c r="K361">
        <v>13581</v>
      </c>
    </row>
    <row r="362" spans="2:11" x14ac:dyDescent="0.25">
      <c r="B362">
        <v>8650</v>
      </c>
      <c r="C362">
        <v>14475</v>
      </c>
      <c r="D362">
        <v>37215</v>
      </c>
      <c r="E362">
        <v>53869</v>
      </c>
      <c r="F362">
        <v>13349</v>
      </c>
      <c r="G362">
        <v>0</v>
      </c>
      <c r="H362">
        <v>307</v>
      </c>
      <c r="I362">
        <v>500</v>
      </c>
      <c r="J362">
        <v>613</v>
      </c>
      <c r="K362">
        <v>390</v>
      </c>
    </row>
    <row r="363" spans="2:11" x14ac:dyDescent="0.25">
      <c r="B363">
        <v>387</v>
      </c>
      <c r="C363">
        <v>-29</v>
      </c>
      <c r="D363">
        <v>-422</v>
      </c>
      <c r="E363">
        <v>-40</v>
      </c>
      <c r="F363">
        <v>-687</v>
      </c>
      <c r="G363">
        <v>-350</v>
      </c>
      <c r="H363">
        <v>136</v>
      </c>
      <c r="I363">
        <v>101</v>
      </c>
      <c r="J363">
        <v>-828</v>
      </c>
      <c r="K363">
        <v>-835</v>
      </c>
    </row>
    <row r="364" spans="2:11" x14ac:dyDescent="0.25">
      <c r="B364">
        <v>-900</v>
      </c>
      <c r="C364">
        <v>0</v>
      </c>
      <c r="D364">
        <v>0</v>
      </c>
      <c r="E364">
        <v>0</v>
      </c>
      <c r="F364">
        <v>-404</v>
      </c>
      <c r="G364">
        <v>2415</v>
      </c>
      <c r="H364">
        <v>-539</v>
      </c>
      <c r="I364">
        <v>-6</v>
      </c>
      <c r="J364">
        <v>30840</v>
      </c>
      <c r="K364">
        <v>-22645</v>
      </c>
    </row>
    <row r="365" spans="2:11" x14ac:dyDescent="0.25">
      <c r="B365">
        <v>-484</v>
      </c>
      <c r="C365">
        <v>146</v>
      </c>
      <c r="D365">
        <v>-368</v>
      </c>
      <c r="E365">
        <v>208</v>
      </c>
      <c r="F365">
        <v>-446</v>
      </c>
      <c r="G365">
        <v>832</v>
      </c>
      <c r="H365">
        <v>-4877</v>
      </c>
      <c r="I365">
        <v>-2101</v>
      </c>
      <c r="J365">
        <v>4459</v>
      </c>
      <c r="K365">
        <v>-857</v>
      </c>
    </row>
    <row r="366" spans="2:11" x14ac:dyDescent="0.25">
      <c r="B366">
        <v>-159</v>
      </c>
      <c r="C366">
        <v>956</v>
      </c>
      <c r="D366">
        <v>354</v>
      </c>
      <c r="E366">
        <v>-73</v>
      </c>
      <c r="F366">
        <v>285</v>
      </c>
      <c r="G366">
        <v>7328</v>
      </c>
      <c r="H366">
        <v>-13331</v>
      </c>
      <c r="I366">
        <v>-891</v>
      </c>
      <c r="J366">
        <v>-185</v>
      </c>
      <c r="K366">
        <v>-188</v>
      </c>
    </row>
    <row r="367" spans="2:11" x14ac:dyDescent="0.25">
      <c r="B367">
        <v>-177</v>
      </c>
      <c r="C367">
        <v>-424</v>
      </c>
      <c r="D367">
        <v>-5358</v>
      </c>
      <c r="E367">
        <v>479</v>
      </c>
      <c r="F367">
        <v>-111</v>
      </c>
      <c r="G367">
        <v>440</v>
      </c>
      <c r="H367">
        <v>-30</v>
      </c>
      <c r="I367">
        <v>672</v>
      </c>
      <c r="J367">
        <v>-1239</v>
      </c>
      <c r="K367">
        <v>-1305</v>
      </c>
    </row>
    <row r="368" spans="2:11" x14ac:dyDescent="0.25">
      <c r="B368">
        <v>273</v>
      </c>
      <c r="C368">
        <v>-1414</v>
      </c>
      <c r="D368">
        <v>47919</v>
      </c>
      <c r="E368">
        <v>0</v>
      </c>
      <c r="F368">
        <v>8756</v>
      </c>
      <c r="G368">
        <v>3894</v>
      </c>
      <c r="H368">
        <v>12348</v>
      </c>
      <c r="I368">
        <v>11028</v>
      </c>
      <c r="J368">
        <v>12241</v>
      </c>
      <c r="K368">
        <v>7781</v>
      </c>
    </row>
    <row r="369" spans="2:11" x14ac:dyDescent="0.25">
      <c r="B369">
        <v>13123</v>
      </c>
      <c r="C369">
        <v>33691</v>
      </c>
      <c r="D369">
        <v>43352</v>
      </c>
      <c r="E369">
        <v>18378</v>
      </c>
      <c r="F369">
        <v>57163</v>
      </c>
      <c r="G369">
        <v>0</v>
      </c>
      <c r="H369">
        <v>373</v>
      </c>
      <c r="I369">
        <v>641</v>
      </c>
      <c r="J369">
        <v>53</v>
      </c>
      <c r="K369">
        <v>776</v>
      </c>
    </row>
    <row r="370" spans="2:11" x14ac:dyDescent="0.25">
      <c r="B370">
        <v>603</v>
      </c>
      <c r="C370">
        <v>-212</v>
      </c>
      <c r="D370">
        <v>-111</v>
      </c>
      <c r="E370">
        <v>-172</v>
      </c>
      <c r="F370">
        <v>-390</v>
      </c>
      <c r="G370">
        <v>125</v>
      </c>
      <c r="H370">
        <v>-799</v>
      </c>
      <c r="I370">
        <v>84</v>
      </c>
      <c r="J370">
        <v>-46</v>
      </c>
      <c r="K370">
        <v>-988</v>
      </c>
    </row>
    <row r="371" spans="2:11" x14ac:dyDescent="0.25">
      <c r="B371">
        <v>-979</v>
      </c>
      <c r="C371">
        <v>0</v>
      </c>
      <c r="D371">
        <v>0</v>
      </c>
      <c r="E371">
        <v>0</v>
      </c>
      <c r="F371">
        <v>365</v>
      </c>
      <c r="G371">
        <v>-2025</v>
      </c>
      <c r="H371">
        <v>1554</v>
      </c>
      <c r="I371">
        <v>-205</v>
      </c>
      <c r="J371">
        <v>35798</v>
      </c>
      <c r="K371">
        <v>-28237</v>
      </c>
    </row>
    <row r="372" spans="2:11" x14ac:dyDescent="0.25">
      <c r="B372">
        <v>-454</v>
      </c>
      <c r="C372">
        <v>163</v>
      </c>
      <c r="D372">
        <v>-279</v>
      </c>
      <c r="E372">
        <v>105</v>
      </c>
      <c r="F372">
        <v>-513</v>
      </c>
      <c r="G372">
        <v>873</v>
      </c>
      <c r="H372">
        <v>-5161</v>
      </c>
      <c r="I372">
        <v>-2229</v>
      </c>
      <c r="J372">
        <v>4765</v>
      </c>
      <c r="K372">
        <v>-881</v>
      </c>
    </row>
    <row r="373" spans="2:11" x14ac:dyDescent="0.25">
      <c r="B373">
        <v>-111</v>
      </c>
      <c r="C373">
        <v>1016</v>
      </c>
      <c r="D373">
        <v>513</v>
      </c>
      <c r="E373">
        <v>-161</v>
      </c>
      <c r="F373">
        <v>291</v>
      </c>
      <c r="G373">
        <v>7828</v>
      </c>
      <c r="H373">
        <v>-14205</v>
      </c>
      <c r="I373">
        <v>-884</v>
      </c>
      <c r="J373">
        <v>-199</v>
      </c>
      <c r="K373">
        <v>-125</v>
      </c>
    </row>
    <row r="374" spans="2:11" x14ac:dyDescent="0.25">
      <c r="B374">
        <v>-287</v>
      </c>
      <c r="C374">
        <v>-487</v>
      </c>
      <c r="D374">
        <v>-5678</v>
      </c>
      <c r="E374">
        <v>587</v>
      </c>
      <c r="F374">
        <v>-108</v>
      </c>
      <c r="G374">
        <v>642</v>
      </c>
      <c r="H374">
        <v>-145</v>
      </c>
      <c r="I374">
        <v>691</v>
      </c>
      <c r="J374">
        <v>-1301</v>
      </c>
      <c r="K374">
        <v>-1391</v>
      </c>
    </row>
    <row r="375" spans="2:11" x14ac:dyDescent="0.25">
      <c r="B375">
        <v>288</v>
      </c>
      <c r="C375">
        <v>-1470</v>
      </c>
      <c r="D375">
        <v>51056</v>
      </c>
      <c r="E375">
        <v>0</v>
      </c>
      <c r="F375">
        <v>9619</v>
      </c>
      <c r="G375">
        <v>4623</v>
      </c>
      <c r="H375">
        <v>13256</v>
      </c>
      <c r="I375">
        <v>11914</v>
      </c>
      <c r="J375">
        <v>13104</v>
      </c>
      <c r="K375">
        <v>8500</v>
      </c>
    </row>
    <row r="376" spans="2:11" x14ac:dyDescent="0.25">
      <c r="B376">
        <v>13825</v>
      </c>
      <c r="C376">
        <v>35474</v>
      </c>
      <c r="D376">
        <v>53587</v>
      </c>
      <c r="E376">
        <v>18903</v>
      </c>
      <c r="F376">
        <v>69659</v>
      </c>
      <c r="G376">
        <v>59007</v>
      </c>
      <c r="H376">
        <v>0</v>
      </c>
      <c r="I376">
        <v>618</v>
      </c>
      <c r="J376">
        <v>124</v>
      </c>
      <c r="K376">
        <v>1271</v>
      </c>
    </row>
    <row r="377" spans="2:11" x14ac:dyDescent="0.25">
      <c r="B377">
        <v>245</v>
      </c>
      <c r="C377">
        <v>569</v>
      </c>
      <c r="D377">
        <v>-23</v>
      </c>
      <c r="E377">
        <v>61</v>
      </c>
      <c r="F377">
        <v>184</v>
      </c>
      <c r="G377">
        <v>-899</v>
      </c>
      <c r="H377">
        <v>-58</v>
      </c>
      <c r="I377">
        <v>-102</v>
      </c>
      <c r="J377">
        <v>101</v>
      </c>
      <c r="K377">
        <v>-757</v>
      </c>
    </row>
    <row r="378" spans="2:11" x14ac:dyDescent="0.25">
      <c r="B378">
        <v>-1581</v>
      </c>
      <c r="C378">
        <v>-2034</v>
      </c>
      <c r="D378">
        <v>0</v>
      </c>
      <c r="E378">
        <v>0</v>
      </c>
      <c r="F378">
        <v>0</v>
      </c>
      <c r="G378">
        <v>-1016</v>
      </c>
      <c r="H378">
        <v>-2430</v>
      </c>
      <c r="I378">
        <v>1061</v>
      </c>
      <c r="J378">
        <v>-499</v>
      </c>
      <c r="K378">
        <v>21071</v>
      </c>
    </row>
    <row r="379" spans="2:11" x14ac:dyDescent="0.25">
      <c r="B379">
        <v>-21968</v>
      </c>
      <c r="C379">
        <v>-368</v>
      </c>
      <c r="D379">
        <v>128</v>
      </c>
      <c r="E379">
        <v>-340</v>
      </c>
      <c r="F379">
        <v>323</v>
      </c>
      <c r="G379">
        <v>-218</v>
      </c>
      <c r="H379">
        <v>605</v>
      </c>
      <c r="I379">
        <v>-3475</v>
      </c>
      <c r="J379">
        <v>-1583</v>
      </c>
      <c r="K379">
        <v>3293</v>
      </c>
    </row>
    <row r="380" spans="2:11" x14ac:dyDescent="0.25">
      <c r="B380">
        <v>-544</v>
      </c>
      <c r="C380">
        <v>-125</v>
      </c>
      <c r="D380">
        <v>734</v>
      </c>
      <c r="E380">
        <v>190</v>
      </c>
      <c r="F380">
        <v>80</v>
      </c>
      <c r="G380">
        <v>294</v>
      </c>
      <c r="H380">
        <v>5434</v>
      </c>
      <c r="I380">
        <v>-9761</v>
      </c>
      <c r="J380">
        <v>-710</v>
      </c>
      <c r="K380">
        <v>-150</v>
      </c>
    </row>
    <row r="381" spans="2:11" x14ac:dyDescent="0.25">
      <c r="B381">
        <v>-231</v>
      </c>
      <c r="C381">
        <v>-22</v>
      </c>
      <c r="D381">
        <v>-239</v>
      </c>
      <c r="E381">
        <v>-3844</v>
      </c>
      <c r="F381">
        <v>389</v>
      </c>
      <c r="G381">
        <v>-18</v>
      </c>
      <c r="H381">
        <v>233</v>
      </c>
      <c r="I381">
        <v>173</v>
      </c>
      <c r="J381">
        <v>618</v>
      </c>
      <c r="K381">
        <v>-913</v>
      </c>
    </row>
    <row r="382" spans="2:11" x14ac:dyDescent="0.25">
      <c r="B382">
        <v>-961</v>
      </c>
      <c r="C382">
        <v>218</v>
      </c>
      <c r="D382">
        <v>-1025</v>
      </c>
      <c r="E382">
        <v>35187</v>
      </c>
      <c r="F382">
        <v>0</v>
      </c>
      <c r="G382">
        <v>6768</v>
      </c>
      <c r="H382">
        <v>3415</v>
      </c>
      <c r="I382">
        <v>9162</v>
      </c>
      <c r="J382">
        <v>8246</v>
      </c>
      <c r="K382">
        <v>9062</v>
      </c>
    </row>
    <row r="383" spans="2:11" x14ac:dyDescent="0.25">
      <c r="B383">
        <v>6032</v>
      </c>
      <c r="C383">
        <v>9460</v>
      </c>
      <c r="D383">
        <v>24239</v>
      </c>
      <c r="E383">
        <v>35338</v>
      </c>
      <c r="F383">
        <v>16579</v>
      </c>
      <c r="G383">
        <v>45325</v>
      </c>
      <c r="H383">
        <v>38798</v>
      </c>
      <c r="I383">
        <v>46950</v>
      </c>
      <c r="J383">
        <v>0</v>
      </c>
      <c r="K383">
        <v>534</v>
      </c>
    </row>
    <row r="384" spans="2:11" x14ac:dyDescent="0.25">
      <c r="B384">
        <v>194</v>
      </c>
      <c r="C384">
        <v>776</v>
      </c>
      <c r="D384">
        <v>683</v>
      </c>
      <c r="E384">
        <v>739</v>
      </c>
      <c r="F384">
        <v>-420</v>
      </c>
      <c r="G384">
        <v>-118</v>
      </c>
      <c r="H384">
        <v>-268</v>
      </c>
      <c r="I384">
        <v>-550</v>
      </c>
      <c r="J384">
        <v>496</v>
      </c>
      <c r="K384">
        <v>343</v>
      </c>
    </row>
    <row r="385" spans="2:11" x14ac:dyDescent="0.25">
      <c r="B385">
        <v>728</v>
      </c>
      <c r="C385">
        <v>565</v>
      </c>
      <c r="D385">
        <v>-998</v>
      </c>
      <c r="E385">
        <v>-1189</v>
      </c>
      <c r="F385">
        <v>0</v>
      </c>
      <c r="G385">
        <v>0</v>
      </c>
      <c r="H385">
        <v>0</v>
      </c>
      <c r="I385">
        <v>483</v>
      </c>
      <c r="J385">
        <v>741</v>
      </c>
      <c r="K385">
        <v>920</v>
      </c>
    </row>
    <row r="386" spans="2:11" x14ac:dyDescent="0.25">
      <c r="B386">
        <v>736</v>
      </c>
      <c r="C386">
        <v>37305</v>
      </c>
      <c r="D386">
        <v>-20572</v>
      </c>
      <c r="E386">
        <v>-609</v>
      </c>
      <c r="F386">
        <v>142</v>
      </c>
      <c r="G386">
        <v>-492</v>
      </c>
      <c r="H386">
        <v>89</v>
      </c>
      <c r="I386">
        <v>-644</v>
      </c>
      <c r="J386">
        <v>968</v>
      </c>
      <c r="K386">
        <v>-5604</v>
      </c>
    </row>
    <row r="387" spans="2:11" x14ac:dyDescent="0.25">
      <c r="B387">
        <v>-2431</v>
      </c>
      <c r="C387">
        <v>5184</v>
      </c>
      <c r="D387">
        <v>-977</v>
      </c>
      <c r="E387">
        <v>-224</v>
      </c>
      <c r="F387">
        <v>1083</v>
      </c>
      <c r="G387">
        <v>348</v>
      </c>
      <c r="H387">
        <v>-183</v>
      </c>
      <c r="I387">
        <v>233</v>
      </c>
      <c r="J387">
        <v>8542</v>
      </c>
      <c r="K387">
        <v>-15436</v>
      </c>
    </row>
    <row r="388" spans="2:11" x14ac:dyDescent="0.25">
      <c r="B388">
        <v>-998</v>
      </c>
      <c r="C388">
        <v>-217</v>
      </c>
      <c r="D388">
        <v>-268</v>
      </c>
      <c r="E388">
        <v>-266</v>
      </c>
      <c r="F388">
        <v>-543</v>
      </c>
      <c r="G388">
        <v>-6166</v>
      </c>
      <c r="H388">
        <v>448</v>
      </c>
      <c r="I388">
        <v>-207</v>
      </c>
      <c r="J388">
        <v>372</v>
      </c>
      <c r="K388">
        <v>-199</v>
      </c>
    </row>
    <row r="389" spans="2:11" x14ac:dyDescent="0.25">
      <c r="B389">
        <v>536</v>
      </c>
      <c r="C389">
        <v>-1417</v>
      </c>
      <c r="D389">
        <v>-1514</v>
      </c>
      <c r="E389">
        <v>340</v>
      </c>
      <c r="F389">
        <v>-1612</v>
      </c>
      <c r="G389">
        <v>55541</v>
      </c>
      <c r="H389">
        <v>0</v>
      </c>
      <c r="I389">
        <v>9789</v>
      </c>
      <c r="J389">
        <v>4027</v>
      </c>
      <c r="K389">
        <v>14190</v>
      </c>
    </row>
    <row r="390" spans="2:11" x14ac:dyDescent="0.25">
      <c r="B390">
        <v>12653</v>
      </c>
      <c r="C390">
        <v>14077</v>
      </c>
      <c r="D390">
        <v>8642</v>
      </c>
      <c r="E390">
        <v>15329</v>
      </c>
      <c r="F390">
        <v>39485</v>
      </c>
      <c r="G390">
        <v>50140</v>
      </c>
      <c r="H390">
        <v>19712</v>
      </c>
      <c r="I390">
        <v>66251</v>
      </c>
      <c r="J390">
        <v>58071</v>
      </c>
      <c r="K390">
        <v>68456</v>
      </c>
    </row>
    <row r="391" spans="2:11" x14ac:dyDescent="0.25">
      <c r="B391">
        <v>44521</v>
      </c>
      <c r="C391">
        <v>0</v>
      </c>
      <c r="D391">
        <v>-573</v>
      </c>
      <c r="E391">
        <v>-43</v>
      </c>
      <c r="F391">
        <v>350</v>
      </c>
      <c r="G391">
        <v>461</v>
      </c>
      <c r="H391">
        <v>7</v>
      </c>
      <c r="I391">
        <v>101</v>
      </c>
      <c r="J391">
        <v>-525</v>
      </c>
      <c r="K391">
        <v>92</v>
      </c>
    </row>
    <row r="392" spans="2:11" x14ac:dyDescent="0.25">
      <c r="B392">
        <v>-473</v>
      </c>
      <c r="C392">
        <v>735</v>
      </c>
      <c r="D392">
        <v>504</v>
      </c>
      <c r="E392">
        <v>483</v>
      </c>
      <c r="F392">
        <v>-578</v>
      </c>
      <c r="G392">
        <v>-1958</v>
      </c>
      <c r="H392">
        <v>-2091</v>
      </c>
      <c r="I392">
        <v>0</v>
      </c>
      <c r="J392">
        <v>0</v>
      </c>
      <c r="K392">
        <v>0</v>
      </c>
    </row>
    <row r="393" spans="2:11" x14ac:dyDescent="0.25">
      <c r="B393">
        <v>-281</v>
      </c>
      <c r="C393">
        <v>90</v>
      </c>
      <c r="D393">
        <v>858</v>
      </c>
      <c r="E393">
        <v>-644</v>
      </c>
      <c r="F393">
        <v>20142</v>
      </c>
      <c r="G393">
        <v>-17364</v>
      </c>
      <c r="H393">
        <v>-870</v>
      </c>
      <c r="I393">
        <v>167</v>
      </c>
      <c r="J393">
        <v>-942</v>
      </c>
      <c r="K393">
        <v>66</v>
      </c>
    </row>
    <row r="394" spans="2:11" x14ac:dyDescent="0.25">
      <c r="B394">
        <v>-1252</v>
      </c>
      <c r="C394">
        <v>1507</v>
      </c>
      <c r="D394">
        <v>-8910</v>
      </c>
      <c r="E394">
        <v>-3868</v>
      </c>
      <c r="F394">
        <v>8231</v>
      </c>
      <c r="G394">
        <v>-1532</v>
      </c>
      <c r="H394">
        <v>-275</v>
      </c>
      <c r="I394">
        <v>1641</v>
      </c>
      <c r="J394">
        <v>432</v>
      </c>
      <c r="K394">
        <v>-369</v>
      </c>
    </row>
    <row r="395" spans="2:11" x14ac:dyDescent="0.25">
      <c r="B395">
        <v>196</v>
      </c>
      <c r="C395">
        <v>13507</v>
      </c>
      <c r="D395">
        <v>-24523</v>
      </c>
      <c r="E395">
        <v>-1609</v>
      </c>
      <c r="F395">
        <v>-417</v>
      </c>
      <c r="G395">
        <v>-545</v>
      </c>
      <c r="H395">
        <v>-512</v>
      </c>
      <c r="I395">
        <v>-1134</v>
      </c>
      <c r="J395">
        <v>-9824</v>
      </c>
      <c r="K395">
        <v>826</v>
      </c>
    </row>
    <row r="396" spans="2:11" x14ac:dyDescent="0.25">
      <c r="B396">
        <v>-391</v>
      </c>
      <c r="C396">
        <v>487</v>
      </c>
      <c r="D396">
        <v>-341</v>
      </c>
      <c r="E396">
        <v>749</v>
      </c>
      <c r="F396">
        <v>-2287</v>
      </c>
      <c r="G396">
        <v>-2389</v>
      </c>
      <c r="H396">
        <v>500</v>
      </c>
      <c r="I396">
        <v>-2561</v>
      </c>
      <c r="J396">
        <v>88171</v>
      </c>
      <c r="K396">
        <v>0</v>
      </c>
    </row>
    <row r="397" spans="2:11" x14ac:dyDescent="0.25">
      <c r="B397">
        <v>14507</v>
      </c>
      <c r="C397">
        <v>4935</v>
      </c>
      <c r="D397">
        <v>22165</v>
      </c>
      <c r="E397">
        <v>19695</v>
      </c>
      <c r="F397">
        <v>22072</v>
      </c>
      <c r="G397">
        <v>12772</v>
      </c>
      <c r="H397">
        <v>24656</v>
      </c>
      <c r="I397">
        <v>63875</v>
      </c>
      <c r="J397">
        <v>42138</v>
      </c>
      <c r="K397">
        <v>19602</v>
      </c>
    </row>
    <row r="398" spans="2:11" x14ac:dyDescent="0.25">
      <c r="B398">
        <v>65000</v>
      </c>
      <c r="C398">
        <v>56905</v>
      </c>
      <c r="D398">
        <v>63954</v>
      </c>
      <c r="E398">
        <v>42235</v>
      </c>
      <c r="F398">
        <v>66441</v>
      </c>
      <c r="G398">
        <v>0</v>
      </c>
      <c r="H398">
        <v>0</v>
      </c>
      <c r="I398">
        <v>0</v>
      </c>
      <c r="J398">
        <v>0</v>
      </c>
      <c r="K398">
        <v>0</v>
      </c>
    </row>
    <row r="399" spans="2:11" x14ac:dyDescent="0.25">
      <c r="B399">
        <v>0</v>
      </c>
      <c r="C399">
        <v>0</v>
      </c>
      <c r="D399">
        <v>0</v>
      </c>
      <c r="E399">
        <v>0</v>
      </c>
      <c r="F399">
        <v>0</v>
      </c>
      <c r="G399">
        <v>0</v>
      </c>
      <c r="H399">
        <v>0</v>
      </c>
      <c r="I399">
        <v>0</v>
      </c>
      <c r="J399">
        <v>0</v>
      </c>
      <c r="K399">
        <v>0</v>
      </c>
    </row>
    <row r="400" spans="2:11" x14ac:dyDescent="0.25">
      <c r="B400">
        <v>0</v>
      </c>
      <c r="C400">
        <v>0</v>
      </c>
      <c r="D400">
        <v>0</v>
      </c>
      <c r="E400">
        <v>0</v>
      </c>
      <c r="F400">
        <v>0</v>
      </c>
      <c r="G400">
        <v>0</v>
      </c>
      <c r="H400">
        <v>0</v>
      </c>
      <c r="I400">
        <v>0</v>
      </c>
      <c r="J400">
        <v>0</v>
      </c>
      <c r="K400">
        <v>0</v>
      </c>
    </row>
    <row r="401" spans="2:11" x14ac:dyDescent="0.25">
      <c r="B401">
        <v>0</v>
      </c>
      <c r="C401">
        <v>0</v>
      </c>
      <c r="D401">
        <v>0</v>
      </c>
      <c r="E401">
        <v>0</v>
      </c>
      <c r="F401">
        <v>0</v>
      </c>
      <c r="G401">
        <v>0</v>
      </c>
      <c r="H401">
        <v>0</v>
      </c>
      <c r="I401">
        <v>0</v>
      </c>
      <c r="J401">
        <v>0</v>
      </c>
      <c r="K401">
        <v>0</v>
      </c>
    </row>
    <row r="402" spans="2:11" x14ac:dyDescent="0.25">
      <c r="B402">
        <v>0</v>
      </c>
      <c r="C402">
        <v>0</v>
      </c>
      <c r="D402">
        <v>0</v>
      </c>
      <c r="E402">
        <v>0</v>
      </c>
      <c r="F402">
        <v>0</v>
      </c>
      <c r="G402">
        <v>0</v>
      </c>
      <c r="H402">
        <v>0</v>
      </c>
      <c r="I402">
        <v>0</v>
      </c>
      <c r="J402">
        <v>0</v>
      </c>
      <c r="K402">
        <v>0</v>
      </c>
    </row>
    <row r="403" spans="2:11" x14ac:dyDescent="0.25">
      <c r="B403">
        <v>0</v>
      </c>
      <c r="C403">
        <v>0</v>
      </c>
      <c r="D403">
        <v>0</v>
      </c>
      <c r="E403">
        <v>0</v>
      </c>
      <c r="F403">
        <v>0</v>
      </c>
      <c r="G403">
        <v>0</v>
      </c>
      <c r="H403">
        <v>0</v>
      </c>
      <c r="I403">
        <v>0</v>
      </c>
      <c r="J403">
        <v>0</v>
      </c>
      <c r="K403">
        <v>0</v>
      </c>
    </row>
    <row r="404" spans="2:11" x14ac:dyDescent="0.25">
      <c r="B404">
        <v>0</v>
      </c>
      <c r="C404">
        <v>0</v>
      </c>
      <c r="D404">
        <v>0</v>
      </c>
      <c r="E404">
        <v>0</v>
      </c>
      <c r="F404">
        <v>0</v>
      </c>
      <c r="G404">
        <v>0</v>
      </c>
      <c r="H404">
        <v>0</v>
      </c>
      <c r="I404">
        <v>0</v>
      </c>
      <c r="J404">
        <v>0</v>
      </c>
      <c r="K404">
        <v>0</v>
      </c>
    </row>
    <row r="405" spans="2:11" x14ac:dyDescent="0.25">
      <c r="B405">
        <v>0</v>
      </c>
      <c r="C405">
        <v>0</v>
      </c>
      <c r="D405">
        <v>0</v>
      </c>
      <c r="E405">
        <v>0</v>
      </c>
      <c r="F405">
        <v>0</v>
      </c>
      <c r="G405">
        <v>0</v>
      </c>
      <c r="H405">
        <v>0</v>
      </c>
      <c r="I405">
        <v>0</v>
      </c>
      <c r="J405">
        <v>0</v>
      </c>
      <c r="K405">
        <v>0</v>
      </c>
    </row>
    <row r="406" spans="2:11" x14ac:dyDescent="0.25">
      <c r="B406">
        <v>0</v>
      </c>
      <c r="C406">
        <v>-555</v>
      </c>
      <c r="D406">
        <v>-289</v>
      </c>
      <c r="E406">
        <v>-208</v>
      </c>
      <c r="F406">
        <v>158</v>
      </c>
      <c r="G406">
        <v>-261</v>
      </c>
      <c r="H406">
        <v>231</v>
      </c>
      <c r="I406">
        <v>-95</v>
      </c>
      <c r="J406">
        <v>-82</v>
      </c>
      <c r="K406">
        <v>417</v>
      </c>
    </row>
    <row r="407" spans="2:11" x14ac:dyDescent="0.25">
      <c r="B407">
        <v>-140</v>
      </c>
      <c r="C407">
        <v>3</v>
      </c>
      <c r="D407">
        <v>-19</v>
      </c>
      <c r="E407">
        <v>53</v>
      </c>
      <c r="F407">
        <v>1378</v>
      </c>
      <c r="G407">
        <v>1061</v>
      </c>
      <c r="H407">
        <v>0</v>
      </c>
      <c r="I407">
        <v>0</v>
      </c>
      <c r="J407">
        <v>0</v>
      </c>
      <c r="K407">
        <v>43</v>
      </c>
    </row>
    <row r="408" spans="2:11" x14ac:dyDescent="0.25">
      <c r="B408">
        <v>-354</v>
      </c>
      <c r="C408">
        <v>-75</v>
      </c>
      <c r="D408">
        <v>-174</v>
      </c>
      <c r="E408">
        <v>1601</v>
      </c>
      <c r="F408">
        <v>-4330</v>
      </c>
      <c r="G408">
        <v>835</v>
      </c>
      <c r="H408">
        <v>-300</v>
      </c>
      <c r="I408">
        <v>976</v>
      </c>
      <c r="J408">
        <v>-6</v>
      </c>
      <c r="K408">
        <v>359</v>
      </c>
    </row>
    <row r="409" spans="2:11" x14ac:dyDescent="0.25">
      <c r="B409">
        <v>-19890</v>
      </c>
      <c r="C409">
        <v>1588</v>
      </c>
      <c r="D409">
        <v>17949</v>
      </c>
      <c r="E409">
        <v>5573</v>
      </c>
      <c r="F409">
        <v>-660</v>
      </c>
      <c r="G409">
        <v>47</v>
      </c>
      <c r="H409">
        <v>394</v>
      </c>
      <c r="I409">
        <v>71</v>
      </c>
      <c r="J409">
        <v>-126</v>
      </c>
      <c r="K409">
        <v>19</v>
      </c>
    </row>
    <row r="410" spans="2:11" x14ac:dyDescent="0.25">
      <c r="B410">
        <v>3224</v>
      </c>
      <c r="C410">
        <v>-6031</v>
      </c>
      <c r="D410">
        <v>-235</v>
      </c>
      <c r="E410">
        <v>-73</v>
      </c>
      <c r="F410">
        <v>-145</v>
      </c>
      <c r="G410">
        <v>-174</v>
      </c>
      <c r="H410">
        <v>-316</v>
      </c>
      <c r="I410">
        <v>-2498</v>
      </c>
      <c r="J410">
        <v>355</v>
      </c>
      <c r="K410">
        <v>-52</v>
      </c>
    </row>
    <row r="411" spans="2:11" x14ac:dyDescent="0.25">
      <c r="B411">
        <v>131</v>
      </c>
      <c r="C411">
        <v>-68</v>
      </c>
      <c r="D411">
        <v>194</v>
      </c>
      <c r="E411">
        <v>-551</v>
      </c>
      <c r="F411">
        <v>-580</v>
      </c>
      <c r="G411">
        <v>118</v>
      </c>
      <c r="H411">
        <v>-600</v>
      </c>
      <c r="I411">
        <v>21491</v>
      </c>
      <c r="J411">
        <v>0</v>
      </c>
      <c r="K411">
        <v>3552</v>
      </c>
    </row>
    <row r="412" spans="2:11" x14ac:dyDescent="0.25">
      <c r="B412">
        <v>1204</v>
      </c>
      <c r="C412">
        <v>5411</v>
      </c>
      <c r="D412">
        <v>4824</v>
      </c>
      <c r="E412">
        <v>5383</v>
      </c>
      <c r="F412">
        <v>3087</v>
      </c>
      <c r="G412">
        <v>6006</v>
      </c>
      <c r="H412">
        <v>15552</v>
      </c>
      <c r="I412">
        <v>6404</v>
      </c>
      <c r="J412">
        <v>3632</v>
      </c>
      <c r="K412">
        <v>11430</v>
      </c>
    </row>
    <row r="413" spans="2:11" x14ac:dyDescent="0.25">
      <c r="B413">
        <v>10304</v>
      </c>
      <c r="C413">
        <v>10979</v>
      </c>
      <c r="D413">
        <v>7525</v>
      </c>
      <c r="E413">
        <v>11939</v>
      </c>
      <c r="F413">
        <v>18948</v>
      </c>
      <c r="G413">
        <v>0</v>
      </c>
      <c r="H413">
        <v>0</v>
      </c>
      <c r="I413">
        <v>-495</v>
      </c>
      <c r="J413">
        <v>-182</v>
      </c>
      <c r="K413">
        <v>125</v>
      </c>
    </row>
    <row r="414" spans="2:11" x14ac:dyDescent="0.25">
      <c r="B414">
        <v>48</v>
      </c>
      <c r="C414">
        <v>-140</v>
      </c>
      <c r="D414">
        <v>107</v>
      </c>
      <c r="E414">
        <v>-193</v>
      </c>
      <c r="F414">
        <v>84</v>
      </c>
      <c r="G414">
        <v>-263</v>
      </c>
      <c r="H414">
        <v>42</v>
      </c>
      <c r="I414">
        <v>36</v>
      </c>
      <c r="J414">
        <v>177</v>
      </c>
      <c r="K414">
        <v>-153</v>
      </c>
    </row>
    <row r="415" spans="2:11" x14ac:dyDescent="0.25">
      <c r="B415">
        <v>169</v>
      </c>
      <c r="C415">
        <v>-54</v>
      </c>
      <c r="D415">
        <v>0</v>
      </c>
      <c r="E415">
        <v>0</v>
      </c>
      <c r="F415">
        <v>0</v>
      </c>
      <c r="G415">
        <v>-23</v>
      </c>
      <c r="H415">
        <v>-362</v>
      </c>
      <c r="I415">
        <v>-123</v>
      </c>
      <c r="J415">
        <v>-178</v>
      </c>
      <c r="K415">
        <v>1564</v>
      </c>
    </row>
    <row r="416" spans="2:11" x14ac:dyDescent="0.25">
      <c r="B416">
        <v>-4208</v>
      </c>
      <c r="C416">
        <v>183</v>
      </c>
      <c r="D416">
        <v>-348</v>
      </c>
      <c r="E416">
        <v>276</v>
      </c>
      <c r="F416">
        <v>93</v>
      </c>
      <c r="G416">
        <v>153</v>
      </c>
      <c r="H416">
        <v>67</v>
      </c>
      <c r="I416">
        <v>-4746</v>
      </c>
      <c r="J416">
        <v>3228</v>
      </c>
      <c r="K416">
        <v>1602</v>
      </c>
    </row>
    <row r="417" spans="2:11" x14ac:dyDescent="0.25">
      <c r="B417">
        <v>-460</v>
      </c>
      <c r="C417">
        <v>-45</v>
      </c>
      <c r="D417">
        <v>374</v>
      </c>
      <c r="E417">
        <v>29</v>
      </c>
      <c r="F417">
        <v>-122</v>
      </c>
      <c r="G417">
        <v>-9</v>
      </c>
      <c r="H417">
        <v>3192</v>
      </c>
      <c r="I417">
        <v>-5855</v>
      </c>
      <c r="J417">
        <v>-361</v>
      </c>
      <c r="K417">
        <v>-100</v>
      </c>
    </row>
    <row r="418" spans="2:11" x14ac:dyDescent="0.25">
      <c r="B418">
        <v>-178</v>
      </c>
      <c r="C418">
        <v>-156</v>
      </c>
      <c r="D418">
        <v>-336</v>
      </c>
      <c r="E418">
        <v>-2381</v>
      </c>
      <c r="F418">
        <v>239</v>
      </c>
      <c r="G418">
        <v>-93</v>
      </c>
      <c r="H418">
        <v>35</v>
      </c>
      <c r="I418">
        <v>-95</v>
      </c>
      <c r="J418">
        <v>125</v>
      </c>
      <c r="K418">
        <v>-548</v>
      </c>
    </row>
    <row r="419" spans="2:11" x14ac:dyDescent="0.25">
      <c r="B419">
        <v>-566</v>
      </c>
      <c r="C419">
        <v>119</v>
      </c>
      <c r="D419">
        <v>-602</v>
      </c>
      <c r="E419">
        <v>21001</v>
      </c>
      <c r="F419">
        <v>0</v>
      </c>
      <c r="G419">
        <v>3464</v>
      </c>
      <c r="H419">
        <v>1184</v>
      </c>
      <c r="I419">
        <v>5281</v>
      </c>
      <c r="J419">
        <v>4702</v>
      </c>
      <c r="K419">
        <v>5258</v>
      </c>
    </row>
    <row r="420" spans="2:11" x14ac:dyDescent="0.25">
      <c r="B420">
        <v>3035</v>
      </c>
      <c r="C420">
        <v>5862</v>
      </c>
      <c r="D420">
        <v>15191</v>
      </c>
      <c r="E420">
        <v>6254</v>
      </c>
      <c r="F420">
        <v>3554</v>
      </c>
      <c r="G420">
        <v>11171</v>
      </c>
      <c r="H420">
        <v>10066</v>
      </c>
      <c r="I420">
        <v>10723</v>
      </c>
      <c r="J420">
        <v>7382</v>
      </c>
      <c r="K420">
        <v>11668</v>
      </c>
    </row>
    <row r="421" spans="2:11" x14ac:dyDescent="0.25">
      <c r="B421">
        <v>18519</v>
      </c>
      <c r="C421">
        <v>0</v>
      </c>
      <c r="D421">
        <v>6995</v>
      </c>
      <c r="E421">
        <v>0</v>
      </c>
      <c r="F421">
        <v>-284</v>
      </c>
      <c r="G421">
        <v>44</v>
      </c>
      <c r="H421">
        <v>358</v>
      </c>
      <c r="I421">
        <v>311</v>
      </c>
      <c r="J421">
        <v>-159</v>
      </c>
      <c r="K421">
        <v>324</v>
      </c>
    </row>
    <row r="422" spans="2:11" x14ac:dyDescent="0.25">
      <c r="B422">
        <v>-512</v>
      </c>
      <c r="C422">
        <v>410</v>
      </c>
      <c r="D422">
        <v>-12</v>
      </c>
      <c r="E422">
        <v>-159</v>
      </c>
      <c r="F422">
        <v>-237</v>
      </c>
      <c r="G422">
        <v>558</v>
      </c>
      <c r="H422">
        <v>-411</v>
      </c>
      <c r="I422">
        <v>739</v>
      </c>
      <c r="J422">
        <v>229</v>
      </c>
      <c r="K422">
        <v>0</v>
      </c>
    </row>
    <row r="423" spans="2:11" x14ac:dyDescent="0.25">
      <c r="B423">
        <v>0</v>
      </c>
      <c r="C423">
        <v>0</v>
      </c>
      <c r="D423">
        <v>-528</v>
      </c>
      <c r="E423">
        <v>-1034</v>
      </c>
      <c r="F423">
        <v>-207</v>
      </c>
      <c r="G423">
        <v>-551</v>
      </c>
      <c r="H423">
        <v>4379</v>
      </c>
      <c r="I423">
        <v>-11744</v>
      </c>
      <c r="J423">
        <v>640</v>
      </c>
      <c r="K423">
        <v>389</v>
      </c>
    </row>
    <row r="424" spans="2:11" x14ac:dyDescent="0.25">
      <c r="B424">
        <v>60</v>
      </c>
      <c r="C424">
        <v>1074</v>
      </c>
      <c r="D424">
        <v>185</v>
      </c>
      <c r="E424">
        <v>-326</v>
      </c>
      <c r="F424">
        <v>-9177</v>
      </c>
      <c r="G424">
        <v>14585</v>
      </c>
      <c r="H424">
        <v>1303</v>
      </c>
      <c r="I424">
        <v>-2144</v>
      </c>
      <c r="J424">
        <v>-83</v>
      </c>
      <c r="K424">
        <v>1126</v>
      </c>
    </row>
    <row r="425" spans="2:11" x14ac:dyDescent="0.25">
      <c r="B425">
        <v>304</v>
      </c>
      <c r="C425">
        <v>-191</v>
      </c>
      <c r="D425">
        <v>234</v>
      </c>
      <c r="E425">
        <v>8917</v>
      </c>
      <c r="F425">
        <v>-16359</v>
      </c>
      <c r="G425">
        <v>-948</v>
      </c>
      <c r="H425">
        <v>-250</v>
      </c>
      <c r="I425">
        <v>-351</v>
      </c>
      <c r="J425">
        <v>-334</v>
      </c>
      <c r="K425">
        <v>-661</v>
      </c>
    </row>
    <row r="426" spans="2:11" x14ac:dyDescent="0.25">
      <c r="B426">
        <v>-6638</v>
      </c>
      <c r="C426">
        <v>678</v>
      </c>
      <c r="D426">
        <v>-164</v>
      </c>
      <c r="E426">
        <v>392</v>
      </c>
      <c r="F426">
        <v>-122</v>
      </c>
      <c r="G426">
        <v>673</v>
      </c>
      <c r="H426">
        <v>-1512</v>
      </c>
      <c r="I426">
        <v>-1587</v>
      </c>
      <c r="J426">
        <v>329</v>
      </c>
      <c r="K426">
        <v>-1677</v>
      </c>
    </row>
    <row r="427" spans="2:11" x14ac:dyDescent="0.25">
      <c r="B427">
        <v>58626</v>
      </c>
      <c r="C427">
        <v>0</v>
      </c>
      <c r="D427">
        <v>9668</v>
      </c>
      <c r="E427">
        <v>3301</v>
      </c>
      <c r="F427">
        <v>14746</v>
      </c>
      <c r="G427">
        <v>13123</v>
      </c>
      <c r="H427">
        <v>14681</v>
      </c>
      <c r="I427">
        <v>8468</v>
      </c>
      <c r="J427">
        <v>16374</v>
      </c>
      <c r="K427">
        <v>42415</v>
      </c>
    </row>
    <row r="428" spans="2:11" x14ac:dyDescent="0.25">
      <c r="B428">
        <v>17460</v>
      </c>
      <c r="C428">
        <v>9922</v>
      </c>
      <c r="D428">
        <v>31179</v>
      </c>
      <c r="E428">
        <v>28102</v>
      </c>
      <c r="F428">
        <v>29941</v>
      </c>
      <c r="G428">
        <v>20596</v>
      </c>
      <c r="H428">
        <v>32566</v>
      </c>
      <c r="I428">
        <v>51689</v>
      </c>
      <c r="J428">
        <v>0</v>
      </c>
      <c r="K428">
        <v>20802</v>
      </c>
    </row>
    <row r="429" spans="2:11" x14ac:dyDescent="0.25">
      <c r="B429">
        <v>14859</v>
      </c>
      <c r="C429">
        <v>0</v>
      </c>
      <c r="D429">
        <v>-469</v>
      </c>
      <c r="E429">
        <v>221</v>
      </c>
      <c r="F429">
        <v>-59</v>
      </c>
      <c r="G429">
        <v>-158</v>
      </c>
      <c r="H429">
        <v>-404</v>
      </c>
      <c r="I429">
        <v>121</v>
      </c>
      <c r="J429">
        <v>306</v>
      </c>
      <c r="K429">
        <v>11</v>
      </c>
    </row>
    <row r="430" spans="2:11" x14ac:dyDescent="0.25">
      <c r="B430">
        <v>328</v>
      </c>
      <c r="C430">
        <v>51</v>
      </c>
      <c r="D430">
        <v>-95</v>
      </c>
      <c r="E430">
        <v>-119</v>
      </c>
      <c r="F430">
        <v>232</v>
      </c>
      <c r="G430">
        <v>4406</v>
      </c>
      <c r="H430">
        <v>3726</v>
      </c>
      <c r="I430">
        <v>0</v>
      </c>
      <c r="J430">
        <v>0</v>
      </c>
      <c r="K430">
        <v>0</v>
      </c>
    </row>
    <row r="431" spans="2:11" x14ac:dyDescent="0.25">
      <c r="B431">
        <v>16</v>
      </c>
      <c r="C431">
        <v>-368</v>
      </c>
      <c r="D431">
        <v>-106</v>
      </c>
      <c r="E431">
        <v>-213</v>
      </c>
      <c r="F431">
        <v>1712</v>
      </c>
      <c r="G431">
        <v>-4648</v>
      </c>
      <c r="H431">
        <v>1906</v>
      </c>
      <c r="I431">
        <v>-1696</v>
      </c>
      <c r="J431">
        <v>1896</v>
      </c>
      <c r="K431">
        <v>183</v>
      </c>
    </row>
    <row r="432" spans="2:11" x14ac:dyDescent="0.25">
      <c r="B432">
        <v>1687</v>
      </c>
      <c r="C432">
        <v>-971</v>
      </c>
      <c r="D432">
        <v>-26445</v>
      </c>
      <c r="E432">
        <v>42578</v>
      </c>
      <c r="F432">
        <v>-545</v>
      </c>
      <c r="G432">
        <v>-1745</v>
      </c>
      <c r="H432">
        <v>133</v>
      </c>
      <c r="I432">
        <v>448</v>
      </c>
      <c r="J432">
        <v>82</v>
      </c>
      <c r="K432">
        <v>-92</v>
      </c>
    </row>
    <row r="433" spans="2:11" x14ac:dyDescent="0.25">
      <c r="B433">
        <v>125</v>
      </c>
      <c r="C433">
        <v>3282</v>
      </c>
      <c r="D433">
        <v>-6402</v>
      </c>
      <c r="E433">
        <v>-82</v>
      </c>
      <c r="F433">
        <v>22</v>
      </c>
      <c r="G433">
        <v>-84</v>
      </c>
      <c r="H433">
        <v>-146</v>
      </c>
      <c r="I433">
        <v>-190</v>
      </c>
      <c r="J433">
        <v>-2811</v>
      </c>
      <c r="K433">
        <v>389</v>
      </c>
    </row>
    <row r="434" spans="2:11" x14ac:dyDescent="0.25">
      <c r="B434">
        <v>-34</v>
      </c>
      <c r="C434">
        <v>117</v>
      </c>
      <c r="D434">
        <v>-98</v>
      </c>
      <c r="E434">
        <v>280</v>
      </c>
      <c r="F434">
        <v>-583</v>
      </c>
      <c r="G434">
        <v>-612</v>
      </c>
      <c r="H434">
        <v>112</v>
      </c>
      <c r="I434">
        <v>-640</v>
      </c>
      <c r="J434">
        <v>22588</v>
      </c>
      <c r="K434">
        <v>0</v>
      </c>
    </row>
    <row r="435" spans="2:11" x14ac:dyDescent="0.25">
      <c r="B435">
        <v>3769</v>
      </c>
      <c r="C435">
        <v>1254</v>
      </c>
      <c r="D435">
        <v>5714</v>
      </c>
      <c r="E435">
        <v>5107</v>
      </c>
      <c r="F435">
        <v>5681</v>
      </c>
      <c r="G435">
        <v>3220</v>
      </c>
      <c r="H435">
        <v>6346</v>
      </c>
      <c r="I435">
        <v>16353</v>
      </c>
      <c r="J435">
        <v>6749</v>
      </c>
      <c r="K435">
        <v>3824</v>
      </c>
    </row>
    <row r="436" spans="2:11" x14ac:dyDescent="0.25">
      <c r="B436">
        <v>12021</v>
      </c>
      <c r="C436">
        <v>10844</v>
      </c>
      <c r="D436">
        <v>11555</v>
      </c>
      <c r="E436">
        <v>7852</v>
      </c>
      <c r="F436">
        <v>12559</v>
      </c>
      <c r="G436">
        <v>19918</v>
      </c>
      <c r="H436">
        <v>0</v>
      </c>
      <c r="I436">
        <v>29777</v>
      </c>
      <c r="J436">
        <v>11015</v>
      </c>
      <c r="K436">
        <v>39131</v>
      </c>
    </row>
    <row r="437" spans="2:11" x14ac:dyDescent="0.25">
      <c r="B437">
        <v>0</v>
      </c>
      <c r="C437">
        <v>-257</v>
      </c>
      <c r="D437">
        <v>-149</v>
      </c>
      <c r="E437">
        <v>-190</v>
      </c>
      <c r="F437">
        <v>43</v>
      </c>
      <c r="G437">
        <v>-740</v>
      </c>
      <c r="H437">
        <v>83</v>
      </c>
      <c r="I437">
        <v>540</v>
      </c>
      <c r="J437">
        <v>336</v>
      </c>
      <c r="K437">
        <v>196</v>
      </c>
    </row>
    <row r="438" spans="2:11" x14ac:dyDescent="0.25">
      <c r="B438">
        <v>-590</v>
      </c>
      <c r="C438">
        <v>-110</v>
      </c>
      <c r="D438">
        <v>325</v>
      </c>
      <c r="E438">
        <v>229</v>
      </c>
      <c r="F438">
        <v>4844</v>
      </c>
      <c r="G438">
        <v>3484</v>
      </c>
      <c r="H438">
        <v>0</v>
      </c>
      <c r="I438">
        <v>0</v>
      </c>
      <c r="J438">
        <v>0</v>
      </c>
      <c r="K438">
        <v>-166</v>
      </c>
    </row>
    <row r="439" spans="2:11" x14ac:dyDescent="0.25">
      <c r="B439">
        <v>-441</v>
      </c>
      <c r="C439">
        <v>-86</v>
      </c>
      <c r="D439">
        <v>-208</v>
      </c>
      <c r="E439">
        <v>1974</v>
      </c>
      <c r="F439">
        <v>-5326</v>
      </c>
      <c r="G439">
        <v>2231</v>
      </c>
      <c r="H439">
        <v>-1058</v>
      </c>
      <c r="I439">
        <v>1719</v>
      </c>
      <c r="J439">
        <v>865</v>
      </c>
      <c r="K439">
        <v>1984</v>
      </c>
    </row>
    <row r="440" spans="2:11" x14ac:dyDescent="0.25">
      <c r="B440">
        <v>-947</v>
      </c>
      <c r="C440">
        <v>-32703</v>
      </c>
      <c r="D440">
        <v>48896</v>
      </c>
      <c r="E440">
        <v>-2048</v>
      </c>
      <c r="F440">
        <v>-761</v>
      </c>
      <c r="G440">
        <v>195</v>
      </c>
      <c r="H440">
        <v>547</v>
      </c>
      <c r="I440">
        <v>209</v>
      </c>
      <c r="J440">
        <v>35</v>
      </c>
      <c r="K440">
        <v>281</v>
      </c>
    </row>
    <row r="441" spans="2:11" x14ac:dyDescent="0.25">
      <c r="B441">
        <v>3824</v>
      </c>
      <c r="C441">
        <v>-7366</v>
      </c>
      <c r="D441">
        <v>-110</v>
      </c>
      <c r="E441">
        <v>8</v>
      </c>
      <c r="F441">
        <v>-48</v>
      </c>
      <c r="G441">
        <v>-61</v>
      </c>
      <c r="H441">
        <v>-103</v>
      </c>
      <c r="I441">
        <v>-3171</v>
      </c>
      <c r="J441">
        <v>515</v>
      </c>
      <c r="K441">
        <v>39</v>
      </c>
    </row>
    <row r="442" spans="2:11" x14ac:dyDescent="0.25">
      <c r="B442">
        <v>271</v>
      </c>
      <c r="C442">
        <v>107</v>
      </c>
      <c r="D442">
        <v>518</v>
      </c>
      <c r="E442">
        <v>-663</v>
      </c>
      <c r="F442">
        <v>-699</v>
      </c>
      <c r="G442">
        <v>148</v>
      </c>
      <c r="H442">
        <v>-714</v>
      </c>
      <c r="I442">
        <v>26015</v>
      </c>
      <c r="J442">
        <v>0</v>
      </c>
      <c r="K442">
        <v>4336</v>
      </c>
    </row>
    <row r="443" spans="2:11" x14ac:dyDescent="0.25">
      <c r="B443">
        <v>1446</v>
      </c>
      <c r="C443">
        <v>6578</v>
      </c>
      <c r="D443">
        <v>5870</v>
      </c>
      <c r="E443">
        <v>6544</v>
      </c>
      <c r="F443">
        <v>3719</v>
      </c>
      <c r="G443">
        <v>7310</v>
      </c>
      <c r="H443">
        <v>18831</v>
      </c>
      <c r="I443">
        <v>7770</v>
      </c>
      <c r="J443">
        <v>4404</v>
      </c>
      <c r="K443">
        <v>13847</v>
      </c>
    </row>
    <row r="444" spans="2:11" x14ac:dyDescent="0.25">
      <c r="B444">
        <v>12487</v>
      </c>
      <c r="C444">
        <v>13301</v>
      </c>
      <c r="D444">
        <v>9059</v>
      </c>
      <c r="E444">
        <v>14462</v>
      </c>
      <c r="F444">
        <v>22934</v>
      </c>
      <c r="G444">
        <v>0</v>
      </c>
      <c r="H444">
        <v>30551</v>
      </c>
      <c r="I444">
        <v>12239</v>
      </c>
      <c r="J444">
        <v>42964</v>
      </c>
      <c r="K444">
        <v>73596</v>
      </c>
    </row>
    <row r="445" spans="2:11" x14ac:dyDescent="0.25">
      <c r="B445">
        <v>0</v>
      </c>
      <c r="C445">
        <v>0</v>
      </c>
      <c r="D445">
        <v>0</v>
      </c>
      <c r="E445">
        <v>0</v>
      </c>
      <c r="F445">
        <v>0</v>
      </c>
      <c r="G445">
        <v>0</v>
      </c>
      <c r="H445">
        <v>0</v>
      </c>
      <c r="I445">
        <v>0</v>
      </c>
      <c r="J445">
        <v>0</v>
      </c>
      <c r="K445">
        <v>0</v>
      </c>
    </row>
    <row r="446" spans="2:11" x14ac:dyDescent="0.25">
      <c r="B446">
        <v>0</v>
      </c>
      <c r="C446">
        <v>0</v>
      </c>
      <c r="D446">
        <v>0</v>
      </c>
      <c r="E446">
        <v>0</v>
      </c>
      <c r="F446">
        <v>0</v>
      </c>
      <c r="G446">
        <v>0</v>
      </c>
      <c r="H446">
        <v>0</v>
      </c>
      <c r="I446">
        <v>0</v>
      </c>
      <c r="J446">
        <v>0</v>
      </c>
      <c r="K446">
        <v>0</v>
      </c>
    </row>
    <row r="447" spans="2:11" x14ac:dyDescent="0.25">
      <c r="B447">
        <v>0</v>
      </c>
      <c r="C447">
        <v>0</v>
      </c>
      <c r="D447">
        <v>0</v>
      </c>
      <c r="E447">
        <v>0</v>
      </c>
      <c r="F447">
        <v>0</v>
      </c>
      <c r="G447">
        <v>0</v>
      </c>
      <c r="H447">
        <v>0</v>
      </c>
      <c r="I447">
        <v>0</v>
      </c>
      <c r="J447">
        <v>0</v>
      </c>
      <c r="K447">
        <v>0</v>
      </c>
    </row>
    <row r="448" spans="2:11" x14ac:dyDescent="0.25">
      <c r="B448">
        <v>0</v>
      </c>
      <c r="C448">
        <v>0</v>
      </c>
      <c r="D448">
        <v>0</v>
      </c>
      <c r="E448">
        <v>0</v>
      </c>
      <c r="F448">
        <v>0</v>
      </c>
      <c r="G448">
        <v>0</v>
      </c>
      <c r="H448">
        <v>0</v>
      </c>
      <c r="I448">
        <v>0</v>
      </c>
      <c r="J448">
        <v>0</v>
      </c>
      <c r="K448">
        <v>0</v>
      </c>
    </row>
    <row r="449" spans="2:11" x14ac:dyDescent="0.25">
      <c r="B449">
        <v>0</v>
      </c>
      <c r="C449">
        <v>0</v>
      </c>
      <c r="D449">
        <v>0</v>
      </c>
      <c r="E449">
        <v>0</v>
      </c>
      <c r="F449">
        <v>0</v>
      </c>
      <c r="G449">
        <v>0</v>
      </c>
      <c r="H449">
        <v>0</v>
      </c>
      <c r="I449">
        <v>0</v>
      </c>
      <c r="J449">
        <v>0</v>
      </c>
      <c r="K449">
        <v>0</v>
      </c>
    </row>
    <row r="450" spans="2:11" x14ac:dyDescent="0.25">
      <c r="B450">
        <v>0</v>
      </c>
      <c r="C450">
        <v>0</v>
      </c>
      <c r="D450">
        <v>0</v>
      </c>
      <c r="E450">
        <v>0</v>
      </c>
      <c r="F450">
        <v>0</v>
      </c>
      <c r="G450">
        <v>0</v>
      </c>
      <c r="H450">
        <v>0</v>
      </c>
      <c r="I450">
        <v>0</v>
      </c>
      <c r="J450">
        <v>0</v>
      </c>
      <c r="K450">
        <v>0</v>
      </c>
    </row>
    <row r="451" spans="2:11" x14ac:dyDescent="0.25">
      <c r="B451">
        <v>0</v>
      </c>
      <c r="C451">
        <v>0</v>
      </c>
      <c r="D451">
        <v>0</v>
      </c>
      <c r="E451">
        <v>0</v>
      </c>
      <c r="F451">
        <v>0</v>
      </c>
      <c r="G451">
        <v>0</v>
      </c>
      <c r="H451">
        <v>0</v>
      </c>
      <c r="I451">
        <v>0</v>
      </c>
      <c r="J451">
        <v>0</v>
      </c>
      <c r="K451">
        <v>0</v>
      </c>
    </row>
    <row r="452" spans="2:11" x14ac:dyDescent="0.25">
      <c r="B452">
        <v>0</v>
      </c>
      <c r="C452">
        <v>0</v>
      </c>
      <c r="D452">
        <v>0</v>
      </c>
      <c r="E452">
        <v>0</v>
      </c>
      <c r="F452">
        <v>0</v>
      </c>
      <c r="G452">
        <v>0</v>
      </c>
      <c r="H452">
        <v>0</v>
      </c>
      <c r="I452">
        <v>0</v>
      </c>
      <c r="J452">
        <v>0</v>
      </c>
      <c r="K452">
        <v>0</v>
      </c>
    </row>
    <row r="453" spans="2:11" x14ac:dyDescent="0.25">
      <c r="B453">
        <v>0</v>
      </c>
      <c r="C453">
        <v>0</v>
      </c>
      <c r="D453">
        <v>-442</v>
      </c>
      <c r="E453">
        <v>-346</v>
      </c>
      <c r="F453">
        <v>-21</v>
      </c>
      <c r="G453">
        <v>133</v>
      </c>
      <c r="H453">
        <v>-88</v>
      </c>
      <c r="I453">
        <v>73</v>
      </c>
      <c r="J453">
        <v>-184</v>
      </c>
      <c r="K453">
        <v>7</v>
      </c>
    </row>
    <row r="454" spans="2:11" x14ac:dyDescent="0.25">
      <c r="B454">
        <v>61</v>
      </c>
      <c r="C454">
        <v>-291</v>
      </c>
      <c r="D454">
        <v>-220</v>
      </c>
      <c r="E454">
        <v>507</v>
      </c>
      <c r="F454">
        <v>-291</v>
      </c>
      <c r="G454">
        <v>594</v>
      </c>
      <c r="H454">
        <v>56</v>
      </c>
      <c r="I454">
        <v>0</v>
      </c>
      <c r="J454">
        <v>0</v>
      </c>
      <c r="K454">
        <v>0</v>
      </c>
    </row>
    <row r="455" spans="2:11" x14ac:dyDescent="0.25">
      <c r="B455">
        <v>-292</v>
      </c>
      <c r="C455">
        <v>-871</v>
      </c>
      <c r="D455">
        <v>-134</v>
      </c>
      <c r="E455">
        <v>-343</v>
      </c>
      <c r="F455">
        <v>3825</v>
      </c>
      <c r="G455">
        <v>-10255</v>
      </c>
      <c r="H455">
        <v>1041</v>
      </c>
      <c r="I455">
        <v>831</v>
      </c>
      <c r="J455">
        <v>592</v>
      </c>
      <c r="K455">
        <v>757</v>
      </c>
    </row>
    <row r="456" spans="2:11" x14ac:dyDescent="0.25">
      <c r="B456">
        <v>535</v>
      </c>
      <c r="C456">
        <v>-1424</v>
      </c>
      <c r="D456">
        <v>-9430</v>
      </c>
      <c r="E456">
        <v>16449</v>
      </c>
      <c r="F456">
        <v>6688</v>
      </c>
      <c r="G456">
        <v>-2091</v>
      </c>
      <c r="H456">
        <v>-23</v>
      </c>
      <c r="I456">
        <v>990</v>
      </c>
      <c r="J456">
        <v>299</v>
      </c>
      <c r="K456">
        <v>-79</v>
      </c>
    </row>
    <row r="457" spans="2:11" x14ac:dyDescent="0.25">
      <c r="B457">
        <v>179</v>
      </c>
      <c r="C457">
        <v>7806</v>
      </c>
      <c r="D457">
        <v>-14314</v>
      </c>
      <c r="E457">
        <v>-798</v>
      </c>
      <c r="F457">
        <v>-192</v>
      </c>
      <c r="G457">
        <v>-275</v>
      </c>
      <c r="H457">
        <v>-193</v>
      </c>
      <c r="I457">
        <v>-626</v>
      </c>
      <c r="J457">
        <v>-5793</v>
      </c>
      <c r="K457">
        <v>676</v>
      </c>
    </row>
    <row r="458" spans="2:11" x14ac:dyDescent="0.25">
      <c r="B458">
        <v>-116</v>
      </c>
      <c r="C458">
        <v>391</v>
      </c>
      <c r="D458">
        <v>43</v>
      </c>
      <c r="E458">
        <v>573</v>
      </c>
      <c r="F458">
        <v>-1317</v>
      </c>
      <c r="G458">
        <v>-1386</v>
      </c>
      <c r="H458">
        <v>289</v>
      </c>
      <c r="I458">
        <v>-1455</v>
      </c>
      <c r="J458">
        <v>51279</v>
      </c>
      <c r="K458">
        <v>0</v>
      </c>
    </row>
    <row r="459" spans="2:11" x14ac:dyDescent="0.25">
      <c r="B459">
        <v>8457</v>
      </c>
      <c r="C459">
        <v>2885</v>
      </c>
      <c r="D459">
        <v>12895</v>
      </c>
      <c r="E459">
        <v>11478</v>
      </c>
      <c r="F459">
        <v>12834</v>
      </c>
      <c r="G459">
        <v>7405</v>
      </c>
      <c r="H459">
        <v>14319</v>
      </c>
      <c r="I459">
        <v>37100</v>
      </c>
      <c r="J459">
        <v>15274</v>
      </c>
      <c r="K459">
        <v>8673</v>
      </c>
    </row>
    <row r="460" spans="2:11" x14ac:dyDescent="0.25">
      <c r="B460">
        <v>27273</v>
      </c>
      <c r="C460">
        <v>24580</v>
      </c>
      <c r="D460">
        <v>26190</v>
      </c>
      <c r="E460">
        <v>18015</v>
      </c>
      <c r="F460">
        <v>28485</v>
      </c>
      <c r="G460">
        <v>45212</v>
      </c>
      <c r="H460">
        <v>0</v>
      </c>
      <c r="I460">
        <v>21938</v>
      </c>
      <c r="J460">
        <v>13386</v>
      </c>
      <c r="K460">
        <v>41924</v>
      </c>
    </row>
    <row r="461" spans="2:11" x14ac:dyDescent="0.25">
      <c r="B461">
        <v>36702</v>
      </c>
      <c r="C461">
        <v>40178</v>
      </c>
      <c r="D461">
        <v>0</v>
      </c>
      <c r="E461">
        <v>0</v>
      </c>
      <c r="F461">
        <v>-577</v>
      </c>
      <c r="G461">
        <v>-311</v>
      </c>
      <c r="H461">
        <v>170</v>
      </c>
      <c r="I461">
        <v>540</v>
      </c>
      <c r="J461">
        <v>-326</v>
      </c>
      <c r="K461">
        <v>188</v>
      </c>
    </row>
    <row r="462" spans="2:11" x14ac:dyDescent="0.25">
      <c r="B462">
        <v>-790</v>
      </c>
      <c r="C462">
        <v>401</v>
      </c>
      <c r="D462">
        <v>-170</v>
      </c>
      <c r="E462">
        <v>576</v>
      </c>
      <c r="F462">
        <v>136</v>
      </c>
      <c r="G462">
        <v>506</v>
      </c>
      <c r="H462">
        <v>-299</v>
      </c>
      <c r="I462">
        <v>-529</v>
      </c>
      <c r="J462">
        <v>-1050</v>
      </c>
      <c r="K462">
        <v>0</v>
      </c>
    </row>
    <row r="463" spans="2:11" x14ac:dyDescent="0.25">
      <c r="B463">
        <v>0</v>
      </c>
      <c r="C463">
        <v>0</v>
      </c>
      <c r="D463">
        <v>-715</v>
      </c>
      <c r="E463">
        <v>-1573</v>
      </c>
      <c r="F463">
        <v>-290</v>
      </c>
      <c r="G463">
        <v>-793</v>
      </c>
      <c r="H463">
        <v>6641</v>
      </c>
      <c r="I463">
        <v>-17783</v>
      </c>
      <c r="J463">
        <v>584</v>
      </c>
      <c r="K463">
        <v>1405</v>
      </c>
    </row>
    <row r="464" spans="2:11" x14ac:dyDescent="0.25">
      <c r="B464">
        <v>-240</v>
      </c>
      <c r="C464">
        <v>919</v>
      </c>
      <c r="D464">
        <v>84</v>
      </c>
      <c r="E464">
        <v>-424</v>
      </c>
      <c r="F464">
        <v>-6554</v>
      </c>
      <c r="G464">
        <v>14402</v>
      </c>
      <c r="H464">
        <v>901</v>
      </c>
      <c r="I464">
        <v>-1611</v>
      </c>
      <c r="J464">
        <v>-218</v>
      </c>
      <c r="K464">
        <v>1670</v>
      </c>
    </row>
    <row r="465" spans="2:11" x14ac:dyDescent="0.25">
      <c r="B465">
        <v>470</v>
      </c>
      <c r="C465">
        <v>-326</v>
      </c>
      <c r="D465">
        <v>256</v>
      </c>
      <c r="E465">
        <v>13600</v>
      </c>
      <c r="F465">
        <v>-24810</v>
      </c>
      <c r="G465">
        <v>-1544</v>
      </c>
      <c r="H465">
        <v>-415</v>
      </c>
      <c r="I465">
        <v>-532</v>
      </c>
      <c r="J465">
        <v>-491</v>
      </c>
      <c r="K465">
        <v>-1087</v>
      </c>
    </row>
    <row r="466" spans="2:11" x14ac:dyDescent="0.25">
      <c r="B466">
        <v>-9993</v>
      </c>
      <c r="C466">
        <v>881</v>
      </c>
      <c r="D466">
        <v>-365</v>
      </c>
      <c r="E466">
        <v>545</v>
      </c>
      <c r="F466">
        <v>-264</v>
      </c>
      <c r="G466">
        <v>842</v>
      </c>
      <c r="H466">
        <v>-2303</v>
      </c>
      <c r="I466">
        <v>-2410</v>
      </c>
      <c r="J466">
        <v>498</v>
      </c>
      <c r="K466">
        <v>-2566</v>
      </c>
    </row>
    <row r="467" spans="2:11" x14ac:dyDescent="0.25">
      <c r="B467">
        <v>89069</v>
      </c>
      <c r="C467">
        <v>0</v>
      </c>
      <c r="D467">
        <v>14673</v>
      </c>
      <c r="E467">
        <v>5024</v>
      </c>
      <c r="F467">
        <v>22391</v>
      </c>
      <c r="G467">
        <v>19924</v>
      </c>
      <c r="H467">
        <v>22290</v>
      </c>
      <c r="I467">
        <v>12880</v>
      </c>
      <c r="J467">
        <v>24862</v>
      </c>
      <c r="K467">
        <v>64432</v>
      </c>
    </row>
    <row r="468" spans="2:11" x14ac:dyDescent="0.25">
      <c r="B468">
        <v>26516</v>
      </c>
      <c r="C468">
        <v>15064</v>
      </c>
      <c r="D468">
        <v>47369</v>
      </c>
      <c r="E468">
        <v>42682</v>
      </c>
      <c r="F468">
        <v>45480</v>
      </c>
      <c r="G468">
        <v>31314</v>
      </c>
      <c r="H468">
        <v>49477</v>
      </c>
      <c r="I468">
        <v>78534</v>
      </c>
      <c r="J468">
        <v>0</v>
      </c>
      <c r="K468">
        <v>30511</v>
      </c>
    </row>
    <row r="469" spans="2:11" x14ac:dyDescent="0.25">
      <c r="B469">
        <v>21173</v>
      </c>
      <c r="C469">
        <v>63578</v>
      </c>
      <c r="D469">
        <v>44790</v>
      </c>
      <c r="E469">
        <v>49464</v>
      </c>
      <c r="F469">
        <v>0</v>
      </c>
      <c r="G469">
        <v>56505</v>
      </c>
      <c r="H469">
        <v>0</v>
      </c>
      <c r="I469">
        <v>-298</v>
      </c>
      <c r="J469">
        <v>-276</v>
      </c>
      <c r="K469">
        <v>21</v>
      </c>
    </row>
    <row r="470" spans="2:11" x14ac:dyDescent="0.25">
      <c r="B470">
        <v>427</v>
      </c>
      <c r="C470">
        <v>-487</v>
      </c>
      <c r="D470">
        <v>415</v>
      </c>
      <c r="E470">
        <v>-147</v>
      </c>
      <c r="F470">
        <v>536</v>
      </c>
      <c r="G470">
        <v>-478</v>
      </c>
      <c r="H470">
        <v>291</v>
      </c>
      <c r="I470">
        <v>299</v>
      </c>
      <c r="J470">
        <v>218</v>
      </c>
      <c r="K470">
        <v>481</v>
      </c>
    </row>
    <row r="471" spans="2:11" x14ac:dyDescent="0.25">
      <c r="B471">
        <v>722</v>
      </c>
      <c r="C471">
        <v>326</v>
      </c>
      <c r="D471">
        <v>0</v>
      </c>
      <c r="E471">
        <v>0</v>
      </c>
      <c r="F471">
        <v>0</v>
      </c>
      <c r="G471">
        <v>-147</v>
      </c>
      <c r="H471">
        <v>-354</v>
      </c>
      <c r="I471">
        <v>-118</v>
      </c>
      <c r="J471">
        <v>-279</v>
      </c>
      <c r="K471">
        <v>1378</v>
      </c>
    </row>
    <row r="472" spans="2:11" x14ac:dyDescent="0.25">
      <c r="B472">
        <v>-3676</v>
      </c>
      <c r="C472">
        <v>918</v>
      </c>
      <c r="D472">
        <v>2241</v>
      </c>
      <c r="E472">
        <v>59</v>
      </c>
      <c r="F472">
        <v>964</v>
      </c>
      <c r="G472">
        <v>541</v>
      </c>
      <c r="H472">
        <v>-11941</v>
      </c>
      <c r="I472">
        <v>4358</v>
      </c>
      <c r="J472">
        <v>18357</v>
      </c>
      <c r="K472">
        <v>-568</v>
      </c>
    </row>
    <row r="473" spans="2:11" x14ac:dyDescent="0.25">
      <c r="B473">
        <v>2686</v>
      </c>
      <c r="C473">
        <v>-59</v>
      </c>
      <c r="D473">
        <v>304</v>
      </c>
      <c r="E473">
        <v>51</v>
      </c>
      <c r="F473">
        <v>-177</v>
      </c>
      <c r="G473">
        <v>36</v>
      </c>
      <c r="H473">
        <v>2793</v>
      </c>
      <c r="I473">
        <v>-5115</v>
      </c>
      <c r="J473">
        <v>-284</v>
      </c>
      <c r="K473">
        <v>-149</v>
      </c>
    </row>
    <row r="474" spans="2:11" x14ac:dyDescent="0.25">
      <c r="B474">
        <v>-184</v>
      </c>
      <c r="C474">
        <v>-245</v>
      </c>
      <c r="D474">
        <v>-208</v>
      </c>
      <c r="E474">
        <v>-2085</v>
      </c>
      <c r="F474">
        <v>118</v>
      </c>
      <c r="G474">
        <v>-127</v>
      </c>
      <c r="H474">
        <v>21</v>
      </c>
      <c r="I474">
        <v>-206</v>
      </c>
      <c r="J474">
        <v>98</v>
      </c>
      <c r="K474">
        <v>-475</v>
      </c>
    </row>
    <row r="475" spans="2:11" x14ac:dyDescent="0.25">
      <c r="B475">
        <v>-492</v>
      </c>
      <c r="C475">
        <v>118</v>
      </c>
      <c r="D475">
        <v>-517</v>
      </c>
      <c r="E475">
        <v>18356</v>
      </c>
      <c r="F475">
        <v>0</v>
      </c>
      <c r="G475">
        <v>3033</v>
      </c>
      <c r="H475">
        <v>1037</v>
      </c>
      <c r="I475">
        <v>4632</v>
      </c>
      <c r="J475">
        <v>4121</v>
      </c>
      <c r="K475">
        <v>4610</v>
      </c>
    </row>
    <row r="476" spans="2:11" x14ac:dyDescent="0.25">
      <c r="B476">
        <v>2654</v>
      </c>
      <c r="C476">
        <v>5141</v>
      </c>
      <c r="D476">
        <v>13277</v>
      </c>
      <c r="E476">
        <v>5465</v>
      </c>
      <c r="F476">
        <v>3105</v>
      </c>
      <c r="G476">
        <v>9770</v>
      </c>
      <c r="H476">
        <v>8795</v>
      </c>
      <c r="I476">
        <v>9372</v>
      </c>
      <c r="J476">
        <v>6442</v>
      </c>
      <c r="K476">
        <v>10208</v>
      </c>
    </row>
    <row r="477" spans="2:11" x14ac:dyDescent="0.25">
      <c r="B477">
        <v>16187</v>
      </c>
      <c r="C477">
        <v>0</v>
      </c>
      <c r="D477">
        <v>2825</v>
      </c>
      <c r="E477">
        <v>6261</v>
      </c>
      <c r="F477">
        <v>21753</v>
      </c>
      <c r="G477">
        <v>28568</v>
      </c>
      <c r="H477">
        <v>29780</v>
      </c>
      <c r="I477">
        <v>0</v>
      </c>
      <c r="J477">
        <v>20530</v>
      </c>
      <c r="K477">
        <v>28691</v>
      </c>
    </row>
    <row r="478" spans="2:11" x14ac:dyDescent="0.25">
      <c r="B478">
        <v>0</v>
      </c>
      <c r="C478">
        <v>-1212</v>
      </c>
      <c r="D478">
        <v>-810</v>
      </c>
      <c r="E478">
        <v>-508</v>
      </c>
      <c r="F478">
        <v>-327</v>
      </c>
      <c r="G478">
        <v>-418</v>
      </c>
      <c r="H478">
        <v>182</v>
      </c>
      <c r="I478">
        <v>-283</v>
      </c>
      <c r="J478">
        <v>-146</v>
      </c>
      <c r="K478">
        <v>-17</v>
      </c>
    </row>
    <row r="479" spans="2:11" x14ac:dyDescent="0.25">
      <c r="B479">
        <v>37</v>
      </c>
      <c r="C479">
        <v>34</v>
      </c>
      <c r="D479">
        <v>293</v>
      </c>
      <c r="E479">
        <v>-308</v>
      </c>
      <c r="F479">
        <v>-821</v>
      </c>
      <c r="G479">
        <v>-812</v>
      </c>
      <c r="H479">
        <v>0</v>
      </c>
      <c r="I479">
        <v>0</v>
      </c>
      <c r="J479">
        <v>0</v>
      </c>
      <c r="K479">
        <v>98</v>
      </c>
    </row>
    <row r="480" spans="2:11" x14ac:dyDescent="0.25">
      <c r="B480">
        <v>-670</v>
      </c>
      <c r="C480">
        <v>-146</v>
      </c>
      <c r="D480">
        <v>-164</v>
      </c>
      <c r="E480">
        <v>2984</v>
      </c>
      <c r="F480">
        <v>-8030</v>
      </c>
      <c r="G480">
        <v>-285</v>
      </c>
      <c r="H480">
        <v>48</v>
      </c>
      <c r="I480">
        <v>-515</v>
      </c>
      <c r="J480">
        <v>93</v>
      </c>
      <c r="K480">
        <v>-758</v>
      </c>
    </row>
    <row r="481" spans="2:11" x14ac:dyDescent="0.25">
      <c r="B481">
        <v>677</v>
      </c>
      <c r="C481">
        <v>-4085</v>
      </c>
      <c r="D481">
        <v>-1761</v>
      </c>
      <c r="E481">
        <v>3778</v>
      </c>
      <c r="F481">
        <v>-689</v>
      </c>
      <c r="G481">
        <v>47</v>
      </c>
      <c r="H481">
        <v>1379</v>
      </c>
      <c r="I481">
        <v>-476</v>
      </c>
      <c r="J481">
        <v>309</v>
      </c>
      <c r="K481">
        <v>83</v>
      </c>
    </row>
    <row r="482" spans="2:11" x14ac:dyDescent="0.25">
      <c r="B482">
        <v>4871</v>
      </c>
      <c r="C482">
        <v>-12732</v>
      </c>
      <c r="D482">
        <v>-703</v>
      </c>
      <c r="E482">
        <v>-209</v>
      </c>
      <c r="F482">
        <v>-327</v>
      </c>
      <c r="G482">
        <v>-174</v>
      </c>
      <c r="H482">
        <v>-742</v>
      </c>
      <c r="I482">
        <v>-4511</v>
      </c>
      <c r="J482">
        <v>503</v>
      </c>
      <c r="K482">
        <v>-186</v>
      </c>
    </row>
    <row r="483" spans="2:11" x14ac:dyDescent="0.25">
      <c r="B483">
        <v>151</v>
      </c>
      <c r="C483">
        <v>13</v>
      </c>
      <c r="D483">
        <v>190</v>
      </c>
      <c r="E483">
        <v>-1048</v>
      </c>
      <c r="F483">
        <v>-1083</v>
      </c>
      <c r="G483">
        <v>220</v>
      </c>
      <c r="H483">
        <v>-1145</v>
      </c>
      <c r="I483">
        <v>40364</v>
      </c>
      <c r="J483">
        <v>0</v>
      </c>
      <c r="K483">
        <v>6649</v>
      </c>
    </row>
    <row r="484" spans="2:11" x14ac:dyDescent="0.25">
      <c r="B484">
        <v>2275</v>
      </c>
      <c r="C484">
        <v>10141</v>
      </c>
      <c r="D484">
        <v>9027</v>
      </c>
      <c r="E484">
        <v>10093</v>
      </c>
      <c r="F484">
        <v>5838</v>
      </c>
      <c r="G484">
        <v>11259</v>
      </c>
      <c r="H484">
        <v>29200</v>
      </c>
      <c r="I484">
        <v>12012</v>
      </c>
      <c r="J484">
        <v>6817</v>
      </c>
      <c r="K484">
        <v>21460</v>
      </c>
    </row>
    <row r="485" spans="2:11" x14ac:dyDescent="0.25">
      <c r="B485">
        <v>19336</v>
      </c>
      <c r="C485">
        <v>20604</v>
      </c>
      <c r="D485">
        <v>14190</v>
      </c>
      <c r="E485">
        <v>22410</v>
      </c>
      <c r="F485">
        <v>35590</v>
      </c>
      <c r="G485">
        <v>0</v>
      </c>
      <c r="H485">
        <v>8684</v>
      </c>
      <c r="I485">
        <v>8481</v>
      </c>
      <c r="J485">
        <v>23667</v>
      </c>
      <c r="K485">
        <v>9132</v>
      </c>
    </row>
    <row r="486" spans="2:11" x14ac:dyDescent="0.25">
      <c r="B486">
        <v>10514</v>
      </c>
      <c r="C486">
        <v>0</v>
      </c>
      <c r="D486">
        <v>20707</v>
      </c>
      <c r="E486">
        <v>35955</v>
      </c>
      <c r="F486">
        <v>7408</v>
      </c>
      <c r="G486">
        <v>0</v>
      </c>
      <c r="H486">
        <v>-165</v>
      </c>
      <c r="I486">
        <v>-167</v>
      </c>
      <c r="J486">
        <v>108</v>
      </c>
      <c r="K486">
        <v>421</v>
      </c>
    </row>
    <row r="487" spans="2:11" x14ac:dyDescent="0.25">
      <c r="B487">
        <v>-31</v>
      </c>
      <c r="C487">
        <v>276</v>
      </c>
      <c r="D487">
        <v>-982</v>
      </c>
      <c r="E487">
        <v>114</v>
      </c>
      <c r="F487">
        <v>-521</v>
      </c>
      <c r="G487">
        <v>193</v>
      </c>
      <c r="H487">
        <v>7</v>
      </c>
      <c r="I487">
        <v>388</v>
      </c>
      <c r="J487">
        <v>-581</v>
      </c>
      <c r="K487">
        <v>-1385</v>
      </c>
    </row>
    <row r="488" spans="2:11" x14ac:dyDescent="0.25">
      <c r="B488">
        <v>-1220</v>
      </c>
      <c r="C488">
        <v>0</v>
      </c>
      <c r="D488">
        <v>0</v>
      </c>
      <c r="E488">
        <v>0</v>
      </c>
      <c r="F488">
        <v>-683</v>
      </c>
      <c r="G488">
        <v>-1100</v>
      </c>
      <c r="H488">
        <v>-147</v>
      </c>
      <c r="I488">
        <v>-536</v>
      </c>
      <c r="J488">
        <v>4501</v>
      </c>
      <c r="K488">
        <v>-12075</v>
      </c>
    </row>
    <row r="489" spans="2:11" x14ac:dyDescent="0.25">
      <c r="B489">
        <v>-658</v>
      </c>
      <c r="C489">
        <v>111</v>
      </c>
      <c r="D489">
        <v>-554</v>
      </c>
      <c r="E489">
        <v>159</v>
      </c>
      <c r="F489">
        <v>-789</v>
      </c>
      <c r="G489">
        <v>1040</v>
      </c>
      <c r="H489">
        <v>-6117</v>
      </c>
      <c r="I489">
        <v>-2653</v>
      </c>
      <c r="J489">
        <v>5632</v>
      </c>
      <c r="K489">
        <v>-1065</v>
      </c>
    </row>
    <row r="490" spans="2:11" x14ac:dyDescent="0.25">
      <c r="B490">
        <v>169</v>
      </c>
      <c r="C490">
        <v>2109</v>
      </c>
      <c r="D490">
        <v>132</v>
      </c>
      <c r="E490">
        <v>328</v>
      </c>
      <c r="F490">
        <v>267</v>
      </c>
      <c r="G490">
        <v>5983</v>
      </c>
      <c r="H490">
        <v>-10450</v>
      </c>
      <c r="I490">
        <v>-1142</v>
      </c>
      <c r="J490">
        <v>-318</v>
      </c>
      <c r="K490">
        <v>-330</v>
      </c>
    </row>
    <row r="491" spans="2:11" x14ac:dyDescent="0.25">
      <c r="B491">
        <v>-279</v>
      </c>
      <c r="C491">
        <v>-698</v>
      </c>
      <c r="D491">
        <v>-6752</v>
      </c>
      <c r="E491">
        <v>495</v>
      </c>
      <c r="F491">
        <v>-269</v>
      </c>
      <c r="G491">
        <v>439</v>
      </c>
      <c r="H491">
        <v>-115</v>
      </c>
      <c r="I491">
        <v>590</v>
      </c>
      <c r="J491">
        <v>-1564</v>
      </c>
      <c r="K491">
        <v>-1640</v>
      </c>
    </row>
    <row r="492" spans="2:11" x14ac:dyDescent="0.25">
      <c r="B492">
        <v>333</v>
      </c>
      <c r="C492">
        <v>-1766</v>
      </c>
      <c r="D492">
        <v>60496</v>
      </c>
      <c r="E492">
        <v>0</v>
      </c>
      <c r="F492">
        <v>9962</v>
      </c>
      <c r="G492">
        <v>3415</v>
      </c>
      <c r="H492">
        <v>15204</v>
      </c>
      <c r="I492">
        <v>13526</v>
      </c>
      <c r="J492">
        <v>15141</v>
      </c>
      <c r="K492">
        <v>8761</v>
      </c>
    </row>
    <row r="493" spans="2:11" x14ac:dyDescent="0.25">
      <c r="B493">
        <v>16882</v>
      </c>
      <c r="C493">
        <v>43761</v>
      </c>
      <c r="D493">
        <v>18005</v>
      </c>
      <c r="E493">
        <v>10234</v>
      </c>
      <c r="F493">
        <v>32169</v>
      </c>
      <c r="G493">
        <v>28990</v>
      </c>
      <c r="H493">
        <v>30887</v>
      </c>
      <c r="I493">
        <v>21286</v>
      </c>
      <c r="J493">
        <v>33599</v>
      </c>
      <c r="K493">
        <v>53338</v>
      </c>
    </row>
    <row r="494" spans="2:11" x14ac:dyDescent="0.25">
      <c r="B494">
        <v>0</v>
      </c>
      <c r="C494">
        <v>13003</v>
      </c>
      <c r="D494">
        <v>12705</v>
      </c>
      <c r="E494">
        <v>35469</v>
      </c>
      <c r="F494">
        <v>13669</v>
      </c>
      <c r="G494">
        <v>15743</v>
      </c>
      <c r="H494">
        <v>0</v>
      </c>
      <c r="I494">
        <v>31023</v>
      </c>
      <c r="J494">
        <v>53885</v>
      </c>
      <c r="K494">
        <v>11108</v>
      </c>
    </row>
    <row r="495" spans="2:11" x14ac:dyDescent="0.25">
      <c r="B495">
        <v>27769</v>
      </c>
      <c r="C495">
        <v>0</v>
      </c>
      <c r="D495">
        <v>0</v>
      </c>
      <c r="E495">
        <v>0</v>
      </c>
      <c r="F495">
        <v>0</v>
      </c>
      <c r="G495">
        <v>0</v>
      </c>
      <c r="H495">
        <v>0</v>
      </c>
      <c r="I495">
        <v>0</v>
      </c>
      <c r="J495">
        <v>0</v>
      </c>
      <c r="K495">
        <v>0</v>
      </c>
    </row>
    <row r="496" spans="2:11" x14ac:dyDescent="0.25">
      <c r="B496">
        <v>0</v>
      </c>
      <c r="C496">
        <v>0</v>
      </c>
      <c r="D496">
        <v>0</v>
      </c>
      <c r="E496">
        <v>0</v>
      </c>
      <c r="F496">
        <v>0</v>
      </c>
      <c r="G496">
        <v>0</v>
      </c>
      <c r="H496">
        <v>0</v>
      </c>
      <c r="I496">
        <v>0</v>
      </c>
      <c r="J496">
        <v>0</v>
      </c>
      <c r="K496">
        <v>0</v>
      </c>
    </row>
    <row r="497" spans="2:11" x14ac:dyDescent="0.25">
      <c r="B497">
        <v>0</v>
      </c>
      <c r="C497">
        <v>0</v>
      </c>
      <c r="D497">
        <v>0</v>
      </c>
      <c r="E497">
        <v>0</v>
      </c>
      <c r="F497">
        <v>0</v>
      </c>
      <c r="G497">
        <v>0</v>
      </c>
      <c r="H497">
        <v>0</v>
      </c>
      <c r="I497">
        <v>0</v>
      </c>
      <c r="J497">
        <v>0</v>
      </c>
      <c r="K497">
        <v>0</v>
      </c>
    </row>
    <row r="498" spans="2:11" x14ac:dyDescent="0.25">
      <c r="B498">
        <v>0</v>
      </c>
      <c r="C498">
        <v>0</v>
      </c>
      <c r="D498">
        <v>0</v>
      </c>
      <c r="E498">
        <v>0</v>
      </c>
      <c r="F498">
        <v>0</v>
      </c>
      <c r="G498">
        <v>0</v>
      </c>
      <c r="H498">
        <v>0</v>
      </c>
      <c r="I498">
        <v>0</v>
      </c>
      <c r="J498">
        <v>0</v>
      </c>
      <c r="K498">
        <v>0</v>
      </c>
    </row>
    <row r="499" spans="2:11" x14ac:dyDescent="0.25">
      <c r="B499">
        <v>0</v>
      </c>
      <c r="C499">
        <v>0</v>
      </c>
      <c r="D499">
        <v>0</v>
      </c>
      <c r="E499">
        <v>0</v>
      </c>
      <c r="F499">
        <v>0</v>
      </c>
      <c r="G499">
        <v>0</v>
      </c>
      <c r="H499">
        <v>0</v>
      </c>
      <c r="I499">
        <v>0</v>
      </c>
      <c r="J499">
        <v>0</v>
      </c>
      <c r="K499">
        <v>0</v>
      </c>
    </row>
    <row r="500" spans="2:11" x14ac:dyDescent="0.25">
      <c r="B500">
        <v>0</v>
      </c>
      <c r="C500">
        <v>0</v>
      </c>
      <c r="D500">
        <v>0</v>
      </c>
      <c r="E500">
        <v>0</v>
      </c>
      <c r="F500">
        <v>0</v>
      </c>
      <c r="G500">
        <v>0</v>
      </c>
      <c r="H500">
        <v>0</v>
      </c>
      <c r="I500">
        <v>0</v>
      </c>
      <c r="J500">
        <v>0</v>
      </c>
      <c r="K500">
        <v>0</v>
      </c>
    </row>
    <row r="501" spans="2:11" x14ac:dyDescent="0.25">
      <c r="B501">
        <v>0</v>
      </c>
      <c r="C501">
        <v>0</v>
      </c>
      <c r="D501">
        <v>0</v>
      </c>
      <c r="E501">
        <v>0</v>
      </c>
      <c r="F501">
        <v>0</v>
      </c>
      <c r="G501">
        <v>0</v>
      </c>
      <c r="H501">
        <v>0</v>
      </c>
      <c r="I501">
        <v>0</v>
      </c>
      <c r="J501">
        <v>0</v>
      </c>
      <c r="K501">
        <v>0</v>
      </c>
    </row>
    <row r="502" spans="2:11" x14ac:dyDescent="0.25">
      <c r="B502">
        <v>0</v>
      </c>
      <c r="C502">
        <v>0</v>
      </c>
      <c r="D502">
        <v>0</v>
      </c>
      <c r="E502">
        <v>0</v>
      </c>
      <c r="F502">
        <v>0</v>
      </c>
      <c r="G502">
        <v>0</v>
      </c>
      <c r="H502">
        <v>0</v>
      </c>
      <c r="I502">
        <v>0</v>
      </c>
      <c r="J502">
        <v>0</v>
      </c>
      <c r="K502">
        <v>0</v>
      </c>
    </row>
    <row r="503" spans="2:11" x14ac:dyDescent="0.25">
      <c r="B503">
        <v>0</v>
      </c>
      <c r="C503">
        <v>0</v>
      </c>
      <c r="D503">
        <v>0</v>
      </c>
      <c r="E503">
        <v>0</v>
      </c>
      <c r="F503">
        <v>0</v>
      </c>
      <c r="G503">
        <v>0</v>
      </c>
      <c r="H503">
        <v>0</v>
      </c>
      <c r="I503">
        <v>0</v>
      </c>
      <c r="J503">
        <v>0</v>
      </c>
      <c r="K503">
        <v>-111</v>
      </c>
    </row>
    <row r="504" spans="2:11" x14ac:dyDescent="0.25">
      <c r="B504">
        <v>-97</v>
      </c>
      <c r="C504">
        <v>365</v>
      </c>
      <c r="D504">
        <v>322</v>
      </c>
      <c r="E504">
        <v>109</v>
      </c>
      <c r="F504">
        <v>66</v>
      </c>
      <c r="G504">
        <v>-654</v>
      </c>
      <c r="H504">
        <v>230</v>
      </c>
      <c r="I504">
        <v>-385</v>
      </c>
      <c r="J504">
        <v>74</v>
      </c>
      <c r="K504">
        <v>151</v>
      </c>
    </row>
    <row r="505" spans="2:11" x14ac:dyDescent="0.25">
      <c r="B505">
        <v>595</v>
      </c>
      <c r="C505">
        <v>-394</v>
      </c>
      <c r="D505">
        <v>-1446</v>
      </c>
      <c r="E505">
        <v>-1235</v>
      </c>
      <c r="F505">
        <v>0</v>
      </c>
      <c r="G505">
        <v>0</v>
      </c>
      <c r="H505">
        <v>0</v>
      </c>
      <c r="I505">
        <v>-579</v>
      </c>
      <c r="J505">
        <v>-1039</v>
      </c>
      <c r="K505">
        <v>-187</v>
      </c>
    </row>
    <row r="506" spans="2:11" x14ac:dyDescent="0.25">
      <c r="B506">
        <v>-501</v>
      </c>
      <c r="C506">
        <v>4372</v>
      </c>
      <c r="D506">
        <v>-11688</v>
      </c>
      <c r="E506">
        <v>-589</v>
      </c>
      <c r="F506">
        <v>126</v>
      </c>
      <c r="G506">
        <v>-578</v>
      </c>
      <c r="H506">
        <v>148</v>
      </c>
      <c r="I506">
        <v>-752</v>
      </c>
      <c r="J506">
        <v>1012</v>
      </c>
      <c r="K506">
        <v>-5924</v>
      </c>
    </row>
    <row r="507" spans="2:11" x14ac:dyDescent="0.25">
      <c r="B507">
        <v>-2570</v>
      </c>
      <c r="C507">
        <v>5470</v>
      </c>
      <c r="D507">
        <v>-1019</v>
      </c>
      <c r="E507">
        <v>840</v>
      </c>
      <c r="F507">
        <v>1492</v>
      </c>
      <c r="G507">
        <v>156</v>
      </c>
      <c r="H507">
        <v>271</v>
      </c>
      <c r="I507">
        <v>847</v>
      </c>
      <c r="J507">
        <v>6059</v>
      </c>
      <c r="K507">
        <v>-9191</v>
      </c>
    </row>
    <row r="508" spans="2:11" x14ac:dyDescent="0.25">
      <c r="B508">
        <v>-1088</v>
      </c>
      <c r="C508">
        <v>-277</v>
      </c>
      <c r="D508">
        <v>-344</v>
      </c>
      <c r="E508">
        <v>-267</v>
      </c>
      <c r="F508">
        <v>-692</v>
      </c>
      <c r="G508">
        <v>-6531</v>
      </c>
      <c r="H508">
        <v>539</v>
      </c>
      <c r="I508">
        <v>-224</v>
      </c>
      <c r="J508">
        <v>378</v>
      </c>
      <c r="K508">
        <v>-104</v>
      </c>
    </row>
    <row r="509" spans="2:11" x14ac:dyDescent="0.25">
      <c r="B509">
        <v>575</v>
      </c>
      <c r="C509">
        <v>-1514</v>
      </c>
      <c r="D509">
        <v>-1589</v>
      </c>
      <c r="E509">
        <v>335</v>
      </c>
      <c r="F509">
        <v>-1698</v>
      </c>
      <c r="G509">
        <v>58644</v>
      </c>
      <c r="H509">
        <v>0</v>
      </c>
      <c r="I509">
        <v>9655</v>
      </c>
      <c r="J509">
        <v>3310</v>
      </c>
      <c r="K509">
        <v>14739</v>
      </c>
    </row>
    <row r="510" spans="2:11" x14ac:dyDescent="0.25">
      <c r="B510">
        <v>13109</v>
      </c>
      <c r="C510">
        <v>14674</v>
      </c>
      <c r="D510">
        <v>8492</v>
      </c>
      <c r="E510">
        <v>16365</v>
      </c>
      <c r="F510">
        <v>42422</v>
      </c>
      <c r="G510">
        <v>17455</v>
      </c>
      <c r="H510">
        <v>9921</v>
      </c>
      <c r="I510">
        <v>31189</v>
      </c>
      <c r="J510">
        <v>28103</v>
      </c>
      <c r="K510">
        <v>29942</v>
      </c>
    </row>
    <row r="511" spans="2:11" x14ac:dyDescent="0.25">
      <c r="B511">
        <v>20639</v>
      </c>
      <c r="C511">
        <v>32576</v>
      </c>
      <c r="D511">
        <v>51708</v>
      </c>
      <c r="E511">
        <v>0</v>
      </c>
      <c r="F511">
        <v>12602</v>
      </c>
      <c r="G511">
        <v>12316</v>
      </c>
      <c r="H511">
        <v>34382</v>
      </c>
      <c r="I511">
        <v>13245</v>
      </c>
      <c r="J511">
        <v>15255</v>
      </c>
      <c r="K511">
        <v>0</v>
      </c>
    </row>
    <row r="512" spans="2:11" x14ac:dyDescent="0.25">
      <c r="B512">
        <v>30072</v>
      </c>
      <c r="C512">
        <v>52234</v>
      </c>
      <c r="D512">
        <v>10766</v>
      </c>
      <c r="E512">
        <v>25248</v>
      </c>
      <c r="F512">
        <v>41450</v>
      </c>
      <c r="G512">
        <v>0</v>
      </c>
      <c r="H512">
        <v>0</v>
      </c>
      <c r="I512">
        <v>0</v>
      </c>
      <c r="J512">
        <v>0</v>
      </c>
      <c r="K512">
        <v>0</v>
      </c>
    </row>
    <row r="513" spans="2:11" x14ac:dyDescent="0.25">
      <c r="B513">
        <v>0</v>
      </c>
      <c r="C513">
        <v>0</v>
      </c>
      <c r="D513">
        <v>0</v>
      </c>
      <c r="E513">
        <v>0</v>
      </c>
      <c r="F513">
        <v>0</v>
      </c>
      <c r="G513">
        <v>0</v>
      </c>
      <c r="H513">
        <v>0</v>
      </c>
      <c r="I513">
        <v>0</v>
      </c>
      <c r="J513">
        <v>0</v>
      </c>
      <c r="K513">
        <v>0</v>
      </c>
    </row>
    <row r="514" spans="2:11" x14ac:dyDescent="0.25">
      <c r="B514">
        <v>0</v>
      </c>
      <c r="C514">
        <v>0</v>
      </c>
      <c r="D514">
        <v>0</v>
      </c>
      <c r="E514">
        <v>0</v>
      </c>
      <c r="F514">
        <v>0</v>
      </c>
      <c r="G514">
        <v>0</v>
      </c>
      <c r="H514">
        <v>0</v>
      </c>
      <c r="I514">
        <v>0</v>
      </c>
      <c r="J514">
        <v>0</v>
      </c>
      <c r="K514">
        <v>0</v>
      </c>
    </row>
    <row r="515" spans="2:11" x14ac:dyDescent="0.25">
      <c r="B515">
        <v>0</v>
      </c>
      <c r="C515">
        <v>0</v>
      </c>
      <c r="D515">
        <v>0</v>
      </c>
      <c r="E515">
        <v>0</v>
      </c>
      <c r="F515">
        <v>0</v>
      </c>
      <c r="G515">
        <v>0</v>
      </c>
      <c r="H515">
        <v>0</v>
      </c>
      <c r="I515">
        <v>0</v>
      </c>
      <c r="J515">
        <v>0</v>
      </c>
      <c r="K515">
        <v>0</v>
      </c>
    </row>
    <row r="516" spans="2:11" x14ac:dyDescent="0.25">
      <c r="B516">
        <v>0</v>
      </c>
      <c r="C516">
        <v>0</v>
      </c>
      <c r="D516">
        <v>0</v>
      </c>
      <c r="E516">
        <v>0</v>
      </c>
      <c r="F516">
        <v>0</v>
      </c>
      <c r="G516">
        <v>0</v>
      </c>
      <c r="H516">
        <v>0</v>
      </c>
      <c r="I516">
        <v>0</v>
      </c>
      <c r="J516">
        <v>0</v>
      </c>
      <c r="K516">
        <v>0</v>
      </c>
    </row>
    <row r="517" spans="2:11" x14ac:dyDescent="0.25">
      <c r="B517">
        <v>0</v>
      </c>
      <c r="C517">
        <v>0</v>
      </c>
      <c r="D517">
        <v>0</v>
      </c>
      <c r="E517">
        <v>0</v>
      </c>
      <c r="F517">
        <v>0</v>
      </c>
      <c r="G517">
        <v>0</v>
      </c>
      <c r="H517">
        <v>0</v>
      </c>
      <c r="I517">
        <v>0</v>
      </c>
      <c r="J517">
        <v>0</v>
      </c>
      <c r="K517">
        <v>0</v>
      </c>
    </row>
    <row r="518" spans="2:11" x14ac:dyDescent="0.25">
      <c r="B518">
        <v>0</v>
      </c>
      <c r="C518">
        <v>0</v>
      </c>
      <c r="D518">
        <v>0</v>
      </c>
      <c r="E518">
        <v>0</v>
      </c>
      <c r="F518">
        <v>0</v>
      </c>
      <c r="G518">
        <v>0</v>
      </c>
      <c r="H518">
        <v>0</v>
      </c>
      <c r="I518">
        <v>0</v>
      </c>
      <c r="J518">
        <v>0</v>
      </c>
      <c r="K518">
        <v>0</v>
      </c>
    </row>
    <row r="519" spans="2:11" x14ac:dyDescent="0.25">
      <c r="B519">
        <v>0</v>
      </c>
      <c r="C519">
        <v>0</v>
      </c>
      <c r="D519">
        <v>0</v>
      </c>
      <c r="E519">
        <v>0</v>
      </c>
      <c r="F519">
        <v>0</v>
      </c>
      <c r="G519">
        <v>0</v>
      </c>
      <c r="H519">
        <v>0</v>
      </c>
      <c r="I519">
        <v>0</v>
      </c>
      <c r="J519">
        <v>0</v>
      </c>
      <c r="K519">
        <v>0</v>
      </c>
    </row>
    <row r="520" spans="2:11" x14ac:dyDescent="0.25">
      <c r="B520">
        <v>0</v>
      </c>
      <c r="C520">
        <v>0</v>
      </c>
      <c r="D520">
        <v>0</v>
      </c>
      <c r="E520">
        <v>0</v>
      </c>
      <c r="F520">
        <v>0</v>
      </c>
      <c r="G520">
        <v>0</v>
      </c>
      <c r="H520">
        <v>0</v>
      </c>
      <c r="I520">
        <v>0</v>
      </c>
      <c r="J520">
        <v>0</v>
      </c>
      <c r="K520">
        <v>0</v>
      </c>
    </row>
    <row r="521" spans="2:11" x14ac:dyDescent="0.25">
      <c r="B521">
        <v>0</v>
      </c>
      <c r="C521">
        <v>0</v>
      </c>
      <c r="D521">
        <v>0</v>
      </c>
      <c r="E521">
        <v>0</v>
      </c>
      <c r="F521">
        <v>0</v>
      </c>
      <c r="G521">
        <v>0</v>
      </c>
      <c r="H521">
        <v>57</v>
      </c>
      <c r="I521">
        <v>273</v>
      </c>
      <c r="J521">
        <v>-80</v>
      </c>
      <c r="K521">
        <v>481</v>
      </c>
    </row>
    <row r="522" spans="2:11" x14ac:dyDescent="0.25">
      <c r="B522">
        <v>269</v>
      </c>
      <c r="C522">
        <v>258</v>
      </c>
      <c r="D522">
        <v>-85</v>
      </c>
      <c r="E522">
        <v>27</v>
      </c>
      <c r="F522">
        <v>369</v>
      </c>
      <c r="G522">
        <v>711</v>
      </c>
      <c r="H522">
        <v>159</v>
      </c>
      <c r="I522">
        <v>-76</v>
      </c>
      <c r="J522">
        <v>111</v>
      </c>
      <c r="K522">
        <v>-1108</v>
      </c>
    </row>
    <row r="523" spans="2:11" x14ac:dyDescent="0.25">
      <c r="B523">
        <v>-710</v>
      </c>
      <c r="C523">
        <v>0</v>
      </c>
      <c r="D523">
        <v>0</v>
      </c>
      <c r="E523">
        <v>0</v>
      </c>
      <c r="F523">
        <v>-299</v>
      </c>
      <c r="G523">
        <v>-688</v>
      </c>
      <c r="H523">
        <v>-33</v>
      </c>
      <c r="I523">
        <v>-417</v>
      </c>
      <c r="J523">
        <v>2981</v>
      </c>
      <c r="K523">
        <v>-7937</v>
      </c>
    </row>
    <row r="524" spans="2:11" x14ac:dyDescent="0.25">
      <c r="B524">
        <v>-370</v>
      </c>
      <c r="C524">
        <v>79</v>
      </c>
      <c r="D524">
        <v>-362</v>
      </c>
      <c r="E524">
        <v>-69</v>
      </c>
      <c r="F524">
        <v>-552</v>
      </c>
      <c r="G524">
        <v>680</v>
      </c>
      <c r="H524">
        <v>-4017</v>
      </c>
      <c r="I524">
        <v>-1752</v>
      </c>
      <c r="J524">
        <v>3729</v>
      </c>
      <c r="K524">
        <v>-674</v>
      </c>
    </row>
    <row r="525" spans="2:11" x14ac:dyDescent="0.25">
      <c r="B525">
        <v>-107</v>
      </c>
      <c r="C525">
        <v>745</v>
      </c>
      <c r="D525">
        <v>275</v>
      </c>
      <c r="E525">
        <v>-239</v>
      </c>
      <c r="F525">
        <v>106</v>
      </c>
      <c r="G525">
        <v>6125</v>
      </c>
      <c r="H525">
        <v>-11109</v>
      </c>
      <c r="I525">
        <v>-53</v>
      </c>
      <c r="J525">
        <v>284</v>
      </c>
      <c r="K525">
        <v>-273</v>
      </c>
    </row>
    <row r="526" spans="2:11" x14ac:dyDescent="0.25">
      <c r="B526">
        <v>588</v>
      </c>
      <c r="C526">
        <v>-283</v>
      </c>
      <c r="D526">
        <v>4955</v>
      </c>
      <c r="E526">
        <v>376</v>
      </c>
      <c r="F526">
        <v>-180</v>
      </c>
      <c r="G526">
        <v>341</v>
      </c>
      <c r="H526">
        <v>-268</v>
      </c>
      <c r="I526">
        <v>346</v>
      </c>
      <c r="J526">
        <v>-1025</v>
      </c>
      <c r="K526">
        <v>-1085</v>
      </c>
    </row>
    <row r="527" spans="2:11" x14ac:dyDescent="0.25">
      <c r="B527">
        <v>225</v>
      </c>
      <c r="C527">
        <v>-1153</v>
      </c>
      <c r="D527">
        <v>39940</v>
      </c>
      <c r="E527">
        <v>0</v>
      </c>
      <c r="F527">
        <v>6570</v>
      </c>
      <c r="G527">
        <v>2255</v>
      </c>
      <c r="H527">
        <v>10040</v>
      </c>
      <c r="I527">
        <v>8932</v>
      </c>
      <c r="J527">
        <v>9990</v>
      </c>
      <c r="K527">
        <v>5777</v>
      </c>
    </row>
    <row r="528" spans="2:11" x14ac:dyDescent="0.25">
      <c r="B528">
        <v>11144</v>
      </c>
      <c r="C528">
        <v>28894</v>
      </c>
      <c r="D528">
        <v>11891</v>
      </c>
      <c r="E528">
        <v>6747</v>
      </c>
      <c r="F528">
        <v>21244</v>
      </c>
      <c r="G528">
        <v>19135</v>
      </c>
      <c r="H528">
        <v>20399</v>
      </c>
      <c r="I528">
        <v>14049</v>
      </c>
      <c r="J528">
        <v>22190</v>
      </c>
      <c r="K528">
        <v>35218</v>
      </c>
    </row>
    <row r="529" spans="2:11" x14ac:dyDescent="0.25">
      <c r="B529">
        <v>0</v>
      </c>
      <c r="C529">
        <v>8585</v>
      </c>
      <c r="D529">
        <v>8385</v>
      </c>
      <c r="E529">
        <v>23415</v>
      </c>
      <c r="F529">
        <v>9025</v>
      </c>
      <c r="G529">
        <v>10389</v>
      </c>
      <c r="H529">
        <v>0</v>
      </c>
      <c r="I529">
        <v>20481</v>
      </c>
      <c r="J529">
        <v>35577</v>
      </c>
      <c r="K529">
        <v>7332</v>
      </c>
    </row>
    <row r="530" spans="2:11" x14ac:dyDescent="0.25">
      <c r="B530">
        <v>16120</v>
      </c>
      <c r="C530">
        <v>24162</v>
      </c>
      <c r="D530">
        <v>0</v>
      </c>
      <c r="E530">
        <v>23422</v>
      </c>
      <c r="F530">
        <v>0</v>
      </c>
      <c r="G530">
        <v>0</v>
      </c>
      <c r="H530">
        <v>-724</v>
      </c>
      <c r="I530">
        <v>-564</v>
      </c>
      <c r="J530">
        <v>54</v>
      </c>
      <c r="K530">
        <v>181</v>
      </c>
    </row>
    <row r="531" spans="2:11" x14ac:dyDescent="0.25">
      <c r="B531">
        <v>-131</v>
      </c>
      <c r="C531">
        <v>-67</v>
      </c>
      <c r="D531">
        <v>297</v>
      </c>
      <c r="E531">
        <v>-83</v>
      </c>
      <c r="F531">
        <v>-326</v>
      </c>
      <c r="G531">
        <v>21</v>
      </c>
      <c r="H531">
        <v>20</v>
      </c>
      <c r="I531">
        <v>409</v>
      </c>
      <c r="J531">
        <v>-366</v>
      </c>
      <c r="K531">
        <v>-1411</v>
      </c>
    </row>
    <row r="532" spans="2:11" x14ac:dyDescent="0.25">
      <c r="B532">
        <v>-1416</v>
      </c>
      <c r="C532">
        <v>0</v>
      </c>
      <c r="D532">
        <v>0</v>
      </c>
      <c r="E532">
        <v>0</v>
      </c>
      <c r="F532">
        <v>-275</v>
      </c>
      <c r="G532">
        <v>-1175</v>
      </c>
      <c r="H532">
        <v>-213</v>
      </c>
      <c r="I532">
        <v>-434</v>
      </c>
      <c r="J532">
        <v>5217</v>
      </c>
      <c r="K532">
        <v>-13941</v>
      </c>
    </row>
    <row r="533" spans="2:11" x14ac:dyDescent="0.25">
      <c r="B533">
        <v>-475</v>
      </c>
      <c r="C533">
        <v>178</v>
      </c>
      <c r="D533">
        <v>-709</v>
      </c>
      <c r="E533">
        <v>249</v>
      </c>
      <c r="F533">
        <v>-898</v>
      </c>
      <c r="G533">
        <v>1190</v>
      </c>
      <c r="H533">
        <v>-7078</v>
      </c>
      <c r="I533">
        <v>-3061</v>
      </c>
      <c r="J533">
        <v>6555</v>
      </c>
      <c r="K533">
        <v>-1188</v>
      </c>
    </row>
    <row r="534" spans="2:11" x14ac:dyDescent="0.25">
      <c r="B534">
        <v>-58</v>
      </c>
      <c r="C534">
        <v>1335</v>
      </c>
      <c r="D534">
        <v>371</v>
      </c>
      <c r="E534">
        <v>-132</v>
      </c>
      <c r="F534">
        <v>210</v>
      </c>
      <c r="G534">
        <v>10726</v>
      </c>
      <c r="H534">
        <v>-19491</v>
      </c>
      <c r="I534">
        <v>1269</v>
      </c>
      <c r="J534">
        <v>4373</v>
      </c>
      <c r="K534">
        <v>-900</v>
      </c>
    </row>
    <row r="535" spans="2:11" x14ac:dyDescent="0.25">
      <c r="B535">
        <v>557</v>
      </c>
      <c r="C535">
        <v>272</v>
      </c>
      <c r="D535">
        <v>16596</v>
      </c>
      <c r="E535">
        <v>924</v>
      </c>
      <c r="F535">
        <v>-179</v>
      </c>
      <c r="G535">
        <v>471</v>
      </c>
      <c r="H535">
        <v>35</v>
      </c>
      <c r="I535">
        <v>743</v>
      </c>
      <c r="J535">
        <v>-1806</v>
      </c>
      <c r="K535">
        <v>-1891</v>
      </c>
    </row>
    <row r="536" spans="2:11" x14ac:dyDescent="0.25">
      <c r="B536">
        <v>409</v>
      </c>
      <c r="C536">
        <v>-1989</v>
      </c>
      <c r="D536">
        <v>70004</v>
      </c>
      <c r="E536">
        <v>0</v>
      </c>
      <c r="F536">
        <v>11529</v>
      </c>
      <c r="G536">
        <v>3948</v>
      </c>
      <c r="H536">
        <v>17592</v>
      </c>
      <c r="I536">
        <v>15654</v>
      </c>
      <c r="J536">
        <v>17510</v>
      </c>
      <c r="K536">
        <v>10131</v>
      </c>
    </row>
    <row r="537" spans="2:11" x14ac:dyDescent="0.25">
      <c r="B537">
        <v>19534</v>
      </c>
      <c r="C537">
        <v>50639</v>
      </c>
      <c r="D537">
        <v>20848</v>
      </c>
      <c r="E537">
        <v>11836</v>
      </c>
      <c r="F537">
        <v>37240</v>
      </c>
      <c r="G537">
        <v>33547</v>
      </c>
      <c r="H537">
        <v>35747</v>
      </c>
      <c r="I537">
        <v>24633</v>
      </c>
      <c r="J537">
        <v>38888</v>
      </c>
      <c r="K537">
        <v>61728</v>
      </c>
    </row>
    <row r="538" spans="2:11" x14ac:dyDescent="0.25">
      <c r="B538">
        <v>0</v>
      </c>
      <c r="C538">
        <v>15057</v>
      </c>
      <c r="D538">
        <v>14706</v>
      </c>
      <c r="E538">
        <v>41049</v>
      </c>
      <c r="F538">
        <v>15836</v>
      </c>
      <c r="G538">
        <v>18239</v>
      </c>
      <c r="H538">
        <v>0</v>
      </c>
      <c r="I538">
        <v>35912</v>
      </c>
      <c r="J538">
        <v>62359</v>
      </c>
      <c r="K538">
        <v>12852</v>
      </c>
    </row>
    <row r="539" spans="2:11" x14ac:dyDescent="0.25">
      <c r="B539">
        <v>28264</v>
      </c>
      <c r="C539">
        <v>42347</v>
      </c>
      <c r="D539">
        <v>0</v>
      </c>
      <c r="E539">
        <v>41054</v>
      </c>
      <c r="F539">
        <v>0</v>
      </c>
      <c r="G539">
        <v>13148</v>
      </c>
      <c r="H539">
        <v>0</v>
      </c>
      <c r="I539">
        <v>-213</v>
      </c>
      <c r="J539">
        <v>-19</v>
      </c>
      <c r="K539">
        <v>83</v>
      </c>
    </row>
    <row r="540" spans="2:11" x14ac:dyDescent="0.25">
      <c r="B540">
        <v>207</v>
      </c>
      <c r="C540">
        <v>-7</v>
      </c>
      <c r="D540">
        <v>130</v>
      </c>
      <c r="E540">
        <v>-96</v>
      </c>
      <c r="F540">
        <v>-53</v>
      </c>
      <c r="G540">
        <v>40</v>
      </c>
      <c r="H540">
        <v>152</v>
      </c>
      <c r="I540">
        <v>288</v>
      </c>
      <c r="J540">
        <v>277</v>
      </c>
      <c r="K540">
        <v>-33</v>
      </c>
    </row>
    <row r="541" spans="2:11" x14ac:dyDescent="0.25">
      <c r="B541">
        <v>-831</v>
      </c>
      <c r="C541">
        <v>-610</v>
      </c>
      <c r="D541">
        <v>0</v>
      </c>
      <c r="E541">
        <v>0</v>
      </c>
      <c r="F541">
        <v>0</v>
      </c>
      <c r="G541">
        <v>-256</v>
      </c>
      <c r="H541">
        <v>-683</v>
      </c>
      <c r="I541">
        <v>-121</v>
      </c>
      <c r="J541">
        <v>-347</v>
      </c>
      <c r="K541">
        <v>2961</v>
      </c>
    </row>
    <row r="542" spans="2:11" x14ac:dyDescent="0.25">
      <c r="B542">
        <v>-7899</v>
      </c>
      <c r="C542">
        <v>-338</v>
      </c>
      <c r="D542">
        <v>80</v>
      </c>
      <c r="E542">
        <v>-410</v>
      </c>
      <c r="F542">
        <v>31</v>
      </c>
      <c r="G542">
        <v>-532</v>
      </c>
      <c r="H542">
        <v>683</v>
      </c>
      <c r="I542">
        <v>-4017</v>
      </c>
      <c r="J542">
        <v>-1733</v>
      </c>
      <c r="K542">
        <v>3707</v>
      </c>
    </row>
    <row r="543" spans="2:11" x14ac:dyDescent="0.25">
      <c r="B543">
        <v>-686</v>
      </c>
      <c r="C543">
        <v>-90</v>
      </c>
      <c r="D543">
        <v>743</v>
      </c>
      <c r="E543">
        <v>204</v>
      </c>
      <c r="F543">
        <v>-162</v>
      </c>
      <c r="G543">
        <v>106</v>
      </c>
      <c r="H543">
        <v>6082</v>
      </c>
      <c r="I543">
        <v>-11044</v>
      </c>
      <c r="J543">
        <v>1094</v>
      </c>
      <c r="K543">
        <v>1598</v>
      </c>
    </row>
    <row r="544" spans="2:11" x14ac:dyDescent="0.25">
      <c r="B544">
        <v>-178</v>
      </c>
      <c r="C544">
        <v>881</v>
      </c>
      <c r="D544">
        <v>225</v>
      </c>
      <c r="E544">
        <v>1762</v>
      </c>
      <c r="F544">
        <v>416</v>
      </c>
      <c r="G544">
        <v>-150</v>
      </c>
      <c r="H544">
        <v>252</v>
      </c>
      <c r="I544">
        <v>-132</v>
      </c>
      <c r="J544">
        <v>365</v>
      </c>
      <c r="K544">
        <v>-1021</v>
      </c>
    </row>
    <row r="545" spans="2:11" x14ac:dyDescent="0.25">
      <c r="B545">
        <v>-1075</v>
      </c>
      <c r="C545">
        <v>231</v>
      </c>
      <c r="D545">
        <v>-1142</v>
      </c>
      <c r="E545">
        <v>39686</v>
      </c>
      <c r="F545">
        <v>0</v>
      </c>
      <c r="G545">
        <v>6534</v>
      </c>
      <c r="H545">
        <v>2238</v>
      </c>
      <c r="I545">
        <v>9977</v>
      </c>
      <c r="J545">
        <v>8876</v>
      </c>
      <c r="K545">
        <v>9930</v>
      </c>
    </row>
    <row r="546" spans="2:11" x14ac:dyDescent="0.25">
      <c r="B546">
        <v>5741</v>
      </c>
      <c r="C546">
        <v>11076</v>
      </c>
      <c r="D546">
        <v>28709</v>
      </c>
      <c r="E546">
        <v>11815</v>
      </c>
      <c r="F546">
        <v>6707</v>
      </c>
      <c r="G546">
        <v>21110</v>
      </c>
      <c r="H546">
        <v>19017</v>
      </c>
      <c r="I546">
        <v>20264</v>
      </c>
      <c r="J546">
        <v>13960</v>
      </c>
      <c r="K546">
        <v>22048</v>
      </c>
    </row>
    <row r="547" spans="2:11" x14ac:dyDescent="0.25">
      <c r="B547">
        <v>34994</v>
      </c>
      <c r="C547">
        <v>0</v>
      </c>
      <c r="D547">
        <v>8537</v>
      </c>
      <c r="E547">
        <v>8336</v>
      </c>
      <c r="F547">
        <v>23273</v>
      </c>
      <c r="G547">
        <v>8984</v>
      </c>
      <c r="H547">
        <v>10344</v>
      </c>
      <c r="I547">
        <v>0</v>
      </c>
      <c r="J547">
        <v>20358</v>
      </c>
      <c r="K547">
        <v>35354</v>
      </c>
    </row>
    <row r="548" spans="2:11" x14ac:dyDescent="0.25">
      <c r="B548">
        <v>7289</v>
      </c>
      <c r="C548">
        <v>16020</v>
      </c>
      <c r="D548">
        <v>24008</v>
      </c>
      <c r="E548">
        <v>0</v>
      </c>
      <c r="F548">
        <v>23274</v>
      </c>
      <c r="G548">
        <v>0</v>
      </c>
      <c r="H548">
        <v>17192</v>
      </c>
      <c r="I548">
        <v>30792</v>
      </c>
      <c r="J548">
        <v>0</v>
      </c>
      <c r="K548">
        <v>667</v>
      </c>
    </row>
    <row r="549" spans="2:11" x14ac:dyDescent="0.25">
      <c r="B549">
        <v>656</v>
      </c>
      <c r="C549">
        <v>543</v>
      </c>
      <c r="D549">
        <v>-166</v>
      </c>
      <c r="E549">
        <v>94</v>
      </c>
      <c r="F549">
        <v>-209</v>
      </c>
      <c r="G549">
        <v>-229</v>
      </c>
      <c r="H549">
        <v>200</v>
      </c>
      <c r="I549">
        <v>-531</v>
      </c>
      <c r="J549">
        <v>1086</v>
      </c>
      <c r="K549">
        <v>1934</v>
      </c>
    </row>
    <row r="550" spans="2:11" x14ac:dyDescent="0.25">
      <c r="B550">
        <v>-1668</v>
      </c>
      <c r="C550">
        <v>-351</v>
      </c>
      <c r="D550">
        <v>-1180</v>
      </c>
      <c r="E550">
        <v>-1738</v>
      </c>
      <c r="F550">
        <v>0</v>
      </c>
      <c r="G550">
        <v>0</v>
      </c>
      <c r="H550">
        <v>0</v>
      </c>
      <c r="I550">
        <v>-362</v>
      </c>
      <c r="J550">
        <v>7</v>
      </c>
      <c r="K550">
        <v>-91</v>
      </c>
    </row>
    <row r="551" spans="2:11" x14ac:dyDescent="0.25">
      <c r="B551">
        <v>-70</v>
      </c>
      <c r="C551">
        <v>-286</v>
      </c>
      <c r="D551">
        <v>737</v>
      </c>
      <c r="E551">
        <v>-222</v>
      </c>
      <c r="F551">
        <v>-15</v>
      </c>
      <c r="G551">
        <v>30</v>
      </c>
      <c r="H551">
        <v>35</v>
      </c>
      <c r="I551">
        <v>118</v>
      </c>
      <c r="J551">
        <v>-79</v>
      </c>
      <c r="K551">
        <v>492</v>
      </c>
    </row>
    <row r="552" spans="2:11" x14ac:dyDescent="0.25">
      <c r="B552">
        <v>96</v>
      </c>
      <c r="C552">
        <v>-358</v>
      </c>
      <c r="D552">
        <v>134</v>
      </c>
      <c r="E552">
        <v>-214</v>
      </c>
      <c r="F552">
        <v>-90</v>
      </c>
      <c r="G552">
        <v>-43</v>
      </c>
      <c r="H552">
        <v>15</v>
      </c>
      <c r="I552">
        <v>34</v>
      </c>
      <c r="J552">
        <v>-571</v>
      </c>
      <c r="K552">
        <v>1144</v>
      </c>
    </row>
    <row r="553" spans="2:11" x14ac:dyDescent="0.25">
      <c r="B553">
        <v>-124</v>
      </c>
      <c r="C553">
        <v>-23</v>
      </c>
      <c r="D553">
        <v>35</v>
      </c>
      <c r="E553">
        <v>82</v>
      </c>
      <c r="F553">
        <v>202</v>
      </c>
      <c r="G553">
        <v>511</v>
      </c>
      <c r="H553">
        <v>-896</v>
      </c>
      <c r="I553">
        <v>-878</v>
      </c>
      <c r="J553">
        <v>-1478</v>
      </c>
      <c r="K553">
        <v>-1471</v>
      </c>
    </row>
    <row r="554" spans="2:11" x14ac:dyDescent="0.25">
      <c r="B554">
        <v>962</v>
      </c>
      <c r="C554">
        <v>-3565</v>
      </c>
      <c r="D554">
        <v>-5672</v>
      </c>
      <c r="E554">
        <v>5982</v>
      </c>
      <c r="F554">
        <v>-1198</v>
      </c>
      <c r="G554">
        <v>-3899</v>
      </c>
      <c r="H554">
        <v>0</v>
      </c>
      <c r="I554">
        <v>-657</v>
      </c>
      <c r="J554">
        <v>-201</v>
      </c>
      <c r="K554">
        <v>-1004</v>
      </c>
    </row>
    <row r="555" spans="2:11" x14ac:dyDescent="0.25">
      <c r="B555">
        <v>-889</v>
      </c>
      <c r="C555">
        <v>-988</v>
      </c>
      <c r="D555">
        <v>-542</v>
      </c>
      <c r="E555">
        <v>-1108</v>
      </c>
      <c r="F555">
        <v>-2841</v>
      </c>
      <c r="G555">
        <v>-1177</v>
      </c>
      <c r="H555">
        <v>-659</v>
      </c>
      <c r="I555">
        <v>-2073</v>
      </c>
      <c r="J555">
        <v>-1866</v>
      </c>
      <c r="K555">
        <v>-2013</v>
      </c>
    </row>
    <row r="556" spans="2:11" x14ac:dyDescent="0.25">
      <c r="B556">
        <v>-1333</v>
      </c>
      <c r="C556">
        <v>-2175</v>
      </c>
      <c r="D556">
        <v>-3434</v>
      </c>
      <c r="E556">
        <v>0</v>
      </c>
      <c r="F556">
        <v>-901</v>
      </c>
      <c r="G556">
        <v>-839</v>
      </c>
      <c r="H556">
        <v>-2354</v>
      </c>
      <c r="I556">
        <v>-1023</v>
      </c>
      <c r="J556">
        <v>-1167</v>
      </c>
      <c r="K556">
        <v>0</v>
      </c>
    </row>
    <row r="557" spans="2:11" x14ac:dyDescent="0.25">
      <c r="B557">
        <v>-2062</v>
      </c>
      <c r="C557">
        <v>-3517</v>
      </c>
      <c r="D557">
        <v>-743</v>
      </c>
      <c r="E557">
        <v>-1590</v>
      </c>
      <c r="F557">
        <v>-2364</v>
      </c>
      <c r="G557">
        <v>0</v>
      </c>
      <c r="H557">
        <v>-2291</v>
      </c>
      <c r="I557">
        <v>0</v>
      </c>
      <c r="J557">
        <v>-1559</v>
      </c>
      <c r="K557">
        <v>-2749</v>
      </c>
    </row>
    <row r="558" spans="2:11" x14ac:dyDescent="0.25">
      <c r="B558">
        <v>-1556</v>
      </c>
      <c r="C558">
        <v>0</v>
      </c>
      <c r="D558">
        <v>-2917</v>
      </c>
      <c r="E558">
        <v>-1342</v>
      </c>
      <c r="F558">
        <v>-595</v>
      </c>
      <c r="G558">
        <v>-2205</v>
      </c>
      <c r="H558">
        <v>-1074</v>
      </c>
      <c r="I558">
        <v>1323</v>
      </c>
      <c r="J558">
        <v>1269</v>
      </c>
      <c r="K558">
        <v>434</v>
      </c>
    </row>
    <row r="559" spans="2:11" x14ac:dyDescent="0.25">
      <c r="B559">
        <v>1397</v>
      </c>
      <c r="C559">
        <v>-166</v>
      </c>
      <c r="D559">
        <v>-2714</v>
      </c>
      <c r="E559">
        <v>131</v>
      </c>
      <c r="F559">
        <v>706</v>
      </c>
      <c r="G559">
        <v>240</v>
      </c>
      <c r="H559">
        <v>738</v>
      </c>
      <c r="I559">
        <v>0</v>
      </c>
      <c r="J559">
        <v>0</v>
      </c>
      <c r="K559">
        <v>0</v>
      </c>
    </row>
    <row r="560" spans="2:11" x14ac:dyDescent="0.25">
      <c r="B560">
        <v>1521</v>
      </c>
      <c r="C560">
        <v>305</v>
      </c>
      <c r="D560">
        <v>-240</v>
      </c>
      <c r="E560">
        <v>511</v>
      </c>
      <c r="F560">
        <v>-638</v>
      </c>
      <c r="G560">
        <v>1669</v>
      </c>
      <c r="H560">
        <v>629</v>
      </c>
      <c r="I560">
        <v>-122</v>
      </c>
      <c r="J560">
        <v>-572</v>
      </c>
      <c r="K560">
        <v>-81</v>
      </c>
    </row>
    <row r="561" spans="2:11" x14ac:dyDescent="0.25">
      <c r="B561">
        <v>-483</v>
      </c>
      <c r="C561">
        <v>-182</v>
      </c>
      <c r="D561">
        <v>815</v>
      </c>
      <c r="E561">
        <v>416</v>
      </c>
      <c r="F561">
        <v>-691</v>
      </c>
      <c r="G561">
        <v>241</v>
      </c>
      <c r="H561">
        <v>481</v>
      </c>
      <c r="I561">
        <v>-274</v>
      </c>
      <c r="J561">
        <v>-620</v>
      </c>
      <c r="K561">
        <v>5</v>
      </c>
    </row>
    <row r="562" spans="2:11" x14ac:dyDescent="0.25">
      <c r="B562">
        <v>-480</v>
      </c>
      <c r="C562">
        <v>-1214</v>
      </c>
      <c r="D562">
        <v>2114</v>
      </c>
      <c r="E562">
        <v>413</v>
      </c>
      <c r="F562">
        <v>-73</v>
      </c>
      <c r="G562">
        <v>-583</v>
      </c>
      <c r="H562">
        <v>-148</v>
      </c>
      <c r="I562">
        <v>-689</v>
      </c>
      <c r="J562">
        <v>877</v>
      </c>
      <c r="K562">
        <v>490</v>
      </c>
    </row>
    <row r="563" spans="2:11" x14ac:dyDescent="0.25">
      <c r="B563">
        <v>-218</v>
      </c>
      <c r="C563">
        <v>-1273</v>
      </c>
      <c r="D563">
        <v>1129</v>
      </c>
      <c r="E563">
        <v>-2703</v>
      </c>
      <c r="F563">
        <v>-5564</v>
      </c>
      <c r="G563">
        <v>516</v>
      </c>
      <c r="H563">
        <v>9387</v>
      </c>
      <c r="I563">
        <v>-3752</v>
      </c>
      <c r="J563">
        <v>-7801</v>
      </c>
      <c r="K563">
        <v>0</v>
      </c>
    </row>
    <row r="564" spans="2:11" x14ac:dyDescent="0.25">
      <c r="B564">
        <v>-1279</v>
      </c>
      <c r="C564">
        <v>-452</v>
      </c>
      <c r="D564">
        <v>-1955</v>
      </c>
      <c r="E564">
        <v>-1736</v>
      </c>
      <c r="F564">
        <v>-1965</v>
      </c>
      <c r="G564">
        <v>-1154</v>
      </c>
      <c r="H564">
        <v>-2167</v>
      </c>
      <c r="I564">
        <v>-5621</v>
      </c>
      <c r="J564">
        <v>-2308</v>
      </c>
      <c r="K564">
        <v>-1329</v>
      </c>
    </row>
    <row r="565" spans="2:11" x14ac:dyDescent="0.25">
      <c r="B565">
        <v>-4172</v>
      </c>
      <c r="C565">
        <v>-3762</v>
      </c>
      <c r="D565">
        <v>-3970</v>
      </c>
      <c r="E565">
        <v>-2779</v>
      </c>
      <c r="F565">
        <v>-4360</v>
      </c>
      <c r="G565">
        <v>-6880</v>
      </c>
      <c r="H565">
        <v>0</v>
      </c>
      <c r="I565">
        <v>-1645</v>
      </c>
      <c r="J565">
        <v>-1627</v>
      </c>
      <c r="K565">
        <v>-4542</v>
      </c>
    </row>
    <row r="566" spans="2:11" x14ac:dyDescent="0.25">
      <c r="B566">
        <v>-1702</v>
      </c>
      <c r="C566">
        <v>-1976</v>
      </c>
      <c r="D566">
        <v>0</v>
      </c>
      <c r="E566">
        <v>-3968</v>
      </c>
      <c r="F566">
        <v>-6926</v>
      </c>
      <c r="G566">
        <v>-1430</v>
      </c>
      <c r="H566">
        <v>-3112</v>
      </c>
      <c r="I566">
        <v>-4723</v>
      </c>
      <c r="J566">
        <v>0</v>
      </c>
      <c r="K566">
        <v>-4579</v>
      </c>
    </row>
    <row r="567" spans="2:11" x14ac:dyDescent="0.25">
      <c r="B567">
        <v>0</v>
      </c>
      <c r="C567">
        <v>-3109</v>
      </c>
      <c r="D567">
        <v>-5437</v>
      </c>
      <c r="E567">
        <v>-3091</v>
      </c>
      <c r="F567">
        <v>-26150</v>
      </c>
      <c r="G567">
        <v>0</v>
      </c>
      <c r="H567">
        <v>-361</v>
      </c>
      <c r="I567">
        <v>287</v>
      </c>
      <c r="J567">
        <v>569</v>
      </c>
      <c r="K567">
        <v>-912</v>
      </c>
    </row>
    <row r="568" spans="2:11" x14ac:dyDescent="0.25">
      <c r="B568">
        <v>116</v>
      </c>
      <c r="C568">
        <v>398</v>
      </c>
      <c r="D568">
        <v>-142</v>
      </c>
      <c r="E568">
        <v>163</v>
      </c>
      <c r="F568">
        <v>442</v>
      </c>
      <c r="G568">
        <v>65</v>
      </c>
      <c r="H568">
        <v>331</v>
      </c>
      <c r="I568">
        <v>-123</v>
      </c>
      <c r="J568">
        <v>-187</v>
      </c>
      <c r="K568">
        <v>-300</v>
      </c>
    </row>
    <row r="569" spans="2:11" x14ac:dyDescent="0.25">
      <c r="B569">
        <v>-402</v>
      </c>
      <c r="C569">
        <v>0</v>
      </c>
      <c r="D569">
        <v>0</v>
      </c>
      <c r="E569">
        <v>0</v>
      </c>
      <c r="F569">
        <v>59</v>
      </c>
      <c r="G569">
        <v>-210</v>
      </c>
      <c r="H569">
        <v>-216</v>
      </c>
      <c r="I569">
        <v>-48</v>
      </c>
      <c r="J569">
        <v>1018</v>
      </c>
      <c r="K569">
        <v>-2733</v>
      </c>
    </row>
    <row r="570" spans="2:11" x14ac:dyDescent="0.25">
      <c r="B570">
        <v>-102</v>
      </c>
      <c r="C570">
        <v>11</v>
      </c>
      <c r="D570">
        <v>-382</v>
      </c>
      <c r="E570">
        <v>23</v>
      </c>
      <c r="F570">
        <v>-313</v>
      </c>
      <c r="G570">
        <v>241</v>
      </c>
      <c r="H570">
        <v>-1397</v>
      </c>
      <c r="I570">
        <v>-592</v>
      </c>
      <c r="J570">
        <v>1276</v>
      </c>
      <c r="K570">
        <v>-220</v>
      </c>
    </row>
    <row r="571" spans="2:11" x14ac:dyDescent="0.25">
      <c r="B571">
        <v>-34</v>
      </c>
      <c r="C571">
        <v>230</v>
      </c>
      <c r="D571">
        <v>-164</v>
      </c>
      <c r="E571">
        <v>-44</v>
      </c>
      <c r="F571">
        <v>-80</v>
      </c>
      <c r="G571">
        <v>2095</v>
      </c>
      <c r="H571">
        <v>-3818</v>
      </c>
      <c r="I571">
        <v>-250</v>
      </c>
      <c r="J571">
        <v>-96</v>
      </c>
      <c r="K571">
        <v>-282</v>
      </c>
    </row>
    <row r="572" spans="2:11" x14ac:dyDescent="0.25">
      <c r="B572">
        <v>-90</v>
      </c>
      <c r="C572">
        <v>-319</v>
      </c>
      <c r="D572">
        <v>-1529</v>
      </c>
      <c r="E572">
        <v>-317</v>
      </c>
      <c r="F572">
        <v>-1476</v>
      </c>
      <c r="G572">
        <v>967</v>
      </c>
      <c r="H572">
        <v>-666</v>
      </c>
      <c r="I572">
        <v>-844</v>
      </c>
      <c r="J572">
        <v>-8188</v>
      </c>
      <c r="K572">
        <v>-4567</v>
      </c>
    </row>
    <row r="573" spans="2:11" x14ac:dyDescent="0.25">
      <c r="B573">
        <v>21966</v>
      </c>
      <c r="C573">
        <v>-3191</v>
      </c>
      <c r="D573">
        <v>13719</v>
      </c>
      <c r="E573">
        <v>0</v>
      </c>
      <c r="F573">
        <v>2257</v>
      </c>
      <c r="G573">
        <v>775</v>
      </c>
      <c r="H573">
        <v>3443</v>
      </c>
      <c r="I573">
        <v>3063</v>
      </c>
      <c r="J573">
        <v>3425</v>
      </c>
      <c r="K573">
        <v>1979</v>
      </c>
    </row>
    <row r="574" spans="2:11" x14ac:dyDescent="0.25">
      <c r="B574">
        <v>3825</v>
      </c>
      <c r="C574">
        <v>9926</v>
      </c>
      <c r="D574">
        <v>4079</v>
      </c>
      <c r="E574">
        <v>2318</v>
      </c>
      <c r="F574">
        <v>7289</v>
      </c>
      <c r="G574">
        <v>6575</v>
      </c>
      <c r="H574">
        <v>6999</v>
      </c>
      <c r="I574">
        <v>4826</v>
      </c>
      <c r="J574">
        <v>7611</v>
      </c>
      <c r="K574">
        <v>12097</v>
      </c>
    </row>
    <row r="575" spans="2:11" x14ac:dyDescent="0.25">
      <c r="B575">
        <v>0</v>
      </c>
      <c r="C575">
        <v>2948</v>
      </c>
      <c r="D575">
        <v>2880</v>
      </c>
      <c r="E575">
        <v>8045</v>
      </c>
      <c r="F575">
        <v>3104</v>
      </c>
      <c r="G575">
        <v>3570</v>
      </c>
      <c r="H575">
        <v>0</v>
      </c>
      <c r="I575">
        <v>7035</v>
      </c>
      <c r="J575">
        <v>12218</v>
      </c>
      <c r="K575">
        <v>2512</v>
      </c>
    </row>
    <row r="576" spans="2:11" x14ac:dyDescent="0.25">
      <c r="B576">
        <v>5540</v>
      </c>
      <c r="C576">
        <v>8297</v>
      </c>
      <c r="D576">
        <v>0</v>
      </c>
      <c r="E576">
        <v>8044</v>
      </c>
      <c r="F576">
        <v>0</v>
      </c>
      <c r="G576">
        <v>5480</v>
      </c>
      <c r="H576">
        <v>9602</v>
      </c>
      <c r="I576">
        <v>5445</v>
      </c>
      <c r="J576">
        <v>3557</v>
      </c>
      <c r="K576">
        <v>969</v>
      </c>
    </row>
    <row r="577" spans="2:11" x14ac:dyDescent="0.25">
      <c r="B577">
        <v>0</v>
      </c>
      <c r="C577">
        <v>-618</v>
      </c>
      <c r="D577">
        <v>-719</v>
      </c>
      <c r="E577">
        <v>-387</v>
      </c>
      <c r="F577">
        <v>161</v>
      </c>
      <c r="G577">
        <v>-651</v>
      </c>
      <c r="H577">
        <v>623</v>
      </c>
      <c r="I577">
        <v>171</v>
      </c>
      <c r="J577">
        <v>-545</v>
      </c>
      <c r="K577">
        <v>-42</v>
      </c>
    </row>
    <row r="578" spans="2:11" x14ac:dyDescent="0.25">
      <c r="B578">
        <v>-341</v>
      </c>
      <c r="C578">
        <v>70</v>
      </c>
      <c r="D578">
        <v>975</v>
      </c>
      <c r="E578">
        <v>697</v>
      </c>
      <c r="F578">
        <v>-232</v>
      </c>
      <c r="G578">
        <v>-248</v>
      </c>
      <c r="H578">
        <v>0</v>
      </c>
      <c r="I578">
        <v>0</v>
      </c>
      <c r="J578">
        <v>0</v>
      </c>
      <c r="K578">
        <v>129</v>
      </c>
    </row>
    <row r="579" spans="2:11" x14ac:dyDescent="0.25">
      <c r="B579">
        <v>-178</v>
      </c>
      <c r="C579">
        <v>-74</v>
      </c>
      <c r="D579">
        <v>-92</v>
      </c>
      <c r="E579">
        <v>739</v>
      </c>
      <c r="F579">
        <v>-1918</v>
      </c>
      <c r="G579">
        <v>-53</v>
      </c>
      <c r="H579">
        <v>-64</v>
      </c>
      <c r="I579">
        <v>-180</v>
      </c>
      <c r="J579">
        <v>-93</v>
      </c>
      <c r="K579">
        <v>-234</v>
      </c>
    </row>
    <row r="580" spans="2:11" x14ac:dyDescent="0.25">
      <c r="B580">
        <v>180</v>
      </c>
      <c r="C580">
        <v>-960</v>
      </c>
      <c r="D580">
        <v>-431</v>
      </c>
      <c r="E580">
        <v>939</v>
      </c>
      <c r="F580">
        <v>-149</v>
      </c>
      <c r="G580">
        <v>5</v>
      </c>
      <c r="H580">
        <v>123</v>
      </c>
      <c r="I580">
        <v>-21</v>
      </c>
      <c r="J580">
        <v>-111</v>
      </c>
      <c r="K580">
        <v>-39</v>
      </c>
    </row>
    <row r="581" spans="2:11" x14ac:dyDescent="0.25">
      <c r="B581">
        <v>1567</v>
      </c>
      <c r="C581">
        <v>-2764</v>
      </c>
      <c r="D581">
        <v>-133</v>
      </c>
      <c r="E581">
        <v>-149</v>
      </c>
      <c r="F581">
        <v>-199</v>
      </c>
      <c r="G581">
        <v>-199</v>
      </c>
      <c r="H581">
        <v>-225</v>
      </c>
      <c r="I581">
        <v>-1074</v>
      </c>
      <c r="J581">
        <v>367</v>
      </c>
      <c r="K581">
        <v>-588</v>
      </c>
    </row>
    <row r="582" spans="2:11" x14ac:dyDescent="0.25">
      <c r="B582">
        <v>1610</v>
      </c>
      <c r="C582">
        <v>-491</v>
      </c>
      <c r="D582">
        <v>-604</v>
      </c>
      <c r="E582">
        <v>-3168</v>
      </c>
      <c r="F582">
        <v>-7318</v>
      </c>
      <c r="G582">
        <v>17759</v>
      </c>
      <c r="H582">
        <v>-1653</v>
      </c>
      <c r="I582">
        <v>9967</v>
      </c>
      <c r="J582">
        <v>0</v>
      </c>
      <c r="K582">
        <v>1641</v>
      </c>
    </row>
    <row r="583" spans="2:11" x14ac:dyDescent="0.25">
      <c r="B583">
        <v>557</v>
      </c>
      <c r="C583">
        <v>2521</v>
      </c>
      <c r="D583">
        <v>2237</v>
      </c>
      <c r="E583">
        <v>2502</v>
      </c>
      <c r="F583">
        <v>1441</v>
      </c>
      <c r="G583">
        <v>2794</v>
      </c>
      <c r="H583">
        <v>7213</v>
      </c>
      <c r="I583">
        <v>2966</v>
      </c>
      <c r="J583">
        <v>1671</v>
      </c>
      <c r="K583">
        <v>5309</v>
      </c>
    </row>
    <row r="584" spans="2:11" x14ac:dyDescent="0.25">
      <c r="B584">
        <v>4767</v>
      </c>
      <c r="C584">
        <v>5087</v>
      </c>
      <c r="D584">
        <v>3501</v>
      </c>
      <c r="E584">
        <v>5548</v>
      </c>
      <c r="F584">
        <v>8790</v>
      </c>
      <c r="G584">
        <v>0</v>
      </c>
      <c r="H584">
        <v>2147</v>
      </c>
      <c r="I584">
        <v>2095</v>
      </c>
      <c r="J584">
        <v>5845</v>
      </c>
      <c r="K584">
        <v>2252</v>
      </c>
    </row>
    <row r="585" spans="2:11" x14ac:dyDescent="0.25">
      <c r="B585">
        <v>2602</v>
      </c>
      <c r="C585">
        <v>0</v>
      </c>
      <c r="D585">
        <v>5116</v>
      </c>
      <c r="E585">
        <v>8883</v>
      </c>
      <c r="F585">
        <v>1844</v>
      </c>
      <c r="G585">
        <v>4031</v>
      </c>
      <c r="H585">
        <v>6032</v>
      </c>
      <c r="I585">
        <v>0</v>
      </c>
      <c r="J585">
        <v>5848</v>
      </c>
      <c r="K585">
        <v>0</v>
      </c>
    </row>
    <row r="586" spans="2:11" x14ac:dyDescent="0.25">
      <c r="B586">
        <v>3983</v>
      </c>
      <c r="C586">
        <v>6986</v>
      </c>
      <c r="D586">
        <v>3961</v>
      </c>
      <c r="E586">
        <v>1428</v>
      </c>
      <c r="F586">
        <v>1135</v>
      </c>
      <c r="G586">
        <v>12542</v>
      </c>
      <c r="H586">
        <v>0</v>
      </c>
      <c r="I586">
        <v>-727</v>
      </c>
      <c r="J586">
        <v>-1332</v>
      </c>
      <c r="K586">
        <v>-775</v>
      </c>
    </row>
    <row r="587" spans="2:11" x14ac:dyDescent="0.25">
      <c r="B587">
        <v>392</v>
      </c>
      <c r="C587">
        <v>-569</v>
      </c>
      <c r="D587">
        <v>657</v>
      </c>
      <c r="E587">
        <v>229</v>
      </c>
      <c r="F587">
        <v>-153</v>
      </c>
      <c r="G587">
        <v>-11</v>
      </c>
      <c r="H587">
        <v>-492</v>
      </c>
      <c r="I587">
        <v>1224</v>
      </c>
      <c r="J587">
        <v>1028</v>
      </c>
      <c r="K587">
        <v>-218</v>
      </c>
    </row>
    <row r="588" spans="2:11" x14ac:dyDescent="0.25">
      <c r="B588">
        <v>-251</v>
      </c>
      <c r="C588">
        <v>-465</v>
      </c>
      <c r="D588">
        <v>0</v>
      </c>
      <c r="E588">
        <v>0</v>
      </c>
      <c r="F588">
        <v>0</v>
      </c>
      <c r="G588">
        <v>232</v>
      </c>
      <c r="H588">
        <v>-127</v>
      </c>
      <c r="I588">
        <v>-35</v>
      </c>
      <c r="J588">
        <v>27</v>
      </c>
      <c r="K588">
        <v>576</v>
      </c>
    </row>
    <row r="589" spans="2:11" x14ac:dyDescent="0.25">
      <c r="B589">
        <v>-1515</v>
      </c>
      <c r="C589">
        <v>-28</v>
      </c>
      <c r="D589">
        <v>-59</v>
      </c>
      <c r="E589">
        <v>-116</v>
      </c>
      <c r="F589">
        <v>-50</v>
      </c>
      <c r="G589">
        <v>-248</v>
      </c>
      <c r="H589">
        <v>141</v>
      </c>
      <c r="I589">
        <v>-740</v>
      </c>
      <c r="J589">
        <v>-364</v>
      </c>
      <c r="K589">
        <v>736</v>
      </c>
    </row>
    <row r="590" spans="2:11" x14ac:dyDescent="0.25">
      <c r="B590">
        <v>-126</v>
      </c>
      <c r="C590">
        <v>7</v>
      </c>
      <c r="D590">
        <v>78</v>
      </c>
      <c r="E590">
        <v>8</v>
      </c>
      <c r="F590">
        <v>-67</v>
      </c>
      <c r="G590">
        <v>-111</v>
      </c>
      <c r="H590">
        <v>1221</v>
      </c>
      <c r="I590">
        <v>-2158</v>
      </c>
      <c r="J590">
        <v>-89</v>
      </c>
      <c r="K590">
        <v>-119</v>
      </c>
    </row>
    <row r="591" spans="2:11" x14ac:dyDescent="0.25">
      <c r="B591">
        <v>-121</v>
      </c>
      <c r="C591">
        <v>-91</v>
      </c>
      <c r="D591">
        <v>-222</v>
      </c>
      <c r="E591">
        <v>-831</v>
      </c>
      <c r="F591">
        <v>163</v>
      </c>
      <c r="G591">
        <v>-1254</v>
      </c>
      <c r="H591">
        <v>1016</v>
      </c>
      <c r="I591">
        <v>669</v>
      </c>
      <c r="J591">
        <v>-2808</v>
      </c>
      <c r="K591">
        <v>-4451</v>
      </c>
    </row>
    <row r="592" spans="2:11" x14ac:dyDescent="0.25">
      <c r="B592">
        <v>-20715</v>
      </c>
      <c r="C592">
        <v>49867</v>
      </c>
      <c r="D592">
        <v>-1791</v>
      </c>
      <c r="E592">
        <v>7771</v>
      </c>
      <c r="F592">
        <v>0</v>
      </c>
      <c r="G592">
        <v>1280</v>
      </c>
      <c r="H592">
        <v>436</v>
      </c>
      <c r="I592">
        <v>1959</v>
      </c>
      <c r="J592">
        <v>1738</v>
      </c>
      <c r="K592">
        <v>1947</v>
      </c>
    </row>
    <row r="593" spans="2:11" x14ac:dyDescent="0.25">
      <c r="B593">
        <v>1127</v>
      </c>
      <c r="C593">
        <v>2165</v>
      </c>
      <c r="D593">
        <v>5619</v>
      </c>
      <c r="E593">
        <v>2303</v>
      </c>
      <c r="F593">
        <v>1294</v>
      </c>
      <c r="G593">
        <v>4148</v>
      </c>
      <c r="H593">
        <v>3717</v>
      </c>
      <c r="I593">
        <v>3947</v>
      </c>
      <c r="J593">
        <v>2737</v>
      </c>
      <c r="K593">
        <v>4321</v>
      </c>
    </row>
    <row r="594" spans="2:11" x14ac:dyDescent="0.25">
      <c r="B594">
        <v>6855</v>
      </c>
      <c r="C594">
        <v>0</v>
      </c>
      <c r="D594">
        <v>1671</v>
      </c>
      <c r="E594">
        <v>1633</v>
      </c>
      <c r="F594">
        <v>4546</v>
      </c>
      <c r="G594">
        <v>1728</v>
      </c>
      <c r="H594">
        <v>2008</v>
      </c>
      <c r="I594">
        <v>0</v>
      </c>
      <c r="J594">
        <v>3984</v>
      </c>
      <c r="K594">
        <v>6920</v>
      </c>
    </row>
    <row r="595" spans="2:11" x14ac:dyDescent="0.25">
      <c r="B595">
        <v>1435</v>
      </c>
      <c r="C595">
        <v>3145</v>
      </c>
      <c r="D595">
        <v>4702</v>
      </c>
      <c r="E595">
        <v>0</v>
      </c>
      <c r="F595">
        <v>4560</v>
      </c>
      <c r="G595">
        <v>0</v>
      </c>
      <c r="H595">
        <v>3100</v>
      </c>
      <c r="I595">
        <v>5449</v>
      </c>
      <c r="J595">
        <v>3088</v>
      </c>
      <c r="K595">
        <v>3788</v>
      </c>
    </row>
    <row r="596" spans="2:11" x14ac:dyDescent="0.25">
      <c r="B596">
        <v>1054</v>
      </c>
      <c r="C596">
        <v>17334</v>
      </c>
      <c r="D596">
        <v>14676</v>
      </c>
      <c r="E596">
        <v>0</v>
      </c>
      <c r="F596">
        <v>0</v>
      </c>
      <c r="G596">
        <v>0</v>
      </c>
      <c r="H596">
        <v>0</v>
      </c>
      <c r="I596">
        <v>0</v>
      </c>
      <c r="J596">
        <v>0</v>
      </c>
      <c r="K596">
        <v>0</v>
      </c>
    </row>
    <row r="597" spans="2:11" x14ac:dyDescent="0.25">
      <c r="B597">
        <v>0</v>
      </c>
      <c r="C597">
        <v>0</v>
      </c>
      <c r="D597">
        <v>0</v>
      </c>
      <c r="E597">
        <v>0</v>
      </c>
      <c r="F597">
        <v>0</v>
      </c>
      <c r="G597">
        <v>0</v>
      </c>
      <c r="H597">
        <v>0</v>
      </c>
      <c r="I597">
        <v>0</v>
      </c>
      <c r="J597">
        <v>0</v>
      </c>
      <c r="K597">
        <v>0</v>
      </c>
    </row>
    <row r="598" spans="2:11" x14ac:dyDescent="0.25">
      <c r="B598">
        <v>0</v>
      </c>
      <c r="C598">
        <v>0</v>
      </c>
      <c r="D598">
        <v>0</v>
      </c>
      <c r="E598">
        <v>0</v>
      </c>
      <c r="F598">
        <v>0</v>
      </c>
      <c r="G598">
        <v>0</v>
      </c>
      <c r="H598">
        <v>0</v>
      </c>
      <c r="I598">
        <v>0</v>
      </c>
      <c r="J598">
        <v>0</v>
      </c>
      <c r="K598">
        <v>0</v>
      </c>
    </row>
    <row r="599" spans="2:11" x14ac:dyDescent="0.25">
      <c r="B599">
        <v>0</v>
      </c>
      <c r="C599">
        <v>0</v>
      </c>
      <c r="D599">
        <v>0</v>
      </c>
      <c r="E599">
        <v>0</v>
      </c>
      <c r="F599">
        <v>0</v>
      </c>
      <c r="G599">
        <v>0</v>
      </c>
      <c r="H599">
        <v>0</v>
      </c>
      <c r="I599">
        <v>0</v>
      </c>
      <c r="J599">
        <v>0</v>
      </c>
      <c r="K599">
        <v>0</v>
      </c>
    </row>
    <row r="600" spans="2:11" x14ac:dyDescent="0.25">
      <c r="B600">
        <v>0</v>
      </c>
      <c r="C600">
        <v>0</v>
      </c>
      <c r="D600">
        <v>0</v>
      </c>
      <c r="E600">
        <v>0</v>
      </c>
      <c r="F600">
        <v>0</v>
      </c>
      <c r="G600">
        <v>0</v>
      </c>
      <c r="H600">
        <v>0</v>
      </c>
      <c r="I600">
        <v>0</v>
      </c>
      <c r="J600">
        <v>0</v>
      </c>
      <c r="K600">
        <v>0</v>
      </c>
    </row>
    <row r="601" spans="2:11" x14ac:dyDescent="0.25">
      <c r="B601">
        <v>0</v>
      </c>
      <c r="C601">
        <v>0</v>
      </c>
      <c r="D601">
        <v>0</v>
      </c>
      <c r="E601">
        <v>0</v>
      </c>
      <c r="F601">
        <v>0</v>
      </c>
      <c r="G601">
        <v>0</v>
      </c>
      <c r="H601">
        <v>0</v>
      </c>
      <c r="I601">
        <v>0</v>
      </c>
      <c r="J601">
        <v>0</v>
      </c>
      <c r="K601">
        <v>0</v>
      </c>
    </row>
    <row r="602" spans="2:11" x14ac:dyDescent="0.25">
      <c r="B602">
        <v>0</v>
      </c>
      <c r="C602">
        <v>0</v>
      </c>
      <c r="D602">
        <v>0</v>
      </c>
      <c r="E602">
        <v>0</v>
      </c>
      <c r="F602">
        <v>0</v>
      </c>
      <c r="G602">
        <v>0</v>
      </c>
      <c r="H602">
        <v>0</v>
      </c>
      <c r="I602">
        <v>0</v>
      </c>
      <c r="J602">
        <v>0</v>
      </c>
      <c r="K602">
        <v>0</v>
      </c>
    </row>
    <row r="603" spans="2:11" x14ac:dyDescent="0.25">
      <c r="B603">
        <v>0</v>
      </c>
      <c r="C603">
        <v>0</v>
      </c>
      <c r="D603">
        <v>0</v>
      </c>
      <c r="E603">
        <v>0</v>
      </c>
      <c r="F603">
        <v>0</v>
      </c>
      <c r="G603">
        <v>0</v>
      </c>
      <c r="H603">
        <v>0</v>
      </c>
      <c r="I603">
        <v>0</v>
      </c>
      <c r="J603">
        <v>0</v>
      </c>
      <c r="K603">
        <v>0</v>
      </c>
    </row>
    <row r="604" spans="2:11" x14ac:dyDescent="0.25">
      <c r="B604">
        <v>0</v>
      </c>
      <c r="C604">
        <v>0</v>
      </c>
      <c r="D604">
        <v>0</v>
      </c>
      <c r="E604">
        <v>0</v>
      </c>
      <c r="F604">
        <v>0</v>
      </c>
      <c r="G604">
        <v>0</v>
      </c>
      <c r="H604">
        <v>0</v>
      </c>
      <c r="I604">
        <v>0</v>
      </c>
      <c r="J604">
        <v>0</v>
      </c>
      <c r="K604">
        <v>0</v>
      </c>
    </row>
    <row r="605" spans="2:11" x14ac:dyDescent="0.25">
      <c r="B605">
        <v>0</v>
      </c>
      <c r="C605">
        <v>0</v>
      </c>
      <c r="D605">
        <v>0</v>
      </c>
      <c r="E605">
        <v>0</v>
      </c>
      <c r="F605">
        <v>0</v>
      </c>
      <c r="G605">
        <v>0</v>
      </c>
      <c r="H605">
        <v>0</v>
      </c>
      <c r="I605">
        <v>0</v>
      </c>
      <c r="J605">
        <v>0</v>
      </c>
      <c r="K605">
        <v>0</v>
      </c>
    </row>
    <row r="606" spans="2:11" x14ac:dyDescent="0.25">
      <c r="B606">
        <v>0</v>
      </c>
      <c r="C606">
        <v>0</v>
      </c>
      <c r="D606">
        <v>0</v>
      </c>
      <c r="E606">
        <v>0</v>
      </c>
      <c r="F606">
        <v>0</v>
      </c>
      <c r="G606">
        <v>0</v>
      </c>
      <c r="H606">
        <v>0</v>
      </c>
      <c r="I606">
        <v>0</v>
      </c>
      <c r="J606">
        <v>0</v>
      </c>
      <c r="K606">
        <v>0</v>
      </c>
    </row>
    <row r="607" spans="2:11" x14ac:dyDescent="0.25">
      <c r="B607">
        <v>0</v>
      </c>
      <c r="C607">
        <v>0</v>
      </c>
      <c r="D607">
        <v>0</v>
      </c>
      <c r="E607">
        <v>0</v>
      </c>
      <c r="F607">
        <v>0</v>
      </c>
      <c r="G607">
        <v>0</v>
      </c>
      <c r="H607">
        <v>0</v>
      </c>
      <c r="I607">
        <v>0</v>
      </c>
      <c r="J607">
        <v>0</v>
      </c>
      <c r="K607">
        <v>0</v>
      </c>
    </row>
    <row r="608" spans="2:11" x14ac:dyDescent="0.25">
      <c r="B608">
        <v>0</v>
      </c>
      <c r="C608">
        <v>0</v>
      </c>
      <c r="D608">
        <v>0</v>
      </c>
      <c r="E608">
        <v>0</v>
      </c>
      <c r="F608">
        <v>0</v>
      </c>
      <c r="G608">
        <v>0</v>
      </c>
      <c r="H608">
        <v>0</v>
      </c>
      <c r="I608">
        <v>0</v>
      </c>
      <c r="J608">
        <v>0</v>
      </c>
      <c r="K608">
        <v>0</v>
      </c>
    </row>
    <row r="609" spans="2:11" x14ac:dyDescent="0.25">
      <c r="B609">
        <v>0</v>
      </c>
      <c r="C609">
        <v>0</v>
      </c>
      <c r="D609">
        <v>0</v>
      </c>
      <c r="E609">
        <v>0</v>
      </c>
      <c r="F609">
        <v>0</v>
      </c>
      <c r="G609">
        <v>0</v>
      </c>
      <c r="H609">
        <v>0</v>
      </c>
      <c r="I609">
        <v>0</v>
      </c>
      <c r="J609">
        <v>0</v>
      </c>
      <c r="K609">
        <v>0</v>
      </c>
    </row>
    <row r="610" spans="2:11" x14ac:dyDescent="0.25">
      <c r="B610">
        <v>0</v>
      </c>
      <c r="C610">
        <v>0</v>
      </c>
      <c r="D610">
        <v>0</v>
      </c>
      <c r="E610">
        <v>0</v>
      </c>
      <c r="F610">
        <v>0</v>
      </c>
      <c r="G610">
        <v>0</v>
      </c>
      <c r="H610">
        <v>0</v>
      </c>
      <c r="I610">
        <v>0</v>
      </c>
      <c r="J610">
        <v>0</v>
      </c>
      <c r="K610">
        <v>0</v>
      </c>
    </row>
    <row r="611" spans="2:11" x14ac:dyDescent="0.25">
      <c r="B611">
        <v>0</v>
      </c>
      <c r="C611">
        <v>0</v>
      </c>
      <c r="D611">
        <v>0</v>
      </c>
      <c r="E611">
        <v>0</v>
      </c>
      <c r="F611">
        <v>0</v>
      </c>
      <c r="G611">
        <v>0</v>
      </c>
      <c r="H611">
        <v>0</v>
      </c>
      <c r="I611">
        <v>0</v>
      </c>
      <c r="J611">
        <v>0</v>
      </c>
      <c r="K611">
        <v>0</v>
      </c>
    </row>
    <row r="612" spans="2:11" x14ac:dyDescent="0.25">
      <c r="B612">
        <v>0</v>
      </c>
      <c r="C612">
        <v>0</v>
      </c>
      <c r="D612">
        <v>0</v>
      </c>
      <c r="E612">
        <v>0</v>
      </c>
      <c r="F612">
        <v>0</v>
      </c>
      <c r="G612">
        <v>0</v>
      </c>
      <c r="H612">
        <v>0</v>
      </c>
      <c r="I612">
        <v>0</v>
      </c>
      <c r="J612">
        <v>0</v>
      </c>
      <c r="K612">
        <v>0</v>
      </c>
    </row>
    <row r="613" spans="2:11" x14ac:dyDescent="0.25">
      <c r="B613">
        <v>0</v>
      </c>
      <c r="C613">
        <v>0</v>
      </c>
      <c r="D613">
        <v>0</v>
      </c>
      <c r="E613">
        <v>0</v>
      </c>
      <c r="F613">
        <v>0</v>
      </c>
      <c r="G613">
        <v>0</v>
      </c>
      <c r="H613">
        <v>0</v>
      </c>
      <c r="I613">
        <v>0</v>
      </c>
      <c r="J613">
        <v>0</v>
      </c>
      <c r="K613">
        <v>0</v>
      </c>
    </row>
    <row r="614" spans="2:11" x14ac:dyDescent="0.25">
      <c r="B614">
        <v>0</v>
      </c>
      <c r="C614">
        <v>0</v>
      </c>
      <c r="D614">
        <v>0</v>
      </c>
      <c r="E614">
        <v>0</v>
      </c>
      <c r="F614">
        <v>0</v>
      </c>
      <c r="G614">
        <v>0</v>
      </c>
      <c r="H614">
        <v>0</v>
      </c>
      <c r="I614">
        <v>0</v>
      </c>
      <c r="J614">
        <v>0</v>
      </c>
      <c r="K614">
        <v>0</v>
      </c>
    </row>
    <row r="615" spans="2:11" x14ac:dyDescent="0.25">
      <c r="B615">
        <v>0</v>
      </c>
      <c r="C615">
        <v>0</v>
      </c>
      <c r="D615">
        <v>0</v>
      </c>
      <c r="E615">
        <v>0</v>
      </c>
      <c r="F615">
        <v>0</v>
      </c>
      <c r="G615">
        <v>0</v>
      </c>
      <c r="H615">
        <v>0</v>
      </c>
      <c r="I615">
        <v>0</v>
      </c>
      <c r="J615">
        <v>0</v>
      </c>
      <c r="K615">
        <v>0</v>
      </c>
    </row>
    <row r="616" spans="2:11" x14ac:dyDescent="0.25">
      <c r="B616">
        <v>0</v>
      </c>
      <c r="C616">
        <v>125</v>
      </c>
      <c r="D616">
        <v>448</v>
      </c>
      <c r="E616">
        <v>195</v>
      </c>
      <c r="F616">
        <v>-99</v>
      </c>
      <c r="G616">
        <v>262</v>
      </c>
      <c r="H616">
        <v>-36</v>
      </c>
      <c r="I616">
        <v>14</v>
      </c>
      <c r="J616">
        <v>42</v>
      </c>
      <c r="K616">
        <v>290</v>
      </c>
    </row>
    <row r="617" spans="2:11" x14ac:dyDescent="0.25">
      <c r="B617">
        <v>338</v>
      </c>
      <c r="C617">
        <v>-341</v>
      </c>
      <c r="D617">
        <v>-452</v>
      </c>
      <c r="E617">
        <v>71</v>
      </c>
      <c r="F617">
        <v>-6</v>
      </c>
      <c r="G617">
        <v>-13</v>
      </c>
      <c r="H617">
        <v>0</v>
      </c>
      <c r="I617">
        <v>0</v>
      </c>
      <c r="J617">
        <v>0</v>
      </c>
      <c r="K617">
        <v>11</v>
      </c>
    </row>
    <row r="618" spans="2:11" x14ac:dyDescent="0.25">
      <c r="B618">
        <v>19</v>
      </c>
      <c r="C618">
        <v>8</v>
      </c>
      <c r="D618">
        <v>-32</v>
      </c>
      <c r="E618">
        <v>-30</v>
      </c>
      <c r="F618">
        <v>76</v>
      </c>
      <c r="G618">
        <v>10</v>
      </c>
      <c r="H618">
        <v>14</v>
      </c>
      <c r="I618">
        <v>-24</v>
      </c>
      <c r="J618">
        <v>-53</v>
      </c>
      <c r="K618">
        <v>-8</v>
      </c>
    </row>
    <row r="619" spans="2:11" x14ac:dyDescent="0.25">
      <c r="B619">
        <v>-14</v>
      </c>
      <c r="C619">
        <v>36</v>
      </c>
      <c r="D619">
        <v>22</v>
      </c>
      <c r="E619">
        <v>-38</v>
      </c>
      <c r="F619">
        <v>16</v>
      </c>
      <c r="G619">
        <v>8</v>
      </c>
      <c r="H619">
        <v>0</v>
      </c>
      <c r="I619">
        <v>-20</v>
      </c>
      <c r="J619">
        <v>-43</v>
      </c>
      <c r="K619">
        <v>-5</v>
      </c>
    </row>
    <row r="620" spans="2:11" x14ac:dyDescent="0.25">
      <c r="B620">
        <v>-69</v>
      </c>
      <c r="C620">
        <v>106</v>
      </c>
      <c r="D620">
        <v>17</v>
      </c>
      <c r="E620">
        <v>13</v>
      </c>
      <c r="F620">
        <v>-8</v>
      </c>
      <c r="G620">
        <v>-44</v>
      </c>
      <c r="H620">
        <v>-6</v>
      </c>
      <c r="I620">
        <v>42</v>
      </c>
      <c r="J620">
        <v>-39</v>
      </c>
      <c r="K620">
        <v>-666</v>
      </c>
    </row>
    <row r="621" spans="2:11" x14ac:dyDescent="0.25">
      <c r="B621">
        <v>789</v>
      </c>
      <c r="C621">
        <v>-601</v>
      </c>
      <c r="D621">
        <v>257</v>
      </c>
      <c r="E621">
        <v>318</v>
      </c>
      <c r="F621">
        <v>-1108</v>
      </c>
      <c r="G621">
        <v>1140</v>
      </c>
      <c r="H621">
        <v>980</v>
      </c>
      <c r="I621">
        <v>-393</v>
      </c>
      <c r="J621">
        <v>0</v>
      </c>
      <c r="K621">
        <v>-69</v>
      </c>
    </row>
    <row r="622" spans="2:11" x14ac:dyDescent="0.25">
      <c r="B622">
        <v>-21</v>
      </c>
      <c r="C622">
        <v>-103</v>
      </c>
      <c r="D622">
        <v>-90</v>
      </c>
      <c r="E622">
        <v>-104</v>
      </c>
      <c r="F622">
        <v>-61</v>
      </c>
      <c r="G622">
        <v>-113</v>
      </c>
      <c r="H622">
        <v>-283</v>
      </c>
      <c r="I622">
        <v>-113</v>
      </c>
      <c r="J622">
        <v>-63</v>
      </c>
      <c r="K622">
        <v>-214</v>
      </c>
    </row>
    <row r="623" spans="2:11" x14ac:dyDescent="0.25">
      <c r="B623">
        <v>-188</v>
      </c>
      <c r="C623">
        <v>-193</v>
      </c>
      <c r="D623">
        <v>-139</v>
      </c>
      <c r="E623">
        <v>-220</v>
      </c>
      <c r="F623">
        <v>-346</v>
      </c>
      <c r="G623">
        <v>0</v>
      </c>
      <c r="H623">
        <v>-85</v>
      </c>
      <c r="I623">
        <v>-83</v>
      </c>
      <c r="J623">
        <v>-229</v>
      </c>
      <c r="K623">
        <v>-86</v>
      </c>
    </row>
    <row r="624" spans="2:11" x14ac:dyDescent="0.25">
      <c r="B624">
        <v>-106</v>
      </c>
      <c r="C624">
        <v>0</v>
      </c>
      <c r="D624">
        <v>-202</v>
      </c>
      <c r="E624">
        <v>-350</v>
      </c>
      <c r="F624">
        <v>-77</v>
      </c>
      <c r="G624">
        <v>-160</v>
      </c>
      <c r="H624">
        <v>-239</v>
      </c>
      <c r="I624">
        <v>0</v>
      </c>
      <c r="J624">
        <v>-232</v>
      </c>
      <c r="K624">
        <v>0</v>
      </c>
    </row>
    <row r="625" spans="2:11" x14ac:dyDescent="0.25">
      <c r="B625">
        <v>-152</v>
      </c>
      <c r="C625">
        <v>-277</v>
      </c>
      <c r="D625">
        <v>-156</v>
      </c>
      <c r="E625">
        <v>909</v>
      </c>
      <c r="F625">
        <v>86</v>
      </c>
      <c r="G625">
        <v>400</v>
      </c>
      <c r="H625">
        <v>482</v>
      </c>
      <c r="I625">
        <v>1279</v>
      </c>
      <c r="J625">
        <v>0</v>
      </c>
      <c r="K625">
        <v>0</v>
      </c>
    </row>
  </sheetData>
  <pageMargins bottom="0.75" footer="0.3" header="0.3" left="0.7" right="0.7" top="0.75"/>
  <pageSetup orientation="portrait" r:id="rId1" verticalDpi="0"/>
</worksheet>
</file>

<file path=xl/worksheets/sheet7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>
    <tabColor rgb="FF00B050"/>
  </sheetPr>
  <dimension ref="A1:AD141"/>
  <sheetViews>
    <sheetView workbookViewId="0" zoomScale="85" zoomScaleNormal="85">
      <selection activeCell="Z10" sqref="Z10"/>
    </sheetView>
  </sheetViews>
  <sheetFormatPr defaultRowHeight="15" x14ac:dyDescent="0.25"/>
  <cols>
    <col min="1" max="2" style="296" width="9.140625" collapsed="true"/>
    <col min="3" max="3" bestFit="true" customWidth="true" style="296" width="12.7109375" collapsed="true"/>
    <col min="4" max="4" customWidth="true" style="295" width="18.85546875" collapsed="true"/>
    <col min="5" max="5" customWidth="true" style="296" width="6.7109375" collapsed="true"/>
    <col min="6" max="6" customWidth="true" style="296" width="12.7109375" collapsed="true"/>
    <col min="7" max="8" customWidth="true" style="295" width="18.85546875" collapsed="true"/>
    <col min="9" max="9" customWidth="true" style="295" width="6.5703125" collapsed="true"/>
    <col min="10" max="10" customWidth="true" style="295" width="10.140625" collapsed="true"/>
    <col min="11" max="16" customWidth="true" style="295" width="9.85546875" collapsed="true"/>
    <col min="17" max="19" style="296" width="9.140625" collapsed="true"/>
    <col min="20" max="20" customWidth="true" style="296" width="13.0" collapsed="true"/>
    <col min="21" max="21" customWidth="true" style="298" width="19.5703125" collapsed="true"/>
    <col min="22" max="22" customWidth="true" style="334" width="19.5703125" collapsed="true"/>
    <col min="23" max="23" style="296" width="9.140625" collapsed="true"/>
    <col min="24" max="24" customWidth="true" style="296" width="9.140625" collapsed="true"/>
    <col min="25" max="16384" style="296" width="9.140625" collapsed="true"/>
  </cols>
  <sheetData>
    <row r="1" spans="3:29" x14ac:dyDescent="0.25">
      <c r="C1" s="10" t="s">
        <v>41</v>
      </c>
      <c r="F1" s="10" t="s">
        <v>42</v>
      </c>
      <c r="S1" s="297" t="s">
        <v>253</v>
      </c>
      <c r="X1" s="297"/>
      <c r="Y1" s="297" t="s">
        <v>253</v>
      </c>
      <c r="Z1" s="321"/>
      <c r="AA1" s="321"/>
      <c r="AB1" s="321"/>
      <c r="AC1" s="321"/>
    </row>
    <row ht="15.75" r="2" spans="3:29" thickBot="1" x14ac:dyDescent="0.3">
      <c r="C2" s="297" t="s">
        <v>43</v>
      </c>
      <c r="R2" s="10" t="s">
        <v>91</v>
      </c>
      <c r="S2" s="10" t="s">
        <v>247</v>
      </c>
      <c r="T2" s="10" t="s">
        <v>254</v>
      </c>
      <c r="U2" s="363" t="s">
        <v>255</v>
      </c>
      <c r="V2" s="364" t="s">
        <v>256</v>
      </c>
      <c r="Y2" s="321"/>
      <c r="Z2" s="297" t="s">
        <v>257</v>
      </c>
      <c r="AA2"/>
      <c r="AB2" s="321"/>
      <c r="AC2" s="321"/>
    </row>
    <row r="3" spans="3:29" x14ac:dyDescent="0.25">
      <c r="C3" s="299" t="s">
        <v>3</v>
      </c>
      <c r="D3" s="300" t="s">
        <v>44</v>
      </c>
      <c r="F3" s="299" t="s">
        <v>3</v>
      </c>
      <c r="G3" s="300" t="s">
        <v>44</v>
      </c>
      <c r="H3" s="350"/>
      <c r="I3" s="350"/>
      <c r="J3" s="350"/>
      <c r="K3" s="350"/>
      <c r="L3" s="350"/>
      <c r="M3" s="350"/>
      <c r="N3" s="350"/>
      <c r="O3" s="350"/>
      <c r="P3" s="350"/>
      <c r="Q3" s="301"/>
      <c r="R3" s="296" t="str">
        <f>VLOOKUP(S3,Coeff_Descr!$A:$D,3,FALSE)</f>
        <v>ALL</v>
      </c>
      <c r="S3" s="296">
        <f>OtherTourDestination!B11</f>
        <v>1</v>
      </c>
      <c r="T3" s="296" t="str">
        <f>OtherTourDestination!C11</f>
        <v>Beta00001</v>
      </c>
      <c r="U3" s="298">
        <f>OtherTourDestination!E11</f>
        <v>1</v>
      </c>
      <c r="V3" s="337">
        <f>_xlfn.IFNA(VLOOKUP(S3,$B$43:$D$46,3,FALSE),U3)</f>
        <v>1</v>
      </c>
      <c r="Y3">
        <v>1</v>
      </c>
      <c r="Z3" s="294" t="s">
        <v>312</v>
      </c>
      <c r="AA3"/>
      <c r="AB3" s="321"/>
      <c r="AC3" s="321"/>
    </row>
    <row r="4" spans="3:29" x14ac:dyDescent="0.25">
      <c r="C4" s="302" t="s">
        <v>47</v>
      </c>
      <c r="D4" s="303">
        <f>TLFD!B11</f>
        <v>18749.284189000002</v>
      </c>
      <c r="F4" s="302" t="s">
        <v>47</v>
      </c>
      <c r="G4" s="303">
        <f>TLFD!F11</f>
        <v>19640</v>
      </c>
      <c r="H4" s="303"/>
      <c r="I4" s="303"/>
      <c r="J4" s="303"/>
      <c r="K4" s="303"/>
      <c r="L4" s="303"/>
      <c r="M4" s="303"/>
      <c r="N4" s="303"/>
      <c r="O4" s="303"/>
      <c r="P4" s="303"/>
      <c r="Q4" s="304"/>
      <c r="R4" s="296" t="str">
        <f>VLOOKUP(S4,Coeff_Descr!$A:$D,3,FALSE)</f>
        <v>ALL</v>
      </c>
      <c r="S4" s="296">
        <f>OtherTourDestination!B12</f>
        <v>2</v>
      </c>
      <c r="T4" s="296" t="str">
        <f>OtherTourDestination!C12</f>
        <v>Beta00002</v>
      </c>
      <c r="U4" s="298">
        <f>OtherTourDestination!E12</f>
        <v>14.646264049799999</v>
      </c>
      <c r="V4" s="337">
        <f>_xlfn.IFNA(VLOOKUP(S4,$B$43:$D$46,3,FALSE),U4)</f>
        <v>14.646264049799999</v>
      </c>
      <c r="Y4">
        <v>2</v>
      </c>
      <c r="Z4" s="294" t="s">
        <v>258</v>
      </c>
      <c r="AA4"/>
      <c r="AB4" s="321"/>
      <c r="AC4" s="321"/>
    </row>
    <row r="5" spans="3:29" x14ac:dyDescent="0.25">
      <c r="C5" s="305" t="s">
        <v>50</v>
      </c>
      <c r="D5" s="306">
        <f>TLFD!B12+TLFD!B13+(TLFD!B14/2)</f>
        <v>50377.038056500001</v>
      </c>
      <c r="F5" s="305" t="s">
        <v>50</v>
      </c>
      <c r="G5" s="306">
        <f>TLFD!F12+TLFD!F13+(TLFD!F14/2)</f>
        <v>67887.5</v>
      </c>
      <c r="H5" s="306"/>
      <c r="I5" s="306"/>
      <c r="J5" s="306"/>
      <c r="K5" s="306"/>
      <c r="L5" s="306"/>
      <c r="M5" s="306"/>
      <c r="N5" s="306"/>
      <c r="O5" s="306"/>
      <c r="P5" s="306"/>
      <c r="Q5" s="304"/>
      <c r="R5" s="296" t="str">
        <f>VLOOKUP(S5,Coeff_Descr!$A:$D,3,FALSE)</f>
        <v>ALL</v>
      </c>
      <c r="S5" s="296">
        <f>OtherTourDestination!B13</f>
        <v>3</v>
      </c>
      <c r="T5" s="296" t="str">
        <f>OtherTourDestination!C13</f>
        <v>Beta00003</v>
      </c>
      <c r="U5" s="298">
        <f>OtherTourDestination!E13</f>
        <v>0.22200781244000001</v>
      </c>
      <c r="V5" s="337">
        <f ref="V5:V68" si="0" t="shared">_xlfn.IFNA(VLOOKUP(S5,$B$43:$D$46,3,FALSE),U5)</f>
        <v>0.22200781244000001</v>
      </c>
      <c r="Y5">
        <v>3</v>
      </c>
      <c r="Z5" s="321" t="s">
        <v>259</v>
      </c>
      <c r="AA5" s="321"/>
      <c r="AB5" s="321"/>
      <c r="AC5" s="321"/>
    </row>
    <row r="6" spans="3:29" x14ac:dyDescent="0.25">
      <c r="C6" s="305" t="s">
        <v>53</v>
      </c>
      <c r="D6" s="306">
        <f>(TLFD!B14/2)+SUM(TLFD!B15:B20)</f>
        <v>45043.406414499994</v>
      </c>
      <c r="F6" s="305" t="s">
        <v>53</v>
      </c>
      <c r="G6" s="306">
        <f>(TLFD!F14/2)+SUM(TLFD!F15:F20)</f>
        <v>55903.5</v>
      </c>
      <c r="H6" s="306"/>
      <c r="I6" s="306"/>
      <c r="J6" s="306"/>
      <c r="K6" s="306"/>
      <c r="L6" s="306"/>
      <c r="M6" s="306"/>
      <c r="N6" s="306"/>
      <c r="O6" s="306"/>
      <c r="P6" s="306"/>
      <c r="Q6" s="307"/>
      <c r="R6" s="296" t="str">
        <f>VLOOKUP(S6,Coeff_Descr!$A:$D,3,FALSE)</f>
        <v>ALL</v>
      </c>
      <c r="S6" s="296">
        <f>OtherTourDestination!B14</f>
        <v>4</v>
      </c>
      <c r="T6" s="296" t="str">
        <f>OtherTourDestination!C14</f>
        <v>Beta00004</v>
      </c>
      <c r="U6" s="298">
        <f>OtherTourDestination!E14</f>
        <v>-2.8145955800000001E-2</v>
      </c>
      <c r="V6" s="337">
        <f si="0" t="shared"/>
        <v>-2.8145955800000001E-2</v>
      </c>
      <c r="Y6">
        <v>4</v>
      </c>
      <c r="Z6" s="321" t="s">
        <v>260</v>
      </c>
      <c r="AA6" s="321"/>
      <c r="AB6" s="321"/>
      <c r="AC6" s="321"/>
    </row>
    <row r="7" spans="3:29" x14ac:dyDescent="0.25">
      <c r="C7" s="308" t="s">
        <v>56</v>
      </c>
      <c r="D7" s="309">
        <f>SUM(TLFD!B21:B101)</f>
        <v>30256.957504000005</v>
      </c>
      <c r="F7" s="308" t="s">
        <v>56</v>
      </c>
      <c r="G7" s="309">
        <f>SUM(TLFD!F21:F101)</f>
        <v>31175</v>
      </c>
      <c r="H7" s="351"/>
      <c r="I7" s="351"/>
      <c r="J7" s="351"/>
      <c r="K7" s="351"/>
      <c r="L7" s="351"/>
      <c r="M7" s="351"/>
      <c r="N7" s="351"/>
      <c r="O7" s="351"/>
      <c r="P7" s="351"/>
      <c r="Q7" s="310"/>
      <c r="R7" s="296" t="str">
        <f>VLOOKUP(S7,Coeff_Descr!$A:$D,3,FALSE)</f>
        <v>ALL</v>
      </c>
      <c r="S7" s="296">
        <f>OtherTourDestination!B15</f>
        <v>5</v>
      </c>
      <c r="T7" s="296" t="str">
        <f>OtherTourDestination!C15</f>
        <v>Beta00005</v>
      </c>
      <c r="U7" s="298">
        <f>OtherTourDestination!E15</f>
        <v>9.8040262330000003E-2</v>
      </c>
      <c r="V7" s="337">
        <f si="0" t="shared"/>
        <v>9.8040262330000003E-2</v>
      </c>
      <c r="Y7" s="321">
        <v>5</v>
      </c>
      <c r="Z7" s="321" t="s">
        <v>261</v>
      </c>
      <c r="AA7" s="321"/>
      <c r="AB7" s="321"/>
      <c r="AC7" s="321"/>
    </row>
    <row ht="15.75" r="8" spans="3:29" thickBot="1" x14ac:dyDescent="0.3">
      <c r="C8" s="311" t="s">
        <v>4</v>
      </c>
      <c r="D8" s="312">
        <f>SUM(D4:D7)</f>
        <v>144426.68616400001</v>
      </c>
      <c r="E8" s="313"/>
      <c r="F8" s="311" t="s">
        <v>4</v>
      </c>
      <c r="G8" s="312">
        <f>SUM(G4:G7)</f>
        <v>174606</v>
      </c>
      <c r="H8" s="352"/>
      <c r="I8" s="352"/>
      <c r="J8" s="352" t="s">
        <v>252</v>
      </c>
      <c r="K8" s="360">
        <v>1</v>
      </c>
      <c r="L8" s="357"/>
      <c r="M8" s="357"/>
      <c r="N8" s="357"/>
      <c r="O8" s="357"/>
      <c r="P8" s="357"/>
      <c r="R8" s="296" t="str">
        <f>VLOOKUP(S8,Coeff_Descr!$A:$D,3,FALSE)</f>
        <v>ALL</v>
      </c>
      <c r="S8" s="296">
        <f>OtherTourDestination!B16</f>
        <v>6</v>
      </c>
      <c r="T8" s="296" t="str">
        <f>OtherTourDestination!C16</f>
        <v>Beta00006</v>
      </c>
      <c r="U8" s="298">
        <f>OtherTourDestination!E16</f>
        <v>0.42673478574000001</v>
      </c>
      <c r="V8" s="337">
        <f si="0" t="shared"/>
        <v>0.42673478574000001</v>
      </c>
      <c r="Y8" s="321"/>
      <c r="Z8" s="321"/>
      <c r="AA8" s="321"/>
      <c r="AB8" s="321"/>
      <c r="AC8" s="321"/>
    </row>
    <row r="9" spans="3:29" x14ac:dyDescent="0.25">
      <c r="R9" s="296" t="str">
        <f>VLOOKUP(S9,Coeff_Descr!$A:$D,3,FALSE)</f>
        <v>ALL</v>
      </c>
      <c r="S9" s="296">
        <f>OtherTourDestination!B17</f>
        <v>7</v>
      </c>
      <c r="T9" s="296" t="str">
        <f>OtherTourDestination!C17</f>
        <v>Beta00007</v>
      </c>
      <c r="U9" s="298">
        <f>OtherTourDestination!E17</f>
        <v>-1.7969923454700001</v>
      </c>
      <c r="V9" s="337">
        <f si="0" t="shared"/>
        <v>-1.7969923454700001</v>
      </c>
      <c r="Y9" s="321"/>
      <c r="Z9" s="365" t="s">
        <v>262</v>
      </c>
      <c r="AA9" s="321"/>
      <c r="AB9" s="321"/>
      <c r="AC9" s="321"/>
    </row>
    <row ht="15.75" r="10" spans="3:29" thickBot="1" x14ac:dyDescent="0.3">
      <c r="C10" s="314" t="s">
        <v>63</v>
      </c>
      <c r="I10" s="354" t="s">
        <v>248</v>
      </c>
      <c r="J10" s="355"/>
      <c r="K10" s="355"/>
      <c r="L10" s="381"/>
      <c r="M10" s="381"/>
      <c r="N10" s="381"/>
      <c r="O10" s="381"/>
      <c r="P10" s="381"/>
      <c r="Q10" s="301"/>
      <c r="R10" s="296" t="str">
        <f>VLOOKUP(S10,Coeff_Descr!$A:$D,3,FALSE)</f>
        <v>ALL</v>
      </c>
      <c r="S10" s="296">
        <f>OtherTourDestination!B18</f>
        <v>8</v>
      </c>
      <c r="T10" s="296" t="str">
        <f>OtherTourDestination!C18</f>
        <v>Beta00008</v>
      </c>
      <c r="U10" s="298">
        <f>OtherTourDestination!E18</f>
        <v>1.4351261662999999</v>
      </c>
      <c r="V10" s="337">
        <f si="0" t="shared"/>
        <v>1.4351261662999999</v>
      </c>
      <c r="Y10" s="321">
        <v>1</v>
      </c>
      <c r="Z10" s="294" t="s">
        <v>312</v>
      </c>
      <c r="AA10" s="321"/>
      <c r="AB10" s="321"/>
      <c r="AC10" s="321"/>
    </row>
    <row r="11" spans="3:29" x14ac:dyDescent="0.25">
      <c r="C11" s="299" t="s">
        <v>3</v>
      </c>
      <c r="D11" s="300" t="s">
        <v>44</v>
      </c>
      <c r="F11" s="299" t="s">
        <v>3</v>
      </c>
      <c r="G11" s="300" t="s">
        <v>44</v>
      </c>
      <c r="H11" s="350"/>
      <c r="I11" s="300" t="s">
        <v>249</v>
      </c>
      <c r="J11" s="300" t="s">
        <v>250</v>
      </c>
      <c r="K11" s="300" t="s">
        <v>251</v>
      </c>
      <c r="L11" s="350"/>
      <c r="M11" s="350"/>
      <c r="N11" s="350"/>
      <c r="O11" s="350"/>
      <c r="P11" s="350"/>
      <c r="Q11" s="315"/>
      <c r="R11" s="296" t="str">
        <f>VLOOKUP(S11,Coeff_Descr!$A:$D,3,FALSE)</f>
        <v>ALL</v>
      </c>
      <c r="S11" s="296">
        <f>OtherTourDestination!B19</f>
        <v>9</v>
      </c>
      <c r="T11" s="296" t="str">
        <f>OtherTourDestination!C19</f>
        <v>Beta00009</v>
      </c>
      <c r="U11" s="298">
        <f>OtherTourDestination!E19</f>
        <v>0.75752967669000004</v>
      </c>
      <c r="V11" s="337">
        <f si="0" t="shared"/>
        <v>0.75752967669000004</v>
      </c>
      <c r="Y11" s="321">
        <v>2</v>
      </c>
      <c r="Z11" s="321" t="s">
        <v>263</v>
      </c>
      <c r="AA11" s="321"/>
      <c r="AB11" s="321"/>
      <c r="AC11" s="321"/>
    </row>
    <row r="12" spans="3:29" x14ac:dyDescent="0.25">
      <c r="C12" s="302" t="s">
        <v>47</v>
      </c>
      <c r="D12" s="316">
        <f>D4/D$8</f>
        <v>0.12981869685571637</v>
      </c>
      <c r="F12" s="302" t="s">
        <v>47</v>
      </c>
      <c r="G12" s="316">
        <f>G4/G$8</f>
        <v>0.1124818162033378</v>
      </c>
      <c r="H12" s="316"/>
      <c r="I12" s="356">
        <f>D12/G12</f>
        <v>1.1541305184923225</v>
      </c>
      <c r="J12" s="357">
        <f>LN(I12)</f>
        <v>0.14334726263703129</v>
      </c>
      <c r="K12" s="357">
        <f>K8*J12</f>
        <v>0.14334726263703129</v>
      </c>
      <c r="L12" s="357"/>
      <c r="M12" s="357"/>
      <c r="N12" s="357"/>
      <c r="O12" s="357"/>
      <c r="P12" s="357"/>
      <c r="Q12" s="315"/>
      <c r="R12" s="296" t="str">
        <f>VLOOKUP(S12,Coeff_Descr!$A:$D,3,FALSE)</f>
        <v>ALL</v>
      </c>
      <c r="S12" s="296">
        <f>OtherTourDestination!B20</f>
        <v>10</v>
      </c>
      <c r="T12" s="296" t="str">
        <f>OtherTourDestination!C20</f>
        <v>Beta00010</v>
      </c>
      <c r="U12" s="298">
        <f>OtherTourDestination!E20</f>
        <v>-0.30290505894999997</v>
      </c>
      <c r="V12" s="337">
        <f si="0" t="shared"/>
        <v>-0.30290505894999997</v>
      </c>
      <c r="Y12" s="321">
        <v>3</v>
      </c>
      <c r="Z12" s="321" t="s">
        <v>264</v>
      </c>
      <c r="AA12" s="321"/>
      <c r="AB12" s="321"/>
      <c r="AC12" s="321"/>
    </row>
    <row r="13" spans="3:29" x14ac:dyDescent="0.25">
      <c r="C13" s="305" t="s">
        <v>50</v>
      </c>
      <c r="D13" s="317">
        <f ref="D13:D16" si="1" t="shared">D5/D$8</f>
        <v>0.34880699263081927</v>
      </c>
      <c r="F13" s="305" t="s">
        <v>50</v>
      </c>
      <c r="G13" s="317">
        <f ref="G13:G16" si="2" t="shared">G5/G$8</f>
        <v>0.3888039357181311</v>
      </c>
      <c r="H13" s="317"/>
      <c r="I13" s="356">
        <f ref="I13:I15" si="3" t="shared">D13/G13</f>
        <v>0.89712824533672375</v>
      </c>
      <c r="J13" s="357">
        <f ref="J13:J15" si="4" t="shared">LN(I13)</f>
        <v>-0.10855645575289449</v>
      </c>
      <c r="K13" s="357">
        <f>K8*(J13-J12)</f>
        <v>-0.25190371838992576</v>
      </c>
      <c r="L13" s="357"/>
      <c r="M13" s="357"/>
      <c r="N13" s="357"/>
      <c r="O13" s="357"/>
      <c r="P13" s="357"/>
      <c r="Q13" s="315"/>
      <c r="R13" s="296" t="str">
        <f>VLOOKUP(S13,Coeff_Descr!$A:$D,3,FALSE)</f>
        <v>ALL</v>
      </c>
      <c r="S13" s="296">
        <f>OtherTourDestination!B21</f>
        <v>11</v>
      </c>
      <c r="T13" s="296" t="str">
        <f>OtherTourDestination!C21</f>
        <v>Beta00011</v>
      </c>
      <c r="U13" s="298">
        <f>OtherTourDestination!E21</f>
        <v>-0.87303985647000004</v>
      </c>
      <c r="V13" s="337">
        <f si="0" t="shared"/>
        <v>-0.87303985647000004</v>
      </c>
      <c r="Y13" s="321">
        <v>4</v>
      </c>
      <c r="Z13" s="321" t="s">
        <v>265</v>
      </c>
      <c r="AA13" s="321"/>
      <c r="AB13" s="321"/>
      <c r="AC13" s="321"/>
    </row>
    <row r="14" spans="3:29" x14ac:dyDescent="0.25">
      <c r="C14" s="305" t="s">
        <v>53</v>
      </c>
      <c r="D14" s="317">
        <f si="1" t="shared"/>
        <v>0.3118773102870484</v>
      </c>
      <c r="F14" s="305" t="s">
        <v>53</v>
      </c>
      <c r="G14" s="317">
        <f si="2" t="shared"/>
        <v>0.32016940998591115</v>
      </c>
      <c r="H14" s="317"/>
      <c r="I14" s="356">
        <f si="3" t="shared"/>
        <v>0.97410089958554247</v>
      </c>
      <c r="J14" s="357">
        <f si="4" t="shared"/>
        <v>-2.6240387701349583E-2</v>
      </c>
      <c r="K14" s="357">
        <f>K8*(J14-J13-J12)</f>
        <v>-6.1031194585486379E-2</v>
      </c>
      <c r="L14" s="357"/>
      <c r="M14" s="357"/>
      <c r="N14" s="357"/>
      <c r="O14" s="357"/>
      <c r="P14" s="357"/>
      <c r="Q14" s="318"/>
      <c r="R14" s="296" t="str">
        <f>VLOOKUP(S14,Coeff_Descr!$A:$D,3,FALSE)</f>
        <v>ALL</v>
      </c>
      <c r="S14" s="296">
        <f>OtherTourDestination!B22</f>
        <v>12</v>
      </c>
      <c r="T14" s="296" t="str">
        <f>OtherTourDestination!C22</f>
        <v>Beta00012</v>
      </c>
      <c r="U14" s="298">
        <f>OtherTourDestination!E22</f>
        <v>-1.0505382935000001</v>
      </c>
      <c r="V14" s="337">
        <f si="0" t="shared"/>
        <v>-1.0505382935000001</v>
      </c>
      <c r="Y14" s="321">
        <v>5</v>
      </c>
      <c r="Z14" s="294" t="s">
        <v>266</v>
      </c>
      <c r="AA14" s="321"/>
      <c r="AB14" s="321"/>
      <c r="AC14" s="321"/>
    </row>
    <row ht="15.75" r="15" spans="3:29" thickBot="1" x14ac:dyDescent="0.3">
      <c r="C15" s="308" t="s">
        <v>56</v>
      </c>
      <c r="D15" s="317">
        <f si="1" t="shared"/>
        <v>0.20949700022641587</v>
      </c>
      <c r="F15" s="308" t="s">
        <v>56</v>
      </c>
      <c r="G15" s="317">
        <f si="2" t="shared"/>
        <v>0.17854483809261995</v>
      </c>
      <c r="H15" s="317"/>
      <c r="I15" s="358">
        <f si="3" t="shared"/>
        <v>1.1733579221021193</v>
      </c>
      <c r="J15" s="359">
        <f si="4" t="shared"/>
        <v>0.15986965705934858</v>
      </c>
      <c r="K15" s="359">
        <f>K8*(J15-J14-J13-J12)</f>
        <v>0.15131923787656137</v>
      </c>
      <c r="L15" s="357"/>
      <c r="M15" s="357"/>
      <c r="N15" s="357"/>
      <c r="O15" s="357"/>
      <c r="P15" s="357"/>
      <c r="R15" s="296" t="str">
        <f>VLOOKUP(S15,Coeff_Descr!$A:$D,3,FALSE)</f>
        <v>ALL</v>
      </c>
      <c r="S15" s="296">
        <f>OtherTourDestination!B23</f>
        <v>13</v>
      </c>
      <c r="T15" s="296" t="str">
        <f>OtherTourDestination!C23</f>
        <v>Beta00013</v>
      </c>
      <c r="U15" s="298">
        <f>OtherTourDestination!E23</f>
        <v>-0.48292853740000002</v>
      </c>
      <c r="V15" s="337">
        <f si="0" t="shared"/>
        <v>-0.48292853740000002</v>
      </c>
      <c r="Y15" s="321">
        <v>6</v>
      </c>
      <c r="Z15" s="321" t="s">
        <v>267</v>
      </c>
      <c r="AA15" s="321"/>
      <c r="AB15" s="321"/>
      <c r="AC15" s="321"/>
    </row>
    <row ht="15.75" r="16" spans="3:29" thickBot="1" x14ac:dyDescent="0.3">
      <c r="C16" s="311" t="s">
        <v>4</v>
      </c>
      <c r="D16" s="319">
        <f si="1" t="shared"/>
        <v>1</v>
      </c>
      <c r="E16" s="313"/>
      <c r="F16" s="311" t="s">
        <v>4</v>
      </c>
      <c r="G16" s="319">
        <f si="2" t="shared"/>
        <v>1</v>
      </c>
      <c r="H16" s="353"/>
      <c r="I16" s="356"/>
      <c r="J16" s="356"/>
      <c r="K16" s="356"/>
      <c r="L16" s="356"/>
      <c r="M16" s="356"/>
      <c r="N16" s="356"/>
      <c r="O16" s="356"/>
      <c r="P16" s="356"/>
      <c r="R16" s="296" t="str">
        <f>VLOOKUP(S16,Coeff_Descr!$A:$D,3,FALSE)</f>
        <v>ALL</v>
      </c>
      <c r="S16" s="296">
        <f>OtherTourDestination!B24</f>
        <v>14</v>
      </c>
      <c r="T16" s="296" t="str">
        <f>OtherTourDestination!C24</f>
        <v>Beta00014</v>
      </c>
      <c r="U16" s="298">
        <f>OtherTourDestination!E24</f>
        <v>-0.23954858711999999</v>
      </c>
      <c r="V16" s="337">
        <f si="0" t="shared"/>
        <v>-0.23954858711999999</v>
      </c>
      <c r="Y16" s="321">
        <v>7</v>
      </c>
      <c r="Z16" s="321" t="s">
        <v>260</v>
      </c>
      <c r="AA16" s="321"/>
      <c r="AB16" s="321"/>
      <c r="AC16" s="321"/>
    </row>
    <row r="17" spans="2:29" x14ac:dyDescent="0.25">
      <c r="R17" s="296" t="str">
        <f>VLOOKUP(S17,Coeff_Descr!$A:$D,3,FALSE)</f>
        <v>ALL</v>
      </c>
      <c r="S17" s="296">
        <f>OtherTourDestination!B25</f>
        <v>15</v>
      </c>
      <c r="T17" s="296" t="str">
        <f>OtherTourDestination!C25</f>
        <v>Beta00015</v>
      </c>
      <c r="U17" s="298">
        <f>OtherTourDestination!E25</f>
        <v>1.8108489737</v>
      </c>
      <c r="V17" s="337">
        <f si="0" t="shared"/>
        <v>1.8108489737</v>
      </c>
      <c r="Y17" s="321">
        <v>8</v>
      </c>
      <c r="Z17" s="321" t="s">
        <v>268</v>
      </c>
      <c r="AA17" s="321"/>
      <c r="AB17" s="321"/>
      <c r="AC17" s="321"/>
    </row>
    <row r="18" spans="2:29" x14ac:dyDescent="0.25">
      <c r="I18" s="361"/>
      <c r="J18" s="361"/>
      <c r="K18" s="357"/>
      <c r="L18" s="357"/>
      <c r="M18" s="357"/>
      <c r="N18" s="357"/>
      <c r="O18" s="357"/>
      <c r="P18" s="357"/>
      <c r="R18" s="296" t="str">
        <f>VLOOKUP(S18,Coeff_Descr!$A:$D,3,FALSE)</f>
        <v>ALL</v>
      </c>
      <c r="S18" s="296">
        <f>OtherTourDestination!B26</f>
        <v>16</v>
      </c>
      <c r="T18" s="296" t="str">
        <f>OtherTourDestination!C26</f>
        <v>Beta00016</v>
      </c>
      <c r="U18" s="298">
        <f>OtherTourDestination!E26</f>
        <v>0.83658874170999997</v>
      </c>
      <c r="V18" s="337">
        <f si="0" t="shared"/>
        <v>0.83658874170999997</v>
      </c>
    </row>
    <row r="19" spans="2:29" x14ac:dyDescent="0.25">
      <c r="C19" s="320" t="s">
        <v>82</v>
      </c>
      <c r="I19" s="361"/>
      <c r="J19" s="361"/>
      <c r="K19" s="357"/>
      <c r="L19" s="357"/>
      <c r="M19" s="357"/>
      <c r="N19" s="357"/>
      <c r="O19" s="357"/>
      <c r="P19" s="357"/>
      <c r="R19" s="296" t="str">
        <f>VLOOKUP(S19,Coeff_Descr!$A:$D,3,FALSE)</f>
        <v>ALL</v>
      </c>
      <c r="S19" s="296">
        <f>OtherTourDestination!B27</f>
        <v>17</v>
      </c>
      <c r="T19" s="296" t="str">
        <f>OtherTourDestination!C27</f>
        <v>Beta00017</v>
      </c>
      <c r="U19" s="298">
        <f>OtherTourDestination!E27</f>
        <v>0</v>
      </c>
      <c r="V19" s="337">
        <f si="0" t="shared"/>
        <v>0</v>
      </c>
    </row>
    <row r="20" spans="2:29" x14ac:dyDescent="0.25">
      <c r="C20" s="320" t="s">
        <v>85</v>
      </c>
      <c r="I20" s="361"/>
      <c r="J20" s="361"/>
      <c r="K20" s="357"/>
      <c r="L20" s="357"/>
      <c r="M20" s="357"/>
      <c r="N20" s="357"/>
      <c r="O20" s="357"/>
      <c r="P20" s="357"/>
      <c r="R20" s="296" t="str">
        <f>VLOOKUP(S20,Coeff_Descr!$A:$D,3,FALSE)</f>
        <v>ALL</v>
      </c>
      <c r="S20" s="296">
        <f>OtherTourDestination!B28</f>
        <v>18</v>
      </c>
      <c r="T20" s="296" t="str">
        <f>OtherTourDestination!C28</f>
        <v>Beta00018</v>
      </c>
      <c r="U20" s="298">
        <f>OtherTourDestination!E28</f>
        <v>0</v>
      </c>
      <c r="V20" s="337">
        <f si="0" t="shared"/>
        <v>0</v>
      </c>
    </row>
    <row ht="15.75" r="21" spans="2:29" thickBot="1" x14ac:dyDescent="0.3">
      <c r="C21" s="321"/>
      <c r="I21" s="361"/>
      <c r="J21" s="361"/>
      <c r="K21" s="357"/>
      <c r="L21" s="357"/>
      <c r="M21" s="357"/>
      <c r="N21" s="357"/>
      <c r="O21" s="357"/>
      <c r="P21" s="357"/>
      <c r="R21" s="296" t="str">
        <f>VLOOKUP(S21,Coeff_Descr!$A:$D,3,FALSE)</f>
        <v>ALL</v>
      </c>
      <c r="S21" s="296">
        <f>OtherTourDestination!B29</f>
        <v>19</v>
      </c>
      <c r="T21" s="296" t="str">
        <f>OtherTourDestination!C29</f>
        <v>Beta00019</v>
      </c>
      <c r="U21" s="298">
        <f>OtherTourDestination!E29</f>
        <v>0</v>
      </c>
      <c r="V21" s="337">
        <f si="0" t="shared"/>
        <v>0</v>
      </c>
    </row>
    <row r="22" spans="2:29" x14ac:dyDescent="0.25">
      <c r="B22" s="345" t="s">
        <v>247</v>
      </c>
      <c r="C22" s="322" t="s">
        <v>91</v>
      </c>
      <c r="D22" s="323"/>
      <c r="R22" s="296" t="str">
        <f>VLOOKUP(S22,Coeff_Descr!$A:$D,3,FALSE)</f>
        <v>ESCORT</v>
      </c>
      <c r="S22" s="296">
        <f>OtherTourDestination!B30</f>
        <v>20</v>
      </c>
      <c r="T22" s="296" t="str">
        <f>OtherTourDestination!C30</f>
        <v>Beta00020</v>
      </c>
      <c r="U22" s="298">
        <f>OtherTourDestination!E30</f>
        <v>0.62608089853000004</v>
      </c>
      <c r="V22" s="337">
        <f si="0" t="shared"/>
        <v>0.62608089853000004</v>
      </c>
    </row>
    <row r="23" spans="2:29" x14ac:dyDescent="0.25">
      <c r="B23" s="346">
        <v>37</v>
      </c>
      <c r="C23" s="302" t="s">
        <v>47</v>
      </c>
      <c r="D23" s="376">
        <f>VLOOKUP($B23,$S:$U,3,FALSE)</f>
        <v>-7.8810597731899996</v>
      </c>
      <c r="I23" s="362"/>
      <c r="J23" s="362"/>
      <c r="K23" s="362"/>
      <c r="L23" s="362"/>
      <c r="M23" s="362"/>
      <c r="N23" s="362"/>
      <c r="O23" s="362"/>
      <c r="P23" s="362"/>
      <c r="R23" s="296" t="str">
        <f>VLOOKUP(S23,Coeff_Descr!$A:$D,3,FALSE)</f>
        <v>ESCORT</v>
      </c>
      <c r="S23" s="296">
        <f>OtherTourDestination!B31</f>
        <v>21</v>
      </c>
      <c r="T23" s="296" t="str">
        <f>OtherTourDestination!C31</f>
        <v>Beta00021</v>
      </c>
      <c r="U23" s="298">
        <f>OtherTourDestination!E31</f>
        <v>-8.6146833141499997</v>
      </c>
      <c r="V23" s="337">
        <f si="0" t="shared"/>
        <v>-8.6146833141499997</v>
      </c>
    </row>
    <row r="24" spans="2:29" x14ac:dyDescent="0.25">
      <c r="B24" s="346">
        <v>38</v>
      </c>
      <c r="C24" s="305" t="s">
        <v>50</v>
      </c>
      <c r="D24" s="376">
        <f ref="D24:D26" si="5" t="shared">VLOOKUP($B24,$S:$U,3,FALSE)</f>
        <v>-8.0062297029800007</v>
      </c>
      <c r="R24" s="296" t="str">
        <f>VLOOKUP(S24,Coeff_Descr!$A:$D,3,FALSE)</f>
        <v>ESCORT</v>
      </c>
      <c r="S24" s="296">
        <f>OtherTourDestination!B32</f>
        <v>22</v>
      </c>
      <c r="T24" s="296" t="str">
        <f>OtherTourDestination!C32</f>
        <v>Beta00022</v>
      </c>
      <c r="U24" s="298">
        <f>OtherTourDestination!E32</f>
        <v>-4.7070055634400001</v>
      </c>
      <c r="V24" s="337">
        <f si="0" t="shared"/>
        <v>-4.7070055634400001</v>
      </c>
    </row>
    <row r="25" spans="2:29" x14ac:dyDescent="0.25">
      <c r="B25" s="346">
        <v>39</v>
      </c>
      <c r="C25" s="305" t="s">
        <v>53</v>
      </c>
      <c r="D25" s="376">
        <f si="5" t="shared"/>
        <v>-3.4078711737399998</v>
      </c>
      <c r="R25" s="296" t="str">
        <f>VLOOKUP(S25,Coeff_Descr!$A:$D,3,FALSE)</f>
        <v>ESCORT</v>
      </c>
      <c r="S25" s="296">
        <f>OtherTourDestination!B33</f>
        <v>23</v>
      </c>
      <c r="T25" s="296" t="str">
        <f>OtherTourDestination!C33</f>
        <v>Beta00023</v>
      </c>
      <c r="U25" s="298">
        <f>OtherTourDestination!E33</f>
        <v>-4.09326880388</v>
      </c>
      <c r="V25" s="337">
        <f si="0" t="shared"/>
        <v>-4.09326880388</v>
      </c>
    </row>
    <row ht="15.75" r="26" spans="2:29" thickBot="1" x14ac:dyDescent="0.3">
      <c r="B26" s="347">
        <v>40</v>
      </c>
      <c r="C26" s="325" t="s">
        <v>56</v>
      </c>
      <c r="D26" s="377">
        <f si="5" t="shared"/>
        <v>-0.25934246287000001</v>
      </c>
      <c r="R26" s="296" t="str">
        <f>VLOOKUP(S26,Coeff_Descr!$A:$D,3,FALSE)</f>
        <v>ESCORT</v>
      </c>
      <c r="S26" s="296">
        <f>OtherTourDestination!B34</f>
        <v>24</v>
      </c>
      <c r="T26" s="296" t="str">
        <f>OtherTourDestination!C34</f>
        <v>Beta00024</v>
      </c>
      <c r="U26" s="298">
        <f>OtherTourDestination!E34</f>
        <v>0.20798702908</v>
      </c>
      <c r="V26" s="337">
        <f si="0" t="shared"/>
        <v>0.20798702908</v>
      </c>
    </row>
    <row r="27" spans="2:29" x14ac:dyDescent="0.25">
      <c r="C27" s="321"/>
      <c r="D27" s="327"/>
      <c r="R27" s="296" t="str">
        <f>VLOOKUP(S27,Coeff_Descr!$A:$D,3,FALSE)</f>
        <v>ESCORT</v>
      </c>
      <c r="S27" s="296">
        <f>OtherTourDestination!B35</f>
        <v>25</v>
      </c>
      <c r="T27" s="296" t="str">
        <f>OtherTourDestination!C35</f>
        <v>Beta00025</v>
      </c>
      <c r="U27" s="298">
        <f>OtherTourDestination!E35</f>
        <v>-0.13975410125000001</v>
      </c>
      <c r="V27" s="337">
        <f si="0" t="shared"/>
        <v>-0.13975410125000001</v>
      </c>
    </row>
    <row r="28" spans="2:29" x14ac:dyDescent="0.25">
      <c r="C28" s="321"/>
      <c r="D28" s="327"/>
      <c r="R28" s="296" t="str">
        <f>VLOOKUP(S28,Coeff_Descr!$A:$D,3,FALSE)</f>
        <v>PERSBUS/MED</v>
      </c>
      <c r="S28" s="296">
        <f>OtherTourDestination!B36</f>
        <v>26</v>
      </c>
      <c r="T28" s="296" t="str">
        <f>OtherTourDestination!C36</f>
        <v>Beta00026</v>
      </c>
      <c r="U28" s="298">
        <f>OtherTourDestination!E36</f>
        <v>0.83837490119000002</v>
      </c>
      <c r="V28" s="337">
        <f si="0" t="shared"/>
        <v>0.83837490119000002</v>
      </c>
    </row>
    <row r="29" spans="2:29" x14ac:dyDescent="0.25">
      <c r="C29" s="320" t="s">
        <v>82</v>
      </c>
      <c r="D29" s="328"/>
      <c r="R29" s="296" t="str">
        <f>VLOOKUP(S29,Coeff_Descr!$A:$D,3,FALSE)</f>
        <v>PERSBUS/MED</v>
      </c>
      <c r="S29" s="296">
        <f>OtherTourDestination!B37</f>
        <v>27</v>
      </c>
      <c r="T29" s="296" t="str">
        <f>OtherTourDestination!C37</f>
        <v>Beta00027</v>
      </c>
      <c r="U29" s="298">
        <f>OtherTourDestination!E37</f>
        <v>-9.2935231723499996</v>
      </c>
      <c r="V29" s="337">
        <f si="0" t="shared"/>
        <v>-9.2935231723499996</v>
      </c>
    </row>
    <row r="30" spans="2:29" x14ac:dyDescent="0.25">
      <c r="C30" s="320" t="s">
        <v>107</v>
      </c>
      <c r="D30" s="328"/>
      <c r="R30" s="296" t="str">
        <f>VLOOKUP(S30,Coeff_Descr!$A:$D,3,FALSE)</f>
        <v>PERSBUS/MED</v>
      </c>
      <c r="S30" s="296">
        <f>OtherTourDestination!B38</f>
        <v>28</v>
      </c>
      <c r="T30" s="296" t="str">
        <f>OtherTourDestination!C38</f>
        <v>Beta00028</v>
      </c>
      <c r="U30" s="298">
        <f>OtherTourDestination!E38</f>
        <v>-3.4981009168599999</v>
      </c>
      <c r="V30" s="337">
        <f si="0" t="shared"/>
        <v>-3.4981009168599999</v>
      </c>
    </row>
    <row ht="15.75" r="31" spans="2:29" thickBot="1" x14ac:dyDescent="0.3">
      <c r="C31" s="321"/>
      <c r="D31" s="327"/>
      <c r="R31" s="296" t="str">
        <f>VLOOKUP(S31,Coeff_Descr!$A:$D,3,FALSE)</f>
        <v>PERSBUS/MED</v>
      </c>
      <c r="S31" s="296">
        <f>OtherTourDestination!B39</f>
        <v>29</v>
      </c>
      <c r="T31" s="296" t="str">
        <f>OtherTourDestination!C39</f>
        <v>Beta00029</v>
      </c>
      <c r="U31" s="298">
        <f>OtherTourDestination!E39</f>
        <v>-3.66532113402</v>
      </c>
      <c r="V31" s="337">
        <f si="0" t="shared"/>
        <v>-3.66532113402</v>
      </c>
    </row>
    <row r="32" spans="2:29" x14ac:dyDescent="0.25">
      <c r="B32" s="345" t="s">
        <v>247</v>
      </c>
      <c r="C32" s="322" t="s">
        <v>91</v>
      </c>
      <c r="D32" s="323"/>
      <c r="R32" s="296" t="str">
        <f>VLOOKUP(S32,Coeff_Descr!$A:$D,3,FALSE)</f>
        <v>PERSBUS/MED</v>
      </c>
      <c r="S32" s="296">
        <f>OtherTourDestination!B40</f>
        <v>30</v>
      </c>
      <c r="T32" s="296" t="str">
        <f>OtherTourDestination!C40</f>
        <v>Beta00030</v>
      </c>
      <c r="U32" s="298">
        <f>OtherTourDestination!E40</f>
        <v>-0.32381248725</v>
      </c>
      <c r="V32" s="337">
        <f si="0" t="shared"/>
        <v>-0.32381248725</v>
      </c>
    </row>
    <row r="33" spans="2:23" x14ac:dyDescent="0.25">
      <c r="B33" s="346">
        <f>B23</f>
        <v>37</v>
      </c>
      <c r="C33" s="302" t="s">
        <v>47</v>
      </c>
      <c r="D33" s="378">
        <f>K12</f>
        <v>0.14334726263703129</v>
      </c>
      <c r="R33" s="296" t="str">
        <f>VLOOKUP(S33,Coeff_Descr!$A:$D,3,FALSE)</f>
        <v>PERSBUS/MED</v>
      </c>
      <c r="S33" s="296">
        <f>OtherTourDestination!B41</f>
        <v>31</v>
      </c>
      <c r="T33" s="296" t="str">
        <f>OtherTourDestination!C41</f>
        <v>Beta00031</v>
      </c>
      <c r="U33" s="298">
        <f>OtherTourDestination!E41</f>
        <v>0.14322267177</v>
      </c>
      <c r="V33" s="337">
        <f si="0" t="shared"/>
        <v>0.14322267177</v>
      </c>
    </row>
    <row r="34" spans="2:23" x14ac:dyDescent="0.25">
      <c r="B34" s="346">
        <f ref="B34:B36" si="6" t="shared">B24</f>
        <v>38</v>
      </c>
      <c r="C34" s="305" t="s">
        <v>50</v>
      </c>
      <c r="D34" s="379">
        <f ref="D34:D36" si="7" t="shared">K13</f>
        <v>-0.25190371838992576</v>
      </c>
      <c r="R34" s="296" t="str">
        <f>VLOOKUP(S34,Coeff_Descr!$A:$D,3,FALSE)</f>
        <v>PERSBUS/MED</v>
      </c>
      <c r="S34" s="296">
        <f>OtherTourDestination!B42</f>
        <v>32</v>
      </c>
      <c r="T34" s="296" t="str">
        <f>OtherTourDestination!C42</f>
        <v>Beta00032</v>
      </c>
      <c r="U34" s="298">
        <f>OtherTourDestination!E42</f>
        <v>-0.14826541710999999</v>
      </c>
      <c r="V34" s="337">
        <f si="0" t="shared"/>
        <v>-0.14826541710999999</v>
      </c>
    </row>
    <row r="35" spans="2:23" x14ac:dyDescent="0.25">
      <c r="B35" s="346">
        <f si="6" t="shared"/>
        <v>39</v>
      </c>
      <c r="C35" s="305" t="s">
        <v>53</v>
      </c>
      <c r="D35" s="379">
        <f si="7" t="shared"/>
        <v>-6.1031194585486379E-2</v>
      </c>
      <c r="G35" s="329"/>
      <c r="H35" s="329"/>
      <c r="I35" s="329"/>
      <c r="J35" s="329"/>
      <c r="K35" s="329"/>
      <c r="L35" s="329"/>
      <c r="M35" s="329"/>
      <c r="N35" s="329"/>
      <c r="O35" s="329"/>
      <c r="P35" s="329"/>
      <c r="R35" s="296" t="str">
        <f>VLOOKUP(S35,Coeff_Descr!$A:$D,3,FALSE)</f>
        <v>PERSBUS/MED</v>
      </c>
      <c r="S35" s="296">
        <f>OtherTourDestination!B43</f>
        <v>33</v>
      </c>
      <c r="T35" s="296" t="str">
        <f>OtherTourDestination!C43</f>
        <v>Beta00033</v>
      </c>
      <c r="U35" s="298">
        <f>OtherTourDestination!E43</f>
        <v>0.18525614085</v>
      </c>
      <c r="V35" s="337">
        <f si="0" t="shared"/>
        <v>0.18525614085</v>
      </c>
    </row>
    <row ht="15.75" r="36" spans="2:23" thickBot="1" x14ac:dyDescent="0.3">
      <c r="B36" s="348">
        <f si="6" t="shared"/>
        <v>40</v>
      </c>
      <c r="C36" s="325" t="s">
        <v>56</v>
      </c>
      <c r="D36" s="326">
        <f si="7" t="shared"/>
        <v>0.15131923787656137</v>
      </c>
      <c r="G36" s="330"/>
      <c r="H36" s="330"/>
      <c r="I36" s="330"/>
      <c r="J36" s="330"/>
      <c r="K36" s="330"/>
      <c r="L36" s="330"/>
      <c r="M36" s="330"/>
      <c r="N36" s="330"/>
      <c r="O36" s="330"/>
      <c r="P36" s="330"/>
      <c r="R36" s="296" t="str">
        <f>VLOOKUP(S36,Coeff_Descr!$A:$D,3,FALSE)</f>
        <v>PERSBUS/MED</v>
      </c>
      <c r="S36" s="296">
        <f>OtherTourDestination!B44</f>
        <v>34</v>
      </c>
      <c r="T36" s="296" t="str">
        <f>OtherTourDestination!C44</f>
        <v>Beta00034</v>
      </c>
      <c r="U36" s="298">
        <f>OtherTourDestination!E44</f>
        <v>-0.10344899338999999</v>
      </c>
      <c r="V36" s="337">
        <f si="0" t="shared"/>
        <v>-0.10344899338999999</v>
      </c>
    </row>
    <row ht="15.75" r="37" spans="2:23" thickTop="1" x14ac:dyDescent="0.25">
      <c r="C37" s="321"/>
      <c r="D37" s="324"/>
      <c r="R37" s="296" t="str">
        <f>VLOOKUP(S37,Coeff_Descr!$A:$D,3,FALSE)</f>
        <v>PERSBUS/MED</v>
      </c>
      <c r="S37" s="296">
        <f>OtherTourDestination!B45</f>
        <v>35</v>
      </c>
      <c r="T37" s="296" t="str">
        <f>OtherTourDestination!C45</f>
        <v>Beta00035</v>
      </c>
      <c r="U37" s="298">
        <f>OtherTourDestination!E45</f>
        <v>7.5098801229999998E-2</v>
      </c>
      <c r="V37" s="337">
        <f si="0" t="shared"/>
        <v>7.5098801229999998E-2</v>
      </c>
    </row>
    <row r="38" spans="2:23" x14ac:dyDescent="0.25">
      <c r="C38" s="321"/>
      <c r="D38" s="324"/>
      <c r="R38" s="296" t="str">
        <f>VLOOKUP(S38,Coeff_Descr!$A:$D,3,FALSE)</f>
        <v>SHOP</v>
      </c>
      <c r="S38" s="296">
        <f>OtherTourDestination!B46</f>
        <v>36</v>
      </c>
      <c r="T38" s="296" t="str">
        <f>OtherTourDestination!C46</f>
        <v>Beta00036</v>
      </c>
      <c r="U38" s="298">
        <f>OtherTourDestination!E46</f>
        <v>1.1126386876900001</v>
      </c>
      <c r="V38" s="337">
        <f si="0" t="shared"/>
        <v>1.1126386876900001</v>
      </c>
    </row>
    <row r="39" spans="2:23" x14ac:dyDescent="0.25">
      <c r="C39" s="320" t="s">
        <v>82</v>
      </c>
      <c r="D39" s="331"/>
      <c r="R39" s="296" t="str">
        <f>VLOOKUP(S39,Coeff_Descr!$A:$D,3,FALSE)</f>
        <v>SHOP</v>
      </c>
      <c r="S39" s="338">
        <f>OtherTourDestination!B47</f>
        <v>37</v>
      </c>
      <c r="T39" s="338" t="str">
        <f>OtherTourDestination!C47</f>
        <v>Beta00037</v>
      </c>
      <c r="U39" s="339">
        <f>OtherTourDestination!E47</f>
        <v>-7.8810597731899996</v>
      </c>
      <c r="V39" s="340">
        <f si="0" t="shared"/>
        <v>-7.8810597731899996</v>
      </c>
      <c r="W39" s="296" t="str">
        <f>VLOOKUP(S39,Coeff_Descr!$A$2:$E$104,4,FALSE)</f>
        <v>distanceFromOrigin4</v>
      </c>
    </row>
    <row r="40" spans="2:23" x14ac:dyDescent="0.25">
      <c r="C40" s="320" t="s">
        <v>125</v>
      </c>
      <c r="D40" s="331"/>
      <c r="R40" s="296" t="str">
        <f>VLOOKUP(S40,Coeff_Descr!$A:$D,3,FALSE)</f>
        <v>SHOP</v>
      </c>
      <c r="S40" s="338">
        <f>OtherTourDestination!B48</f>
        <v>38</v>
      </c>
      <c r="T40" s="338" t="str">
        <f>OtherTourDestination!C48</f>
        <v>Beta00038</v>
      </c>
      <c r="U40" s="339">
        <f>OtherTourDestination!E48</f>
        <v>-8.0062297029800007</v>
      </c>
      <c r="V40" s="340">
        <f si="0" t="shared"/>
        <v>-8.0062297029800007</v>
      </c>
      <c r="W40" s="296" t="str">
        <f>VLOOKUP(S40,Coeff_Descr!$A$2:$E$104,4,FALSE)</f>
        <v>distanceFromOrigin8</v>
      </c>
    </row>
    <row ht="15.75" r="41" spans="2:23" thickBot="1" x14ac:dyDescent="0.3">
      <c r="B41" s="349"/>
      <c r="C41" s="321"/>
      <c r="D41" s="324"/>
      <c r="R41" s="296" t="str">
        <f>VLOOKUP(S41,Coeff_Descr!$A:$D,3,FALSE)</f>
        <v>SHOP</v>
      </c>
      <c r="S41" s="338">
        <f>OtherTourDestination!B49</f>
        <v>39</v>
      </c>
      <c r="T41" s="338" t="str">
        <f>OtherTourDestination!C49</f>
        <v>Beta00039</v>
      </c>
      <c r="U41" s="339">
        <f>OtherTourDestination!E49</f>
        <v>-3.4078711737399998</v>
      </c>
      <c r="V41" s="340">
        <f si="0" t="shared"/>
        <v>-3.4078711737399998</v>
      </c>
      <c r="W41" s="296" t="str">
        <f>VLOOKUP(S41,Coeff_Descr!$A$2:$E$104,4,FALSE)</f>
        <v>distanceFromOrigin9</v>
      </c>
    </row>
    <row r="42" spans="2:23" x14ac:dyDescent="0.25">
      <c r="B42" s="345" t="s">
        <v>247</v>
      </c>
      <c r="C42" s="322" t="s">
        <v>91</v>
      </c>
      <c r="D42" s="332"/>
      <c r="R42" s="296" t="str">
        <f>VLOOKUP(S42,Coeff_Descr!$A:$D,3,FALSE)</f>
        <v>SHOP</v>
      </c>
      <c r="S42" s="338">
        <f>OtherTourDestination!B50</f>
        <v>40</v>
      </c>
      <c r="T42" s="338" t="str">
        <f>OtherTourDestination!C50</f>
        <v>Beta00040</v>
      </c>
      <c r="U42" s="339">
        <f>OtherTourDestination!E50</f>
        <v>-0.25934246287000001</v>
      </c>
      <c r="V42" s="340">
        <f si="0" t="shared"/>
        <v>-6.2140869987809155E-2</v>
      </c>
      <c r="W42" s="296" t="str">
        <f>VLOOKUP(S42,Coeff_Descr!$A$2:$E$104,4,FALSE)</f>
        <v>distanceFromOrigin3</v>
      </c>
    </row>
    <row r="43" spans="2:23" x14ac:dyDescent="0.25">
      <c r="B43" s="346">
        <f>B33</f>
        <v>37</v>
      </c>
      <c r="C43" s="302" t="s">
        <v>47</v>
      </c>
      <c r="D43" s="380">
        <f>D23+H50</f>
        <v>-7.8810597731899996</v>
      </c>
      <c r="R43" s="296" t="str">
        <f>VLOOKUP(S43,Coeff_Descr!$A:$D,3,FALSE)</f>
        <v>SHOP</v>
      </c>
      <c r="S43" s="296">
        <f>OtherTourDestination!B51</f>
        <v>41</v>
      </c>
      <c r="T43" s="296" t="str">
        <f>OtherTourDestination!C51</f>
        <v>Beta00041</v>
      </c>
      <c r="U43" s="298">
        <f>OtherTourDestination!E51</f>
        <v>-0.13916826495000001</v>
      </c>
      <c r="V43" s="337">
        <f si="0" t="shared"/>
        <v>-0.13916826495000001</v>
      </c>
    </row>
    <row r="44" spans="2:23" x14ac:dyDescent="0.25">
      <c r="B44" s="346">
        <f ref="B44:B46" si="8" t="shared">B34</f>
        <v>38</v>
      </c>
      <c r="C44" s="305" t="s">
        <v>50</v>
      </c>
      <c r="D44" s="380">
        <f ref="D44:D46" si="9" t="shared">D24+H51</f>
        <v>-8.0062297029800007</v>
      </c>
      <c r="R44" s="296" t="str">
        <f>VLOOKUP(S44,Coeff_Descr!$A:$D,3,FALSE)</f>
        <v>SHOP</v>
      </c>
      <c r="S44" s="296">
        <f>OtherTourDestination!B52</f>
        <v>42</v>
      </c>
      <c r="T44" s="296" t="str">
        <f>OtherTourDestination!C52</f>
        <v>Beta00042</v>
      </c>
      <c r="U44" s="298">
        <f>OtherTourDestination!E52</f>
        <v>0.51094315161000003</v>
      </c>
      <c r="V44" s="337">
        <f si="0" t="shared"/>
        <v>0.51094315161000003</v>
      </c>
    </row>
    <row r="45" spans="2:23" x14ac:dyDescent="0.25">
      <c r="B45" s="346">
        <f si="8" t="shared"/>
        <v>39</v>
      </c>
      <c r="C45" s="305" t="s">
        <v>53</v>
      </c>
      <c r="D45" s="380">
        <f si="9" t="shared"/>
        <v>-3.4078711737399998</v>
      </c>
      <c r="R45" s="296" t="str">
        <f>VLOOKUP(S45,Coeff_Descr!$A:$D,3,FALSE)</f>
        <v>MEAL</v>
      </c>
      <c r="S45" s="296">
        <f>OtherTourDestination!B53</f>
        <v>43</v>
      </c>
      <c r="T45" s="296" t="str">
        <f>OtherTourDestination!C53</f>
        <v>Beta00043</v>
      </c>
      <c r="U45" s="298">
        <f>OtherTourDestination!E53</f>
        <v>0.71812285494999994</v>
      </c>
      <c r="V45" s="337">
        <f si="0" t="shared"/>
        <v>0.71812285494999994</v>
      </c>
    </row>
    <row ht="15.75" r="46" spans="2:23" thickBot="1" x14ac:dyDescent="0.3">
      <c r="B46" s="348">
        <f si="8" t="shared"/>
        <v>40</v>
      </c>
      <c r="C46" s="325" t="s">
        <v>56</v>
      </c>
      <c r="D46" s="380">
        <f si="9" t="shared"/>
        <v>-6.2140869987809155E-2</v>
      </c>
      <c r="R46" s="296" t="str">
        <f>VLOOKUP(S46,Coeff_Descr!$A:$D,3,FALSE)</f>
        <v>MEAL</v>
      </c>
      <c r="S46" s="296">
        <f>OtherTourDestination!B54</f>
        <v>44</v>
      </c>
      <c r="T46" s="296" t="str">
        <f>OtherTourDestination!C54</f>
        <v>Beta00044</v>
      </c>
      <c r="U46" s="298">
        <f>OtherTourDestination!E54</f>
        <v>-15.14732909554</v>
      </c>
      <c r="V46" s="337">
        <f si="0" t="shared"/>
        <v>-15.14732909554</v>
      </c>
    </row>
    <row ht="15.75" r="47" spans="2:23" thickTop="1" x14ac:dyDescent="0.25">
      <c r="R47" s="296" t="str">
        <f>VLOOKUP(S47,Coeff_Descr!$A:$D,3,FALSE)</f>
        <v>MEAL</v>
      </c>
      <c r="S47" s="296">
        <f>OtherTourDestination!B55</f>
        <v>45</v>
      </c>
      <c r="T47" s="296" t="str">
        <f>OtherTourDestination!C55</f>
        <v>Beta00045</v>
      </c>
      <c r="U47" s="298">
        <f>OtherTourDestination!E55</f>
        <v>-4.0821681896699999</v>
      </c>
      <c r="V47" s="337">
        <f si="0" t="shared"/>
        <v>-4.0821681896699999</v>
      </c>
    </row>
    <row r="48" spans="2:23" x14ac:dyDescent="0.25">
      <c r="D48" s="296"/>
      <c r="E48" s="295"/>
      <c r="G48" s="382"/>
      <c r="H48" s="381"/>
      <c r="I48" s="381"/>
      <c r="M48" s="296"/>
      <c r="N48" s="296"/>
      <c r="O48" s="296"/>
      <c r="P48" s="296"/>
      <c r="R48" s="296" t="str">
        <f>VLOOKUP(S48,Coeff_Descr!$A:$D,3,FALSE)</f>
        <v>MEAL</v>
      </c>
      <c r="S48" s="296">
        <f>OtherTourDestination!B56</f>
        <v>46</v>
      </c>
      <c r="T48" s="296" t="str">
        <f>OtherTourDestination!C56</f>
        <v>Beta00046</v>
      </c>
      <c r="U48" s="298">
        <f>OtherTourDestination!E56</f>
        <v>-1.9121090734599999</v>
      </c>
      <c r="V48" s="337">
        <f si="0" t="shared"/>
        <v>-1.9121090734599999</v>
      </c>
    </row>
    <row ht="15.75" r="49" spans="1:22" thickBot="1" x14ac:dyDescent="0.3">
      <c r="B49" s="6"/>
      <c r="C49" s="6"/>
      <c r="D49" s="383"/>
      <c r="E49" s="383"/>
      <c r="G49" s="384"/>
      <c r="H49" s="385" t="s">
        <v>281</v>
      </c>
      <c r="I49" s="386" t="s">
        <v>282</v>
      </c>
      <c r="M49" s="296"/>
      <c r="N49" s="296"/>
      <c r="O49" s="296"/>
      <c r="P49" s="296"/>
      <c r="R49" s="296" t="str">
        <f>VLOOKUP(S49,Coeff_Descr!$A:$D,3,FALSE)</f>
        <v>MEAL</v>
      </c>
      <c r="S49" s="296">
        <f>OtherTourDestination!B57</f>
        <v>47</v>
      </c>
      <c r="T49" s="296" t="str">
        <f>OtherTourDestination!C57</f>
        <v>Beta00047</v>
      </c>
      <c r="U49" s="298">
        <f>OtherTourDestination!E57</f>
        <v>-1.3851302912200001</v>
      </c>
      <c r="V49" s="337">
        <f si="0" t="shared"/>
        <v>-1.3851302912200001</v>
      </c>
    </row>
    <row r="50" spans="1:22" x14ac:dyDescent="0.25">
      <c r="A50" s="296" t="s">
        <v>309</v>
      </c>
      <c r="B50" s="387" t="s">
        <v>283</v>
      </c>
      <c r="C50" s="387" t="s">
        <v>36</v>
      </c>
      <c r="D50" s="387" t="s">
        <v>284</v>
      </c>
      <c r="E50" s="3" t="s">
        <v>285</v>
      </c>
      <c r="G50" s="388" t="s">
        <v>47</v>
      </c>
      <c r="H50" s="389">
        <f>E51*I50</f>
        <v>0</v>
      </c>
      <c r="I50" s="390">
        <v>0</v>
      </c>
      <c r="M50" s="296"/>
      <c r="N50" s="296"/>
      <c r="O50" s="296"/>
      <c r="P50" s="296"/>
      <c r="R50" s="296" t="str">
        <f>VLOOKUP(S50,Coeff_Descr!$A:$D,3,FALSE)</f>
        <v>MEAL</v>
      </c>
      <c r="S50" s="296">
        <f>OtherTourDestination!B58</f>
        <v>48</v>
      </c>
      <c r="T50" s="296" t="str">
        <f>OtherTourDestination!C58</f>
        <v>Beta00048</v>
      </c>
      <c r="U50" s="298">
        <f>OtherTourDestination!E58</f>
        <v>0.18770524043</v>
      </c>
      <c r="V50" s="337">
        <f si="0" t="shared"/>
        <v>0.18770524043</v>
      </c>
    </row>
    <row r="51" spans="1:22" x14ac:dyDescent="0.25">
      <c r="A51" s="399">
        <f>B51</f>
        <v>0.5</v>
      </c>
      <c r="B51" s="387">
        <f>TLFD!A11+0.5</f>
        <v>0.5</v>
      </c>
      <c r="C51" s="391">
        <f>TLFD!C11</f>
        <v>0.1298186968557164</v>
      </c>
      <c r="D51" s="391">
        <f>TLFD!G11</f>
        <v>0.1124818162033378</v>
      </c>
      <c r="E51" s="387">
        <f>IF(AND(C51&gt;0, D51&gt;0),LN(C51/D51),0)</f>
        <v>0.14334726263703146</v>
      </c>
      <c r="G51" s="392" t="s">
        <v>50</v>
      </c>
      <c r="H51" s="389">
        <f>H72*I51</f>
        <v>0</v>
      </c>
      <c r="I51" s="390">
        <v>0</v>
      </c>
      <c r="M51" s="296"/>
      <c r="N51" s="296"/>
      <c r="O51" s="296"/>
      <c r="P51" s="296"/>
      <c r="R51" s="296" t="str">
        <f>VLOOKUP(S51,Coeff_Descr!$A:$D,3,FALSE)</f>
        <v>SOCREC</v>
      </c>
      <c r="S51" s="296">
        <f>OtherTourDestination!B59</f>
        <v>49</v>
      </c>
      <c r="T51" s="296" t="str">
        <f>OtherTourDestination!C59</f>
        <v>Beta00049</v>
      </c>
      <c r="U51" s="298">
        <f>OtherTourDestination!E59</f>
        <v>0.75868423218000003</v>
      </c>
      <c r="V51" s="337">
        <f si="0" t="shared"/>
        <v>0.75868423218000003</v>
      </c>
    </row>
    <row r="52" spans="1:22" x14ac:dyDescent="0.25">
      <c r="A52" s="296">
        <f>B52-1</f>
        <v>0.5</v>
      </c>
      <c r="B52">
        <f>TLFD!A12+0.5</f>
        <v>1.5</v>
      </c>
      <c r="C52" s="393">
        <f>TLFD!C12</f>
        <v>0.14067562424667976</v>
      </c>
      <c r="D52" s="400">
        <f>TLFD!G12</f>
        <v>0.19129354088633838</v>
      </c>
      <c r="E52">
        <f ref="E52:E115" si="10" t="shared">IF(AND(C52&gt;0, D52&gt;0),LN(C52/D52),0)</f>
        <v>-0.30735240874090697</v>
      </c>
      <c r="G52" s="392" t="s">
        <v>53</v>
      </c>
      <c r="H52" s="389">
        <f>H92*I52</f>
        <v>0</v>
      </c>
      <c r="I52" s="390">
        <v>0</v>
      </c>
      <c r="M52" s="296"/>
      <c r="N52" s="296"/>
      <c r="O52" s="296"/>
      <c r="P52" s="296"/>
      <c r="R52" s="296" t="str">
        <f>VLOOKUP(S52,Coeff_Descr!$A:$D,3,FALSE)</f>
        <v>SOCREC</v>
      </c>
      <c r="S52" s="333">
        <f>OtherTourDestination!B60</f>
        <v>50</v>
      </c>
      <c r="T52" s="333" t="str">
        <f>OtherTourDestination!C60</f>
        <v>Beta00050</v>
      </c>
      <c r="U52" s="375">
        <f>OtherTourDestination!E60</f>
        <v>-11.41930576164</v>
      </c>
      <c r="V52" s="337">
        <f si="0" t="shared"/>
        <v>-11.41930576164</v>
      </c>
    </row>
    <row r="53" spans="1:22" x14ac:dyDescent="0.25">
      <c r="A53" s="296">
        <f ref="A53:A54" si="11" t="shared">B53-1</f>
        <v>1.5</v>
      </c>
      <c r="B53">
        <f>TLFD!A13+0.5</f>
        <v>2.5</v>
      </c>
      <c r="C53" s="393">
        <f>TLFD!C13</f>
        <v>0.14963030477941341</v>
      </c>
      <c r="D53" s="400">
        <f>TLFD!G13</f>
        <v>0.14657571904745542</v>
      </c>
      <c r="E53">
        <f si="10" t="shared"/>
        <v>2.0625468579759203E-2</v>
      </c>
      <c r="G53" s="392" t="s">
        <v>56</v>
      </c>
      <c r="H53" s="389">
        <f>H112*I53</f>
        <v>0.19720159288219086</v>
      </c>
      <c r="I53" s="390">
        <v>300</v>
      </c>
      <c r="K53" s="295" t="s">
        <v>310</v>
      </c>
      <c r="M53" s="296"/>
      <c r="N53" s="296"/>
      <c r="O53" s="296"/>
      <c r="P53" s="296"/>
      <c r="R53" s="296" t="str">
        <f>VLOOKUP(S53,Coeff_Descr!$A:$D,3,FALSE)</f>
        <v>SOCREC</v>
      </c>
      <c r="S53" s="333">
        <f>OtherTourDestination!B61</f>
        <v>51</v>
      </c>
      <c r="T53" s="333" t="str">
        <f>OtherTourDestination!C61</f>
        <v>Beta00051</v>
      </c>
      <c r="U53" s="375">
        <f>OtherTourDestination!E61</f>
        <v>-5.0410177787699997</v>
      </c>
      <c r="V53" s="337">
        <f si="0" t="shared"/>
        <v>-5.0410177787699997</v>
      </c>
    </row>
    <row r="54" spans="1:22" x14ac:dyDescent="0.25">
      <c r="A54" s="399">
        <f si="11" t="shared"/>
        <v>2.5</v>
      </c>
      <c r="B54" s="387">
        <f>TLFD!A14+0.5</f>
        <v>3.5</v>
      </c>
      <c r="C54" s="391">
        <f>TLFD!C14</f>
        <v>0.11700212720945252</v>
      </c>
      <c r="D54" s="401">
        <f>TLFD!G14</f>
        <v>0.10186935156867462</v>
      </c>
      <c r="E54" s="387">
        <f si="10" t="shared"/>
        <v>0.13850099061060586</v>
      </c>
      <c r="G54" s="394"/>
      <c r="I54"/>
      <c r="M54" s="296"/>
      <c r="N54" s="296"/>
      <c r="O54" s="296"/>
      <c r="P54" s="296"/>
      <c r="R54" s="296" t="str">
        <f>VLOOKUP(S54,Coeff_Descr!$A:$D,3,FALSE)</f>
        <v>SOCREC</v>
      </c>
      <c r="S54" s="333">
        <f>OtherTourDestination!B62</f>
        <v>52</v>
      </c>
      <c r="T54" s="333" t="str">
        <f>OtherTourDestination!C62</f>
        <v>Beta00052</v>
      </c>
      <c r="U54" s="375">
        <f>OtherTourDestination!E62</f>
        <v>-3.9034241353299999</v>
      </c>
      <c r="V54" s="337">
        <f si="0" t="shared"/>
        <v>-3.9034241353299999</v>
      </c>
    </row>
    <row r="55" spans="1:22" x14ac:dyDescent="0.25">
      <c r="A55" s="296">
        <f>B55-3.5</f>
        <v>1</v>
      </c>
      <c r="B55">
        <f>TLFD!A15+0.5</f>
        <v>4.5</v>
      </c>
      <c r="C55" s="393">
        <f>TLFD!C15</f>
        <v>7.6681155831715864E-2</v>
      </c>
      <c r="D55" s="393">
        <f>TLFD!G15</f>
        <v>8.0329427396538491E-2</v>
      </c>
      <c r="E55">
        <f si="10" t="shared"/>
        <v>-4.6480030512392169E-2</v>
      </c>
      <c r="G55" t="s">
        <v>286</v>
      </c>
      <c r="H55"/>
      <c r="I55"/>
      <c r="J55"/>
      <c r="K55"/>
      <c r="L55"/>
      <c r="M55"/>
      <c r="N55"/>
      <c r="O55"/>
      <c r="P55"/>
      <c r="R55" s="296" t="str">
        <f>VLOOKUP(S55,Coeff_Descr!$A:$D,3,FALSE)</f>
        <v>SOCREC</v>
      </c>
      <c r="S55" s="333">
        <f>OtherTourDestination!B63</f>
        <v>53</v>
      </c>
      <c r="T55" s="333" t="str">
        <f>OtherTourDestination!C63</f>
        <v>Beta00053</v>
      </c>
      <c r="U55" s="375">
        <f>OtherTourDestination!E63</f>
        <v>-0.39747668525000002</v>
      </c>
      <c r="V55" s="337">
        <f si="0" t="shared"/>
        <v>-0.39747668525000002</v>
      </c>
    </row>
    <row ht="15.75" r="56" spans="1:22" thickBot="1" x14ac:dyDescent="0.3">
      <c r="A56" s="296">
        <f ref="A56:A60" si="12" t="shared">B56-3.5</f>
        <v>2</v>
      </c>
      <c r="B56">
        <f>TLFD!A16+0.5</f>
        <v>5.5</v>
      </c>
      <c r="C56" s="393">
        <f>TLFD!C16</f>
        <v>6.4911014702328601E-2</v>
      </c>
      <c r="D56" s="393">
        <f>TLFD!G16</f>
        <v>6.0490475699575046E-2</v>
      </c>
      <c r="E56">
        <f si="10" t="shared"/>
        <v>7.0531401182531886E-2</v>
      </c>
      <c r="G56"/>
      <c r="H56"/>
      <c r="I56"/>
      <c r="J56"/>
      <c r="K56"/>
      <c r="L56"/>
      <c r="M56"/>
      <c r="N56"/>
      <c r="O56"/>
      <c r="P56"/>
      <c r="R56" s="296" t="str">
        <f>VLOOKUP(S56,Coeff_Descr!$A:$D,3,FALSE)</f>
        <v>SOCREC</v>
      </c>
      <c r="S56" s="296">
        <f>OtherTourDestination!B64</f>
        <v>54</v>
      </c>
      <c r="T56" s="296" t="str">
        <f>OtherTourDestination!C64</f>
        <v>Beta00054</v>
      </c>
      <c r="U56" s="298">
        <f>OtherTourDestination!E64</f>
        <v>0.21263122743000001</v>
      </c>
      <c r="V56" s="337">
        <f si="0" t="shared"/>
        <v>0.21263122743000001</v>
      </c>
    </row>
    <row r="57" spans="1:22" x14ac:dyDescent="0.25">
      <c r="A57" s="296">
        <f si="12" t="shared"/>
        <v>3</v>
      </c>
      <c r="B57">
        <f>TLFD!A17+0.5</f>
        <v>6.5</v>
      </c>
      <c r="C57" s="393">
        <f>TLFD!C17</f>
        <v>4.401472060905412E-2</v>
      </c>
      <c r="D57" s="393">
        <f>TLFD!G17</f>
        <v>4.71576005406458E-2</v>
      </c>
      <c r="E57">
        <f si="10" t="shared"/>
        <v>-6.8971057991154064E-2</v>
      </c>
      <c r="G57" s="395" t="s">
        <v>287</v>
      </c>
      <c r="H57" s="395"/>
      <c r="I57"/>
      <c r="J57"/>
      <c r="K57"/>
      <c r="L57"/>
      <c r="M57"/>
      <c r="N57"/>
      <c r="O57"/>
      <c r="P57"/>
      <c r="R57" s="296" t="str">
        <f>VLOOKUP(S57,Coeff_Descr!$A:$D,3,FALSE)</f>
        <v>SOCREC</v>
      </c>
      <c r="S57" s="296">
        <f>OtherTourDestination!B65</f>
        <v>55</v>
      </c>
      <c r="T57" s="296" t="str">
        <f>OtherTourDestination!C65</f>
        <v>Beta00055</v>
      </c>
      <c r="U57" s="298">
        <f>OtherTourDestination!E65</f>
        <v>0.43455667627</v>
      </c>
      <c r="V57" s="337">
        <f si="0" t="shared"/>
        <v>0.43455667627</v>
      </c>
    </row>
    <row r="58" spans="1:22" x14ac:dyDescent="0.25">
      <c r="A58" s="296">
        <f si="12" t="shared"/>
        <v>4</v>
      </c>
      <c r="B58">
        <f>TLFD!A18+0.5</f>
        <v>7.5</v>
      </c>
      <c r="C58" s="393">
        <f>TLFD!C18</f>
        <v>2.2588797054413051E-2</v>
      </c>
      <c r="D58" s="393">
        <f>TLFD!G18</f>
        <v>3.8956278707490008E-2</v>
      </c>
      <c r="E58">
        <f si="10" t="shared"/>
        <v>-0.54498588067222964</v>
      </c>
      <c r="G58" s="396" t="s">
        <v>288</v>
      </c>
      <c r="H58" s="396">
        <v>0.12988666017334696</v>
      </c>
      <c r="I58"/>
      <c r="J58"/>
      <c r="K58"/>
      <c r="L58"/>
      <c r="M58"/>
      <c r="N58"/>
      <c r="O58"/>
      <c r="P58"/>
      <c r="R58" s="296" t="str">
        <f>VLOOKUP(S58,Coeff_Descr!$A:$D,3,FALSE)</f>
        <v>SOCREC</v>
      </c>
      <c r="S58" s="296">
        <f>OtherTourDestination!B66</f>
        <v>56</v>
      </c>
      <c r="T58" s="296" t="str">
        <f>OtherTourDestination!C66</f>
        <v>Beta00056</v>
      </c>
      <c r="U58" s="298">
        <f>OtherTourDestination!E66</f>
        <v>-0.77182497547999995</v>
      </c>
      <c r="V58" s="337">
        <f si="0" t="shared"/>
        <v>-0.77182497547999995</v>
      </c>
    </row>
    <row r="59" spans="1:22" x14ac:dyDescent="0.25">
      <c r="A59" s="296">
        <f si="12" t="shared"/>
        <v>5</v>
      </c>
      <c r="B59">
        <f>TLFD!A19+0.5</f>
        <v>8.5</v>
      </c>
      <c r="C59" s="393">
        <f>TLFD!C19</f>
        <v>2.0325142624034714E-2</v>
      </c>
      <c r="D59" s="393">
        <f>TLFD!G19</f>
        <v>2.4701327560335842E-2</v>
      </c>
      <c r="E59">
        <f si="10" t="shared"/>
        <v>-0.1949983169896769</v>
      </c>
      <c r="G59" s="396" t="s">
        <v>289</v>
      </c>
      <c r="H59" s="396">
        <v>1.6870544490986517E-2</v>
      </c>
      <c r="I59"/>
      <c r="J59"/>
      <c r="K59"/>
      <c r="L59"/>
      <c r="M59"/>
      <c r="N59"/>
      <c r="O59"/>
      <c r="P59"/>
      <c r="R59" s="296" t="str">
        <f>VLOOKUP(S59,Coeff_Descr!$A:$D,3,FALSE)</f>
        <v>SOCREC</v>
      </c>
      <c r="S59" s="296">
        <f>OtherTourDestination!B67</f>
        <v>57</v>
      </c>
      <c r="T59" s="296" t="str">
        <f>OtherTourDestination!C67</f>
        <v>Beta00057</v>
      </c>
      <c r="U59" s="298">
        <f>OtherTourDestination!E67</f>
        <v>7.732925786E-2</v>
      </c>
      <c r="V59" s="337">
        <f si="0" t="shared"/>
        <v>7.732925786E-2</v>
      </c>
    </row>
    <row r="60" spans="1:22" x14ac:dyDescent="0.25">
      <c r="A60" s="399">
        <f si="12" t="shared"/>
        <v>6</v>
      </c>
      <c r="B60" s="387">
        <f>TLFD!A20+0.5</f>
        <v>9.5</v>
      </c>
      <c r="C60" s="391">
        <f>TLFD!C20</f>
        <v>2.4855415860775987E-2</v>
      </c>
      <c r="D60" s="391">
        <f>TLFD!G20</f>
        <v>1.759962429698865E-2</v>
      </c>
      <c r="E60" s="387">
        <f si="10" t="shared"/>
        <v>0.34519811582600046</v>
      </c>
      <c r="G60" s="396" t="s">
        <v>290</v>
      </c>
      <c r="H60" s="396">
        <v>-0.48312945550901348</v>
      </c>
      <c r="I60"/>
      <c r="J60"/>
      <c r="K60"/>
      <c r="L60"/>
      <c r="M60"/>
      <c r="N60"/>
      <c r="O60"/>
      <c r="P60"/>
      <c r="R60" s="296" t="str">
        <f>VLOOKUP(S60,Coeff_Descr!$A:$D,3,FALSE)</f>
        <v>ESCORT</v>
      </c>
      <c r="S60" s="296">
        <f>OtherTourDestination!B68</f>
        <v>70</v>
      </c>
      <c r="T60" s="296" t="str">
        <f>OtherTourDestination!C68</f>
        <v>LSM_0070</v>
      </c>
      <c r="U60" s="298">
        <f>OtherTourDestination!E68</f>
        <v>0.28212328097</v>
      </c>
      <c r="V60" s="337">
        <f si="0" t="shared"/>
        <v>0.28212328097</v>
      </c>
    </row>
    <row r="61" spans="1:22" x14ac:dyDescent="0.25">
      <c r="A61" s="296">
        <f>B61-10</f>
        <v>0.5</v>
      </c>
      <c r="B61">
        <f>TLFD!A21+0.5</f>
        <v>10.5</v>
      </c>
      <c r="C61" s="393">
        <f>TLFD!C21</f>
        <v>2.282714682144233E-2</v>
      </c>
      <c r="D61" s="393">
        <f>TLFD!G21</f>
        <v>1.3813958283220507E-2</v>
      </c>
      <c r="E61">
        <f si="10" t="shared"/>
        <v>0.50227092699116394</v>
      </c>
      <c r="G61" s="396" t="s">
        <v>291</v>
      </c>
      <c r="H61" s="396">
        <v>0.19380097313838152</v>
      </c>
      <c r="I61"/>
      <c r="J61"/>
      <c r="K61"/>
      <c r="L61"/>
      <c r="M61"/>
      <c r="N61"/>
      <c r="O61"/>
      <c r="P61"/>
      <c r="R61" s="296" t="str">
        <f>VLOOKUP(S61,Coeff_Descr!$A:$D,3,FALSE)</f>
        <v>ESCORT</v>
      </c>
      <c r="S61" s="296">
        <f>OtherTourDestination!B69</f>
        <v>71</v>
      </c>
      <c r="T61" s="296" t="str">
        <f>OtherTourDestination!C69</f>
        <v>Gamma071</v>
      </c>
      <c r="U61" s="298">
        <f>OtherTourDestination!E69</f>
        <v>0</v>
      </c>
      <c r="V61" s="337">
        <f si="0" t="shared"/>
        <v>0</v>
      </c>
    </row>
    <row ht="15.75" r="62" spans="1:22" thickBot="1" x14ac:dyDescent="0.3">
      <c r="A62" s="296">
        <f ref="A62:A125" si="13" t="shared">B62-10</f>
        <v>1.5</v>
      </c>
      <c r="B62">
        <f>TLFD!A22+0.5</f>
        <v>11.5</v>
      </c>
      <c r="C62" s="393">
        <f>TLFD!C22</f>
        <v>2.1039468222302963E-2</v>
      </c>
      <c r="D62" s="393">
        <f>TLFD!G22</f>
        <v>1.3201150017754258E-2</v>
      </c>
      <c r="E62">
        <f si="10" t="shared"/>
        <v>0.46609616459021203</v>
      </c>
      <c r="G62" s="397" t="s">
        <v>292</v>
      </c>
      <c r="H62" s="397">
        <v>3</v>
      </c>
      <c r="I62"/>
      <c r="J62"/>
      <c r="K62"/>
      <c r="L62"/>
      <c r="M62"/>
      <c r="N62"/>
      <c r="O62"/>
      <c r="P62"/>
      <c r="R62" s="296" t="str">
        <f>VLOOKUP(S62,Coeff_Descr!$A:$D,3,FALSE)</f>
        <v>ESCORT</v>
      </c>
      <c r="S62" s="296">
        <f>OtherTourDestination!B70</f>
        <v>72</v>
      </c>
      <c r="T62" s="296" t="str">
        <f>OtherTourDestination!C70</f>
        <v>Gamma072</v>
      </c>
      <c r="U62" s="298">
        <f>OtherTourDestination!E70</f>
        <v>-3.71465268105</v>
      </c>
      <c r="V62" s="337">
        <f si="0" t="shared"/>
        <v>-3.71465268105</v>
      </c>
    </row>
    <row r="63" spans="1:22" x14ac:dyDescent="0.25">
      <c r="A63" s="296">
        <f si="13" t="shared"/>
        <v>2.5</v>
      </c>
      <c r="B63">
        <f>TLFD!A23+0.5</f>
        <v>12.5</v>
      </c>
      <c r="C63" s="393">
        <f>TLFD!C23</f>
        <v>2.5259554794862735E-2</v>
      </c>
      <c r="D63" s="393">
        <f>TLFD!G23</f>
        <v>1.2708612533360824E-2</v>
      </c>
      <c r="E63">
        <f si="10" t="shared"/>
        <v>0.68692457600419976</v>
      </c>
      <c r="G63"/>
      <c r="H63"/>
      <c r="I63"/>
      <c r="J63"/>
      <c r="K63"/>
      <c r="L63"/>
      <c r="M63"/>
      <c r="N63"/>
      <c r="O63"/>
      <c r="P63"/>
      <c r="R63" s="296" t="str">
        <f>VLOOKUP(S63,Coeff_Descr!$A:$D,3,FALSE)</f>
        <v>ESCORT</v>
      </c>
      <c r="S63" s="296">
        <f>OtherTourDestination!B71</f>
        <v>73</v>
      </c>
      <c r="T63" s="296" t="str">
        <f>OtherTourDestination!C71</f>
        <v>Gamma073</v>
      </c>
      <c r="U63" s="298">
        <f>OtherTourDestination!E71</f>
        <v>-2.3682469103699999</v>
      </c>
      <c r="V63" s="337">
        <f si="0" t="shared"/>
        <v>-2.3682469103699999</v>
      </c>
    </row>
    <row ht="15.75" r="64" spans="1:22" thickBot="1" x14ac:dyDescent="0.3">
      <c r="A64" s="296">
        <f si="13" t="shared"/>
        <v>3.5</v>
      </c>
      <c r="B64">
        <f>TLFD!A24+0.5</f>
        <v>13.5</v>
      </c>
      <c r="C64" s="393">
        <f>TLFD!C24</f>
        <v>1.0957292450807911E-2</v>
      </c>
      <c r="D64" s="393">
        <f>TLFD!G24</f>
        <v>1.1717810384522869E-2</v>
      </c>
      <c r="E64">
        <f si="10" t="shared"/>
        <v>-6.7104727594531635E-2</v>
      </c>
      <c r="G64" t="s">
        <v>293</v>
      </c>
      <c r="H64"/>
      <c r="I64"/>
      <c r="J64"/>
      <c r="K64"/>
      <c r="L64"/>
      <c r="M64"/>
      <c r="N64"/>
      <c r="O64"/>
      <c r="P64"/>
      <c r="R64" s="296" t="str">
        <f>VLOOKUP(S64,Coeff_Descr!$A:$D,3,FALSE)</f>
        <v>ESCORT</v>
      </c>
      <c r="S64" s="296">
        <f>OtherTourDestination!B72</f>
        <v>74</v>
      </c>
      <c r="T64" s="296" t="str">
        <f>OtherTourDestination!C72</f>
        <v>Gamma074</v>
      </c>
      <c r="U64" s="298">
        <f>OtherTourDestination!E72</f>
        <v>-2.6135679522899999</v>
      </c>
      <c r="V64" s="337">
        <f si="0" t="shared"/>
        <v>-2.6135679522899999</v>
      </c>
    </row>
    <row r="65" spans="1:22" x14ac:dyDescent="0.25">
      <c r="A65" s="296">
        <f si="13" t="shared"/>
        <v>4.5</v>
      </c>
      <c r="B65">
        <f>TLFD!A25+0.5</f>
        <v>14.5</v>
      </c>
      <c r="C65" s="393">
        <f>TLFD!C25</f>
        <v>9.3011209817181334E-3</v>
      </c>
      <c r="D65" s="393">
        <f>TLFD!G25</f>
        <v>1.1975533486821758E-2</v>
      </c>
      <c r="E65">
        <f si="10" t="shared"/>
        <v>-0.2527307637884143</v>
      </c>
      <c r="G65" s="398"/>
      <c r="H65" s="398" t="s">
        <v>294</v>
      </c>
      <c r="I65" s="398" t="s">
        <v>295</v>
      </c>
      <c r="J65" s="398" t="s">
        <v>296</v>
      </c>
      <c r="K65" s="398" t="s">
        <v>242</v>
      </c>
      <c r="L65" s="398" t="s">
        <v>297</v>
      </c>
      <c r="M65"/>
      <c r="N65"/>
      <c r="O65"/>
      <c r="P65"/>
      <c r="R65" s="296" t="str">
        <f>VLOOKUP(S65,Coeff_Descr!$A:$D,3,FALSE)</f>
        <v>ESCORT</v>
      </c>
      <c r="S65" s="296">
        <f>OtherTourDestination!B73</f>
        <v>75</v>
      </c>
      <c r="T65" s="296" t="str">
        <f>OtherTourDestination!C73</f>
        <v>Gamma075</v>
      </c>
      <c r="U65" s="298">
        <f>OtherTourDestination!E73</f>
        <v>-3.2783954524199999</v>
      </c>
      <c r="V65" s="337">
        <f si="0" t="shared"/>
        <v>-3.2783954524199999</v>
      </c>
    </row>
    <row r="66" spans="1:22" x14ac:dyDescent="0.25">
      <c r="A66" s="296">
        <f si="13" t="shared"/>
        <v>5.5</v>
      </c>
      <c r="B66">
        <f>TLFD!A26+0.5</f>
        <v>15.5</v>
      </c>
      <c r="C66" s="393">
        <f>TLFD!C26</f>
        <v>1.0601215299376193E-2</v>
      </c>
      <c r="D66" s="393">
        <f>TLFD!G26</f>
        <v>1.1849535525697856E-2</v>
      </c>
      <c r="E66">
        <f si="10" t="shared"/>
        <v>-0.11132002523865291</v>
      </c>
      <c r="G66" s="396" t="s">
        <v>298</v>
      </c>
      <c r="H66" s="396">
        <v>1</v>
      </c>
      <c r="I66" s="396">
        <v>1.2890218940582177E-3</v>
      </c>
      <c r="J66" s="396">
        <v>1.2890218940582177E-3</v>
      </c>
      <c r="K66" s="396">
        <v>3.4320087545849851E-2</v>
      </c>
      <c r="L66" s="396">
        <v>0.88338394470385351</v>
      </c>
      <c r="M66"/>
      <c r="N66"/>
      <c r="O66"/>
      <c r="P66"/>
      <c r="R66" s="296" t="str">
        <f>VLOOKUP(S66,Coeff_Descr!$A:$D,3,FALSE)</f>
        <v>ESCORT</v>
      </c>
      <c r="S66" s="296">
        <f>OtherTourDestination!B74</f>
        <v>76</v>
      </c>
      <c r="T66" s="296" t="str">
        <f>OtherTourDestination!C74</f>
        <v>Gamma076</v>
      </c>
      <c r="U66" s="298">
        <f>OtherTourDestination!E74</f>
        <v>-2.7864533272199998</v>
      </c>
      <c r="V66" s="337">
        <f si="0" t="shared"/>
        <v>-2.7864533272199998</v>
      </c>
    </row>
    <row r="67" spans="1:22" x14ac:dyDescent="0.25">
      <c r="A67" s="296">
        <f si="13" t="shared"/>
        <v>6.5</v>
      </c>
      <c r="B67">
        <f>TLFD!A27+0.5</f>
        <v>16.5</v>
      </c>
      <c r="C67" s="393">
        <f>TLFD!C27</f>
        <v>7.7152103160125539E-3</v>
      </c>
      <c r="D67" s="393">
        <f>TLFD!G27</f>
        <v>9.7075701865915257E-3</v>
      </c>
      <c r="E67">
        <f si="10" t="shared"/>
        <v>-0.22971226663208191</v>
      </c>
      <c r="G67" s="396" t="s">
        <v>299</v>
      </c>
      <c r="H67" s="396">
        <v>2</v>
      </c>
      <c r="I67" s="396">
        <v>7.511763437876734E-2</v>
      </c>
      <c r="J67" s="396">
        <v>3.755881718938367E-2</v>
      </c>
      <c r="K67" s="396"/>
      <c r="L67" s="396"/>
      <c r="M67"/>
      <c r="N67"/>
      <c r="O67"/>
      <c r="P67"/>
      <c r="R67" s="296" t="str">
        <f>VLOOKUP(S67,Coeff_Descr!$A:$D,3,FALSE)</f>
        <v>ESCORT</v>
      </c>
      <c r="S67" s="296">
        <f>OtherTourDestination!B75</f>
        <v>77</v>
      </c>
      <c r="T67" s="296" t="str">
        <f>OtherTourDestination!C75</f>
        <v>Gamma077</v>
      </c>
      <c r="U67" s="298">
        <f>OtherTourDestination!E75</f>
        <v>-2.4397388537100002</v>
      </c>
      <c r="V67" s="337">
        <f si="0" t="shared"/>
        <v>-2.4397388537100002</v>
      </c>
    </row>
    <row ht="15.75" r="68" spans="1:22" thickBot="1" x14ac:dyDescent="0.3">
      <c r="A68" s="296">
        <f si="13" t="shared"/>
        <v>7.5</v>
      </c>
      <c r="B68">
        <f>TLFD!A28+0.5</f>
        <v>17.5</v>
      </c>
      <c r="C68" s="393">
        <f>TLFD!C28</f>
        <v>5.4837934389816165E-3</v>
      </c>
      <c r="D68" s="393">
        <f>TLFD!G28</f>
        <v>8.8714018991329045E-3</v>
      </c>
      <c r="E68">
        <f si="10" t="shared"/>
        <v>-0.48103573847292724</v>
      </c>
      <c r="G68" s="397" t="s">
        <v>4</v>
      </c>
      <c r="H68" s="397">
        <v>3</v>
      </c>
      <c r="I68" s="397">
        <v>7.6406656272825557E-2</v>
      </c>
      <c r="J68" s="397"/>
      <c r="K68" s="397"/>
      <c r="L68" s="397"/>
      <c r="M68"/>
      <c r="N68"/>
      <c r="O68"/>
      <c r="P68"/>
      <c r="R68" s="296" t="str">
        <f>VLOOKUP(S68,Coeff_Descr!$A:$D,3,FALSE)</f>
        <v>ESCORT</v>
      </c>
      <c r="S68" s="296">
        <f>OtherTourDestination!B76</f>
        <v>78</v>
      </c>
      <c r="T68" s="296" t="str">
        <f>OtherTourDestination!C76</f>
        <v>Gamma078</v>
      </c>
      <c r="U68" s="298">
        <f>OtherTourDestination!E76</f>
        <v>-3.8618208476799998</v>
      </c>
      <c r="V68" s="337">
        <f si="0" t="shared"/>
        <v>-3.8618208476799998</v>
      </c>
    </row>
    <row ht="15.75" r="69" spans="1:22" thickBot="1" x14ac:dyDescent="0.3">
      <c r="A69" s="296">
        <f si="13" t="shared"/>
        <v>8.5</v>
      </c>
      <c r="B69">
        <f>TLFD!A29+0.5</f>
        <v>18.5</v>
      </c>
      <c r="C69" s="393">
        <f>TLFD!C29</f>
        <v>1.1926788897198729E-2</v>
      </c>
      <c r="D69" s="393">
        <f>TLFD!G29</f>
        <v>8.4762264756079401E-3</v>
      </c>
      <c r="E69">
        <f si="10" t="shared"/>
        <v>0.34152167818545925</v>
      </c>
      <c r="G69"/>
      <c r="H69"/>
      <c r="I69"/>
      <c r="J69"/>
      <c r="K69"/>
      <c r="L69"/>
      <c r="M69"/>
      <c r="N69"/>
      <c r="O69"/>
      <c r="P69"/>
      <c r="R69" s="296" t="str">
        <f>VLOOKUP(S69,Coeff_Descr!$A:$D,3,FALSE)</f>
        <v>ESCORT</v>
      </c>
      <c r="S69" s="296">
        <f>OtherTourDestination!B77</f>
        <v>79</v>
      </c>
      <c r="T69" s="296" t="str">
        <f>OtherTourDestination!C77</f>
        <v>Gamma079</v>
      </c>
      <c r="U69" s="298">
        <f>OtherTourDestination!E77</f>
        <v>-21.721852511200002</v>
      </c>
      <c r="V69" s="337">
        <f ref="V69:V104" si="14" t="shared">_xlfn.IFNA(VLOOKUP(S69,$B$43:$D$46,3,FALSE),U69)</f>
        <v>-21.721852511200002</v>
      </c>
    </row>
    <row r="70" spans="1:22" x14ac:dyDescent="0.25">
      <c r="A70" s="296">
        <f si="13" t="shared"/>
        <v>9.5</v>
      </c>
      <c r="B70">
        <f>TLFD!A30+0.5</f>
        <v>19.5</v>
      </c>
      <c r="C70" s="393">
        <f>TLFD!C30</f>
        <v>2.218896509444945E-2</v>
      </c>
      <c r="D70" s="393">
        <f>TLFD!G30</f>
        <v>7.7546017891710478E-3</v>
      </c>
      <c r="E70">
        <f si="10" t="shared"/>
        <v>1.0513086510854928</v>
      </c>
      <c r="G70" s="398"/>
      <c r="H70" s="398" t="s">
        <v>300</v>
      </c>
      <c r="I70" s="398" t="s">
        <v>291</v>
      </c>
      <c r="J70" s="398" t="s">
        <v>301</v>
      </c>
      <c r="K70" s="398" t="s">
        <v>302</v>
      </c>
      <c r="L70" s="398" t="s">
        <v>303</v>
      </c>
      <c r="M70" s="398" t="s">
        <v>304</v>
      </c>
      <c r="N70" s="398" t="s">
        <v>305</v>
      </c>
      <c r="O70" s="398" t="s">
        <v>306</v>
      </c>
      <c r="P70"/>
      <c r="R70" s="296" t="str">
        <f>VLOOKUP(S70,Coeff_Descr!$A:$D,3,FALSE)</f>
        <v>ESCORT</v>
      </c>
      <c r="S70" s="296">
        <f>OtherTourDestination!B78</f>
        <v>80</v>
      </c>
      <c r="T70" s="296" t="str">
        <f>OtherTourDestination!C78</f>
        <v>Gamma080</v>
      </c>
      <c r="U70" s="298">
        <f>OtherTourDestination!E78</f>
        <v>-1.01264089672</v>
      </c>
      <c r="V70" s="337">
        <f si="14" t="shared"/>
        <v>-1.01264089672</v>
      </c>
    </row>
    <row r="71" spans="1:22" x14ac:dyDescent="0.25">
      <c r="A71" s="296">
        <f si="13" t="shared"/>
        <v>10.5</v>
      </c>
      <c r="B71">
        <f>TLFD!A31+0.5</f>
        <v>20.5</v>
      </c>
      <c r="C71" s="393">
        <f>TLFD!C31</f>
        <v>4.034551920261701E-3</v>
      </c>
      <c r="D71" s="393">
        <f>TLFD!G31</f>
        <v>7.3479720055439103E-3</v>
      </c>
      <c r="E71">
        <f si="10" t="shared"/>
        <v>-0.59952911024608646</v>
      </c>
      <c r="G71" s="396" t="s">
        <v>307</v>
      </c>
      <c r="H71" s="396">
        <v>0</v>
      </c>
      <c r="I71" s="396" t="e">
        <v>#N/A</v>
      </c>
      <c r="J71" s="396" t="e">
        <v>#N/A</v>
      </c>
      <c r="K71" s="396" t="e">
        <v>#N/A</v>
      </c>
      <c r="L71" s="396" t="e">
        <v>#N/A</v>
      </c>
      <c r="M71" s="396" t="e">
        <v>#N/A</v>
      </c>
      <c r="N71" s="396" t="e">
        <v>#N/A</v>
      </c>
      <c r="O71" s="396" t="e">
        <v>#N/A</v>
      </c>
      <c r="P71"/>
      <c r="R71" s="296" t="str">
        <f>VLOOKUP(S71,Coeff_Descr!$A:$D,3,FALSE)</f>
        <v>ESCORT</v>
      </c>
      <c r="S71" s="296">
        <f>OtherTourDestination!B79</f>
        <v>81</v>
      </c>
      <c r="T71" s="296" t="str">
        <f>OtherTourDestination!C79</f>
        <v>Gamma081</v>
      </c>
      <c r="U71" s="298">
        <f>OtherTourDestination!E79</f>
        <v>-5.1766396376000001</v>
      </c>
      <c r="V71" s="337">
        <f si="14" t="shared"/>
        <v>-5.1766396376000001</v>
      </c>
    </row>
    <row ht="15.75" r="72" spans="1:22" thickBot="1" x14ac:dyDescent="0.3">
      <c r="A72" s="296">
        <f si="13" t="shared"/>
        <v>11.5</v>
      </c>
      <c r="B72">
        <f>TLFD!A32+0.5</f>
        <v>21.5</v>
      </c>
      <c r="C72" s="393">
        <f>TLFD!C32</f>
        <v>4.4749468548084597E-3</v>
      </c>
      <c r="D72" s="393">
        <f>TLFD!G32</f>
        <v>6.13953701476467E-3</v>
      </c>
      <c r="E72">
        <f si="10" t="shared"/>
        <v>-0.31625485891867244</v>
      </c>
      <c r="G72" s="397" t="s">
        <v>308</v>
      </c>
      <c r="H72" s="397">
        <v>1.2137412734696328E-2</v>
      </c>
      <c r="I72" s="397">
        <v>6.5516686807372021E-2</v>
      </c>
      <c r="J72" s="397">
        <v>0.18525681511310202</v>
      </c>
      <c r="K72" s="397">
        <v>0.8701133398266524</v>
      </c>
      <c r="L72" s="397">
        <v>-0.26975813860118358</v>
      </c>
      <c r="M72" s="397">
        <v>0.29403296407057622</v>
      </c>
      <c r="N72" s="397">
        <v>-0.26975813860118358</v>
      </c>
      <c r="O72" s="397">
        <v>0.29403296407057622</v>
      </c>
      <c r="P72"/>
      <c r="R72" s="296" t="str">
        <f>VLOOKUP(S72,Coeff_Descr!$A:$D,3,FALSE)</f>
        <v>ESCORT</v>
      </c>
      <c r="S72" s="296">
        <f>OtherTourDestination!B80</f>
        <v>82</v>
      </c>
      <c r="T72" s="296" t="str">
        <f>OtherTourDestination!C80</f>
        <v>Gamma082</v>
      </c>
      <c r="U72" s="298">
        <f>OtherTourDestination!E80</f>
        <v>-2.28857439545</v>
      </c>
      <c r="V72" s="337">
        <f si="14" t="shared"/>
        <v>-2.28857439545</v>
      </c>
    </row>
    <row r="73" spans="1:22" x14ac:dyDescent="0.25">
      <c r="A73" s="296">
        <f si="13" t="shared"/>
        <v>12.5</v>
      </c>
      <c r="B73">
        <f>TLFD!A33+0.5</f>
        <v>22.5</v>
      </c>
      <c r="C73" s="393">
        <f>TLFD!C33</f>
        <v>3.4247019033473432E-3</v>
      </c>
      <c r="D73" s="393">
        <f>TLFD!G33</f>
        <v>5.6756354306266681E-3</v>
      </c>
      <c r="E73">
        <f si="10" t="shared"/>
        <v>-0.50516809484640124</v>
      </c>
      <c r="G73"/>
      <c r="H73"/>
      <c r="I73"/>
      <c r="J73"/>
      <c r="K73"/>
      <c r="L73"/>
      <c r="M73"/>
      <c r="N73"/>
      <c r="O73"/>
      <c r="P73"/>
      <c r="R73" s="296" t="str">
        <f>VLOOKUP(S73,Coeff_Descr!$A:$D,3,FALSE)</f>
        <v>ESCORT</v>
      </c>
      <c r="S73" s="296">
        <f>OtherTourDestination!B81</f>
        <v>83</v>
      </c>
      <c r="T73" s="296" t="str">
        <f>OtherTourDestination!C81</f>
        <v>Gamma083</v>
      </c>
      <c r="U73" s="298">
        <f>OtherTourDestination!E81</f>
        <v>-3.4002747143900001</v>
      </c>
      <c r="V73" s="337">
        <f si="14" t="shared"/>
        <v>-3.4002747143900001</v>
      </c>
    </row>
    <row r="74" spans="1:22" x14ac:dyDescent="0.25">
      <c r="A74" s="296">
        <f si="13" t="shared"/>
        <v>13.5</v>
      </c>
      <c r="B74">
        <f>TLFD!A34+0.5</f>
        <v>23.5</v>
      </c>
      <c r="C74" s="393">
        <f>TLFD!C34</f>
        <v>4.1505522969578473E-3</v>
      </c>
      <c r="D74" s="393">
        <f>TLFD!G34</f>
        <v>5.400730788174519E-3</v>
      </c>
      <c r="E74">
        <f si="10" t="shared"/>
        <v>-0.26329286656515483</v>
      </c>
      <c r="G74"/>
      <c r="H74"/>
      <c r="I74"/>
      <c r="J74"/>
      <c r="K74"/>
      <c r="L74"/>
      <c r="M74"/>
      <c r="N74"/>
      <c r="O74"/>
      <c r="P74"/>
      <c r="R74" s="296" t="str">
        <f>VLOOKUP(S74,Coeff_Descr!$A:$D,3,FALSE)</f>
        <v>ESCORT</v>
      </c>
      <c r="S74" s="296">
        <f>OtherTourDestination!B82</f>
        <v>84</v>
      </c>
      <c r="T74" s="296" t="str">
        <f>OtherTourDestination!C82</f>
        <v>Gamma084</v>
      </c>
      <c r="U74" s="298">
        <f>OtherTourDestination!E82</f>
        <v>-1.5824120396100001</v>
      </c>
      <c r="V74" s="337">
        <f si="14" t="shared"/>
        <v>-1.5824120396100001</v>
      </c>
    </row>
    <row r="75" spans="1:22" x14ac:dyDescent="0.25">
      <c r="A75" s="296">
        <f si="13" t="shared"/>
        <v>14.5</v>
      </c>
      <c r="B75">
        <f>TLFD!A35+0.5</f>
        <v>24.5</v>
      </c>
      <c r="C75" s="393">
        <f>TLFD!C35</f>
        <v>1.3729019841585519E-3</v>
      </c>
      <c r="D75" s="393">
        <f>TLFD!G35</f>
        <v>4.7936497027593556E-3</v>
      </c>
      <c r="E75">
        <f si="10" t="shared"/>
        <v>-1.2503653272612008</v>
      </c>
      <c r="G75" t="s">
        <v>286</v>
      </c>
      <c r="H75"/>
      <c r="I75"/>
      <c r="J75"/>
      <c r="K75"/>
      <c r="L75"/>
      <c r="M75"/>
      <c r="N75"/>
      <c r="O75"/>
      <c r="P75"/>
      <c r="R75" s="296" t="str">
        <f>VLOOKUP(S75,Coeff_Descr!$A:$D,3,FALSE)</f>
        <v>ESCORT</v>
      </c>
      <c r="S75" s="296">
        <f>OtherTourDestination!B83</f>
        <v>85</v>
      </c>
      <c r="T75" s="296" t="str">
        <f>OtherTourDestination!C83</f>
        <v>Gamma085</v>
      </c>
      <c r="U75" s="298">
        <f>OtherTourDestination!E83</f>
        <v>-3.8472578798099999</v>
      </c>
      <c r="V75" s="337">
        <f si="14" t="shared"/>
        <v>-3.8472578798099999</v>
      </c>
    </row>
    <row ht="15.75" r="76" spans="1:22" thickBot="1" x14ac:dyDescent="0.3">
      <c r="A76" s="296">
        <f si="13" t="shared"/>
        <v>15.5</v>
      </c>
      <c r="B76">
        <f>TLFD!A36+0.5</f>
        <v>25.5</v>
      </c>
      <c r="C76" s="393">
        <f>TLFD!C36</f>
        <v>5.2304989338479903E-3</v>
      </c>
      <c r="D76" s="393">
        <f>TLFD!G36</f>
        <v>4.6504702014821941E-3</v>
      </c>
      <c r="E76">
        <f si="10" t="shared"/>
        <v>0.11753833888254255</v>
      </c>
      <c r="G76"/>
      <c r="H76"/>
      <c r="I76"/>
      <c r="J76"/>
      <c r="K76"/>
      <c r="L76"/>
      <c r="M76"/>
      <c r="N76"/>
      <c r="O76"/>
      <c r="P76" s="296"/>
      <c r="R76" s="296" t="str">
        <f>VLOOKUP(S76,Coeff_Descr!$A:$D,3,FALSE)</f>
        <v>ESCORT</v>
      </c>
      <c r="S76" s="296">
        <f>OtherTourDestination!B84</f>
        <v>86</v>
      </c>
      <c r="T76" s="296" t="str">
        <f>OtherTourDestination!C84</f>
        <v>Gamma086</v>
      </c>
      <c r="U76" s="298">
        <f>OtherTourDestination!E84</f>
        <v>-3.1031248195800001</v>
      </c>
      <c r="V76" s="337">
        <f si="14" t="shared"/>
        <v>-3.1031248195800001</v>
      </c>
    </row>
    <row r="77" spans="1:22" x14ac:dyDescent="0.25">
      <c r="A77" s="296">
        <f si="13" t="shared"/>
        <v>16.5</v>
      </c>
      <c r="B77">
        <f>TLFD!A37+0.5</f>
        <v>26.5</v>
      </c>
      <c r="C77" s="393">
        <f>TLFD!C37</f>
        <v>4.7845403668359161E-4</v>
      </c>
      <c r="D77" s="393">
        <f>TLFD!G37</f>
        <v>3.556578811724683E-3</v>
      </c>
      <c r="E77">
        <f si="10" t="shared"/>
        <v>-2.0059942046477346</v>
      </c>
      <c r="G77" s="395" t="s">
        <v>287</v>
      </c>
      <c r="H77" s="395"/>
      <c r="I77"/>
      <c r="J77"/>
      <c r="K77"/>
      <c r="L77"/>
      <c r="M77"/>
      <c r="N77"/>
      <c r="O77"/>
      <c r="P77" s="296"/>
      <c r="R77" s="296" t="str">
        <f>VLOOKUP(S77,Coeff_Descr!$A:$D,3,FALSE)</f>
        <v>ESCORT</v>
      </c>
      <c r="S77" s="296">
        <f>OtherTourDestination!B85</f>
        <v>87</v>
      </c>
      <c r="T77" s="296" t="str">
        <f>OtherTourDestination!C85</f>
        <v>Gamma087</v>
      </c>
      <c r="U77" s="298">
        <f>OtherTourDestination!E85</f>
        <v>-19.5604248241</v>
      </c>
      <c r="V77" s="337">
        <f si="14" t="shared"/>
        <v>-19.5604248241</v>
      </c>
    </row>
    <row r="78" spans="1:22" x14ac:dyDescent="0.25">
      <c r="A78" s="296">
        <f si="13" t="shared"/>
        <v>17.5</v>
      </c>
      <c r="B78">
        <f>TLFD!A38+0.5</f>
        <v>27.5</v>
      </c>
      <c r="C78" s="393">
        <f>TLFD!C38</f>
        <v>4.6660202411261658E-3</v>
      </c>
      <c r="D78" s="393">
        <f>TLFD!G38</f>
        <v>3.4878526511116456E-3</v>
      </c>
      <c r="E78">
        <f si="10" t="shared"/>
        <v>0.29102025096005796</v>
      </c>
      <c r="G78" s="396" t="s">
        <v>288</v>
      </c>
      <c r="H78" s="396">
        <v>0.80624937025474652</v>
      </c>
      <c r="I78"/>
      <c r="J78"/>
      <c r="K78"/>
      <c r="L78"/>
      <c r="M78"/>
      <c r="N78"/>
      <c r="O78"/>
      <c r="P78" s="296"/>
      <c r="R78" s="296" t="str">
        <f>VLOOKUP(S78,Coeff_Descr!$A:$D,3,FALSE)</f>
        <v>ESCORT</v>
      </c>
      <c r="S78" s="296">
        <f>OtherTourDestination!B86</f>
        <v>88</v>
      </c>
      <c r="T78" s="296" t="str">
        <f>OtherTourDestination!C86</f>
        <v>Gamma088</v>
      </c>
      <c r="U78" s="298">
        <f>OtherTourDestination!E86</f>
        <v>0</v>
      </c>
      <c r="V78" s="337">
        <f si="14" t="shared"/>
        <v>0</v>
      </c>
    </row>
    <row r="79" spans="1:22" x14ac:dyDescent="0.25">
      <c r="A79" s="296">
        <f si="13" t="shared"/>
        <v>18.5</v>
      </c>
      <c r="B79">
        <f>TLFD!A39+0.5</f>
        <v>28.5</v>
      </c>
      <c r="C79" s="393">
        <f>TLFD!C39</f>
        <v>3.1170632308824275E-3</v>
      </c>
      <c r="D79" s="393">
        <f>TLFD!G39</f>
        <v>2.9323161861562605E-3</v>
      </c>
      <c r="E79">
        <f si="10" t="shared"/>
        <v>6.1098668430231207E-2</v>
      </c>
      <c r="G79" s="396" t="s">
        <v>289</v>
      </c>
      <c r="H79" s="396">
        <v>0.6500380470361754</v>
      </c>
      <c r="I79"/>
      <c r="J79"/>
      <c r="K79"/>
      <c r="L79"/>
      <c r="M79"/>
      <c r="N79"/>
      <c r="O79"/>
      <c r="P79" s="296"/>
      <c r="R79" s="296" t="str">
        <f>VLOOKUP(S79,Coeff_Descr!$A:$D,3,FALSE)</f>
        <v>PERSBUS/MED</v>
      </c>
      <c r="S79" s="296">
        <f>OtherTourDestination!B87</f>
        <v>89</v>
      </c>
      <c r="T79" s="296" t="str">
        <f>OtherTourDestination!C87</f>
        <v>Gamma089</v>
      </c>
      <c r="U79" s="298">
        <f>OtherTourDestination!E87</f>
        <v>-5.3998296944700002</v>
      </c>
      <c r="V79" s="337">
        <f si="14" t="shared"/>
        <v>-5.3998296944700002</v>
      </c>
    </row>
    <row r="80" spans="1:22" x14ac:dyDescent="0.25">
      <c r="A80" s="296">
        <f si="13" t="shared"/>
        <v>19.5</v>
      </c>
      <c r="B80">
        <f>TLFD!A40+0.5</f>
        <v>29.5</v>
      </c>
      <c r="C80" s="393">
        <f>TLFD!C40</f>
        <v>9.9381221581872226E-3</v>
      </c>
      <c r="D80" s="393">
        <f>TLFD!G40</f>
        <v>2.6745930838573701E-3</v>
      </c>
      <c r="E80">
        <f si="10" t="shared"/>
        <v>1.3125808345412215</v>
      </c>
      <c r="G80" s="396" t="s">
        <v>290</v>
      </c>
      <c r="H80" s="396">
        <v>0.45003804703617539</v>
      </c>
      <c r="I80"/>
      <c r="J80"/>
      <c r="K80"/>
      <c r="L80"/>
      <c r="M80"/>
      <c r="N80"/>
      <c r="O80"/>
      <c r="P80" s="296"/>
      <c r="R80" s="296" t="str">
        <f>VLOOKUP(S80,Coeff_Descr!$A:$D,3,FALSE)</f>
        <v>PERSBUS/MED</v>
      </c>
      <c r="S80" s="296">
        <f>OtherTourDestination!B88</f>
        <v>90</v>
      </c>
      <c r="T80" s="296" t="str">
        <f>OtherTourDestination!C88</f>
        <v>Gamma090</v>
      </c>
      <c r="U80" s="298">
        <f>OtherTourDestination!E88</f>
        <v>-17.4219403528</v>
      </c>
      <c r="V80" s="337">
        <f si="14" t="shared"/>
        <v>-17.4219403528</v>
      </c>
    </row>
    <row r="81" spans="1:22" x14ac:dyDescent="0.25">
      <c r="A81" s="296">
        <f si="13" t="shared"/>
        <v>20.5</v>
      </c>
      <c r="B81">
        <f>TLFD!A41+0.5</f>
        <v>30.5</v>
      </c>
      <c r="C81" s="393">
        <f>TLFD!C41</f>
        <v>1.2334416009359629E-3</v>
      </c>
      <c r="D81" s="393">
        <f>TLFD!G41</f>
        <v>2.325235100741097E-3</v>
      </c>
      <c r="E81">
        <f si="10" t="shared"/>
        <v>-0.63401284085359588</v>
      </c>
      <c r="G81" s="396" t="s">
        <v>291</v>
      </c>
      <c r="H81" s="396">
        <v>0.29631471886766758</v>
      </c>
      <c r="I81"/>
      <c r="J81"/>
      <c r="K81"/>
      <c r="L81"/>
      <c r="M81"/>
      <c r="N81"/>
      <c r="O81"/>
      <c r="P81" s="296"/>
      <c r="R81" s="296" t="str">
        <f>VLOOKUP(S81,Coeff_Descr!$A:$D,3,FALSE)</f>
        <v>PERSBUS/MED</v>
      </c>
      <c r="S81" s="296">
        <f>OtherTourDestination!B89</f>
        <v>91</v>
      </c>
      <c r="T81" s="296" t="str">
        <f>OtherTourDestination!C89</f>
        <v>Gamma091</v>
      </c>
      <c r="U81" s="298">
        <f>OtherTourDestination!E89</f>
        <v>-10.161549352</v>
      </c>
      <c r="V81" s="337">
        <f si="14" t="shared"/>
        <v>-10.161549352</v>
      </c>
    </row>
    <row ht="15.75" r="82" spans="1:22" thickBot="1" x14ac:dyDescent="0.3">
      <c r="A82" s="296">
        <f si="13" t="shared"/>
        <v>21.5</v>
      </c>
      <c r="B82">
        <f>TLFD!A42+0.5</f>
        <v>31.5</v>
      </c>
      <c r="C82" s="393">
        <f>TLFD!C42</f>
        <v>0</v>
      </c>
      <c r="D82" s="393">
        <f>TLFD!G42</f>
        <v>2.1992371396171951E-3</v>
      </c>
      <c r="E82">
        <f si="10" t="shared"/>
        <v>0</v>
      </c>
      <c r="G82" s="397" t="s">
        <v>292</v>
      </c>
      <c r="H82" s="397">
        <v>6</v>
      </c>
      <c r="I82"/>
      <c r="J82"/>
      <c r="K82"/>
      <c r="L82"/>
      <c r="M82"/>
      <c r="N82"/>
      <c r="O82"/>
      <c r="P82" s="296"/>
      <c r="R82" s="296" t="str">
        <f>VLOOKUP(S82,Coeff_Descr!$A:$D,3,FALSE)</f>
        <v>PERSBUS/MED</v>
      </c>
      <c r="S82" s="296">
        <f>OtherTourDestination!B90</f>
        <v>92</v>
      </c>
      <c r="T82" s="296" t="str">
        <f>OtherTourDestination!C90</f>
        <v>Gamma092</v>
      </c>
      <c r="U82" s="298">
        <f>OtherTourDestination!E90</f>
        <v>-0.87415121182</v>
      </c>
      <c r="V82" s="337">
        <f si="14" t="shared"/>
        <v>-0.87415121182</v>
      </c>
    </row>
    <row r="83" spans="1:22" x14ac:dyDescent="0.25">
      <c r="A83" s="296">
        <f si="13" t="shared"/>
        <v>22.5</v>
      </c>
      <c r="B83">
        <f>TLFD!A43+0.5</f>
        <v>32.5</v>
      </c>
      <c r="C83" s="393">
        <f>TLFD!C43</f>
        <v>1.1720235996260981E-2</v>
      </c>
      <c r="D83" s="393">
        <f>TLFD!G43</f>
        <v>1.9357868572672187E-3</v>
      </c>
      <c r="E83">
        <f si="10" t="shared"/>
        <v>1.8008030317390922</v>
      </c>
      <c r="G83"/>
      <c r="H83"/>
      <c r="I83"/>
      <c r="J83"/>
      <c r="K83"/>
      <c r="L83"/>
      <c r="M83"/>
      <c r="N83"/>
      <c r="O83"/>
      <c r="P83" s="296"/>
      <c r="R83" s="296" t="str">
        <f>VLOOKUP(S83,Coeff_Descr!$A:$D,3,FALSE)</f>
        <v>PERSBUS/MED</v>
      </c>
      <c r="S83" s="296">
        <f>OtherTourDestination!B91</f>
        <v>93</v>
      </c>
      <c r="T83" s="296" t="str">
        <f>OtherTourDestination!C91</f>
        <v>Gamma093</v>
      </c>
      <c r="U83" s="298">
        <f>OtherTourDestination!E91</f>
        <v>-0.74080192435000003</v>
      </c>
      <c r="V83" s="337">
        <f si="14" t="shared"/>
        <v>-0.74080192435000003</v>
      </c>
    </row>
    <row ht="15.75" r="84" spans="1:22" thickBot="1" x14ac:dyDescent="0.3">
      <c r="A84" s="296">
        <f si="13" t="shared"/>
        <v>23.5</v>
      </c>
      <c r="B84">
        <f>TLFD!A44+0.5</f>
        <v>33.5</v>
      </c>
      <c r="C84" s="393">
        <f>TLFD!C44</f>
        <v>1.8060379970486192E-3</v>
      </c>
      <c r="D84" s="393">
        <f>TLFD!G44</f>
        <v>1.7410627355302795E-3</v>
      </c>
      <c r="E84">
        <f si="10" t="shared"/>
        <v>3.6639799783801379E-2</v>
      </c>
      <c r="G84" t="s">
        <v>293</v>
      </c>
      <c r="H84"/>
      <c r="I84"/>
      <c r="J84"/>
      <c r="K84"/>
      <c r="L84"/>
      <c r="M84"/>
      <c r="N84"/>
      <c r="O84"/>
      <c r="P84" s="296"/>
      <c r="R84" s="296" t="str">
        <f>VLOOKUP(S84,Coeff_Descr!$A:$D,3,FALSE)</f>
        <v>PERSBUS/MED</v>
      </c>
      <c r="S84" s="296">
        <f>OtherTourDestination!B92</f>
        <v>94</v>
      </c>
      <c r="T84" s="296" t="str">
        <f>OtherTourDestination!C92</f>
        <v>Gamma094</v>
      </c>
      <c r="U84" s="298">
        <f>OtherTourDestination!E92</f>
        <v>0</v>
      </c>
      <c r="V84" s="337">
        <f si="14" t="shared"/>
        <v>0</v>
      </c>
    </row>
    <row r="85" spans="1:22" x14ac:dyDescent="0.25">
      <c r="A85" s="296">
        <f si="13" t="shared"/>
        <v>24.5</v>
      </c>
      <c r="B85">
        <f>TLFD!A45+0.5</f>
        <v>34.5</v>
      </c>
      <c r="C85" s="393">
        <f>TLFD!C45</f>
        <v>1.96876358207875E-4</v>
      </c>
      <c r="D85" s="393">
        <f>TLFD!G45</f>
        <v>1.3917047524140064E-3</v>
      </c>
      <c r="E85">
        <f si="10" t="shared"/>
        <v>-1.9557088068567017</v>
      </c>
      <c r="G85" s="398"/>
      <c r="H85" s="398" t="s">
        <v>294</v>
      </c>
      <c r="I85" s="398" t="s">
        <v>295</v>
      </c>
      <c r="J85" s="398" t="s">
        <v>296</v>
      </c>
      <c r="K85" s="398" t="s">
        <v>242</v>
      </c>
      <c r="L85" s="398" t="s">
        <v>297</v>
      </c>
      <c r="M85"/>
      <c r="N85"/>
      <c r="O85"/>
      <c r="P85" s="296"/>
      <c r="R85" s="296" t="str">
        <f>VLOOKUP(S85,Coeff_Descr!$A:$D,3,FALSE)</f>
        <v>PERSBUS/MED</v>
      </c>
      <c r="S85" s="296">
        <f>OtherTourDestination!B93</f>
        <v>95</v>
      </c>
      <c r="T85" s="296" t="str">
        <f>OtherTourDestination!C93</f>
        <v>Gamma095</v>
      </c>
      <c r="U85" s="298">
        <f>OtherTourDestination!E93</f>
        <v>-10.7800625269</v>
      </c>
      <c r="V85" s="337">
        <f si="14" t="shared"/>
        <v>-10.7800625269</v>
      </c>
    </row>
    <row r="86" spans="1:22" x14ac:dyDescent="0.25">
      <c r="A86" s="296">
        <f si="13" t="shared"/>
        <v>25.5</v>
      </c>
      <c r="B86">
        <f>TLFD!A46+0.5</f>
        <v>35.5</v>
      </c>
      <c r="C86" s="393">
        <f>TLFD!C46</f>
        <v>2.5725922533325666E-3</v>
      </c>
      <c r="D86" s="393">
        <f>TLFD!G46</f>
        <v>1.5635201539465997E-3</v>
      </c>
      <c r="E86">
        <f si="10" t="shared"/>
        <v>0.49797426132810479</v>
      </c>
      <c r="G86" s="396" t="s">
        <v>298</v>
      </c>
      <c r="H86" s="396">
        <v>1</v>
      </c>
      <c r="I86" s="396">
        <v>0.8154444838882976</v>
      </c>
      <c r="J86" s="396">
        <v>0.8154444838882976</v>
      </c>
      <c r="K86" s="396">
        <v>9.287267394798338</v>
      </c>
      <c r="L86" s="396">
        <v>3.8121262766785964E-2</v>
      </c>
      <c r="M86"/>
      <c r="N86"/>
      <c r="O86"/>
      <c r="P86" s="296"/>
      <c r="R86" s="296" t="str">
        <f>VLOOKUP(S86,Coeff_Descr!$A:$D,3,FALSE)</f>
        <v>PERSBUS/MED</v>
      </c>
      <c r="S86" s="296">
        <f>OtherTourDestination!B94</f>
        <v>96</v>
      </c>
      <c r="T86" s="296" t="str">
        <f>OtherTourDestination!C94</f>
        <v>Gamma096</v>
      </c>
      <c r="U86" s="298">
        <f>OtherTourDestination!E94</f>
        <v>-17.598302231800002</v>
      </c>
      <c r="V86" s="337">
        <f si="14" t="shared"/>
        <v>-17.598302231800002</v>
      </c>
    </row>
    <row r="87" spans="1:22" x14ac:dyDescent="0.25">
      <c r="A87" s="296">
        <f si="13" t="shared"/>
        <v>26.5</v>
      </c>
      <c r="B87">
        <f>TLFD!A47+0.5</f>
        <v>36.5</v>
      </c>
      <c r="C87" s="393">
        <f>TLFD!C47</f>
        <v>0</v>
      </c>
      <c r="D87" s="393">
        <f>TLFD!G47</f>
        <v>1.2027078107281536E-3</v>
      </c>
      <c r="E87">
        <f si="10" t="shared"/>
        <v>0</v>
      </c>
      <c r="G87" s="396" t="s">
        <v>299</v>
      </c>
      <c r="H87" s="396">
        <v>5</v>
      </c>
      <c r="I87" s="396">
        <v>0.43901206308812435</v>
      </c>
      <c r="J87" s="396">
        <v>8.7802412617624864E-2</v>
      </c>
      <c r="K87" s="396"/>
      <c r="L87" s="396"/>
      <c r="M87"/>
      <c r="N87"/>
      <c r="O87"/>
      <c r="P87" s="296"/>
      <c r="R87" s="296" t="str">
        <f>VLOOKUP(S87,Coeff_Descr!$A:$D,3,FALSE)</f>
        <v>PERSBUS/MED</v>
      </c>
      <c r="S87" s="296">
        <f>OtherTourDestination!B95</f>
        <v>97</v>
      </c>
      <c r="T87" s="296" t="str">
        <f>OtherTourDestination!C95</f>
        <v>Gamma097</v>
      </c>
      <c r="U87" s="298">
        <f>OtherTourDestination!E95</f>
        <v>-7.3399914692000001</v>
      </c>
      <c r="V87" s="337">
        <f si="14" t="shared"/>
        <v>-7.3399914692000001</v>
      </c>
    </row>
    <row ht="15.75" r="88" spans="1:22" thickBot="1" x14ac:dyDescent="0.3">
      <c r="A88" s="296">
        <f si="13" t="shared"/>
        <v>27.5</v>
      </c>
      <c r="B88">
        <f>TLFD!A48+0.5</f>
        <v>37.5</v>
      </c>
      <c r="C88" s="393">
        <f>TLFD!C48</f>
        <v>4.0199357571683858E-4</v>
      </c>
      <c r="D88" s="393">
        <f>TLFD!G48</f>
        <v>1.2198893508814129E-3</v>
      </c>
      <c r="E88">
        <f si="10" t="shared"/>
        <v>-1.110079329927887</v>
      </c>
      <c r="G88" s="397" t="s">
        <v>4</v>
      </c>
      <c r="H88" s="397">
        <v>6</v>
      </c>
      <c r="I88" s="397">
        <v>1.2544565469764219</v>
      </c>
      <c r="J88" s="397"/>
      <c r="K88" s="397"/>
      <c r="L88" s="397"/>
      <c r="M88"/>
      <c r="N88"/>
      <c r="O88"/>
      <c r="P88" s="296"/>
      <c r="R88" s="296" t="str">
        <f>VLOOKUP(S88,Coeff_Descr!$A:$D,3,FALSE)</f>
        <v>SHOP</v>
      </c>
      <c r="S88" s="296">
        <f>OtherTourDestination!B96</f>
        <v>98</v>
      </c>
      <c r="T88" s="296" t="str">
        <f>OtherTourDestination!C96</f>
        <v>Gamma098</v>
      </c>
      <c r="U88" s="298">
        <f>OtherTourDestination!E96</f>
        <v>-11.813486662400001</v>
      </c>
      <c r="V88" s="337">
        <f si="14" t="shared"/>
        <v>-11.813486662400001</v>
      </c>
    </row>
    <row ht="15.75" r="89" spans="1:22" thickBot="1" x14ac:dyDescent="0.3">
      <c r="A89" s="296">
        <f si="13" t="shared"/>
        <v>28.5</v>
      </c>
      <c r="B89">
        <f>TLFD!A49+0.5</f>
        <v>38.5</v>
      </c>
      <c r="C89" s="393">
        <f>TLFD!C49</f>
        <v>0</v>
      </c>
      <c r="D89" s="393">
        <f>TLFD!G49</f>
        <v>8.1898674730536175E-4</v>
      </c>
      <c r="E89">
        <f si="10" t="shared"/>
        <v>0</v>
      </c>
      <c r="G89"/>
      <c r="H89"/>
      <c r="I89"/>
      <c r="J89"/>
      <c r="K89"/>
      <c r="L89"/>
      <c r="M89"/>
      <c r="N89"/>
      <c r="O89"/>
      <c r="P89" s="296"/>
      <c r="R89" s="296" t="str">
        <f>VLOOKUP(S89,Coeff_Descr!$A:$D,3,FALSE)</f>
        <v>SHOP</v>
      </c>
      <c r="S89" s="296">
        <f>OtherTourDestination!B97</f>
        <v>99</v>
      </c>
      <c r="T89" s="296" t="str">
        <f>OtherTourDestination!C97</f>
        <v>Gamma099</v>
      </c>
      <c r="U89" s="298">
        <f>OtherTourDestination!E97</f>
        <v>-12.070734291200001</v>
      </c>
      <c r="V89" s="337">
        <f si="14" t="shared"/>
        <v>-12.070734291200001</v>
      </c>
    </row>
    <row r="90" spans="1:22" x14ac:dyDescent="0.25">
      <c r="A90" s="296">
        <f si="13" t="shared"/>
        <v>29.5</v>
      </c>
      <c r="B90">
        <f>TLFD!A50+0.5</f>
        <v>39.5</v>
      </c>
      <c r="C90" s="393">
        <f>TLFD!C50</f>
        <v>0</v>
      </c>
      <c r="D90" s="393">
        <f>TLFD!G50</f>
        <v>9.2780316827600429E-4</v>
      </c>
      <c r="E90">
        <f si="10" t="shared"/>
        <v>0</v>
      </c>
      <c r="G90" s="398"/>
      <c r="H90" s="398" t="s">
        <v>300</v>
      </c>
      <c r="I90" s="398" t="s">
        <v>291</v>
      </c>
      <c r="J90" s="398" t="s">
        <v>301</v>
      </c>
      <c r="K90" s="398" t="s">
        <v>302</v>
      </c>
      <c r="L90" s="398" t="s">
        <v>303</v>
      </c>
      <c r="M90" s="398" t="s">
        <v>304</v>
      </c>
      <c r="N90" s="398" t="s">
        <v>305</v>
      </c>
      <c r="O90" s="398" t="s">
        <v>306</v>
      </c>
      <c r="P90" s="296"/>
      <c r="R90" s="296" t="str">
        <f>VLOOKUP(S90,Coeff_Descr!$A:$D,3,FALSE)</f>
        <v>SHOP</v>
      </c>
      <c r="S90" s="296">
        <f>OtherTourDestination!B98</f>
        <v>100</v>
      </c>
      <c r="T90" s="296" t="str">
        <f>OtherTourDestination!C98</f>
        <v>Gamma100</v>
      </c>
      <c r="U90" s="298">
        <f>OtherTourDestination!E98</f>
        <v>0</v>
      </c>
      <c r="V90" s="337">
        <f si="14" t="shared"/>
        <v>0</v>
      </c>
    </row>
    <row r="91" spans="1:22" x14ac:dyDescent="0.25">
      <c r="A91" s="296">
        <f si="13" t="shared"/>
        <v>30.5</v>
      </c>
      <c r="B91">
        <f>TLFD!A51+0.5</f>
        <v>40.5</v>
      </c>
      <c r="C91" s="393">
        <f>TLFD!C51</f>
        <v>0</v>
      </c>
      <c r="D91" s="393">
        <f>TLFD!G51</f>
        <v>6.2426262556842258E-4</v>
      </c>
      <c r="E91">
        <f si="10" t="shared"/>
        <v>0</v>
      </c>
      <c r="G91" s="396" t="s">
        <v>307</v>
      </c>
      <c r="H91" s="396">
        <v>0</v>
      </c>
      <c r="I91" s="396" t="e">
        <v>#N/A</v>
      </c>
      <c r="J91" s="396" t="e">
        <v>#N/A</v>
      </c>
      <c r="K91" s="396" t="e">
        <v>#N/A</v>
      </c>
      <c r="L91" s="396" t="e">
        <v>#N/A</v>
      </c>
      <c r="M91" s="396" t="e">
        <v>#N/A</v>
      </c>
      <c r="N91" s="396" t="e">
        <v>#N/A</v>
      </c>
      <c r="O91" s="396" t="e">
        <v>#N/A</v>
      </c>
      <c r="P91" s="296"/>
      <c r="R91" s="296" t="str">
        <f>VLOOKUP(S91,Coeff_Descr!$A:$D,3,FALSE)</f>
        <v>SHOP</v>
      </c>
      <c r="S91" s="296">
        <f>OtherTourDestination!B99</f>
        <v>101</v>
      </c>
      <c r="T91" s="296" t="str">
        <f>OtherTourDestination!C99</f>
        <v>Gamma101</v>
      </c>
      <c r="U91" s="298">
        <f>OtherTourDestination!E99</f>
        <v>-11.328569288200001</v>
      </c>
      <c r="V91" s="337">
        <f si="14" t="shared"/>
        <v>-11.328569288200001</v>
      </c>
    </row>
    <row ht="15.75" r="92" spans="1:22" thickBot="1" x14ac:dyDescent="0.3">
      <c r="A92" s="296">
        <f si="13" t="shared"/>
        <v>31.5</v>
      </c>
      <c r="B92">
        <f>TLFD!A52+0.5</f>
        <v>41.5</v>
      </c>
      <c r="C92" s="393">
        <f>TLFD!C52</f>
        <v>0</v>
      </c>
      <c r="D92" s="393">
        <f>TLFD!G52</f>
        <v>7.4453340664123796E-4</v>
      </c>
      <c r="E92">
        <f si="10" t="shared"/>
        <v>0</v>
      </c>
      <c r="G92" s="397" t="s">
        <v>308</v>
      </c>
      <c r="H92" s="397">
        <v>-9.4662180380429117E-2</v>
      </c>
      <c r="I92" s="397">
        <v>3.1062222668649407E-2</v>
      </c>
      <c r="J92" s="397">
        <v>-3.0475018285143549</v>
      </c>
      <c r="K92" s="397">
        <v>2.8505478732143593E-2</v>
      </c>
      <c r="L92" s="397">
        <v>-0.17451016574694989</v>
      </c>
      <c r="M92" s="397">
        <v>-1.4814195013908363E-2</v>
      </c>
      <c r="N92" s="397">
        <v>-0.17451016574694989</v>
      </c>
      <c r="O92" s="397">
        <v>-1.4814195013908363E-2</v>
      </c>
      <c r="P92" s="296"/>
      <c r="R92" s="296" t="str">
        <f>VLOOKUP(S92,Coeff_Descr!$A:$D,3,FALSE)</f>
        <v>MEAL</v>
      </c>
      <c r="S92" s="296">
        <f>OtherTourDestination!B100</f>
        <v>102</v>
      </c>
      <c r="T92" s="296" t="str">
        <f>OtherTourDestination!C100</f>
        <v>Gamma102</v>
      </c>
      <c r="U92" s="298">
        <f>OtherTourDestination!E100</f>
        <v>0</v>
      </c>
      <c r="V92" s="337">
        <f si="14" t="shared"/>
        <v>0</v>
      </c>
    </row>
    <row r="93" spans="1:22" x14ac:dyDescent="0.25">
      <c r="A93" s="296">
        <f si="13" t="shared"/>
        <v>32.5</v>
      </c>
      <c r="B93">
        <f>TLFD!A53+0.5</f>
        <v>42.5</v>
      </c>
      <c r="C93" s="393">
        <f>TLFD!C53</f>
        <v>3.1349052867271059E-3</v>
      </c>
      <c r="D93" s="393">
        <f>TLFD!G53</f>
        <v>5.6126364500647173E-4</v>
      </c>
      <c r="E93">
        <f si="10" t="shared"/>
        <v>1.7201634904638647</v>
      </c>
      <c r="G93"/>
      <c r="H93"/>
      <c r="I93"/>
      <c r="J93"/>
      <c r="K93"/>
      <c r="L93"/>
      <c r="M93"/>
      <c r="N93"/>
      <c r="O93"/>
      <c r="P93" s="296"/>
      <c r="R93" s="296" t="str">
        <f>VLOOKUP(S93,Coeff_Descr!$A:$D,3,FALSE)</f>
        <v>MEAL</v>
      </c>
      <c r="S93" s="296">
        <f>OtherTourDestination!B101</f>
        <v>103</v>
      </c>
      <c r="T93" s="296" t="str">
        <f>OtherTourDestination!C101</f>
        <v>Gamma103</v>
      </c>
      <c r="U93" s="298">
        <f>OtherTourDestination!E101</f>
        <v>-12.623617921899999</v>
      </c>
      <c r="V93" s="337">
        <f si="14" t="shared"/>
        <v>-12.623617921899999</v>
      </c>
    </row>
    <row r="94" spans="1:22" x14ac:dyDescent="0.25">
      <c r="A94" s="296">
        <f si="13" t="shared"/>
        <v>33.5</v>
      </c>
      <c r="B94">
        <f>TLFD!A54+0.5</f>
        <v>43.5</v>
      </c>
      <c r="C94" s="393">
        <f>TLFD!C54</f>
        <v>0</v>
      </c>
      <c r="D94" s="393">
        <f>TLFD!G54</f>
        <v>5.1544620459778015E-4</v>
      </c>
      <c r="E94">
        <f si="10" t="shared"/>
        <v>0</v>
      </c>
      <c r="G94"/>
      <c r="H94"/>
      <c r="I94"/>
      <c r="J94"/>
      <c r="K94"/>
      <c r="L94"/>
      <c r="M94"/>
      <c r="N94"/>
      <c r="O94"/>
      <c r="P94" s="296"/>
      <c r="R94" s="296" t="str">
        <f>VLOOKUP(S94,Coeff_Descr!$A:$D,3,FALSE)</f>
        <v>MEAL</v>
      </c>
      <c r="S94" s="296">
        <f>OtherTourDestination!B102</f>
        <v>104</v>
      </c>
      <c r="T94" s="296" t="str">
        <f>OtherTourDestination!C102</f>
        <v>Gamma104</v>
      </c>
      <c r="U94" s="298">
        <f>OtherTourDestination!E102</f>
        <v>-12.9367414966</v>
      </c>
      <c r="V94" s="337">
        <f si="14" t="shared"/>
        <v>-12.9367414966</v>
      </c>
    </row>
    <row r="95" spans="1:22" x14ac:dyDescent="0.25">
      <c r="A95" s="296">
        <f si="13" t="shared"/>
        <v>34.5</v>
      </c>
      <c r="B95">
        <f>TLFD!A55+0.5</f>
        <v>44.5</v>
      </c>
      <c r="C95" s="393">
        <f>TLFD!C55</f>
        <v>0</v>
      </c>
      <c r="D95" s="393">
        <f>TLFD!G55</f>
        <v>5.4980928490429878E-4</v>
      </c>
      <c r="E95">
        <f si="10" t="shared"/>
        <v>0</v>
      </c>
      <c r="G95" t="s">
        <v>286</v>
      </c>
      <c r="H95"/>
      <c r="I95"/>
      <c r="J95"/>
      <c r="K95"/>
      <c r="L95"/>
      <c r="M95"/>
      <c r="N95"/>
      <c r="O95"/>
      <c r="P95" s="296"/>
      <c r="R95" s="296" t="str">
        <f>VLOOKUP(S95,Coeff_Descr!$A:$D,3,FALSE)</f>
        <v>MEAL</v>
      </c>
      <c r="S95" s="296">
        <f>OtherTourDestination!B103</f>
        <v>105</v>
      </c>
      <c r="T95" s="296" t="str">
        <f>OtherTourDestination!C103</f>
        <v>Gamma105</v>
      </c>
      <c r="U95" s="298">
        <f>OtherTourDestination!E103</f>
        <v>-21.748737142</v>
      </c>
      <c r="V95" s="337">
        <f si="14" t="shared"/>
        <v>-21.748737142</v>
      </c>
    </row>
    <row ht="15.75" r="96" spans="1:22" thickBot="1" x14ac:dyDescent="0.3">
      <c r="A96" s="296">
        <f si="13" t="shared"/>
        <v>35.5</v>
      </c>
      <c r="B96">
        <f>TLFD!A56+0.5</f>
        <v>45.5</v>
      </c>
      <c r="C96" s="393">
        <f>TLFD!C56</f>
        <v>0</v>
      </c>
      <c r="D96" s="393">
        <f>TLFD!G56</f>
        <v>4.6962876418908857E-4</v>
      </c>
      <c r="E96">
        <f si="10" t="shared"/>
        <v>0</v>
      </c>
      <c r="G96"/>
      <c r="H96"/>
      <c r="I96"/>
      <c r="J96"/>
      <c r="K96"/>
      <c r="L96"/>
      <c r="M96"/>
      <c r="N96"/>
      <c r="O96"/>
      <c r="P96" s="296"/>
      <c r="R96" s="296" t="str">
        <f>VLOOKUP(S96,Coeff_Descr!$A:$D,3,FALSE)</f>
        <v>SOCREC</v>
      </c>
      <c r="S96" s="296">
        <f>OtherTourDestination!B104</f>
        <v>106</v>
      </c>
      <c r="T96" s="296" t="str">
        <f>OtherTourDestination!C104</f>
        <v>Gamma106</v>
      </c>
      <c r="U96" s="298">
        <f>OtherTourDestination!E104</f>
        <v>-1.1770951513500001</v>
      </c>
      <c r="V96" s="337">
        <f si="14" t="shared"/>
        <v>-1.1770951513500001</v>
      </c>
    </row>
    <row r="97" spans="1:22" x14ac:dyDescent="0.25">
      <c r="A97" s="296">
        <f si="13" t="shared"/>
        <v>36.5</v>
      </c>
      <c r="B97">
        <f>TLFD!A57+0.5</f>
        <v>46.5</v>
      </c>
      <c r="C97" s="393">
        <f>TLFD!C57</f>
        <v>0</v>
      </c>
      <c r="D97" s="393">
        <f>TLFD!G57</f>
        <v>5.2117338464886657E-4</v>
      </c>
      <c r="E97">
        <f si="10" t="shared"/>
        <v>0</v>
      </c>
      <c r="G97" s="395" t="s">
        <v>287</v>
      </c>
      <c r="H97" s="395"/>
      <c r="I97"/>
      <c r="J97"/>
      <c r="K97"/>
      <c r="L97"/>
      <c r="M97"/>
      <c r="N97"/>
      <c r="O97"/>
      <c r="P97" s="296"/>
      <c r="R97" s="296" t="str">
        <f>VLOOKUP(S97,Coeff_Descr!$A:$D,3,FALSE)</f>
        <v>SOCREC</v>
      </c>
      <c r="S97" s="296">
        <f>OtherTourDestination!B105</f>
        <v>107</v>
      </c>
      <c r="T97" s="296" t="str">
        <f>OtherTourDestination!C105</f>
        <v>Gamma107</v>
      </c>
      <c r="U97" s="298">
        <f>OtherTourDestination!E105</f>
        <v>-1.0914895580199999</v>
      </c>
      <c r="V97" s="337">
        <f si="14" t="shared"/>
        <v>-1.0914895580199999</v>
      </c>
    </row>
    <row r="98" spans="1:22" x14ac:dyDescent="0.25">
      <c r="A98" s="296">
        <f si="13" t="shared"/>
        <v>37.5</v>
      </c>
      <c r="B98">
        <f>TLFD!A58+0.5</f>
        <v>47.5</v>
      </c>
      <c r="C98" s="393">
        <f>TLFD!C58</f>
        <v>0</v>
      </c>
      <c r="D98" s="393">
        <f>TLFD!G58</f>
        <v>4.7535594424017504E-4</v>
      </c>
      <c r="E98">
        <f si="10" t="shared"/>
        <v>0</v>
      </c>
      <c r="G98" s="396" t="s">
        <v>288</v>
      </c>
      <c r="H98" s="396">
        <v>5.4897708800986947E-2</v>
      </c>
      <c r="I98"/>
      <c r="J98"/>
      <c r="K98"/>
      <c r="L98"/>
      <c r="M98"/>
      <c r="N98"/>
      <c r="O98"/>
      <c r="P98" s="296"/>
      <c r="R98" s="296" t="str">
        <f>VLOOKUP(S98,Coeff_Descr!$A:$D,3,FALSE)</f>
        <v>SOCREC</v>
      </c>
      <c r="S98" s="296">
        <f>OtherTourDestination!B106</f>
        <v>108</v>
      </c>
      <c r="T98" s="296" t="str">
        <f>OtherTourDestination!C106</f>
        <v>Gamma108</v>
      </c>
      <c r="U98" s="298">
        <f>OtherTourDestination!E106</f>
        <v>-6.6396727717899999</v>
      </c>
      <c r="V98" s="337">
        <f si="14" t="shared"/>
        <v>-6.6396727717899999</v>
      </c>
    </row>
    <row r="99" spans="1:22" x14ac:dyDescent="0.25">
      <c r="A99" s="296">
        <f si="13" t="shared"/>
        <v>38.5</v>
      </c>
      <c r="B99">
        <f>TLFD!A59+0.5</f>
        <v>48.5</v>
      </c>
      <c r="C99" s="393">
        <f>TLFD!C59</f>
        <v>0</v>
      </c>
      <c r="D99" s="393">
        <f>TLFD!G59</f>
        <v>2.9781336265649518E-4</v>
      </c>
      <c r="E99">
        <f si="10" t="shared"/>
        <v>0</v>
      </c>
      <c r="G99" s="396" t="s">
        <v>289</v>
      </c>
      <c r="H99" s="396">
        <v>3.0137584315979597E-3</v>
      </c>
      <c r="I99"/>
      <c r="J99"/>
      <c r="K99"/>
      <c r="L99"/>
      <c r="M99"/>
      <c r="N99"/>
      <c r="O99"/>
      <c r="P99" s="296"/>
      <c r="R99" s="296" t="str">
        <f>VLOOKUP(S99,Coeff_Descr!$A:$D,3,FALSE)</f>
        <v>SOCREC</v>
      </c>
      <c r="S99" s="296">
        <f>OtherTourDestination!B107</f>
        <v>109</v>
      </c>
      <c r="T99" s="296" t="str">
        <f>OtherTourDestination!C107</f>
        <v>Gamma109</v>
      </c>
      <c r="U99" s="298">
        <f>OtherTourDestination!E107</f>
        <v>-6.1680097229099999</v>
      </c>
      <c r="V99" s="337">
        <f si="14" t="shared"/>
        <v>-6.1680097229099999</v>
      </c>
    </row>
    <row r="100" spans="1:22" x14ac:dyDescent="0.25">
      <c r="A100" s="296">
        <f si="13" t="shared"/>
        <v>39.5</v>
      </c>
      <c r="B100">
        <f>TLFD!A60+0.5</f>
        <v>49.5</v>
      </c>
      <c r="C100" s="393">
        <f>TLFD!C60</f>
        <v>0</v>
      </c>
      <c r="D100" s="393">
        <f>TLFD!G60</f>
        <v>2.3481438209454428E-4</v>
      </c>
      <c r="E100">
        <f si="10" t="shared"/>
        <v>0</v>
      </c>
      <c r="G100" s="396" t="s">
        <v>290</v>
      </c>
      <c r="H100" s="396">
        <v>-9.4862415684020401E-3</v>
      </c>
      <c r="I100"/>
      <c r="J100"/>
      <c r="K100"/>
      <c r="L100"/>
      <c r="M100"/>
      <c r="N100"/>
      <c r="O100"/>
      <c r="P100" s="296"/>
      <c r="R100" s="296" t="str">
        <f>VLOOKUP(S100,Coeff_Descr!$A:$D,3,FALSE)</f>
        <v>SOCREC</v>
      </c>
      <c r="S100" s="296">
        <f>OtherTourDestination!B108</f>
        <v>110</v>
      </c>
      <c r="T100" s="296" t="str">
        <f>OtherTourDestination!C108</f>
        <v>Gamma110</v>
      </c>
      <c r="U100" s="298">
        <f>OtherTourDestination!E108</f>
        <v>-2.9287550310000001</v>
      </c>
      <c r="V100" s="337">
        <f si="14" t="shared"/>
        <v>-2.9287550310000001</v>
      </c>
    </row>
    <row r="101" spans="1:22" x14ac:dyDescent="0.25">
      <c r="A101" s="296">
        <f si="13" t="shared"/>
        <v>40.5</v>
      </c>
      <c r="B101">
        <f>TLFD!A61+0.5</f>
        <v>50.5</v>
      </c>
      <c r="C101" s="393">
        <f>TLFD!C61</f>
        <v>0</v>
      </c>
      <c r="D101" s="393">
        <f>TLFD!G61</f>
        <v>2.1190566189019849E-4</v>
      </c>
      <c r="E101">
        <f si="10" t="shared"/>
        <v>0</v>
      </c>
      <c r="G101" s="396" t="s">
        <v>291</v>
      </c>
      <c r="H101" s="396">
        <v>0.5625914923308597</v>
      </c>
      <c r="I101"/>
      <c r="J101"/>
      <c r="K101"/>
      <c r="L101"/>
      <c r="M101"/>
      <c r="N101"/>
      <c r="O101"/>
      <c r="P101" s="296"/>
      <c r="R101" s="296" t="str">
        <f>VLOOKUP(S101,Coeff_Descr!$A:$D,3,FALSE)</f>
        <v>SOCREC</v>
      </c>
      <c r="S101" s="296">
        <f>OtherTourDestination!B109</f>
        <v>111</v>
      </c>
      <c r="T101" s="296" t="str">
        <f>OtherTourDestination!C109</f>
        <v>Gamma111</v>
      </c>
      <c r="U101" s="298">
        <f>OtherTourDestination!E109</f>
        <v>0</v>
      </c>
      <c r="V101" s="337">
        <f si="14" t="shared"/>
        <v>0</v>
      </c>
    </row>
    <row ht="15.75" r="102" spans="1:22" thickBot="1" x14ac:dyDescent="0.3">
      <c r="A102" s="296">
        <f si="13" t="shared"/>
        <v>41.5</v>
      </c>
      <c r="B102">
        <f>TLFD!A62+0.5</f>
        <v>51.5</v>
      </c>
      <c r="C102" s="393">
        <f>TLFD!C62</f>
        <v>0</v>
      </c>
      <c r="D102" s="393">
        <f>TLFD!G62</f>
        <v>2.1190566189019849E-4</v>
      </c>
      <c r="E102">
        <f si="10" t="shared"/>
        <v>0</v>
      </c>
      <c r="G102" s="397" t="s">
        <v>292</v>
      </c>
      <c r="H102" s="397">
        <v>81</v>
      </c>
      <c r="I102"/>
      <c r="J102"/>
      <c r="K102"/>
      <c r="L102"/>
      <c r="M102"/>
      <c r="N102"/>
      <c r="O102"/>
      <c r="P102" s="296"/>
      <c r="R102" s="296" t="str">
        <f>VLOOKUP(S102,Coeff_Descr!$A:$D,3,FALSE)</f>
        <v>SOCREC</v>
      </c>
      <c r="S102" s="296">
        <f>OtherTourDestination!B110</f>
        <v>112</v>
      </c>
      <c r="T102" s="296" t="str">
        <f>OtherTourDestination!C110</f>
        <v>Gamma112</v>
      </c>
      <c r="U102" s="298">
        <f>OtherTourDestination!E110</f>
        <v>0</v>
      </c>
      <c r="V102" s="337">
        <f si="14" t="shared"/>
        <v>0</v>
      </c>
    </row>
    <row r="103" spans="1:22" x14ac:dyDescent="0.25">
      <c r="A103" s="296">
        <f si="13" t="shared"/>
        <v>42.5</v>
      </c>
      <c r="B103">
        <f>TLFD!A63+0.5</f>
        <v>52.5</v>
      </c>
      <c r="C103" s="393">
        <f>TLFD!C63</f>
        <v>0</v>
      </c>
      <c r="D103" s="393">
        <f>TLFD!G63</f>
        <v>1.7181540153259338E-4</v>
      </c>
      <c r="E103">
        <f si="10" t="shared"/>
        <v>0</v>
      </c>
      <c r="G103"/>
      <c r="H103"/>
      <c r="I103"/>
      <c r="J103"/>
      <c r="K103"/>
      <c r="L103"/>
      <c r="M103"/>
      <c r="N103"/>
      <c r="O103"/>
      <c r="P103" s="296"/>
      <c r="R103" s="296" t="str">
        <f>VLOOKUP(S103,Coeff_Descr!$A:$D,3,FALSE)</f>
        <v>SOCREC</v>
      </c>
      <c r="S103" s="296">
        <f>OtherTourDestination!B111</f>
        <v>113</v>
      </c>
      <c r="T103" s="296" t="str">
        <f>OtherTourDestination!C111</f>
        <v>Gamma113</v>
      </c>
      <c r="U103" s="298">
        <f>OtherTourDestination!E111</f>
        <v>-5.4368248499099998</v>
      </c>
      <c r="V103" s="337">
        <f si="14" t="shared"/>
        <v>-5.4368248499099998</v>
      </c>
    </row>
    <row ht="15.75" r="104" spans="1:22" thickBot="1" x14ac:dyDescent="0.3">
      <c r="A104" s="296">
        <f si="13" t="shared"/>
        <v>43.5</v>
      </c>
      <c r="B104">
        <f>TLFD!A64+0.5</f>
        <v>53.5</v>
      </c>
      <c r="C104" s="393">
        <f>TLFD!C64</f>
        <v>0</v>
      </c>
      <c r="D104" s="393">
        <f>TLFD!G64</f>
        <v>9.7362060868469587E-5</v>
      </c>
      <c r="E104">
        <f si="10" t="shared"/>
        <v>0</v>
      </c>
      <c r="G104" t="s">
        <v>293</v>
      </c>
      <c r="H104"/>
      <c r="I104"/>
      <c r="J104"/>
      <c r="K104"/>
      <c r="L104"/>
      <c r="M104"/>
      <c r="N104"/>
      <c r="O104"/>
      <c r="P104" s="296"/>
      <c r="R104" s="296" t="e">
        <f>VLOOKUP(S104,Coeff_Descr!$A:$D,3,FALSE)</f>
        <v>#N/A</v>
      </c>
      <c r="S104" s="296">
        <f>OtherTourDestination!B112</f>
        <v>114</v>
      </c>
      <c r="T104" s="296" t="str">
        <f>OtherTourDestination!C112</f>
        <v>Beta114</v>
      </c>
      <c r="U104" s="298">
        <f>OtherTourDestination!E112</f>
        <v>-0.8</v>
      </c>
      <c r="V104" s="337">
        <f si="14" t="shared"/>
        <v>-0.8</v>
      </c>
    </row>
    <row r="105" spans="1:22" x14ac:dyDescent="0.25">
      <c r="A105" s="296">
        <f si="13" t="shared"/>
        <v>44.5</v>
      </c>
      <c r="B105">
        <f>TLFD!A65+0.5</f>
        <v>54.5</v>
      </c>
      <c r="C105" s="393">
        <f>TLFD!C65</f>
        <v>0</v>
      </c>
      <c r="D105" s="393">
        <f>TLFD!G65</f>
        <v>8.0180520715210244E-5</v>
      </c>
      <c r="E105">
        <f si="10" t="shared"/>
        <v>0</v>
      </c>
      <c r="G105" s="398"/>
      <c r="H105" s="398" t="s">
        <v>294</v>
      </c>
      <c r="I105" s="398" t="s">
        <v>295</v>
      </c>
      <c r="J105" s="398" t="s">
        <v>296</v>
      </c>
      <c r="K105" s="398" t="s">
        <v>242</v>
      </c>
      <c r="L105" s="398" t="s">
        <v>297</v>
      </c>
      <c r="M105"/>
      <c r="N105"/>
      <c r="O105"/>
      <c r="P105" s="296"/>
      <c r="R105" s="296" t="e">
        <f>VLOOKUP(S105,Coeff_Descr!$A:$D,3,FALSE)</f>
        <v>#N/A</v>
      </c>
      <c r="S105" s="296">
        <f>OtherTourDestination!B113</f>
        <v>115</v>
      </c>
      <c r="T105" s="296" t="str">
        <f>OtherTourDestination!C113</f>
        <v>Beta115</v>
      </c>
      <c r="U105" s="298">
        <f>OtherTourDestination!E113</f>
        <v>-0.8</v>
      </c>
      <c r="V105" s="337">
        <f ref="V105:V109" si="15" t="shared">_xlfn.IFNA(VLOOKUP(S105,$B$43:$D$46,3,FALSE),U105)</f>
        <v>-0.8</v>
      </c>
    </row>
    <row r="106" spans="1:22" x14ac:dyDescent="0.25">
      <c r="A106" s="296">
        <f si="13" t="shared"/>
        <v>45.5</v>
      </c>
      <c r="B106">
        <f>TLFD!A66+0.5</f>
        <v>55.5</v>
      </c>
      <c r="C106" s="393">
        <f>TLFD!C66</f>
        <v>2.4254728077207458E-4</v>
      </c>
      <c r="D106" s="393">
        <f>TLFD!G66</f>
        <v>1.0881642097064247E-4</v>
      </c>
      <c r="E106">
        <f si="10" t="shared"/>
        <v>0.80153441255655045</v>
      </c>
      <c r="G106" s="396" t="s">
        <v>298</v>
      </c>
      <c r="H106" s="396">
        <v>1</v>
      </c>
      <c r="I106" s="396">
        <v>7.6541255392363894E-2</v>
      </c>
      <c r="J106" s="396">
        <v>7.6541255392363894E-2</v>
      </c>
      <c r="K106" s="396">
        <v>0.24182949019291472</v>
      </c>
      <c r="L106" s="396">
        <v>0.6242515229033434</v>
      </c>
      <c r="M106"/>
      <c r="N106"/>
      <c r="O106"/>
      <c r="P106" s="296"/>
      <c r="R106" s="296" t="e">
        <f>VLOOKUP(S106,Coeff_Descr!$A:$D,3,FALSE)</f>
        <v>#N/A</v>
      </c>
      <c r="S106" s="296">
        <f>OtherTourDestination!B114</f>
        <v>116</v>
      </c>
      <c r="T106" s="296" t="str">
        <f>OtherTourDestination!C114</f>
        <v>Beta116</v>
      </c>
      <c r="U106" s="298">
        <f>OtherTourDestination!E114</f>
        <v>-0.8</v>
      </c>
      <c r="V106" s="337">
        <f si="15" t="shared"/>
        <v>-0.8</v>
      </c>
    </row>
    <row r="107" spans="1:22" x14ac:dyDescent="0.25">
      <c r="A107" s="296">
        <f si="13" t="shared"/>
        <v>46.5</v>
      </c>
      <c r="B107">
        <f>TLFD!A67+0.5</f>
        <v>56.5</v>
      </c>
      <c r="C107" s="393">
        <f>TLFD!C67</f>
        <v>0</v>
      </c>
      <c r="D107" s="393">
        <f>TLFD!G67</f>
        <v>1.4317950127716114E-4</v>
      </c>
      <c r="E107">
        <f si="10" t="shared"/>
        <v>0</v>
      </c>
      <c r="G107" s="396" t="s">
        <v>299</v>
      </c>
      <c r="H107" s="396">
        <v>80</v>
      </c>
      <c r="I107" s="396">
        <v>25.320734979445103</v>
      </c>
      <c r="J107" s="396">
        <v>0.31650918724306376</v>
      </c>
      <c r="K107" s="396"/>
      <c r="L107" s="396"/>
      <c r="M107"/>
      <c r="N107"/>
      <c r="O107"/>
      <c r="P107" s="296"/>
      <c r="R107" s="296" t="e">
        <f>VLOOKUP(S107,Coeff_Descr!$A:$D,3,FALSE)</f>
        <v>#N/A</v>
      </c>
      <c r="S107" s="296">
        <f>OtherTourDestination!B115</f>
        <v>117</v>
      </c>
      <c r="T107" s="296" t="str">
        <f>OtherTourDestination!C115</f>
        <v>Beta117</v>
      </c>
      <c r="U107" s="298">
        <f>OtherTourDestination!E115</f>
        <v>-0.8</v>
      </c>
      <c r="V107" s="337">
        <f si="15" t="shared"/>
        <v>-0.8</v>
      </c>
    </row>
    <row ht="15.75" r="108" spans="1:22" thickBot="1" x14ac:dyDescent="0.3">
      <c r="A108" s="296">
        <f si="13" t="shared"/>
        <v>47.5</v>
      </c>
      <c r="B108">
        <f>TLFD!A68+0.5</f>
        <v>57.5</v>
      </c>
      <c r="C108" s="393">
        <f>TLFD!C68</f>
        <v>0</v>
      </c>
      <c r="D108" s="393">
        <f>TLFD!G68</f>
        <v>6.29989805619509E-5</v>
      </c>
      <c r="E108">
        <f si="10" t="shared"/>
        <v>0</v>
      </c>
      <c r="G108" s="397" t="s">
        <v>4</v>
      </c>
      <c r="H108" s="397">
        <v>81</v>
      </c>
      <c r="I108" s="397">
        <v>25.397276234837467</v>
      </c>
      <c r="J108" s="397"/>
      <c r="K108" s="397"/>
      <c r="L108" s="397"/>
      <c r="M108"/>
      <c r="N108"/>
      <c r="O108"/>
      <c r="P108" s="296"/>
      <c r="R108" s="296">
        <f>VLOOKUP(S108,Coeff_Descr!$A:$D,3,FALSE)</f>
        <v>0</v>
      </c>
      <c r="S108" s="296">
        <f>OtherTourDestination!B116</f>
        <v>118</v>
      </c>
      <c r="T108" s="296" t="str">
        <f>OtherTourDestination!C116</f>
        <v>Beta118</v>
      </c>
      <c r="U108" s="298">
        <f>OtherTourDestination!E116</f>
        <v>-0.8</v>
      </c>
      <c r="V108" s="337">
        <f si="15" t="shared"/>
        <v>-0.8</v>
      </c>
    </row>
    <row ht="15.75" r="109" spans="1:22" thickBot="1" x14ac:dyDescent="0.3">
      <c r="A109" s="296">
        <f si="13" t="shared"/>
        <v>48.5</v>
      </c>
      <c r="B109">
        <f>TLFD!A69+0.5</f>
        <v>58.5</v>
      </c>
      <c r="C109" s="393">
        <f>TLFD!C69</f>
        <v>0</v>
      </c>
      <c r="D109" s="393">
        <f>TLFD!G69</f>
        <v>7.4453340664123796E-5</v>
      </c>
      <c r="E109">
        <f si="10" t="shared"/>
        <v>0</v>
      </c>
      <c r="G109"/>
      <c r="H109"/>
      <c r="I109"/>
      <c r="J109"/>
      <c r="K109"/>
      <c r="L109"/>
      <c r="M109"/>
      <c r="N109"/>
      <c r="O109"/>
      <c r="P109" s="296"/>
      <c r="R109" s="296" t="e">
        <f>VLOOKUP(S109,Coeff_Descr!$A:$D,3,FALSE)</f>
        <v>#N/A</v>
      </c>
      <c r="S109" s="296">
        <f>OtherTourDestination!B117</f>
        <v>119</v>
      </c>
      <c r="T109" s="296" t="str">
        <f>OtherTourDestination!C117</f>
        <v>Beta118</v>
      </c>
      <c r="U109" s="298">
        <f>OtherTourDestination!E117</f>
        <v>1</v>
      </c>
      <c r="V109" s="337">
        <f si="15" t="shared"/>
        <v>1</v>
      </c>
    </row>
    <row r="110" spans="1:22" x14ac:dyDescent="0.25">
      <c r="A110" s="296">
        <f si="13" t="shared"/>
        <v>49.5</v>
      </c>
      <c r="B110">
        <f>TLFD!A70+0.5</f>
        <v>59.5</v>
      </c>
      <c r="C110" s="393">
        <f>TLFD!C70</f>
        <v>0</v>
      </c>
      <c r="D110" s="393">
        <f>TLFD!G70</f>
        <v>2.8635900255432229E-5</v>
      </c>
      <c r="E110">
        <f si="10" t="shared"/>
        <v>0</v>
      </c>
      <c r="G110" s="398"/>
      <c r="H110" s="398" t="s">
        <v>300</v>
      </c>
      <c r="I110" s="398" t="s">
        <v>291</v>
      </c>
      <c r="J110" s="398" t="s">
        <v>301</v>
      </c>
      <c r="K110" s="398" t="s">
        <v>302</v>
      </c>
      <c r="L110" s="398" t="s">
        <v>303</v>
      </c>
      <c r="M110" s="398" t="s">
        <v>304</v>
      </c>
      <c r="N110" s="398" t="s">
        <v>305</v>
      </c>
      <c r="O110" s="398" t="s">
        <v>306</v>
      </c>
      <c r="P110" s="296"/>
      <c r="V110" s="337"/>
    </row>
    <row r="111" spans="1:22" x14ac:dyDescent="0.25">
      <c r="A111" s="296">
        <f si="13" t="shared"/>
        <v>50.5</v>
      </c>
      <c r="B111">
        <f>TLFD!A71+0.5</f>
        <v>60.5</v>
      </c>
      <c r="C111" s="393">
        <f>TLFD!C71</f>
        <v>0</v>
      </c>
      <c r="D111" s="393">
        <f>TLFD!G71</f>
        <v>3.4363080306518674E-5</v>
      </c>
      <c r="E111">
        <f si="10" t="shared"/>
        <v>0</v>
      </c>
      <c r="G111" s="396" t="s">
        <v>307</v>
      </c>
      <c r="H111" s="396">
        <v>0</v>
      </c>
      <c r="I111" s="396" t="e">
        <v>#N/A</v>
      </c>
      <c r="J111" s="396" t="e">
        <v>#N/A</v>
      </c>
      <c r="K111" s="396" t="e">
        <v>#N/A</v>
      </c>
      <c r="L111" s="396" t="e">
        <v>#N/A</v>
      </c>
      <c r="M111" s="396" t="e">
        <v>#N/A</v>
      </c>
      <c r="N111" s="396" t="e">
        <v>#N/A</v>
      </c>
      <c r="O111" s="396" t="e">
        <v>#N/A</v>
      </c>
      <c r="P111" s="296"/>
      <c r="V111" s="337"/>
    </row>
    <row ht="15.75" r="112" spans="1:22" thickBot="1" x14ac:dyDescent="0.3">
      <c r="A112" s="296">
        <f si="13" t="shared"/>
        <v>51.5</v>
      </c>
      <c r="B112">
        <f>TLFD!A72+0.5</f>
        <v>61.5</v>
      </c>
      <c r="C112" s="393">
        <f>TLFD!C72</f>
        <v>0</v>
      </c>
      <c r="D112" s="393">
        <f>TLFD!G72</f>
        <v>1.7181540153259337E-5</v>
      </c>
      <c r="E112">
        <f si="10" t="shared"/>
        <v>0</v>
      </c>
      <c r="G112" s="397" t="s">
        <v>308</v>
      </c>
      <c r="H112" s="397">
        <v>6.5733864294063621E-4</v>
      </c>
      <c r="I112" s="397">
        <v>1.3367018026100351E-3</v>
      </c>
      <c r="J112" s="397">
        <v>0.49176161927598294</v>
      </c>
      <c r="K112" s="397">
        <v>0.62423451072676683</v>
      </c>
      <c r="L112" s="397">
        <v>-2.0027827195584777E-3</v>
      </c>
      <c r="M112" s="397">
        <v>3.3174600054397497E-3</v>
      </c>
      <c r="N112" s="397">
        <v>-2.0027827195584777E-3</v>
      </c>
      <c r="O112" s="397">
        <v>3.3174600054397497E-3</v>
      </c>
      <c r="P112" s="296"/>
      <c r="V112" s="337"/>
    </row>
    <row r="113" spans="1:22" x14ac:dyDescent="0.25">
      <c r="A113" s="296">
        <f si="13" t="shared"/>
        <v>52.5</v>
      </c>
      <c r="B113">
        <f>TLFD!A73+0.5</f>
        <v>62.5</v>
      </c>
      <c r="C113" s="393">
        <f>TLFD!C73</f>
        <v>0</v>
      </c>
      <c r="D113" s="393">
        <f>TLFD!G73</f>
        <v>4.0090260357605122E-5</v>
      </c>
      <c r="E113">
        <f si="10" t="shared"/>
        <v>0</v>
      </c>
      <c r="G113"/>
      <c r="H113"/>
      <c r="I113"/>
      <c r="J113"/>
      <c r="K113"/>
      <c r="L113"/>
      <c r="M113"/>
      <c r="N113"/>
      <c r="O113"/>
      <c r="P113" s="296"/>
      <c r="V113" s="337"/>
    </row>
    <row r="114" spans="1:22" x14ac:dyDescent="0.25">
      <c r="A114" s="296">
        <f si="13" t="shared"/>
        <v>53.5</v>
      </c>
      <c r="B114">
        <f>TLFD!A74+0.5</f>
        <v>63.5</v>
      </c>
      <c r="C114" s="393">
        <f>TLFD!C74</f>
        <v>0</v>
      </c>
      <c r="D114" s="393">
        <f>TLFD!G74</f>
        <v>2.2908720204345785E-5</v>
      </c>
      <c r="E114">
        <f si="10" t="shared"/>
        <v>0</v>
      </c>
      <c r="G114"/>
      <c r="H114"/>
      <c r="I114"/>
      <c r="J114"/>
      <c r="K114"/>
      <c r="L114"/>
      <c r="M114"/>
      <c r="N114"/>
      <c r="O114"/>
      <c r="P114" s="296"/>
      <c r="V114" s="337"/>
    </row>
    <row r="115" spans="1:22" x14ac:dyDescent="0.25">
      <c r="A115" s="296">
        <f si="13" t="shared"/>
        <v>54.5</v>
      </c>
      <c r="B115">
        <f>TLFD!A75+0.5</f>
        <v>64.5</v>
      </c>
      <c r="C115" s="393">
        <f>TLFD!C75</f>
        <v>0</v>
      </c>
      <c r="D115" s="393">
        <f>TLFD!G75</f>
        <v>0</v>
      </c>
      <c r="E115">
        <f si="10" t="shared"/>
        <v>0</v>
      </c>
      <c r="G115"/>
      <c r="H115"/>
      <c r="I115"/>
      <c r="J115"/>
      <c r="K115"/>
      <c r="L115"/>
      <c r="M115"/>
      <c r="N115"/>
      <c r="O115"/>
      <c r="P115" s="296"/>
      <c r="V115" s="337"/>
    </row>
    <row r="116" spans="1:22" x14ac:dyDescent="0.25">
      <c r="A116" s="296">
        <f si="13" t="shared"/>
        <v>55.5</v>
      </c>
      <c r="B116">
        <f>TLFD!A76+0.5</f>
        <v>65.5</v>
      </c>
      <c r="C116" s="393">
        <f>TLFD!C76</f>
        <v>0</v>
      </c>
      <c r="D116" s="393">
        <f>TLFD!G76</f>
        <v>5.7271800510864462E-6</v>
      </c>
      <c r="E116">
        <f ref="E116:E141" si="16" t="shared">IF(AND(C116&gt;0, D116&gt;0),LN(C116/D116),0)</f>
        <v>0</v>
      </c>
      <c r="G116" s="296"/>
      <c r="M116" s="296"/>
      <c r="N116" s="296"/>
      <c r="O116" s="296"/>
      <c r="P116" s="296"/>
      <c r="V116" s="337"/>
    </row>
    <row r="117" spans="1:22" x14ac:dyDescent="0.25">
      <c r="A117" s="296">
        <f si="13" t="shared"/>
        <v>56.5</v>
      </c>
      <c r="B117">
        <f>TLFD!A77+0.5</f>
        <v>66.5</v>
      </c>
      <c r="C117" s="393">
        <f>TLFD!C77</f>
        <v>0</v>
      </c>
      <c r="D117" s="393">
        <f>TLFD!G77</f>
        <v>2.2908720204345785E-5</v>
      </c>
      <c r="E117">
        <f si="16" t="shared"/>
        <v>0</v>
      </c>
      <c r="G117" s="296"/>
      <c r="M117" s="296"/>
      <c r="N117" s="296"/>
      <c r="O117" s="296"/>
      <c r="P117" s="296"/>
    </row>
    <row r="118" spans="1:22" x14ac:dyDescent="0.25">
      <c r="A118" s="296">
        <f si="13" t="shared"/>
        <v>57.5</v>
      </c>
      <c r="B118">
        <f>TLFD!A78+0.5</f>
        <v>67.5</v>
      </c>
      <c r="C118" s="393">
        <f>TLFD!C78</f>
        <v>0</v>
      </c>
      <c r="D118" s="393">
        <f>TLFD!G78</f>
        <v>1.1454360102172892E-5</v>
      </c>
      <c r="E118">
        <f si="16" t="shared"/>
        <v>0</v>
      </c>
      <c r="G118" s="296"/>
      <c r="M118" s="296"/>
      <c r="N118" s="296"/>
      <c r="O118" s="296"/>
      <c r="P118" s="296"/>
    </row>
    <row r="119" spans="1:22" x14ac:dyDescent="0.25">
      <c r="A119" s="296">
        <f si="13" t="shared"/>
        <v>58.5</v>
      </c>
      <c r="B119">
        <f>TLFD!A79+0.5</f>
        <v>68.5</v>
      </c>
      <c r="C119" s="393">
        <f>TLFD!C79</f>
        <v>0</v>
      </c>
      <c r="D119" s="393">
        <f>TLFD!G79</f>
        <v>2.8635900255432229E-5</v>
      </c>
      <c r="E119">
        <f si="16" t="shared"/>
        <v>0</v>
      </c>
      <c r="G119" s="296"/>
      <c r="M119" s="296"/>
      <c r="N119" s="296"/>
      <c r="O119" s="296"/>
      <c r="P119" s="296"/>
    </row>
    <row r="120" spans="1:22" x14ac:dyDescent="0.25">
      <c r="A120" s="296">
        <f si="13" t="shared"/>
        <v>59.5</v>
      </c>
      <c r="B120">
        <f>TLFD!A80+0.5</f>
        <v>69.5</v>
      </c>
      <c r="C120" s="393">
        <f>TLFD!C80</f>
        <v>0</v>
      </c>
      <c r="D120" s="393">
        <f>TLFD!G80</f>
        <v>5.7271800510864462E-6</v>
      </c>
      <c r="E120">
        <f si="16" t="shared"/>
        <v>0</v>
      </c>
      <c r="G120" s="296"/>
      <c r="M120" s="296"/>
      <c r="N120" s="296"/>
      <c r="O120" s="296"/>
      <c r="P120" s="296"/>
    </row>
    <row r="121" spans="1:22" x14ac:dyDescent="0.25">
      <c r="A121" s="296">
        <f si="13" t="shared"/>
        <v>60.5</v>
      </c>
      <c r="B121">
        <f>TLFD!A81+0.5</f>
        <v>70.5</v>
      </c>
      <c r="C121" s="393">
        <f>TLFD!C81</f>
        <v>0</v>
      </c>
      <c r="D121" s="393">
        <f>TLFD!G81</f>
        <v>5.7271800510864462E-6</v>
      </c>
      <c r="E121">
        <f si="16" t="shared"/>
        <v>0</v>
      </c>
      <c r="G121" s="296"/>
      <c r="M121" s="296"/>
      <c r="N121" s="296"/>
      <c r="O121" s="296"/>
      <c r="P121" s="296"/>
    </row>
    <row r="122" spans="1:22" x14ac:dyDescent="0.25">
      <c r="A122" s="296">
        <f si="13" t="shared"/>
        <v>61.5</v>
      </c>
      <c r="B122">
        <f>TLFD!A82+0.5</f>
        <v>71.5</v>
      </c>
      <c r="C122" s="393">
        <f>TLFD!C82</f>
        <v>0</v>
      </c>
      <c r="D122" s="393">
        <f>TLFD!G82</f>
        <v>1.1454360102172892E-5</v>
      </c>
      <c r="E122">
        <f si="16" t="shared"/>
        <v>0</v>
      </c>
      <c r="G122" s="296"/>
      <c r="M122" s="296"/>
      <c r="N122" s="296"/>
      <c r="O122" s="296"/>
      <c r="P122" s="296"/>
    </row>
    <row r="123" spans="1:22" x14ac:dyDescent="0.25">
      <c r="A123" s="296">
        <f si="13" t="shared"/>
        <v>62.5</v>
      </c>
      <c r="B123">
        <f>TLFD!A83+0.5</f>
        <v>72.5</v>
      </c>
      <c r="C123" s="393">
        <f>TLFD!C83</f>
        <v>0</v>
      </c>
      <c r="D123" s="393">
        <f>TLFD!G83</f>
        <v>0</v>
      </c>
      <c r="E123">
        <f si="16" t="shared"/>
        <v>0</v>
      </c>
      <c r="G123" s="296"/>
      <c r="M123" s="296"/>
      <c r="N123" s="296"/>
      <c r="O123" s="296"/>
      <c r="P123" s="296"/>
    </row>
    <row r="124" spans="1:22" x14ac:dyDescent="0.25">
      <c r="A124" s="296">
        <f si="13" t="shared"/>
        <v>63.5</v>
      </c>
      <c r="B124">
        <f>TLFD!A84+0.5</f>
        <v>73.5</v>
      </c>
      <c r="C124" s="393">
        <f>TLFD!C84</f>
        <v>0</v>
      </c>
      <c r="D124" s="393">
        <f>TLFD!G84</f>
        <v>1.1454360102172892E-5</v>
      </c>
      <c r="E124">
        <f si="16" t="shared"/>
        <v>0</v>
      </c>
      <c r="G124" s="296"/>
      <c r="M124" s="296"/>
      <c r="N124" s="296"/>
      <c r="O124" s="296"/>
      <c r="P124" s="296"/>
    </row>
    <row r="125" spans="1:22" x14ac:dyDescent="0.25">
      <c r="A125" s="296">
        <f si="13" t="shared"/>
        <v>64.5</v>
      </c>
      <c r="B125">
        <f>TLFD!A85+0.5</f>
        <v>74.5</v>
      </c>
      <c r="C125" s="393">
        <f>TLFD!C85</f>
        <v>0</v>
      </c>
      <c r="D125" s="393">
        <f>TLFD!G85</f>
        <v>1.1454360102172892E-5</v>
      </c>
      <c r="E125">
        <f si="16" t="shared"/>
        <v>0</v>
      </c>
      <c r="G125" s="296"/>
      <c r="M125" s="296"/>
      <c r="N125" s="296"/>
      <c r="O125" s="296"/>
      <c r="P125" s="296"/>
    </row>
    <row r="126" spans="1:22" x14ac:dyDescent="0.25">
      <c r="A126" s="296">
        <f ref="A126:A141" si="17" t="shared">B126-10</f>
        <v>65.5</v>
      </c>
      <c r="B126">
        <f>TLFD!A86+0.5</f>
        <v>75.5</v>
      </c>
      <c r="C126" s="393">
        <f>TLFD!C86</f>
        <v>0</v>
      </c>
      <c r="D126" s="393">
        <f>TLFD!G86</f>
        <v>1.1454360102172892E-5</v>
      </c>
      <c r="E126">
        <f si="16" t="shared"/>
        <v>0</v>
      </c>
      <c r="G126" s="296"/>
      <c r="M126" s="296"/>
      <c r="N126" s="296"/>
      <c r="O126" s="296"/>
      <c r="P126" s="296"/>
    </row>
    <row r="127" spans="1:22" x14ac:dyDescent="0.25">
      <c r="A127" s="296">
        <f si="17" t="shared"/>
        <v>66.5</v>
      </c>
      <c r="B127">
        <f>TLFD!A87+0.5</f>
        <v>76.5</v>
      </c>
      <c r="C127" s="393">
        <f>TLFD!C87</f>
        <v>0</v>
      </c>
      <c r="D127" s="393">
        <f>TLFD!G87</f>
        <v>5.7271800510864462E-6</v>
      </c>
      <c r="E127">
        <f si="16" t="shared"/>
        <v>0</v>
      </c>
      <c r="G127" s="296"/>
      <c r="M127" s="296"/>
      <c r="N127" s="296"/>
      <c r="O127" s="296"/>
      <c r="P127" s="296"/>
    </row>
    <row r="128" spans="1:22" x14ac:dyDescent="0.25">
      <c r="A128" s="296">
        <f si="17" t="shared"/>
        <v>67.5</v>
      </c>
      <c r="B128">
        <f>TLFD!A88+0.5</f>
        <v>77.5</v>
      </c>
      <c r="C128" s="393">
        <f>TLFD!C88</f>
        <v>0</v>
      </c>
      <c r="D128" s="393">
        <f>TLFD!G88</f>
        <v>0</v>
      </c>
      <c r="E128">
        <f si="16" t="shared"/>
        <v>0</v>
      </c>
      <c r="G128" s="296"/>
      <c r="M128" s="296"/>
      <c r="N128" s="296"/>
      <c r="O128" s="296"/>
      <c r="P128" s="296"/>
    </row>
    <row r="129" spans="1:16" x14ac:dyDescent="0.25">
      <c r="A129" s="296">
        <f si="17" t="shared"/>
        <v>68.5</v>
      </c>
      <c r="B129">
        <f>TLFD!A89+0.5</f>
        <v>78.5</v>
      </c>
      <c r="C129" s="393">
        <f>TLFD!C89</f>
        <v>0</v>
      </c>
      <c r="D129" s="393">
        <f>TLFD!G89</f>
        <v>1.1454360102172892E-5</v>
      </c>
      <c r="E129">
        <f si="16" t="shared"/>
        <v>0</v>
      </c>
      <c r="G129" s="296"/>
      <c r="M129" s="296"/>
      <c r="N129" s="296"/>
      <c r="O129" s="296"/>
      <c r="P129" s="296"/>
    </row>
    <row r="130" spans="1:16" x14ac:dyDescent="0.25">
      <c r="A130" s="296">
        <f si="17" t="shared"/>
        <v>69.5</v>
      </c>
      <c r="B130">
        <f>TLFD!A90+0.5</f>
        <v>79.5</v>
      </c>
      <c r="C130" s="393">
        <f>TLFD!C90</f>
        <v>0</v>
      </c>
      <c r="D130" s="393">
        <f>TLFD!G90</f>
        <v>0</v>
      </c>
      <c r="E130">
        <f si="16" t="shared"/>
        <v>0</v>
      </c>
      <c r="G130" s="296"/>
      <c r="M130" s="296"/>
      <c r="N130" s="296"/>
      <c r="O130" s="296"/>
      <c r="P130" s="296"/>
    </row>
    <row r="131" spans="1:16" x14ac:dyDescent="0.25">
      <c r="A131" s="296">
        <f si="17" t="shared"/>
        <v>70.5</v>
      </c>
      <c r="B131">
        <f>TLFD!A91+0.5</f>
        <v>80.5</v>
      </c>
      <c r="C131" s="393">
        <f>TLFD!C91</f>
        <v>0</v>
      </c>
      <c r="D131" s="393">
        <f>TLFD!G91</f>
        <v>0</v>
      </c>
      <c r="E131">
        <f si="16" t="shared"/>
        <v>0</v>
      </c>
      <c r="G131" s="296"/>
      <c r="M131" s="296"/>
      <c r="N131" s="296"/>
      <c r="O131" s="296"/>
      <c r="P131" s="296"/>
    </row>
    <row r="132" spans="1:16" x14ac:dyDescent="0.25">
      <c r="A132" s="296">
        <f si="17" t="shared"/>
        <v>71.5</v>
      </c>
      <c r="B132">
        <f>TLFD!A92+0.5</f>
        <v>81.5</v>
      </c>
      <c r="C132" s="393">
        <f>TLFD!C92</f>
        <v>0</v>
      </c>
      <c r="D132" s="393">
        <f>TLFD!G92</f>
        <v>0</v>
      </c>
      <c r="E132">
        <f si="16" t="shared"/>
        <v>0</v>
      </c>
      <c r="G132" s="296"/>
      <c r="M132" s="296"/>
      <c r="N132" s="296"/>
      <c r="O132" s="296"/>
      <c r="P132" s="296"/>
    </row>
    <row r="133" spans="1:16" x14ac:dyDescent="0.25">
      <c r="A133" s="296">
        <f si="17" t="shared"/>
        <v>72.5</v>
      </c>
      <c r="B133">
        <f>TLFD!A93+0.5</f>
        <v>82.5</v>
      </c>
      <c r="C133" s="393">
        <f>TLFD!C93</f>
        <v>0</v>
      </c>
      <c r="D133" s="393">
        <f>TLFD!G93</f>
        <v>0</v>
      </c>
      <c r="E133">
        <f si="16" t="shared"/>
        <v>0</v>
      </c>
      <c r="G133" s="296"/>
      <c r="M133" s="296"/>
      <c r="N133" s="296"/>
      <c r="O133" s="296"/>
      <c r="P133" s="296"/>
    </row>
    <row r="134" spans="1:16" x14ac:dyDescent="0.25">
      <c r="A134" s="296">
        <f si="17" t="shared"/>
        <v>73.5</v>
      </c>
      <c r="B134">
        <f>TLFD!A94+0.5</f>
        <v>83.5</v>
      </c>
      <c r="C134" s="393">
        <f>TLFD!C94</f>
        <v>0</v>
      </c>
      <c r="D134" s="393">
        <f>TLFD!G94</f>
        <v>0</v>
      </c>
      <c r="E134">
        <f si="16" t="shared"/>
        <v>0</v>
      </c>
      <c r="G134" s="296"/>
      <c r="M134" s="296"/>
      <c r="N134" s="296"/>
      <c r="O134" s="296"/>
      <c r="P134" s="296"/>
    </row>
    <row r="135" spans="1:16" x14ac:dyDescent="0.25">
      <c r="A135" s="296">
        <f si="17" t="shared"/>
        <v>74.5</v>
      </c>
      <c r="B135">
        <f>TLFD!A95+0.5</f>
        <v>84.5</v>
      </c>
      <c r="C135" s="393">
        <f>TLFD!C95</f>
        <v>0</v>
      </c>
      <c r="D135" s="393">
        <f>TLFD!G95</f>
        <v>5.7271800510864462E-6</v>
      </c>
      <c r="E135">
        <f si="16" t="shared"/>
        <v>0</v>
      </c>
      <c r="G135" s="296"/>
      <c r="M135" s="296"/>
      <c r="N135" s="296"/>
      <c r="O135" s="296"/>
      <c r="P135" s="296"/>
    </row>
    <row r="136" spans="1:16" x14ac:dyDescent="0.25">
      <c r="A136" s="296">
        <f si="17" t="shared"/>
        <v>75.5</v>
      </c>
      <c r="B136">
        <f>TLFD!A96+0.5</f>
        <v>85.5</v>
      </c>
      <c r="C136" s="393">
        <f>TLFD!C96</f>
        <v>0</v>
      </c>
      <c r="D136" s="393">
        <f>TLFD!G96</f>
        <v>1.1454360102172892E-5</v>
      </c>
      <c r="E136">
        <f si="16" t="shared"/>
        <v>0</v>
      </c>
      <c r="G136" s="296"/>
      <c r="M136" s="296"/>
      <c r="N136" s="296"/>
      <c r="O136" s="296"/>
      <c r="P136" s="296"/>
    </row>
    <row r="137" spans="1:16" x14ac:dyDescent="0.25">
      <c r="A137" s="296">
        <f si="17" t="shared"/>
        <v>76.5</v>
      </c>
      <c r="B137">
        <f>TLFD!A97+0.5</f>
        <v>86.5</v>
      </c>
      <c r="C137" s="393">
        <f>TLFD!C97</f>
        <v>0</v>
      </c>
      <c r="D137" s="393">
        <f>TLFD!G97</f>
        <v>5.7271800510864462E-6</v>
      </c>
      <c r="E137">
        <f si="16" t="shared"/>
        <v>0</v>
      </c>
      <c r="G137" s="296"/>
      <c r="M137" s="296"/>
      <c r="N137" s="296"/>
      <c r="O137" s="296"/>
      <c r="P137" s="296"/>
    </row>
    <row r="138" spans="1:16" x14ac:dyDescent="0.25">
      <c r="A138" s="296">
        <f si="17" t="shared"/>
        <v>77.5</v>
      </c>
      <c r="B138">
        <f>TLFD!A98+0.5</f>
        <v>87.5</v>
      </c>
      <c r="C138" s="393">
        <f>TLFD!C98</f>
        <v>0</v>
      </c>
      <c r="D138" s="393">
        <f>TLFD!G98</f>
        <v>0</v>
      </c>
      <c r="E138">
        <f si="16" t="shared"/>
        <v>0</v>
      </c>
      <c r="G138" s="296"/>
      <c r="M138" s="296"/>
      <c r="N138" s="296"/>
      <c r="O138" s="296"/>
      <c r="P138" s="296"/>
    </row>
    <row r="139" spans="1:16" x14ac:dyDescent="0.25">
      <c r="A139" s="296">
        <f si="17" t="shared"/>
        <v>78.5</v>
      </c>
      <c r="B139">
        <f>TLFD!A99+0.5</f>
        <v>88.5</v>
      </c>
      <c r="C139" s="393">
        <f>TLFD!C99</f>
        <v>0</v>
      </c>
      <c r="D139" s="393">
        <f>TLFD!G99</f>
        <v>0</v>
      </c>
      <c r="E139">
        <f si="16" t="shared"/>
        <v>0</v>
      </c>
      <c r="G139" s="296"/>
      <c r="M139" s="296"/>
      <c r="N139" s="296"/>
      <c r="O139" s="296"/>
      <c r="P139" s="296"/>
    </row>
    <row r="140" spans="1:16" x14ac:dyDescent="0.25">
      <c r="A140" s="296">
        <f si="17" t="shared"/>
        <v>79.5</v>
      </c>
      <c r="B140">
        <f>TLFD!A100+0.5</f>
        <v>89.5</v>
      </c>
      <c r="C140" s="393">
        <f>TLFD!C100</f>
        <v>0</v>
      </c>
      <c r="D140" s="393">
        <f>TLFD!G100</f>
        <v>1.1454360102172892E-5</v>
      </c>
      <c r="E140">
        <f si="16" t="shared"/>
        <v>0</v>
      </c>
      <c r="G140" s="296"/>
      <c r="M140" s="296"/>
      <c r="N140" s="296"/>
      <c r="O140" s="296"/>
      <c r="P140" s="296"/>
    </row>
    <row r="141" spans="1:16" x14ac:dyDescent="0.25">
      <c r="A141" s="296">
        <f si="17" t="shared"/>
        <v>80.5</v>
      </c>
      <c r="B141">
        <f>TLFD!A101+0.5</f>
        <v>90.5</v>
      </c>
      <c r="C141" s="393">
        <f>TLFD!C101</f>
        <v>0</v>
      </c>
      <c r="D141" s="393">
        <f>TLFD!G101</f>
        <v>5.7271800510864462E-6</v>
      </c>
      <c r="E141">
        <f si="16" t="shared"/>
        <v>0</v>
      </c>
      <c r="G141" s="296"/>
      <c r="M141" s="296"/>
      <c r="N141" s="296"/>
      <c r="O141" s="296"/>
      <c r="P141" s="296"/>
    </row>
  </sheetData>
  <pageMargins bottom="0.75" footer="0.3" header="0.3" left="0.7" right="0.7" top="0.75"/>
  <pageSetup orientation="portrait" r:id="rId1"/>
</worksheet>
</file>

<file path=xl/worksheets/sheet8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dimension ref="A1:C8"/>
  <sheetViews>
    <sheetView workbookViewId="0">
      <selection sqref="A1:B8"/>
    </sheetView>
  </sheetViews>
  <sheetFormatPr defaultRowHeight="15" x14ac:dyDescent="0.25"/>
  <sheetData>
    <row r="1" spans="1:2" x14ac:dyDescent="0.25">
      <c r="A1" t="s">
        <v>313</v>
      </c>
      <c r="B1" t="s">
        <v>314</v>
      </c>
    </row>
    <row r="2" spans="1:2" x14ac:dyDescent="0.25">
      <c r="A2">
        <v>1</v>
      </c>
      <c r="B2" t="s">
        <v>315</v>
      </c>
    </row>
    <row r="3" spans="1:2" x14ac:dyDescent="0.25">
      <c r="A3">
        <v>2</v>
      </c>
      <c r="B3" t="s">
        <v>316</v>
      </c>
    </row>
    <row r="4" spans="1:2" x14ac:dyDescent="0.25">
      <c r="A4">
        <v>3</v>
      </c>
      <c r="B4" t="s">
        <v>317</v>
      </c>
    </row>
    <row r="5" spans="1:2" x14ac:dyDescent="0.25">
      <c r="A5">
        <v>4</v>
      </c>
      <c r="B5" t="s">
        <v>318</v>
      </c>
    </row>
    <row r="6" spans="1:2" x14ac:dyDescent="0.25">
      <c r="A6">
        <v>5</v>
      </c>
      <c r="B6" t="s">
        <v>319</v>
      </c>
    </row>
    <row r="7" spans="1:2" x14ac:dyDescent="0.25">
      <c r="A7">
        <v>6</v>
      </c>
      <c r="B7" t="s">
        <v>320</v>
      </c>
    </row>
    <row r="8" spans="1:2" x14ac:dyDescent="0.25">
      <c r="A8">
        <v>7</v>
      </c>
      <c r="B8" t="s">
        <v>321</v>
      </c>
    </row>
  </sheetData>
  <pageMargins bottom="0.75" footer="0.3" header="0.3" left="0.7" right="0.7" top="0.7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baseType="variant" size="4">
      <vt:variant>
        <vt:lpstr>Worksheets</vt:lpstr>
      </vt:variant>
      <vt:variant>
        <vt:i4>8</vt:i4>
      </vt:variant>
      <vt:variant>
        <vt:lpstr>Named Ranges</vt:lpstr>
      </vt:variant>
      <vt:variant>
        <vt:i4>25</vt:i4>
      </vt:variant>
    </vt:vector>
  </HeadingPairs>
  <TitlesOfParts>
    <vt:vector baseType="lpstr" size="33">
      <vt:lpstr>TLFD</vt:lpstr>
      <vt:lpstr>TDFD</vt:lpstr>
      <vt:lpstr>County_Flow</vt:lpstr>
      <vt:lpstr>Documentation</vt:lpstr>
      <vt:lpstr>Coeff_Descr</vt:lpstr>
      <vt:lpstr>OtherTourDestination</vt:lpstr>
      <vt:lpstr>Calibration</vt:lpstr>
      <vt:lpstr>County Codes</vt:lpstr>
      <vt:lpstr>AVGD</vt:lpstr>
      <vt:lpstr>AVGT</vt:lpstr>
      <vt:lpstr>flow</vt:lpstr>
      <vt:lpstr>out_1</vt:lpstr>
      <vt:lpstr>out_10</vt:lpstr>
      <vt:lpstr>out_2</vt:lpstr>
      <vt:lpstr>out_3</vt:lpstr>
      <vt:lpstr>out_4</vt:lpstr>
      <vt:lpstr>out_5</vt:lpstr>
      <vt:lpstr>out_6</vt:lpstr>
      <vt:lpstr>out_7</vt:lpstr>
      <vt:lpstr>out_8</vt:lpstr>
      <vt:lpstr>out_9</vt:lpstr>
      <vt:lpstr>out1</vt:lpstr>
      <vt:lpstr>out10</vt:lpstr>
      <vt:lpstr>out2</vt:lpstr>
      <vt:lpstr>out3</vt:lpstr>
      <vt:lpstr>out4</vt:lpstr>
      <vt:lpstr>out5</vt:lpstr>
      <vt:lpstr>out6</vt:lpstr>
      <vt:lpstr>out7</vt:lpstr>
      <vt:lpstr>out8</vt:lpstr>
      <vt:lpstr>out9</vt:lpstr>
      <vt:lpstr>TDFD</vt:lpstr>
      <vt:lpstr>TLFD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2011-01-31T15:16:09Z</dcterms:created>
  <dc:creator>Bhargava Sana</dc:creator>
  <cp:lastModifiedBy>Nima Haghighi</cp:lastModifiedBy>
  <dcterms:modified xsi:type="dcterms:W3CDTF">2020-01-23T23:45:21Z</dcterms:modified>
</cp:coreProperties>
</file>