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Calibration\iterations\round2\other_tourdestination\TourDest_CR0\"/>
    </mc:Choice>
  </mc:AlternateContent>
  <bookViews>
    <workbookView activeTab="8" firstSheet="5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10"/>
    <sheet name="survey_other_auto_dist" r:id="rId6" sheetId="14"/>
    <sheet name="model_other_auto_dist" r:id="rId7" sheetId="13"/>
    <sheet name="OtherTourDestination" r:id="rId8" sheetId="9"/>
    <sheet name="Calibration_OD" r:id="rId9" sheetId="12"/>
    <sheet name="Calibration" r:id="rId10" sheetId="7"/>
    <sheet name="County Codes" r:id="rId11" sheetId="11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2" l="1" r="L3"/>
  <c i="12" r="O3" s="1"/>
  <c i="12" r="H5"/>
  <c i="12" r="H6"/>
  <c i="12" r="H7"/>
  <c i="12" r="H8"/>
  <c i="12" r="H9"/>
  <c i="12" r="H10"/>
  <c i="12" r="H11"/>
  <c i="12" r="H12"/>
  <c i="12" r="H13"/>
  <c i="12" r="H14"/>
  <c i="12" r="H15"/>
  <c i="12" r="H16"/>
  <c i="12" r="H17"/>
  <c i="12" r="H18"/>
  <c i="12" r="H19"/>
  <c i="12" r="H20"/>
  <c i="12" r="H21"/>
  <c i="12" r="H22"/>
  <c i="12" r="H23"/>
  <c i="12" r="D23"/>
  <c i="12" r="D5"/>
  <c i="12" r="D6"/>
  <c i="12" r="L6" s="1"/>
  <c i="12" r="D7"/>
  <c i="12" r="L7" s="1"/>
  <c i="12" r="D8"/>
  <c i="12" r="D9"/>
  <c i="12" r="L9" s="1"/>
  <c i="12" r="D10"/>
  <c i="12" r="D11"/>
  <c i="12" r="L11" s="1"/>
  <c i="12" r="D12"/>
  <c i="12" r="L12" s="1"/>
  <c i="12" r="D13"/>
  <c i="12" r="D14"/>
  <c i="12" r="L14" s="1"/>
  <c i="12" r="D15"/>
  <c i="12" r="D16"/>
  <c i="12" r="D17"/>
  <c i="12" r="L17" s="1"/>
  <c i="12" r="D18"/>
  <c i="12" r="L18" s="1"/>
  <c i="12" r="D19"/>
  <c i="12" r="L19" s="1"/>
  <c i="12" r="D20"/>
  <c i="12" r="D21"/>
  <c i="12" r="D22"/>
  <c i="12" r="H4"/>
  <c i="12" r="D4"/>
  <c i="12" l="1" r="L21"/>
  <c i="12" r="L16"/>
  <c i="12" r="L4"/>
  <c i="12" r="L13"/>
  <c i="12" r="L15"/>
  <c i="12" r="L10"/>
  <c i="12" r="L8"/>
  <c i="12" r="L5"/>
  <c i="12" r="H24"/>
  <c i="12" r="L20"/>
  <c i="12" r="L23"/>
  <c i="12" r="L22"/>
  <c i="12" r="L24" s="1"/>
  <c i="12" r="O24" s="1"/>
  <c i="12" r="D24"/>
  <c i="12" l="1" r="O22"/>
  <c i="12" r="O7"/>
  <c i="12" r="O8"/>
  <c i="12" r="O10"/>
  <c i="12" r="O14"/>
  <c i="12" r="O5"/>
  <c i="12" r="O13"/>
  <c i="12" r="O18"/>
  <c i="12" r="O6"/>
  <c i="12" r="O4"/>
  <c i="12" r="O9"/>
  <c i="12" r="O12"/>
  <c i="12" r="O17"/>
  <c i="12" r="O20"/>
  <c i="12" r="O23"/>
  <c i="12" r="O16"/>
  <c i="12" r="O19"/>
  <c i="12" r="O11"/>
  <c i="12" r="O21"/>
  <c i="12" r="O15"/>
  <c i="7" l="1" r="N128"/>
  <c i="7" r="O128"/>
  <c i="7" r="P128"/>
  <c i="7" r="N124"/>
  <c i="7" r="O124"/>
  <c i="7" r="P124"/>
  <c i="7" r="N125"/>
  <c i="7" r="O125"/>
  <c i="7" r="P125"/>
  <c i="7" r="N126"/>
  <c i="7" r="O126"/>
  <c i="7" r="P126"/>
  <c i="7" r="N127"/>
  <c i="7" r="O127"/>
  <c i="7" r="P127"/>
  <c i="12" l="1" r="AT60"/>
  <c i="12" r="W28" s="1"/>
  <c i="7" l="1" r="N104"/>
  <c i="7" r="O104"/>
  <c i="7" r="P104"/>
  <c i="7" r="N105"/>
  <c i="7" r="O105"/>
  <c i="7" r="P105"/>
  <c i="7" r="N106"/>
  <c i="7" r="O106"/>
  <c i="7" r="P106"/>
  <c i="7" r="N107"/>
  <c i="7" r="O107"/>
  <c i="7" r="P107"/>
  <c i="7" r="N108"/>
  <c i="7" r="O108"/>
  <c i="7" r="P108"/>
  <c i="7" r="N109"/>
  <c i="7" r="O109"/>
  <c i="7" r="P109"/>
  <c i="7" r="N110"/>
  <c i="7" r="O110"/>
  <c i="7" r="P110"/>
  <c i="7" r="N111"/>
  <c i="7" r="O111"/>
  <c i="7" r="P111"/>
  <c i="7" r="N112"/>
  <c i="7" r="O112"/>
  <c i="7" r="P112"/>
  <c i="7" r="N113"/>
  <c i="7" r="O113"/>
  <c i="7" r="P113"/>
  <c i="7" r="N114"/>
  <c i="7" r="O114"/>
  <c i="7" r="P114"/>
  <c i="7" r="N115"/>
  <c i="7" r="O115"/>
  <c i="7" r="P115"/>
  <c i="7" r="N116"/>
  <c i="7" r="O116"/>
  <c i="7" r="P116"/>
  <c i="7" r="N117"/>
  <c i="7" r="O117"/>
  <c i="7" r="P117"/>
  <c i="7" r="N118"/>
  <c i="7" r="O118"/>
  <c i="7" r="P118"/>
  <c i="7" r="N119"/>
  <c i="7" r="O119"/>
  <c i="7" r="P119"/>
  <c i="7" r="N120"/>
  <c i="7" r="O120"/>
  <c i="7" r="P120"/>
  <c i="7" r="N121"/>
  <c i="7" r="O121"/>
  <c i="7" r="P121"/>
  <c i="7" r="N122"/>
  <c i="7" r="O122"/>
  <c i="7" r="P122"/>
  <c i="7" r="N123"/>
  <c i="7" r="O123"/>
  <c i="7" r="P123"/>
  <c i="12" r="AU122"/>
  <c i="12" r="AU123"/>
  <c i="12" r="AU149" s="1"/>
  <c i="12" r="AU124"/>
  <c i="12" r="AU125"/>
  <c i="12" r="AU126"/>
  <c i="12" r="AU127"/>
  <c i="12" r="AU128"/>
  <c i="12" r="AU129"/>
  <c i="12" r="AU130"/>
  <c i="12" r="AU156" s="1"/>
  <c i="12" r="AU131"/>
  <c i="12" r="AU132"/>
  <c i="12" r="AU133"/>
  <c i="12" r="AU134"/>
  <c i="12" r="AU135"/>
  <c i="12" r="AU161" s="1"/>
  <c i="12" r="AU136"/>
  <c i="12" r="AU137"/>
  <c i="12" r="AU138"/>
  <c i="12" r="AU139"/>
  <c i="12" r="AU140"/>
  <c i="12" r="AU141"/>
  <c i="12" r="AU121"/>
  <c i="12" r="W88"/>
  <c i="12" r="AU142" s="1"/>
  <c i="12" r="AA42"/>
  <c i="12" r="AZ42" s="1"/>
  <c i="12" r="AB42"/>
  <c i="12" r="BA42" s="1"/>
  <c i="12" r="AC42"/>
  <c i="12" r="BB42" s="1"/>
  <c i="12" r="AD42"/>
  <c i="12" r="BC42" s="1"/>
  <c i="12" r="AE42"/>
  <c i="12" r="BD42" s="1"/>
  <c i="12" r="AF42"/>
  <c i="12" r="BE42" s="1"/>
  <c i="12" r="AG42"/>
  <c i="12" r="BF42" s="1"/>
  <c i="12" r="AH42"/>
  <c i="12" r="BG42" s="1"/>
  <c i="12" r="AI42"/>
  <c i="12" r="BH42" s="1"/>
  <c i="12" r="AJ42"/>
  <c i="12" r="BI42" s="1"/>
  <c i="12" r="AK42"/>
  <c i="12" r="BJ42" s="1"/>
  <c i="12" r="AL42"/>
  <c i="12" r="BK42" s="1"/>
  <c i="12" r="AM42"/>
  <c i="12" r="BL42" s="1"/>
  <c i="12" r="AN42"/>
  <c i="12" r="BM42" s="1"/>
  <c i="12" r="AO42"/>
  <c i="12" r="BN42" s="1"/>
  <c i="12" r="AP42"/>
  <c i="12" r="BO42" s="1"/>
  <c i="12" r="AQ42"/>
  <c i="12" r="BP42" s="1"/>
  <c i="12" r="AR42"/>
  <c i="12" r="BQ42" s="1"/>
  <c i="12" r="AS42"/>
  <c i="12" r="BR42" s="1"/>
  <c i="12" r="AT42"/>
  <c i="12" r="BS42" s="1"/>
  <c i="12" r="AU42"/>
  <c i="12" r="BT42" s="1"/>
  <c i="12" r="CR42" s="1"/>
  <c i="12" r="AA43"/>
  <c i="12" r="AZ43" s="1"/>
  <c i="12" r="AB43"/>
  <c i="12" r="BA43" s="1"/>
  <c i="12" r="AC43"/>
  <c i="12" r="BB43" s="1"/>
  <c i="12" r="AD43"/>
  <c i="12" r="BC43" s="1"/>
  <c i="12" r="AE43"/>
  <c i="12" r="BD43" s="1"/>
  <c i="12" r="AF43"/>
  <c i="12" r="BE43" s="1"/>
  <c i="12" r="AG43"/>
  <c i="12" r="BF43" s="1"/>
  <c i="12" r="AH43"/>
  <c i="12" r="BG43" s="1"/>
  <c i="12" r="AI43"/>
  <c i="12" r="BH43" s="1"/>
  <c i="12" r="AJ43"/>
  <c i="12" r="BI43" s="1"/>
  <c i="12" r="AK43"/>
  <c i="12" r="BJ43" s="1"/>
  <c i="12" r="AL43"/>
  <c i="12" r="BK43" s="1"/>
  <c i="12" r="AM43"/>
  <c i="12" r="BL43" s="1"/>
  <c i="12" r="AN43"/>
  <c i="12" r="BM43" s="1"/>
  <c i="12" r="AO43"/>
  <c i="12" r="BN43" s="1"/>
  <c i="12" r="AP43"/>
  <c i="12" r="BO43" s="1"/>
  <c i="12" r="AQ43"/>
  <c i="12" r="BP43" s="1"/>
  <c i="12" r="AR43"/>
  <c i="12" r="BQ43" s="1"/>
  <c i="12" r="AS43"/>
  <c i="12" r="BR43" s="1"/>
  <c i="12" r="AT43"/>
  <c i="12" r="BS43" s="1"/>
  <c i="12" r="AU43"/>
  <c i="12" r="BT43" s="1"/>
  <c i="12" r="CR43" s="1"/>
  <c i="12" r="AA44"/>
  <c i="12" r="AZ44" s="1"/>
  <c i="12" r="AB44"/>
  <c i="12" r="BA44" s="1"/>
  <c i="12" r="AC44"/>
  <c i="12" r="BB44" s="1"/>
  <c i="12" r="AD44"/>
  <c i="12" r="BC44" s="1"/>
  <c i="12" r="AE44"/>
  <c i="12" r="BD44" s="1"/>
  <c i="12" r="AF44"/>
  <c i="12" r="BE44" s="1"/>
  <c i="12" r="AG44"/>
  <c i="12" r="BF44" s="1"/>
  <c i="12" r="AH44"/>
  <c i="12" r="BG44" s="1"/>
  <c i="12" r="AI44"/>
  <c i="12" r="BH44" s="1"/>
  <c i="12" r="AJ44"/>
  <c i="12" r="BI44" s="1"/>
  <c i="12" r="AK44"/>
  <c i="12" r="BJ44" s="1"/>
  <c i="12" r="AL44"/>
  <c i="12" r="BK44" s="1"/>
  <c i="12" r="AM44"/>
  <c i="12" r="BL44" s="1"/>
  <c i="12" r="AN44"/>
  <c i="12" r="BM44" s="1"/>
  <c i="12" r="AO44"/>
  <c i="12" r="BN44" s="1"/>
  <c i="12" r="AP44"/>
  <c i="12" r="BO44" s="1"/>
  <c i="12" r="AQ44"/>
  <c i="12" r="BP44" s="1"/>
  <c i="12" r="AR44"/>
  <c i="12" r="BQ44" s="1"/>
  <c i="12" r="AS44"/>
  <c i="12" r="BR44" s="1"/>
  <c i="12" r="AT44"/>
  <c i="12" r="BS44" s="1"/>
  <c i="12" r="AU44"/>
  <c i="12" r="BT44" s="1"/>
  <c i="12" r="CR44" s="1"/>
  <c i="12" r="AA45"/>
  <c i="12" r="AZ45" s="1"/>
  <c i="12" r="AB45"/>
  <c i="12" r="BA45" s="1"/>
  <c i="12" r="AC45"/>
  <c i="12" r="BB45" s="1"/>
  <c i="12" r="AD45"/>
  <c i="12" r="BC45" s="1"/>
  <c i="12" r="AE45"/>
  <c i="12" r="BD45" s="1"/>
  <c i="12" r="AF45"/>
  <c i="12" r="BE45" s="1"/>
  <c i="12" r="AG45"/>
  <c i="12" r="BF45" s="1"/>
  <c i="12" r="AH45"/>
  <c i="12" r="BG45" s="1"/>
  <c i="12" r="AI45"/>
  <c i="12" r="BH45" s="1"/>
  <c i="12" r="AJ45"/>
  <c i="12" r="BI45" s="1"/>
  <c i="12" r="AK45"/>
  <c i="12" r="BJ45" s="1"/>
  <c i="12" r="AL45"/>
  <c i="12" r="BK45" s="1"/>
  <c i="12" r="AM45"/>
  <c i="12" r="BL45" s="1"/>
  <c i="12" r="AN45"/>
  <c i="12" r="BM45" s="1"/>
  <c i="12" r="AO45"/>
  <c i="12" r="BN45" s="1"/>
  <c i="12" r="AP45"/>
  <c i="12" r="BO45" s="1"/>
  <c i="12" r="AQ45"/>
  <c i="12" r="BP45" s="1"/>
  <c i="12" r="AR45"/>
  <c i="12" r="BQ45" s="1"/>
  <c i="12" r="AS45"/>
  <c i="12" r="BR45" s="1"/>
  <c i="12" r="AT45"/>
  <c i="12" r="BS45" s="1"/>
  <c i="12" r="AU45"/>
  <c i="12" r="BT45" s="1"/>
  <c i="12" r="CR45" s="1"/>
  <c i="12" r="AA46"/>
  <c i="12" r="AZ46" s="1"/>
  <c i="12" r="AB46"/>
  <c i="12" r="BA46" s="1"/>
  <c i="12" r="AC46"/>
  <c i="12" r="BB46" s="1"/>
  <c i="12" r="AD46"/>
  <c i="12" r="BC46" s="1"/>
  <c i="12" r="AE46"/>
  <c i="12" r="BD46" s="1"/>
  <c i="12" r="AF46"/>
  <c i="12" r="AG46"/>
  <c i="12" r="BF46" s="1"/>
  <c i="12" r="AH46"/>
  <c i="12" r="BG46" s="1"/>
  <c i="12" r="AI46"/>
  <c i="12" r="BH46" s="1"/>
  <c i="12" r="AJ46"/>
  <c i="12" r="BI46" s="1"/>
  <c i="12" r="AK46"/>
  <c i="12" r="BJ46" s="1"/>
  <c i="12" r="AL46"/>
  <c i="12" r="BK46" s="1"/>
  <c i="12" r="AM46"/>
  <c i="12" r="BL46" s="1"/>
  <c i="12" r="AN46"/>
  <c i="12" r="BM46" s="1"/>
  <c i="12" r="AO46"/>
  <c i="12" r="BN46" s="1"/>
  <c i="12" r="AP46"/>
  <c i="12" r="BO46" s="1"/>
  <c i="12" r="AQ46"/>
  <c i="12" r="BP46" s="1"/>
  <c i="12" r="AR46"/>
  <c i="12" r="BQ46" s="1"/>
  <c i="12" r="AS46"/>
  <c i="12" r="BR46" s="1"/>
  <c i="12" r="AT46"/>
  <c i="12" r="BS46" s="1"/>
  <c i="12" r="AU46"/>
  <c i="12" r="BT46" s="1"/>
  <c i="12" r="CR46" s="1"/>
  <c i="12" r="AA47"/>
  <c i="12" r="AZ47" s="1"/>
  <c i="12" r="AB47"/>
  <c i="12" r="BA47" s="1"/>
  <c i="12" r="AC47"/>
  <c i="12" r="BB47" s="1"/>
  <c i="12" r="AD47"/>
  <c i="12" r="BC47" s="1"/>
  <c i="12" r="AE47"/>
  <c i="12" r="BD47" s="1"/>
  <c i="12" r="AF47"/>
  <c i="12" r="BE47" s="1"/>
  <c i="12" r="AG47"/>
  <c i="12" r="BF47" s="1"/>
  <c i="12" r="AH47"/>
  <c i="12" r="BG47" s="1"/>
  <c i="12" r="AI47"/>
  <c i="12" r="BH47" s="1"/>
  <c i="12" r="AJ47"/>
  <c i="12" r="BI47" s="1"/>
  <c i="12" r="AK47"/>
  <c i="12" r="BJ47" s="1"/>
  <c i="12" r="AL47"/>
  <c i="12" r="BK47" s="1"/>
  <c i="12" r="AM47"/>
  <c i="12" r="BL47" s="1"/>
  <c i="12" r="AN47"/>
  <c i="12" r="BM47" s="1"/>
  <c i="12" r="AO47"/>
  <c i="12" r="BN47" s="1"/>
  <c i="12" r="AP47"/>
  <c i="12" r="BO47" s="1"/>
  <c i="12" r="AQ47"/>
  <c i="12" r="BP47" s="1"/>
  <c i="12" r="AR47"/>
  <c i="12" r="BQ47" s="1"/>
  <c i="12" r="AS47"/>
  <c i="12" r="BR47" s="1"/>
  <c i="12" r="AT47"/>
  <c i="12" r="BS47" s="1"/>
  <c i="12" r="AU47"/>
  <c i="12" r="BT47" s="1"/>
  <c i="12" r="CR47" s="1"/>
  <c i="12" r="AA48"/>
  <c i="12" r="AZ48" s="1"/>
  <c i="12" r="AB48"/>
  <c i="12" r="BA48" s="1"/>
  <c i="12" r="AC48"/>
  <c i="12" r="BB48" s="1"/>
  <c i="12" r="AD48"/>
  <c i="12" r="BC48" s="1"/>
  <c i="12" r="AE48"/>
  <c i="12" r="BD48" s="1"/>
  <c i="12" r="AF48"/>
  <c i="12" r="BE48" s="1"/>
  <c i="12" r="AG48"/>
  <c i="12" r="BF48" s="1"/>
  <c i="12" r="AH48"/>
  <c i="12" r="BG48" s="1"/>
  <c i="12" r="AI48"/>
  <c i="12" r="BH48" s="1"/>
  <c i="12" r="AJ48"/>
  <c i="12" r="BI48" s="1"/>
  <c i="12" r="AK48"/>
  <c i="12" r="BJ48" s="1"/>
  <c i="12" r="AL48"/>
  <c i="12" r="BK48" s="1"/>
  <c i="12" r="AM48"/>
  <c i="12" r="BL48" s="1"/>
  <c i="12" r="AN48"/>
  <c i="12" r="BM48" s="1"/>
  <c i="12" r="AO48"/>
  <c i="12" r="BN48" s="1"/>
  <c i="12" r="AP48"/>
  <c i="12" r="BO48" s="1"/>
  <c i="12" r="AQ48"/>
  <c i="12" r="BP48" s="1"/>
  <c i="12" r="AR48"/>
  <c i="12" r="BQ48" s="1"/>
  <c i="12" r="AS48"/>
  <c i="12" r="BR48" s="1"/>
  <c i="12" r="AT48"/>
  <c i="12" r="BS48" s="1"/>
  <c i="12" r="AU48"/>
  <c i="12" r="BT48" s="1"/>
  <c i="12" r="CR48" s="1"/>
  <c i="12" r="AA49"/>
  <c i="12" r="AZ49" s="1"/>
  <c i="12" r="AB49"/>
  <c i="12" r="BA49" s="1"/>
  <c i="12" r="AC49"/>
  <c i="12" r="BB49" s="1"/>
  <c i="12" r="AD49"/>
  <c i="12" r="BC49" s="1"/>
  <c i="12" r="AE49"/>
  <c i="12" r="BD49" s="1"/>
  <c i="12" r="AF49"/>
  <c i="12" r="BE49" s="1"/>
  <c i="12" r="AG49"/>
  <c i="12" r="BF49" s="1"/>
  <c i="12" r="AH49"/>
  <c i="12" r="BG49" s="1"/>
  <c i="12" r="AI49"/>
  <c i="12" r="BH49" s="1"/>
  <c i="12" r="AJ49"/>
  <c i="12" r="BI49" s="1"/>
  <c i="12" r="AK49"/>
  <c i="12" r="BJ49" s="1"/>
  <c i="12" r="AL49"/>
  <c i="12" r="BK49" s="1"/>
  <c i="12" r="AM49"/>
  <c i="12" r="BL49" s="1"/>
  <c i="12" r="AN49"/>
  <c i="12" r="BM49" s="1"/>
  <c i="12" r="AO49"/>
  <c i="12" r="BN49" s="1"/>
  <c i="12" r="AP49"/>
  <c i="12" r="BO49" s="1"/>
  <c i="12" r="AQ49"/>
  <c i="12" r="BP49" s="1"/>
  <c i="12" r="AR49"/>
  <c i="12" r="BQ49" s="1"/>
  <c i="12" r="AS49"/>
  <c i="12" r="BR49" s="1"/>
  <c i="12" r="AT49"/>
  <c i="12" r="BS49" s="1"/>
  <c i="12" r="AU49"/>
  <c i="12" r="BT49" s="1"/>
  <c i="12" r="CR49" s="1"/>
  <c i="12" r="AA50"/>
  <c i="12" r="AZ50" s="1"/>
  <c i="12" r="AB50"/>
  <c i="12" r="BA50" s="1"/>
  <c i="12" r="AC50"/>
  <c i="12" r="BB50" s="1"/>
  <c i="12" r="AD50"/>
  <c i="12" r="BC50" s="1"/>
  <c i="12" r="AE50"/>
  <c i="12" r="BD50" s="1"/>
  <c i="12" r="AF50"/>
  <c i="12" r="BE50" s="1"/>
  <c i="12" r="AG50"/>
  <c i="12" r="BF50" s="1"/>
  <c i="12" r="AH50"/>
  <c i="12" r="BG50" s="1"/>
  <c i="12" r="AI50"/>
  <c i="12" r="BH50" s="1"/>
  <c i="12" r="AJ50"/>
  <c i="12" r="BI50" s="1"/>
  <c i="12" r="AK50"/>
  <c i="12" r="BJ50" s="1"/>
  <c i="12" r="AL50"/>
  <c i="12" r="BK50" s="1"/>
  <c i="12" r="AM50"/>
  <c i="12" r="BL50" s="1"/>
  <c i="12" r="AN50"/>
  <c i="12" r="BM50" s="1"/>
  <c i="12" r="AO50"/>
  <c i="12" r="BN50" s="1"/>
  <c i="12" r="AP50"/>
  <c i="12" r="BO50" s="1"/>
  <c i="12" r="AQ50"/>
  <c i="12" r="BP50" s="1"/>
  <c i="12" r="AR50"/>
  <c i="12" r="BQ50" s="1"/>
  <c i="12" r="AS50"/>
  <c i="12" r="BR50" s="1"/>
  <c i="12" r="AT50"/>
  <c i="12" r="BS50" s="1"/>
  <c i="12" r="AU50"/>
  <c i="12" r="BT50" s="1"/>
  <c i="12" r="CR50" s="1"/>
  <c i="12" r="AA51"/>
  <c i="12" r="AZ51" s="1"/>
  <c i="12" r="AB51"/>
  <c i="12" r="BA51" s="1"/>
  <c i="12" r="AC51"/>
  <c i="12" r="BB51" s="1"/>
  <c i="12" r="AD51"/>
  <c i="12" r="BC51" s="1"/>
  <c i="12" r="AE51"/>
  <c i="12" r="BD51" s="1"/>
  <c i="12" r="AF51"/>
  <c i="12" r="BE51" s="1"/>
  <c i="12" r="AG51"/>
  <c i="12" r="BF51" s="1"/>
  <c i="12" r="AH51"/>
  <c i="12" r="BG51" s="1"/>
  <c i="12" r="AI51"/>
  <c i="12" r="BH51" s="1"/>
  <c i="12" r="AJ51"/>
  <c i="12" r="BI51" s="1"/>
  <c i="12" r="AK51"/>
  <c i="12" r="BJ51" s="1"/>
  <c i="12" r="AL51"/>
  <c i="12" r="BK51" s="1"/>
  <c i="12" r="AM51"/>
  <c i="12" r="BL51" s="1"/>
  <c i="12" r="AN51"/>
  <c i="12" r="BM51" s="1"/>
  <c i="12" r="AO51"/>
  <c i="12" r="BN51" s="1"/>
  <c i="12" r="AP51"/>
  <c i="12" r="BO51" s="1"/>
  <c i="12" r="AQ51"/>
  <c i="12" r="BP51" s="1"/>
  <c i="12" r="AR51"/>
  <c i="12" r="BQ51" s="1"/>
  <c i="12" r="AS51"/>
  <c i="12" r="BR51" s="1"/>
  <c i="12" r="AT51"/>
  <c i="12" r="BS51" s="1"/>
  <c i="12" r="AU51"/>
  <c i="12" r="BT51" s="1"/>
  <c i="12" r="CR51" s="1"/>
  <c i="12" r="AA52"/>
  <c i="12" r="AZ52" s="1"/>
  <c i="12" r="AB52"/>
  <c i="12" r="BA52" s="1"/>
  <c i="12" r="AC52"/>
  <c i="12" r="BB52" s="1"/>
  <c i="12" r="AD52"/>
  <c i="12" r="BC52" s="1"/>
  <c i="12" r="AE52"/>
  <c i="12" r="BD52" s="1"/>
  <c i="12" r="AF52"/>
  <c i="12" r="BE52" s="1"/>
  <c i="12" r="AG52"/>
  <c i="12" r="BF52" s="1"/>
  <c i="12" r="AH52"/>
  <c i="12" r="BG52" s="1"/>
  <c i="12" r="AI52"/>
  <c i="12" r="BH52" s="1"/>
  <c i="12" r="AJ52"/>
  <c i="12" r="BI52" s="1"/>
  <c i="12" r="AK52"/>
  <c i="12" r="BJ52" s="1"/>
  <c i="12" r="AL52"/>
  <c i="12" r="AM52"/>
  <c i="12" r="BL52" s="1"/>
  <c i="12" r="AN52"/>
  <c i="12" r="BM52" s="1"/>
  <c i="12" r="AO52"/>
  <c i="12" r="BN52" s="1"/>
  <c i="12" r="AP52"/>
  <c i="12" r="BO52" s="1"/>
  <c i="12" r="AQ52"/>
  <c i="12" r="BP52" s="1"/>
  <c i="12" r="AR52"/>
  <c i="12" r="BQ52" s="1"/>
  <c i="12" r="AS52"/>
  <c i="12" r="BR52" s="1"/>
  <c i="12" r="AT52"/>
  <c i="12" r="BS52" s="1"/>
  <c i="12" r="AU52"/>
  <c i="12" r="BT52" s="1"/>
  <c i="12" r="CR52" s="1"/>
  <c i="12" r="AA53"/>
  <c i="12" r="AZ53" s="1"/>
  <c i="12" r="AB53"/>
  <c i="12" r="BA53" s="1"/>
  <c i="12" r="AC53"/>
  <c i="12" r="BB53" s="1"/>
  <c i="12" r="AD53"/>
  <c i="12" r="BC53" s="1"/>
  <c i="12" r="AE53"/>
  <c i="12" r="BD53" s="1"/>
  <c i="12" r="AF53"/>
  <c i="12" r="BE53" s="1"/>
  <c i="12" r="AG53"/>
  <c i="12" r="BF53" s="1"/>
  <c i="12" r="AH53"/>
  <c i="12" r="BG53" s="1"/>
  <c i="12" r="AI53"/>
  <c i="12" r="BH53" s="1"/>
  <c i="12" r="AJ53"/>
  <c i="12" r="BI53" s="1"/>
  <c i="12" r="AK53"/>
  <c i="12" r="BJ53" s="1"/>
  <c i="12" r="AL53"/>
  <c i="12" r="BK53" s="1"/>
  <c i="12" r="AM53"/>
  <c i="12" r="AN53"/>
  <c i="12" r="BM53" s="1"/>
  <c i="12" r="AO53"/>
  <c i="12" r="BN53" s="1"/>
  <c i="12" r="AP53"/>
  <c i="12" r="BO53" s="1"/>
  <c i="12" r="AQ53"/>
  <c i="12" r="BP53" s="1"/>
  <c i="12" r="AR53"/>
  <c i="12" r="BQ53" s="1"/>
  <c i="12" r="AS53"/>
  <c i="12" r="BR53" s="1"/>
  <c i="12" r="AT53"/>
  <c i="12" r="BS53" s="1"/>
  <c i="12" r="AU53"/>
  <c i="12" r="BT53" s="1"/>
  <c i="12" r="CR53" s="1"/>
  <c i="12" r="AA54"/>
  <c i="12" r="AZ54" s="1"/>
  <c i="12" r="AB54"/>
  <c i="12" r="BA54" s="1"/>
  <c i="12" r="AC54"/>
  <c i="12" r="BB54" s="1"/>
  <c i="12" r="AD54"/>
  <c i="12" r="BC54" s="1"/>
  <c i="12" r="AE54"/>
  <c i="12" r="BD54" s="1"/>
  <c i="12" r="AF54"/>
  <c i="12" r="BE54" s="1"/>
  <c i="12" r="AG54"/>
  <c i="12" r="BF54" s="1"/>
  <c i="12" r="AH54"/>
  <c i="12" r="BG54" s="1"/>
  <c i="12" r="AI54"/>
  <c i="12" r="BH54" s="1"/>
  <c i="12" r="AJ54"/>
  <c i="12" r="BI54" s="1"/>
  <c i="12" r="AK54"/>
  <c i="12" r="BJ54" s="1"/>
  <c i="12" r="AL54"/>
  <c i="12" r="BK54" s="1"/>
  <c i="12" r="AM54"/>
  <c i="12" r="BL54" s="1"/>
  <c i="12" r="AN54"/>
  <c i="12" r="BM54" s="1"/>
  <c i="12" r="AO54"/>
  <c i="12" r="BN54" s="1"/>
  <c i="12" r="AP54"/>
  <c i="12" r="BO54" s="1"/>
  <c i="12" r="AQ54"/>
  <c i="12" r="BP54" s="1"/>
  <c i="12" r="AR54"/>
  <c i="12" r="BQ54" s="1"/>
  <c i="12" r="AS54"/>
  <c i="12" r="BR54" s="1"/>
  <c i="12" r="AT54"/>
  <c i="12" r="BS54" s="1"/>
  <c i="12" r="AU54"/>
  <c i="12" r="BT54" s="1"/>
  <c i="12" r="CR54" s="1"/>
  <c i="12" r="AA55"/>
  <c i="12" r="AZ55" s="1"/>
  <c i="12" r="AB55"/>
  <c i="12" r="BA55" s="1"/>
  <c i="12" r="AC55"/>
  <c i="12" r="BB55" s="1"/>
  <c i="12" r="AD55"/>
  <c i="12" r="BC55" s="1"/>
  <c i="12" r="AE55"/>
  <c i="12" r="BD55" s="1"/>
  <c i="12" r="AF55"/>
  <c i="12" r="BE55" s="1"/>
  <c i="12" r="AG55"/>
  <c i="12" r="BF55" s="1"/>
  <c i="12" r="AH55"/>
  <c i="12" r="BG55" s="1"/>
  <c i="12" r="AI55"/>
  <c i="12" r="BH55" s="1"/>
  <c i="12" r="AJ55"/>
  <c i="12" r="BI55" s="1"/>
  <c i="12" r="AK55"/>
  <c i="12" r="BJ55" s="1"/>
  <c i="12" r="AL55"/>
  <c i="12" r="BK55" s="1"/>
  <c i="12" r="AM55"/>
  <c i="12" r="BL55" s="1"/>
  <c i="12" r="AN55"/>
  <c i="12" r="BM55" s="1"/>
  <c i="12" r="AO55"/>
  <c i="12" r="BN55" s="1"/>
  <c i="12" r="AP55"/>
  <c i="12" r="BO55" s="1"/>
  <c i="12" r="AQ55"/>
  <c i="12" r="BP55" s="1"/>
  <c i="12" r="AR55"/>
  <c i="12" r="BQ55" s="1"/>
  <c i="12" r="AS55"/>
  <c i="12" r="BR55" s="1"/>
  <c i="12" r="AT55"/>
  <c i="12" r="BS55" s="1"/>
  <c i="12" r="AU55"/>
  <c i="12" r="BT55" s="1"/>
  <c i="12" r="CR55" s="1"/>
  <c i="12" r="AA56"/>
  <c i="12" r="AZ56" s="1"/>
  <c i="12" r="AB56"/>
  <c i="12" r="BA56" s="1"/>
  <c i="12" r="AC56"/>
  <c i="12" r="BB56" s="1"/>
  <c i="12" r="AD56"/>
  <c i="12" r="BC56" s="1"/>
  <c i="12" r="AE56"/>
  <c i="12" r="BD56" s="1"/>
  <c i="12" r="AF56"/>
  <c i="12" r="BE56" s="1"/>
  <c i="12" r="AG56"/>
  <c i="12" r="BF56" s="1"/>
  <c i="12" r="AH56"/>
  <c i="12" r="BG56" s="1"/>
  <c i="12" r="AI56"/>
  <c i="12" r="BH56" s="1"/>
  <c i="12" r="AJ56"/>
  <c i="12" r="BI56" s="1"/>
  <c i="12" r="AK56"/>
  <c i="12" r="BJ56" s="1"/>
  <c i="12" r="AL56"/>
  <c i="12" r="BK56" s="1"/>
  <c i="12" r="AM56"/>
  <c i="12" r="BL56" s="1"/>
  <c i="12" r="AN56"/>
  <c i="12" r="BM56" s="1"/>
  <c i="12" r="AO56"/>
  <c i="12" r="BN56" s="1"/>
  <c i="12" r="AP56"/>
  <c i="12" r="BO56" s="1"/>
  <c i="12" r="AQ56"/>
  <c i="12" r="BP56" s="1"/>
  <c i="12" r="AR56"/>
  <c i="12" r="BQ56" s="1"/>
  <c i="12" r="AS56"/>
  <c i="12" r="BR56" s="1"/>
  <c i="12" r="AT56"/>
  <c i="12" r="BS56" s="1"/>
  <c i="12" r="AU56"/>
  <c i="12" r="BT56" s="1"/>
  <c i="12" r="CR56" s="1"/>
  <c i="12" r="AA57"/>
  <c i="12" r="AZ57" s="1"/>
  <c i="12" r="AB57"/>
  <c i="12" r="BA57" s="1"/>
  <c i="12" r="AC57"/>
  <c i="12" r="BB57" s="1"/>
  <c i="12" r="AD57"/>
  <c i="12" r="BC57" s="1"/>
  <c i="12" r="AE57"/>
  <c i="12" r="BD57" s="1"/>
  <c i="12" r="AF57"/>
  <c i="12" r="BE57" s="1"/>
  <c i="12" r="AG57"/>
  <c i="12" r="BF57" s="1"/>
  <c i="12" r="AH57"/>
  <c i="12" r="BG57" s="1"/>
  <c i="12" r="AI57"/>
  <c i="12" r="BH57" s="1"/>
  <c i="12" r="AJ57"/>
  <c i="12" r="BI57" s="1"/>
  <c i="12" r="AK57"/>
  <c i="12" r="BJ57" s="1"/>
  <c i="12" r="AL57"/>
  <c i="12" r="BK57" s="1"/>
  <c i="12" r="AM57"/>
  <c i="12" r="BL57" s="1"/>
  <c i="12" r="AN57"/>
  <c i="12" r="BM57" s="1"/>
  <c i="12" r="AO57"/>
  <c i="12" r="BN57" s="1"/>
  <c i="12" r="AP57"/>
  <c i="12" r="BO57" s="1"/>
  <c i="12" r="AQ57"/>
  <c i="12" r="BP57" s="1"/>
  <c i="12" r="AR57"/>
  <c i="12" r="BQ57" s="1"/>
  <c i="12" r="AS57"/>
  <c i="12" r="BR57" s="1"/>
  <c i="12" r="AT57"/>
  <c i="12" r="BS57" s="1"/>
  <c i="12" r="AU57"/>
  <c i="12" r="AA58"/>
  <c i="12" r="AZ58" s="1"/>
  <c i="12" r="AB58"/>
  <c i="12" r="BA58" s="1"/>
  <c i="12" r="AC58"/>
  <c i="12" r="BB58" s="1"/>
  <c i="12" r="AD58"/>
  <c i="12" r="BC58" s="1"/>
  <c i="12" r="AE58"/>
  <c i="12" r="BD58" s="1"/>
  <c i="12" r="AF58"/>
  <c i="12" r="BE58" s="1"/>
  <c i="12" r="AG58"/>
  <c i="12" r="BF58" s="1"/>
  <c i="12" r="AH58"/>
  <c i="12" r="BG58" s="1"/>
  <c i="12" r="AI58"/>
  <c i="12" r="BH58" s="1"/>
  <c i="12" r="AJ58"/>
  <c i="12" r="BI58" s="1"/>
  <c i="12" r="AK58"/>
  <c i="12" r="BJ58" s="1"/>
  <c i="12" r="AL58"/>
  <c i="12" r="BK58" s="1"/>
  <c i="12" r="AM58"/>
  <c i="12" r="BL58" s="1"/>
  <c i="12" r="AN58"/>
  <c i="12" r="BM58" s="1"/>
  <c i="12" r="AO58"/>
  <c i="12" r="BN58" s="1"/>
  <c i="12" r="AP58"/>
  <c i="12" r="BO58" s="1"/>
  <c i="12" r="AQ58"/>
  <c i="12" r="BP58" s="1"/>
  <c i="12" r="AR58"/>
  <c i="12" r="BQ58" s="1"/>
  <c i="12" r="AS58"/>
  <c i="12" r="BR58" s="1"/>
  <c i="12" r="AT58"/>
  <c i="12" r="BS58" s="1"/>
  <c i="12" r="AU58"/>
  <c i="12" r="BT58" s="1"/>
  <c i="12" r="CR58" s="1"/>
  <c i="12" r="AA59"/>
  <c i="12" r="AZ59" s="1"/>
  <c i="12" r="AB59"/>
  <c i="12" r="BA59" s="1"/>
  <c i="12" r="AC59"/>
  <c i="12" r="BB59" s="1"/>
  <c i="12" r="AD59"/>
  <c i="12" r="BC59" s="1"/>
  <c i="12" r="AE59"/>
  <c i="12" r="BD59" s="1"/>
  <c i="12" r="AF59"/>
  <c i="12" r="BE59" s="1"/>
  <c i="12" r="AG59"/>
  <c i="12" r="BF59" s="1"/>
  <c i="12" r="AH59"/>
  <c i="12" r="BG59" s="1"/>
  <c i="12" r="AI59"/>
  <c i="12" r="BH59" s="1"/>
  <c i="12" r="AJ59"/>
  <c i="12" r="BI59" s="1"/>
  <c i="12" r="AK59"/>
  <c i="12" r="BJ59" s="1"/>
  <c i="12" r="AL59"/>
  <c i="12" r="BK59" s="1"/>
  <c i="12" r="AM59"/>
  <c i="12" r="BL59" s="1"/>
  <c i="12" r="AN59"/>
  <c i="12" r="BM59" s="1"/>
  <c i="12" r="AO59"/>
  <c i="12" r="BN59" s="1"/>
  <c i="12" r="AP59"/>
  <c i="12" r="BO59" s="1"/>
  <c i="12" r="AQ59"/>
  <c i="12" r="BP59" s="1"/>
  <c i="12" r="AR59"/>
  <c i="12" r="BQ59" s="1"/>
  <c i="12" r="AS59"/>
  <c i="12" r="BR59" s="1"/>
  <c i="12" r="AT59"/>
  <c i="12" r="BS59" s="1"/>
  <c i="12" r="AU59"/>
  <c i="12" r="BT59" s="1"/>
  <c i="12" r="CR59" s="1"/>
  <c i="12" r="AA60"/>
  <c i="12" r="AZ60" s="1"/>
  <c i="12" r="AB60"/>
  <c i="12" r="BA60" s="1"/>
  <c i="12" r="AC60"/>
  <c i="12" r="BB60" s="1"/>
  <c i="12" r="AD60"/>
  <c i="12" r="BC60" s="1"/>
  <c i="12" r="AE60"/>
  <c i="12" r="BD60" s="1"/>
  <c i="12" r="AF60"/>
  <c i="12" r="BE60" s="1"/>
  <c i="12" r="AG60"/>
  <c i="12" r="BF60" s="1"/>
  <c i="12" r="AH60"/>
  <c i="12" r="BG60" s="1"/>
  <c i="12" r="AI60"/>
  <c i="12" r="BH60" s="1"/>
  <c i="12" r="AJ60"/>
  <c i="12" r="BI60" s="1"/>
  <c i="12" r="AK60"/>
  <c i="12" r="BJ60" s="1"/>
  <c i="12" r="AL60"/>
  <c i="12" r="BK60" s="1"/>
  <c i="12" r="AM60"/>
  <c i="12" r="BL60" s="1"/>
  <c i="12" r="AN60"/>
  <c i="12" r="BM60" s="1"/>
  <c i="12" r="AO60"/>
  <c i="12" r="BN60" s="1"/>
  <c i="12" r="AP60"/>
  <c i="12" r="BO60" s="1"/>
  <c i="12" r="AQ60"/>
  <c i="12" r="BP60" s="1"/>
  <c i="12" r="AR60"/>
  <c i="12" r="BQ60" s="1"/>
  <c i="12" r="AS60"/>
  <c i="12" r="BR60" s="1"/>
  <c i="12" r="BS60"/>
  <c i="12" r="AU60"/>
  <c i="12" r="BT60" s="1"/>
  <c i="12" r="CR60" s="1"/>
  <c i="12" r="AA61"/>
  <c i="12" r="AZ61" s="1"/>
  <c i="12" r="AB61"/>
  <c i="12" r="BA61" s="1"/>
  <c i="12" r="AC61"/>
  <c i="12" r="BB61" s="1"/>
  <c i="12" r="AD61"/>
  <c i="12" r="BC61" s="1"/>
  <c i="12" r="AE61"/>
  <c i="12" r="AF61"/>
  <c i="12" r="AG61"/>
  <c i="12" r="AH61"/>
  <c i="12" r="BG61" s="1"/>
  <c i="12" r="AI61"/>
  <c i="12" r="BH61" s="1"/>
  <c i="12" r="AJ61"/>
  <c i="12" r="BI61" s="1"/>
  <c i="12" r="AK61"/>
  <c i="12" r="AL61"/>
  <c i="12" r="BK61" s="1"/>
  <c i="12" r="AM61"/>
  <c i="12" r="BL61" s="1"/>
  <c i="12" r="AN61"/>
  <c i="12" r="BM61" s="1"/>
  <c i="12" r="AO61"/>
  <c i="12" r="BN61" s="1"/>
  <c i="12" r="AP61"/>
  <c i="12" r="BO61" s="1"/>
  <c i="12" r="AQ61"/>
  <c i="12" r="BP61" s="1"/>
  <c i="12" r="AR61"/>
  <c i="12" r="AS61"/>
  <c i="12" r="AT61"/>
  <c i="12" r="BS61" s="1"/>
  <c i="12" r="AU61"/>
  <c i="12" r="BT61" s="1"/>
  <c i="12" r="AB41"/>
  <c i="12" r="BA41" s="1"/>
  <c i="12" r="AC41"/>
  <c i="12" r="BB41" s="1"/>
  <c i="12" r="AD41"/>
  <c i="12" r="BC41" s="1"/>
  <c i="12" r="AE41"/>
  <c i="12" r="BD41" s="1"/>
  <c i="12" r="AF41"/>
  <c i="12" r="BE41" s="1"/>
  <c i="12" r="AG41"/>
  <c i="12" r="BF41" s="1"/>
  <c i="12" r="AH41"/>
  <c i="12" r="BG41" s="1"/>
  <c i="12" r="AI41"/>
  <c i="12" r="BH41" s="1"/>
  <c i="12" r="AJ41"/>
  <c i="12" r="BI41" s="1"/>
  <c i="12" r="AK41"/>
  <c i="12" r="BJ41" s="1"/>
  <c i="12" r="AL41"/>
  <c i="12" r="BK41" s="1"/>
  <c i="12" r="AM41"/>
  <c i="12" r="BL41" s="1"/>
  <c i="12" r="AN41"/>
  <c i="12" r="BM41" s="1"/>
  <c i="12" r="AO41"/>
  <c i="12" r="BN41" s="1"/>
  <c i="12" r="AP41"/>
  <c i="12" r="BO41" s="1"/>
  <c i="12" r="AQ41"/>
  <c i="12" r="BP41" s="1"/>
  <c i="12" r="AR41"/>
  <c i="12" r="BQ41" s="1"/>
  <c i="12" r="AS41"/>
  <c i="12" r="BR41" s="1"/>
  <c i="12" r="AT41"/>
  <c i="12" r="BS41" s="1"/>
  <c i="12" r="AU41"/>
  <c i="12" r="BT41" s="1"/>
  <c i="12" r="CR41" s="1"/>
  <c i="12" r="AA41"/>
  <c i="12" r="CW401"/>
  <c i="12" r="CW400"/>
  <c i="12" r="CW399"/>
  <c i="12" r="CW398"/>
  <c i="12" r="CW397"/>
  <c i="12" r="CW396"/>
  <c i="12" r="CW395"/>
  <c i="12" r="CW394"/>
  <c i="12" r="CW393"/>
  <c i="12" r="CW392"/>
  <c i="12" r="CW391"/>
  <c i="12" r="CW390"/>
  <c i="12" r="CW389"/>
  <c i="12" r="CW388"/>
  <c i="12" r="CW387"/>
  <c i="12" r="CW386"/>
  <c i="12" r="CW385"/>
  <c i="12" r="CW384"/>
  <c i="12" r="CW383"/>
  <c i="12" r="CW382"/>
  <c i="12" r="CW381"/>
  <c i="12" r="CW380"/>
  <c i="12" r="CW379"/>
  <c i="12" r="CW378"/>
  <c i="12" r="CW377"/>
  <c i="12" r="CW376"/>
  <c i="12" r="CW375"/>
  <c i="12" r="CW374"/>
  <c i="12" r="CW373"/>
  <c i="12" r="CW372"/>
  <c i="12" r="CW371"/>
  <c i="12" r="CW370"/>
  <c i="12" r="CW369"/>
  <c i="12" r="CW368"/>
  <c i="12" r="CW367"/>
  <c i="12" r="CW366"/>
  <c i="12" r="CW365"/>
  <c i="12" r="CW364"/>
  <c i="12" r="CW363"/>
  <c i="12" r="CW362"/>
  <c i="12" r="CW361"/>
  <c i="12" r="CW360"/>
  <c i="12" r="CW359"/>
  <c i="12" r="CW358"/>
  <c i="12" r="CW357"/>
  <c i="12" r="CW356"/>
  <c i="12" r="CW355"/>
  <c i="12" r="CW354"/>
  <c i="12" r="CW353"/>
  <c i="12" r="CW352"/>
  <c i="12" r="CW351"/>
  <c i="12" r="CW350"/>
  <c i="12" r="CW349"/>
  <c i="12" r="CW348"/>
  <c i="12" r="CW347"/>
  <c i="12" r="CW346"/>
  <c i="12" r="CW345"/>
  <c i="12" r="CW344"/>
  <c i="12" r="CW343"/>
  <c i="12" r="CW342"/>
  <c i="12" r="CW341"/>
  <c i="12" r="CW340"/>
  <c i="12" r="CW339"/>
  <c i="12" r="CW338"/>
  <c i="12" r="CW337"/>
  <c i="12" r="CW336"/>
  <c i="12" r="CW335"/>
  <c i="12" r="CW334"/>
  <c i="12" r="CW333"/>
  <c i="12" r="CW332"/>
  <c i="12" r="CW331"/>
  <c i="12" r="CW330"/>
  <c i="12" r="CW329"/>
  <c i="12" r="CW328"/>
  <c i="12" r="CW327"/>
  <c i="12" r="CW326"/>
  <c i="12" r="CW325"/>
  <c i="12" r="CW324"/>
  <c i="12" r="CW323"/>
  <c i="12" r="CW322"/>
  <c i="12" r="CW321"/>
  <c i="12" r="CW320"/>
  <c i="12" r="CW319"/>
  <c i="12" r="CW318"/>
  <c i="12" r="CW317"/>
  <c i="12" r="CW316"/>
  <c i="12" r="CW315"/>
  <c i="12" r="CW314"/>
  <c i="12" r="CW313"/>
  <c i="12" r="CW312"/>
  <c i="12" r="CW311"/>
  <c i="12" r="CW310"/>
  <c i="12" r="CW309"/>
  <c i="12" r="CW308"/>
  <c i="12" r="CW307"/>
  <c i="12" r="CW306"/>
  <c i="12" r="CW305"/>
  <c i="12" r="CW304"/>
  <c i="12" r="CW303"/>
  <c i="12" r="CW302"/>
  <c i="12" r="CW301"/>
  <c i="12" r="CW300"/>
  <c i="12" r="CW299"/>
  <c i="12" r="CW298"/>
  <c i="12" r="CW297"/>
  <c i="12" r="CW296"/>
  <c i="12" r="CW295"/>
  <c i="12" r="CW294"/>
  <c i="12" r="CW293"/>
  <c i="12" r="CW292"/>
  <c i="12" r="CW291"/>
  <c i="12" r="CW290"/>
  <c i="12" r="CW289"/>
  <c i="12" r="CW288"/>
  <c i="12" r="CW287"/>
  <c i="12" r="CW286"/>
  <c i="12" r="CW285"/>
  <c i="12" r="CW284"/>
  <c i="12" r="CW283"/>
  <c i="12" r="CW282"/>
  <c i="12" r="CW281"/>
  <c i="12" r="CW280"/>
  <c i="12" r="CW279"/>
  <c i="12" r="CW278"/>
  <c i="12" r="CW277"/>
  <c i="12" r="CW276"/>
  <c i="12" r="CW275"/>
  <c i="12" r="CW274"/>
  <c i="12" r="CW273"/>
  <c i="12" r="CW272"/>
  <c i="12" r="CW271"/>
  <c i="12" r="CW270"/>
  <c i="12" r="CW269"/>
  <c i="12" r="CW268"/>
  <c i="12" r="CW267"/>
  <c i="12" r="CW266"/>
  <c i="12" r="CW265"/>
  <c i="12" r="CW264"/>
  <c i="12" r="CW263"/>
  <c i="12" r="CW262"/>
  <c i="12" r="CW261"/>
  <c i="12" r="CW260"/>
  <c i="12" r="CW259"/>
  <c i="12" r="CW258"/>
  <c i="12" r="CW257"/>
  <c i="12" r="CW256"/>
  <c i="12" r="CW255"/>
  <c i="12" r="CW254"/>
  <c i="12" r="CW253"/>
  <c i="12" r="CW252"/>
  <c i="12" r="CW251"/>
  <c i="12" r="CW250"/>
  <c i="12" r="CW249"/>
  <c i="12" r="CW248"/>
  <c i="12" r="CW247"/>
  <c i="12" r="CW246"/>
  <c i="12" r="CW245"/>
  <c i="12" r="CW244"/>
  <c i="12" r="CW243"/>
  <c i="12" r="CW242"/>
  <c i="12" r="CW241"/>
  <c i="12" r="CW240"/>
  <c i="12" r="CW239"/>
  <c i="12" r="CW238"/>
  <c i="12" r="CW237"/>
  <c i="12" r="CW236"/>
  <c i="12" r="CW235"/>
  <c i="12" r="CW234"/>
  <c i="12" r="CW233"/>
  <c i="12" r="CW232"/>
  <c i="12" r="CW231"/>
  <c i="12" r="CW230"/>
  <c i="12" r="CW229"/>
  <c i="12" r="CW228"/>
  <c i="12" r="CW227"/>
  <c i="12" r="CW226"/>
  <c i="12" r="CW225"/>
  <c i="12" r="CW224"/>
  <c i="12" r="CW223"/>
  <c i="12" r="CW222"/>
  <c i="12" r="CW221"/>
  <c i="12" r="CW220"/>
  <c i="12" r="CW219"/>
  <c i="12" r="CW218"/>
  <c i="12" r="CW217"/>
  <c i="12" r="CW216"/>
  <c i="12" r="CW215"/>
  <c i="12" r="CW214"/>
  <c i="12" r="CW213"/>
  <c i="12" r="CW212"/>
  <c i="12" r="CW211"/>
  <c i="12" r="CW210"/>
  <c i="12" r="CW209"/>
  <c i="12" r="CW208"/>
  <c i="12" r="CW207"/>
  <c i="12" r="CW206"/>
  <c i="12" r="CW205"/>
  <c i="12" r="CW204"/>
  <c i="12" r="CW203"/>
  <c i="12" r="CW202"/>
  <c i="12" r="CW201"/>
  <c i="12" r="CW200"/>
  <c i="12" r="CW199"/>
  <c i="12" r="CW198"/>
  <c i="12" r="CW197"/>
  <c i="12" r="CW196"/>
  <c i="12" r="CW195"/>
  <c i="12" r="CW194"/>
  <c i="12" r="CW193"/>
  <c i="12" r="CW192"/>
  <c i="12" r="CW191"/>
  <c i="12" r="CW190"/>
  <c i="12" r="CW189"/>
  <c i="12" r="CW188"/>
  <c i="12" r="CW187"/>
  <c i="12" r="CW186"/>
  <c i="12" r="CW185"/>
  <c i="12" r="CW184"/>
  <c i="12" r="CW183"/>
  <c i="12" r="CW182"/>
  <c i="12" r="CW181"/>
  <c i="12" r="CW180"/>
  <c i="12" r="CW179"/>
  <c i="12" r="CW178"/>
  <c i="12" r="CW177"/>
  <c i="12" r="CW176"/>
  <c i="12" r="CW175"/>
  <c i="12" r="CW174"/>
  <c i="12" r="CW173"/>
  <c i="12" r="CW172"/>
  <c i="12" r="CW171"/>
  <c i="12" r="CW170"/>
  <c i="12" r="CW169"/>
  <c i="12" r="CW168"/>
  <c i="12" r="CW167"/>
  <c i="12" r="CW166"/>
  <c i="12" r="CW165"/>
  <c i="12" r="CW164"/>
  <c i="12" r="CW163"/>
  <c i="12" r="CW162"/>
  <c i="12" r="CW161"/>
  <c i="12" r="CW160"/>
  <c i="12" r="CW159"/>
  <c i="12" r="CW158"/>
  <c i="12" r="CW157"/>
  <c i="12" r="CW156"/>
  <c i="12" r="CW155"/>
  <c i="12" r="CW154"/>
  <c i="12" r="CW153"/>
  <c i="12" r="CW152"/>
  <c i="12" r="CW151"/>
  <c i="12" r="CW150"/>
  <c i="12" r="CW149"/>
  <c i="12" r="CW148"/>
  <c i="12" r="CW147"/>
  <c i="12" r="CW146"/>
  <c i="12" r="CW145"/>
  <c i="12" r="CW144"/>
  <c i="12" r="CW143"/>
  <c i="12" r="CW142"/>
  <c i="12" r="CW141"/>
  <c i="12" r="CW140"/>
  <c i="12" r="CW139"/>
  <c i="12" r="CW138"/>
  <c i="12" r="CW137"/>
  <c i="12" r="CW136"/>
  <c i="12" r="CW135"/>
  <c i="12" r="CW134"/>
  <c i="12" r="CW133"/>
  <c i="12" r="CW132"/>
  <c i="12" r="CW131"/>
  <c i="12" r="CW130"/>
  <c i="12" r="CW129"/>
  <c i="12" r="CW128"/>
  <c i="12" r="CW127"/>
  <c i="12" r="CW126"/>
  <c i="12" r="CW125"/>
  <c i="12" r="CW124"/>
  <c i="12" r="CW123"/>
  <c i="12" r="CW122"/>
  <c i="12" r="CW121"/>
  <c i="12" r="CW120"/>
  <c i="12" r="CW119"/>
  <c i="12" r="CW118"/>
  <c i="12" r="CW117"/>
  <c i="12" r="CW116"/>
  <c i="12" r="CW115"/>
  <c i="12" r="CW114"/>
  <c i="12" r="CW113"/>
  <c i="12" r="CW112"/>
  <c i="12" r="CW111"/>
  <c i="12" r="CW110"/>
  <c i="12" r="CW109"/>
  <c i="12" r="CW108"/>
  <c i="12" r="CW107"/>
  <c i="12" r="CW106"/>
  <c i="12" r="CW105"/>
  <c i="12" r="CW104"/>
  <c i="12" r="CW103"/>
  <c i="12" r="CW102"/>
  <c i="12" r="CW101"/>
  <c i="12" r="CW100"/>
  <c i="12" r="CW99"/>
  <c i="12" r="CW98"/>
  <c i="12" r="CW97"/>
  <c i="12" r="CW96"/>
  <c i="12" r="CW95"/>
  <c i="12" r="CW94"/>
  <c i="12" r="CW93"/>
  <c i="12" r="CW92"/>
  <c i="12" r="CW91"/>
  <c i="12" r="CW90"/>
  <c i="12" r="CW89"/>
  <c i="12" r="CW88"/>
  <c i="12" r="CW87"/>
  <c i="12" r="CW86"/>
  <c i="12" r="CW85"/>
  <c i="12" r="CW84"/>
  <c i="12" r="CW83"/>
  <c i="12" r="CW82"/>
  <c i="12" r="CW81"/>
  <c i="12" r="CW80"/>
  <c i="12" r="CW79"/>
  <c i="12" r="CW78"/>
  <c i="12" r="CW77"/>
  <c i="12" r="CW76"/>
  <c i="12" r="CW75"/>
  <c i="12" r="CW74"/>
  <c i="12" r="CW73"/>
  <c i="12" r="CW72"/>
  <c i="12" r="CW71"/>
  <c i="12" r="CW70"/>
  <c i="12" r="CW69"/>
  <c i="12" r="CW68"/>
  <c i="12" r="CW67"/>
  <c i="12" r="CW66"/>
  <c i="12" r="CW65"/>
  <c i="12" r="CW64"/>
  <c i="12" r="CW63"/>
  <c i="12" r="CW62"/>
  <c i="12" r="CW61"/>
  <c i="12" r="CW60"/>
  <c i="12" r="CW59"/>
  <c i="12" r="CW58"/>
  <c i="12" r="CW57"/>
  <c i="12" r="CW56"/>
  <c i="12" r="CW55"/>
  <c i="12" r="CW54"/>
  <c i="12" r="CW53"/>
  <c i="12" r="CW52"/>
  <c i="12" r="CW51"/>
  <c i="12" r="CW50"/>
  <c i="12" r="CW49"/>
  <c i="12" r="CW48"/>
  <c i="12" r="CW47"/>
  <c i="12" r="X58"/>
  <c i="12" r="E21" s="1"/>
  <c i="12" r="CW46"/>
  <c i="12" r="CW45"/>
  <c i="12" r="CW44"/>
  <c i="12" r="CW43"/>
  <c i="12" r="CW42"/>
  <c i="12" r="CW41"/>
  <c i="12" r="CW40"/>
  <c i="12" r="CW39"/>
  <c i="12" r="X50"/>
  <c i="12" r="E13" s="1"/>
  <c i="12" r="CW38"/>
  <c i="12" r="CW37"/>
  <c i="12" r="CW36"/>
  <c i="12" r="CW35"/>
  <c i="12" r="CW34"/>
  <c i="12" r="CW33"/>
  <c i="12" r="CW32"/>
  <c i="12" r="CW31"/>
  <c i="12" r="X42"/>
  <c i="12" r="E5" s="1"/>
  <c i="12" r="CW30"/>
  <c i="12" r="N62"/>
  <c i="12" r="M62"/>
  <c i="12" r="L62"/>
  <c i="12" r="K62"/>
  <c i="12" r="BH68" s="1"/>
  <c i="12" r="I12" s="1"/>
  <c i="12" r="J62"/>
  <c i="12" r="I62"/>
  <c i="12" r="CW29"/>
  <c i="12" r="CW28"/>
  <c i="12" r="CW27"/>
  <c i="12" r="CW26"/>
  <c i="12" r="CW25"/>
  <c i="12" r="CW24"/>
  <c i="12" r="CW23"/>
  <c i="12" r="CW22"/>
  <c i="12" r="CW21"/>
  <c i="12" r="CW20"/>
  <c i="12" r="CW19"/>
  <c i="12" r="CW18"/>
  <c i="12" r="CW17"/>
  <c i="12" r="CW16"/>
  <c i="12" r="CW15"/>
  <c i="12" r="CW14"/>
  <c i="12" r="CW13"/>
  <c i="12" r="CW12"/>
  <c i="12" r="CW11"/>
  <c i="12" r="CW10"/>
  <c i="12" r="CW9"/>
  <c i="12" r="CW8"/>
  <c i="12" r="CW7"/>
  <c i="12" r="CW6"/>
  <c i="12" r="CW5"/>
  <c i="12" r="CW4"/>
  <c i="12" r="CW3"/>
  <c i="12" r="CW2"/>
  <c i="12" r="CV3" s="1"/>
  <c i="12" l="1" r="AU163"/>
  <c i="12" r="BK52"/>
  <c i="12" r="W26"/>
  <c i="12" r="BE46"/>
  <c i="12" r="W25"/>
  <c i="12" r="BL53"/>
  <c i="12" r="W27"/>
  <c i="12" r="AZ41"/>
  <c i="12" r="W24"/>
  <c i="12" r="BU43"/>
  <c i="12" r="BU58"/>
  <c i="12" r="BU54"/>
  <c i="12" r="BU52"/>
  <c i="12" r="BU60"/>
  <c i="12" r="BU46"/>
  <c i="12" r="BU44"/>
  <c i="12" r="BU42"/>
  <c i="12" r="BU59"/>
  <c i="12" r="BU50"/>
  <c i="12" r="BU55"/>
  <c i="12" r="BU41"/>
  <c i="12" r="BU53"/>
  <c i="12" r="BU48"/>
  <c i="12" r="BU51"/>
  <c i="12" r="BU49"/>
  <c i="12" r="BU47"/>
  <c i="12" r="BU56"/>
  <c i="12" r="BU45"/>
  <c i="12" r="BT57"/>
  <c i="12" r="CG61"/>
  <c i="12" r="CF61"/>
  <c i="12" r="CE61"/>
  <c i="12" r="BJ61"/>
  <c i="12" r="CH61" s="1"/>
  <c i="12" r="BE61"/>
  <c i="12" r="CC61" s="1"/>
  <c i="12" r="BD61"/>
  <c i="12" r="BT69"/>
  <c i="12" r="CA61"/>
  <c i="12" r="BF61"/>
  <c i="12" r="CD61" s="1"/>
  <c i="12" r="CX3"/>
  <c i="12" r="CM61"/>
  <c i="12" r="CN61"/>
  <c i="12" r="CK61"/>
  <c i="12" r="CJ61"/>
  <c i="12" r="BR61"/>
  <c i="12" r="CP61" s="1"/>
  <c i="12" r="CL61"/>
  <c i="12" r="CI61"/>
  <c i="12" r="BQ61"/>
  <c i="12" r="CO61" s="1"/>
  <c i="12" r="AV46"/>
  <c i="12" r="G9" s="1"/>
  <c i="12" r="CX2"/>
  <c i="12" r="CZ2"/>
  <c i="12" r="BY61"/>
  <c i="12" r="BZ61"/>
  <c i="12" r="AV51"/>
  <c i="12" r="G14" s="1"/>
  <c i="12" r="CZ3"/>
  <c i="12" r="CR61"/>
  <c i="12" r="AU167"/>
  <c i="12" r="CQ61"/>
  <c i="12" r="AU166"/>
  <c i="12" r="AU159"/>
  <c i="12" r="AU158"/>
  <c i="12" r="AU153"/>
  <c i="12" r="AU151"/>
  <c i="12" r="AU148"/>
  <c i="12" r="AU150"/>
  <c i="12" r="AU160"/>
  <c i="12" r="AV47"/>
  <c i="12" r="G10" s="1"/>
  <c i="12" r="AV55"/>
  <c i="12" r="G18" s="1"/>
  <c i="12" r="AV57"/>
  <c i="12" r="G20" s="1"/>
  <c i="12" r="AV49"/>
  <c i="12" r="G12" s="1"/>
  <c i="12" r="Q62"/>
  <c i="12" r="BN68" s="1"/>
  <c i="12" r="I18" s="1"/>
  <c i="12" r="AF62"/>
  <c i="12" r="AG62"/>
  <c i="12" r="AH62"/>
  <c i="12" r="P62"/>
  <c i="12" r="BM68" s="1"/>
  <c i="12" r="I17" s="1"/>
  <c i="12" r="CV4"/>
  <c i="12" r="CX4" s="1"/>
  <c i="12" r="BI68"/>
  <c i="12" r="I13" s="1"/>
  <c i="12" r="BJ68"/>
  <c i="12" r="I14" s="1"/>
  <c i="12" r="BK68"/>
  <c i="12" r="I15" s="1"/>
  <c i="12" r="AI62"/>
  <c i="12" r="AJ62"/>
  <c i="12" r="X51"/>
  <c i="12" r="AK62"/>
  <c i="12" r="AL62"/>
  <c i="12" r="X44"/>
  <c i="12" r="E7" s="1"/>
  <c i="12" r="AV54"/>
  <c i="12" r="G17" s="1"/>
  <c i="12" r="O62"/>
  <c i="12" r="AM62"/>
  <c i="12" r="AN62"/>
  <c i="12" r="AV44"/>
  <c i="12" r="AO62"/>
  <c i="12" r="R62"/>
  <c i="12" r="AP62"/>
  <c i="12" r="S62"/>
  <c i="12" r="AQ62"/>
  <c i="12" r="X60"/>
  <c i="12" r="E23" s="1"/>
  <c i="12" r="T62"/>
  <c i="12" r="AR62"/>
  <c i="12" r="U62"/>
  <c i="12" r="C62"/>
  <c i="12" r="AS62"/>
  <c i="12" r="AV60"/>
  <c i="12" r="G23" s="1"/>
  <c i="12" r="V62"/>
  <c i="12" r="X55"/>
  <c i="12" r="E18" s="1"/>
  <c i="12" r="D62"/>
  <c i="12" r="AT62"/>
  <c i="12" r="X48"/>
  <c i="12" r="E11" s="1"/>
  <c i="12" r="W62"/>
  <c i="12" r="AV48"/>
  <c i="12" r="G11" s="1"/>
  <c i="12" r="AV41"/>
  <c i="12" r="G4" s="1"/>
  <c i="12" r="X56"/>
  <c i="12" r="E19" s="1"/>
  <c i="12" r="AA62"/>
  <c i="12" r="X46"/>
  <c i="12" r="E9" s="1"/>
  <c i="12" r="AV56"/>
  <c i="12" r="AB62"/>
  <c i="12" r="X52"/>
  <c i="12" r="E15" s="1"/>
  <c i="12" r="AC62"/>
  <c i="12" r="AD62"/>
  <c i="12" r="AV52"/>
  <c i="12" r="G15" s="1"/>
  <c i="12" r="AU62"/>
  <c i="12" r="X54"/>
  <c i="12" r="E17" s="1"/>
  <c i="12" r="AV43"/>
  <c i="12" r="G6" s="1"/>
  <c i="12" r="X45"/>
  <c i="12" r="E8" s="1"/>
  <c i="12" r="X49"/>
  <c i="12" r="E12" s="1"/>
  <c i="12" r="X57"/>
  <c i="12" r="E20" s="1"/>
  <c i="12" r="BF68"/>
  <c i="12" r="I10" s="1"/>
  <c i="12" r="AV45"/>
  <c i="12" r="G8" s="1"/>
  <c i="12" r="AV58"/>
  <c i="12" r="G21" s="1"/>
  <c i="12" r="BG68"/>
  <c i="12" r="I11" s="1"/>
  <c i="12" r="X61"/>
  <c i="12" r="AV50"/>
  <c i="12" r="G13" s="1"/>
  <c i="12" r="AV61"/>
  <c i="12" r="AV42"/>
  <c i="12" r="G5" s="1"/>
  <c i="12" r="X41"/>
  <c i="12" r="E4" s="1"/>
  <c i="12" r="X43"/>
  <c i="12" r="E6" s="1"/>
  <c i="12" r="X59"/>
  <c i="12" r="E22" s="1"/>
  <c i="12" r="X53"/>
  <c i="12" r="E16" s="1"/>
  <c i="12" r="AV59"/>
  <c i="12" r="G22" s="1"/>
  <c i="12" r="E62"/>
  <c i="12" r="X47"/>
  <c i="12" r="E10" s="1"/>
  <c i="12" r="AV53"/>
  <c i="12" r="G16" s="1"/>
  <c i="12" r="F62"/>
  <c i="12" r="G62"/>
  <c i="12" r="AE62"/>
  <c i="12" r="H62"/>
  <c i="12" l="1" r="BU57"/>
  <c i="12" r="CR57"/>
  <c i="12" r="BU61"/>
  <c i="12" r="CS61" s="1"/>
  <c i="12" r="CB61"/>
  <c i="12" r="E14"/>
  <c i="12" r="E24" s="1"/>
  <c i="12" r="G7"/>
  <c i="12" r="G19"/>
  <c i="12" r="CZ4"/>
  <c i="12" r="AU154"/>
  <c i="12" r="AU164"/>
  <c i="12" r="AU152"/>
  <c i="12" r="BX61"/>
  <c i="12" r="AU157"/>
  <c i="12" r="AU165"/>
  <c i="12" r="AU155"/>
  <c i="12" r="AU162"/>
  <c i="12" r="AZ68"/>
  <c i="12" r="X62"/>
  <c i="12" r="BB68"/>
  <c i="12" r="I6" s="1"/>
  <c i="12" r="BR68"/>
  <c i="12" r="I22" s="1"/>
  <c i="12" r="BD68"/>
  <c i="12" r="I8" s="1"/>
  <c i="12" r="BT68"/>
  <c i="12" r="BO68"/>
  <c i="12" r="I19" s="1"/>
  <c i="12" r="BL68"/>
  <c i="12" r="I16" s="1"/>
  <c i="12" r="BQ68"/>
  <c i="12" r="I21" s="1"/>
  <c i="12" r="BA68"/>
  <c i="12" r="I5" s="1"/>
  <c i="12" r="BC68"/>
  <c i="12" r="I7" s="1"/>
  <c i="12" r="CV5"/>
  <c i="12" r="CX5" s="1"/>
  <c i="12" r="AV62"/>
  <c i="12" r="BS68"/>
  <c i="12" r="I23" s="1"/>
  <c i="12" r="BE68"/>
  <c i="12" r="I9" s="1"/>
  <c i="12" r="BP68"/>
  <c i="12" r="I20" s="1"/>
  <c i="12" r="AU147"/>
  <c i="12" l="1" r="G24"/>
  <c i="12" r="I4"/>
  <c i="12" r="I24" s="1"/>
  <c i="12" r="BU68"/>
  <c i="12" r="CZ5"/>
  <c i="12" r="AO69"/>
  <c i="12" r="AK71"/>
  <c i="12" r="AG73"/>
  <c i="12" r="AC75"/>
  <c i="12" r="AU76"/>
  <c i="12" r="AQ78"/>
  <c i="12" r="AM80"/>
  <c i="12" r="AI82"/>
  <c i="12" r="AE84"/>
  <c i="12" r="AA86"/>
  <c i="12" r="AS87"/>
  <c i="12" r="AP67"/>
  <c i="12" r="K69"/>
  <c i="12" r="K71"/>
  <c i="12" r="K73"/>
  <c i="12" r="K75"/>
  <c i="12" r="K77"/>
  <c i="12" r="K79"/>
  <c i="12" r="K81"/>
  <c i="12" r="K83"/>
  <c i="12" r="K85"/>
  <c i="12" r="K87"/>
  <c i="12" r="AI141" s="1"/>
  <c i="12" r="AI167" s="1"/>
  <c i="12" r="AS76"/>
  <c i="12" r="J87"/>
  <c i="12" r="AH141" s="1"/>
  <c i="12" r="AH167" s="1"/>
  <c i="12" r="AP69"/>
  <c i="12" r="AL71"/>
  <c i="12" r="AH73"/>
  <c i="12" r="AD75"/>
  <c i="12" r="AV76"/>
  <c i="12" r="AR78"/>
  <c i="12" r="AN80"/>
  <c i="12" r="AJ82"/>
  <c i="12" r="AF84"/>
  <c i="12" r="AB86"/>
  <c i="12" r="AT87"/>
  <c i="12" r="AQ67"/>
  <c i="12" r="L69"/>
  <c i="12" r="L71"/>
  <c i="12" r="L73"/>
  <c i="12" r="L75"/>
  <c i="12" r="L77"/>
  <c i="12" r="L79"/>
  <c i="12" r="L81"/>
  <c i="12" r="L83"/>
  <c i="12" r="L85"/>
  <c i="12" r="L87"/>
  <c i="12" r="AJ141" s="1"/>
  <c i="12" r="AJ167" s="1"/>
  <c i="12" r="AI71"/>
  <c i="12" r="AO78"/>
  <c i="12" r="AK80"/>
  <c i="12" r="AC84"/>
  <c i="12" r="AQ87"/>
  <c i="12" r="AN67"/>
  <c i="12" r="I81"/>
  <c i="12" r="AQ69"/>
  <c i="12" r="AM71"/>
  <c i="12" r="AI73"/>
  <c i="12" r="AE75"/>
  <c i="12" r="AA77"/>
  <c i="12" r="AS78"/>
  <c i="12" r="AO80"/>
  <c i="12" r="AK82"/>
  <c i="12" r="AG84"/>
  <c i="12" r="AC86"/>
  <c i="12" r="AU87"/>
  <c i="12" r="AR67"/>
  <c i="12" r="M69"/>
  <c i="12" r="M71"/>
  <c i="12" r="M73"/>
  <c i="12" r="M75"/>
  <c i="12" r="M77"/>
  <c i="12" r="M79"/>
  <c i="12" r="M81"/>
  <c i="12" r="M83"/>
  <c i="12" r="M85"/>
  <c i="12" r="M87"/>
  <c i="12" r="AK141" s="1"/>
  <c i="12" r="AK167" s="1"/>
  <c i="12" r="AR69"/>
  <c i="12" r="AN71"/>
  <c i="12" r="AJ73"/>
  <c i="12" r="AF75"/>
  <c i="12" r="AB77"/>
  <c i="12" r="AT78"/>
  <c i="12" r="AP80"/>
  <c i="12" r="AL82"/>
  <c i="12" r="AH84"/>
  <c i="12" r="AD86"/>
  <c i="12" r="AV87"/>
  <c i="12" r="AS67"/>
  <c i="12" r="N69"/>
  <c i="12" r="N71"/>
  <c i="12" r="N73"/>
  <c i="12" r="N75"/>
  <c i="12" r="N77"/>
  <c i="12" r="N79"/>
  <c i="12" r="CI53" s="1"/>
  <c i="12" r="N81"/>
  <c i="12" r="N83"/>
  <c i="12" r="N85"/>
  <c i="12" r="N87"/>
  <c i="12" r="AL141" s="1"/>
  <c i="12" r="AL167" s="1"/>
  <c i="12" r="I85"/>
  <c i="12" r="AB75"/>
  <c i="12" r="J79"/>
  <c i="12" r="AA68"/>
  <c i="12" r="AS69"/>
  <c i="12" r="AO71"/>
  <c i="12" r="AK73"/>
  <c i="12" r="AG75"/>
  <c i="12" r="AC77"/>
  <c i="12" r="AU78"/>
  <c i="12" r="AQ80"/>
  <c i="12" r="AM82"/>
  <c i="12" r="AI84"/>
  <c i="12" r="AE86"/>
  <c i="12" r="AA88"/>
  <c i="12" r="AT67"/>
  <c i="12" r="O69"/>
  <c i="12" r="O71"/>
  <c i="12" r="CJ45" s="1"/>
  <c i="12" r="O73"/>
  <c i="12" r="O75"/>
  <c i="12" r="O77"/>
  <c i="12" r="O79"/>
  <c i="12" r="V27" s="1"/>
  <c i="12" r="O81"/>
  <c i="12" r="O83"/>
  <c i="12" r="O85"/>
  <c i="12" r="O87"/>
  <c i="12" r="AM141" s="1"/>
  <c i="12" r="AM167" s="1"/>
  <c i="12" r="I69"/>
  <c i="12" r="AL80"/>
  <c i="12" r="AB68"/>
  <c i="12" r="AT69"/>
  <c i="12" r="AP71"/>
  <c i="12" r="AL73"/>
  <c i="12" r="AH75"/>
  <c i="12" r="AD77"/>
  <c i="12" r="AV78"/>
  <c i="12" r="AR80"/>
  <c i="12" r="AN82"/>
  <c i="12" r="AJ84"/>
  <c i="12" r="AF86"/>
  <c i="12" r="AB88"/>
  <c i="12" r="AU67"/>
  <c i="12" r="P69"/>
  <c i="12" r="CK43" s="1"/>
  <c i="12" r="P71"/>
  <c i="12" r="P73"/>
  <c i="12" r="P75"/>
  <c i="12" r="P77"/>
  <c i="12" r="P79"/>
  <c i="12" r="P81"/>
  <c i="12" r="P83"/>
  <c i="12" r="P85"/>
  <c i="12" r="P87"/>
  <c i="12" r="AN141" s="1"/>
  <c i="12" r="AN167" s="1"/>
  <c i="12" r="AD84"/>
  <c i="12" r="J73"/>
  <c i="12" r="AC68"/>
  <c i="12" r="AU69"/>
  <c i="12" r="AQ71"/>
  <c i="12" r="AM73"/>
  <c i="12" r="AI75"/>
  <c i="12" r="AE77"/>
  <c i="12" r="AA79"/>
  <c i="12" r="AS80"/>
  <c i="12" r="AO82"/>
  <c i="12" r="AK84"/>
  <c i="12" r="AG86"/>
  <c i="12" r="AC88"/>
  <c i="12" r="AV67"/>
  <c i="12" r="Q69"/>
  <c i="12" r="CL43" s="1"/>
  <c i="12" r="Q71"/>
  <c i="12" r="Q73"/>
  <c i="12" r="Q75"/>
  <c i="12" r="Q77"/>
  <c i="12" r="Q79"/>
  <c i="12" r="Q81"/>
  <c i="12" r="Q83"/>
  <c i="12" r="Q85"/>
  <c i="12" r="Q87"/>
  <c i="12" r="AO141" s="1"/>
  <c i="12" r="AO167" s="1"/>
  <c i="12" r="I79"/>
  <c i="12" r="AT76"/>
  <c i="12" r="AD68"/>
  <c i="12" r="AV69"/>
  <c i="12" r="AR71"/>
  <c i="12" r="AN73"/>
  <c i="12" r="AJ75"/>
  <c i="12" r="AF77"/>
  <c i="12" r="AB79"/>
  <c i="12" r="AT80"/>
  <c i="12" r="AP82"/>
  <c i="12" r="AL84"/>
  <c i="12" r="AH86"/>
  <c i="12" r="AD88"/>
  <c i="12" r="AA67"/>
  <c i="12" r="R69"/>
  <c i="12" r="CM43" s="1"/>
  <c i="12" r="R71"/>
  <c i="12" r="R73"/>
  <c i="12" r="R75"/>
  <c i="12" r="R77"/>
  <c i="12" r="R79"/>
  <c i="12" r="R81"/>
  <c i="12" r="R83"/>
  <c i="12" r="R85"/>
  <c i="12" r="R87"/>
  <c i="12" r="AP141" s="1"/>
  <c i="12" r="AP167" s="1"/>
  <c i="12" r="AE68"/>
  <c i="12" r="AA70"/>
  <c i="12" r="AS71"/>
  <c i="12" r="AO73"/>
  <c i="12" r="AK75"/>
  <c i="12" r="AG77"/>
  <c i="12" r="AC79"/>
  <c i="12" r="AU80"/>
  <c i="12" r="AQ82"/>
  <c i="12" r="AM84"/>
  <c i="12" r="AI86"/>
  <c i="12" r="AE88"/>
  <c i="12" r="S69"/>
  <c i="12" r="CN43" s="1"/>
  <c i="12" r="S71"/>
  <c i="12" r="S73"/>
  <c i="12" r="S75"/>
  <c i="12" r="S77"/>
  <c i="12" r="S79"/>
  <c i="12" r="S81"/>
  <c i="12" r="S83"/>
  <c i="12" r="S85"/>
  <c i="12" r="S87"/>
  <c i="12" r="AQ141" s="1"/>
  <c i="12" r="AQ167" s="1"/>
  <c i="12" r="AH82"/>
  <c i="12" r="J71"/>
  <c i="12" r="AF68"/>
  <c i="12" r="AB70"/>
  <c i="12" r="AT71"/>
  <c i="12" r="AP73"/>
  <c i="12" r="AL75"/>
  <c i="12" r="AH77"/>
  <c i="12" r="AD79"/>
  <c i="12" r="AV80"/>
  <c i="12" r="AR82"/>
  <c i="12" r="AN84"/>
  <c i="12" r="AJ86"/>
  <c i="12" r="AF88"/>
  <c i="12" r="T69"/>
  <c i="12" r="CO43" s="1"/>
  <c i="12" r="T71"/>
  <c i="12" r="T73"/>
  <c i="12" r="T75"/>
  <c i="12" r="T77"/>
  <c i="12" r="T79"/>
  <c i="12" r="T81"/>
  <c i="12" r="T83"/>
  <c i="12" r="T85"/>
  <c i="12" r="T87"/>
  <c i="12" r="AR141" s="1"/>
  <c i="12" r="AR167" s="1"/>
  <c i="12" r="AG82"/>
  <c i="12" r="I73"/>
  <c i="12" r="AG68"/>
  <c i="12" r="AC70"/>
  <c i="12" r="AU71"/>
  <c i="12" r="AQ73"/>
  <c i="12" r="AM75"/>
  <c i="12" r="AI77"/>
  <c i="12" r="AE79"/>
  <c i="12" r="AA81"/>
  <c i="12" r="AS82"/>
  <c i="12" r="AO84"/>
  <c i="12" r="AK86"/>
  <c i="12" r="AG88"/>
  <c i="12" r="U69"/>
  <c i="12" r="CP43" s="1"/>
  <c i="12" r="U71"/>
  <c i="12" r="U73"/>
  <c i="12" r="U75"/>
  <c i="12" r="U77"/>
  <c i="12" r="U79"/>
  <c i="12" r="U81"/>
  <c i="12" r="U83"/>
  <c i="12" r="U85"/>
  <c i="12" r="U87"/>
  <c i="12" r="AS141" s="1"/>
  <c i="12" r="AS167" s="1"/>
  <c i="12" r="AA75"/>
  <c i="12" r="AH68"/>
  <c i="12" r="AD70"/>
  <c i="12" r="AV71"/>
  <c i="12" r="AR73"/>
  <c i="12" r="AN75"/>
  <c i="12" r="AJ77"/>
  <c i="12" r="AF79"/>
  <c i="12" r="AB81"/>
  <c i="12" r="AT82"/>
  <c i="12" r="AP84"/>
  <c i="12" r="AL86"/>
  <c i="12" r="AH88"/>
  <c i="12" r="V69"/>
  <c i="12" r="V71"/>
  <c i="12" r="V73"/>
  <c i="12" r="V75"/>
  <c i="12" r="V77"/>
  <c i="12" r="V79"/>
  <c i="12" r="V81"/>
  <c i="12" r="V83"/>
  <c i="12" r="V85"/>
  <c i="12" r="V87"/>
  <c i="12" r="AT141" s="1"/>
  <c i="12" r="AT167" s="1"/>
  <c i="12" r="AI68"/>
  <c i="12" r="AE70"/>
  <c i="12" r="AA72"/>
  <c i="12" r="AS73"/>
  <c i="12" r="AO75"/>
  <c i="12" r="AK77"/>
  <c i="12" r="AG79"/>
  <c i="12" r="AC81"/>
  <c i="12" r="AU82"/>
  <c i="12" r="AQ84"/>
  <c i="12" r="AM86"/>
  <c i="12" r="AI88"/>
  <c i="12" r="C68"/>
  <c i="12" r="BX42" s="1"/>
  <c i="12" r="C70"/>
  <c i="12" r="BX44" s="1"/>
  <c i="12" r="C72"/>
  <c i="12" r="C74"/>
  <c i="12" r="C76"/>
  <c i="12" r="C78"/>
  <c i="12" r="C80"/>
  <c i="12" r="C82"/>
  <c i="12" r="C84"/>
  <c i="12" r="C86"/>
  <c i="12" r="D67"/>
  <c i="12" r="BY41" s="1"/>
  <c i="12" r="AP78"/>
  <c i="12" r="J77"/>
  <c i="12" r="AJ68"/>
  <c i="12" r="AF70"/>
  <c i="12" r="AB72"/>
  <c i="12" r="AT73"/>
  <c i="12" r="AP75"/>
  <c i="12" r="AL77"/>
  <c i="12" r="AH79"/>
  <c i="12" r="AD81"/>
  <c i="12" r="AV82"/>
  <c i="12" r="AR84"/>
  <c i="12" r="AN86"/>
  <c i="12" r="AJ88"/>
  <c i="12" r="D68"/>
  <c i="12" r="D70"/>
  <c i="12" r="D72"/>
  <c i="12" r="D74"/>
  <c i="12" r="D76"/>
  <c i="12" r="D78"/>
  <c i="12" r="D80"/>
  <c i="12" r="D82"/>
  <c i="12" r="D84"/>
  <c i="12" r="D86"/>
  <c i="12" r="E67"/>
  <c i="12" r="BZ41" s="1"/>
  <c i="12" r="I87"/>
  <c i="12" r="AG141" s="1"/>
  <c i="12" r="AG167" s="1"/>
  <c i="12" r="AF73"/>
  <c i="12" r="J85"/>
  <c i="12" r="AK68"/>
  <c i="12" r="AG70"/>
  <c i="12" r="AC72"/>
  <c i="12" r="AU73"/>
  <c i="12" r="AQ75"/>
  <c i="12" r="AM77"/>
  <c i="12" r="AI79"/>
  <c i="12" r="AE81"/>
  <c i="12" r="AA83"/>
  <c i="12" r="AS84"/>
  <c i="12" r="AO86"/>
  <c i="12" r="AK88"/>
  <c i="12" r="E68"/>
  <c i="12" r="E70"/>
  <c i="12" r="E72"/>
  <c i="12" r="E74"/>
  <c i="12" r="E76"/>
  <c i="12" r="E78"/>
  <c i="12" r="E80"/>
  <c i="12" r="E82"/>
  <c i="12" r="E84"/>
  <c i="12" r="E86"/>
  <c i="12" r="F67"/>
  <c i="12" r="CA41" s="1"/>
  <c i="12" r="AE73"/>
  <c i="12" r="AL68"/>
  <c i="12" r="AH70"/>
  <c i="12" r="AD72"/>
  <c i="12" r="AV73"/>
  <c i="12" r="AR75"/>
  <c i="12" r="AN77"/>
  <c i="12" r="AJ79"/>
  <c i="12" r="AF81"/>
  <c i="12" r="AB83"/>
  <c i="12" r="AT84"/>
  <c i="12" r="AP86"/>
  <c i="12" r="AL88"/>
  <c i="12" r="F68"/>
  <c i="12" r="F70"/>
  <c i="12" r="F72"/>
  <c i="12" r="F74"/>
  <c i="12" r="F76"/>
  <c i="12" r="F78"/>
  <c i="12" r="F80"/>
  <c i="12" r="F82"/>
  <c i="12" r="F84"/>
  <c i="12" r="F86"/>
  <c i="12" r="G67"/>
  <c i="12" r="CB41" s="1"/>
  <c i="12" r="I77"/>
  <c i="12" r="J83"/>
  <c i="12" r="AM68"/>
  <c i="12" r="AI70"/>
  <c i="12" r="AE72"/>
  <c i="12" r="AA74"/>
  <c i="12" r="AS75"/>
  <c i="12" r="AO77"/>
  <c i="12" r="AK79"/>
  <c i="12" r="AG81"/>
  <c i="12" r="AC83"/>
  <c i="12" r="AU84"/>
  <c i="12" r="AQ86"/>
  <c i="12" r="AM88"/>
  <c i="12" r="G68"/>
  <c i="12" r="G70"/>
  <c i="12" r="G72"/>
  <c i="12" r="G74"/>
  <c i="12" r="G76"/>
  <c i="12" r="G78"/>
  <c i="12" r="G80"/>
  <c i="12" r="G82"/>
  <c i="12" r="G84"/>
  <c i="12" r="G86"/>
  <c i="12" r="H67"/>
  <c i="12" r="CC41" s="1"/>
  <c i="12" r="I71"/>
  <c i="12" r="AJ71"/>
  <c i="12" r="AN68"/>
  <c i="12" r="AJ70"/>
  <c i="12" r="AF72"/>
  <c i="12" r="AB74"/>
  <c i="12" r="AT75"/>
  <c i="12" r="AP77"/>
  <c i="12" r="AL79"/>
  <c i="12" r="AH81"/>
  <c i="12" r="AD83"/>
  <c i="12" r="AV84"/>
  <c i="12" r="AR86"/>
  <c i="12" r="AN88"/>
  <c i="12" r="H68"/>
  <c i="12" r="H70"/>
  <c i="12" r="H72"/>
  <c i="12" r="V25" s="1"/>
  <c i="12" r="H74"/>
  <c i="12" r="H76"/>
  <c i="12" r="H78"/>
  <c i="12" r="H80"/>
  <c i="12" r="H82"/>
  <c i="12" r="H84"/>
  <c i="12" r="CC58" s="1"/>
  <c i="12" r="H86"/>
  <c i="12" r="CC60" s="1"/>
  <c i="12" r="I67"/>
  <c i="12" r="CD41" s="1"/>
  <c i="12" r="AU85"/>
  <c i="12" r="AO68"/>
  <c i="12" r="AK70"/>
  <c i="12" r="AG72"/>
  <c i="12" r="AC74"/>
  <c i="12" r="AU75"/>
  <c i="12" r="AQ77"/>
  <c i="12" r="AM79"/>
  <c i="12" r="AI81"/>
  <c i="12" r="AE83"/>
  <c i="12" r="AA85"/>
  <c i="12" r="AS86"/>
  <c i="12" r="AO88"/>
  <c i="12" r="I68"/>
  <c i="12" r="I70"/>
  <c i="12" r="I72"/>
  <c i="12" r="I74"/>
  <c i="12" r="I76"/>
  <c i="12" r="I78"/>
  <c i="12" r="I80"/>
  <c i="12" r="I82"/>
  <c i="12" r="I84"/>
  <c i="12" r="I86"/>
  <c i="12" r="J67"/>
  <c i="12" r="CE41" s="1"/>
  <c i="12" r="AP68"/>
  <c i="12" r="AL70"/>
  <c i="12" r="AH72"/>
  <c i="12" r="AD74"/>
  <c i="12" r="AV75"/>
  <c i="12" r="AR77"/>
  <c i="12" r="AN79"/>
  <c i="12" r="AJ81"/>
  <c i="12" r="AF83"/>
  <c i="12" r="AB85"/>
  <c i="12" r="AT86"/>
  <c i="12" r="AP88"/>
  <c i="12" r="J68"/>
  <c i="12" r="J70"/>
  <c i="12" r="J72"/>
  <c i="12" r="J74"/>
  <c i="12" r="J76"/>
  <c i="12" r="J78"/>
  <c i="12" r="J80"/>
  <c i="12" r="J82"/>
  <c i="12" r="J84"/>
  <c i="12" r="J86"/>
  <c i="12" r="K67"/>
  <c i="12" r="CF41" s="1"/>
  <c i="12" r="AQ68"/>
  <c i="12" r="AM70"/>
  <c i="12" r="AI72"/>
  <c i="12" r="AE74"/>
  <c i="12" r="AA76"/>
  <c i="12" r="AS77"/>
  <c i="12" r="AO79"/>
  <c i="12" r="AK81"/>
  <c i="12" r="AG83"/>
  <c i="12" r="AC85"/>
  <c i="12" r="AU86"/>
  <c i="12" r="AQ88"/>
  <c i="12" r="K68"/>
  <c i="12" r="K70"/>
  <c i="12" r="K72"/>
  <c i="12" r="K74"/>
  <c i="12" r="K76"/>
  <c i="12" r="K78"/>
  <c i="12" r="K80"/>
  <c i="12" r="CF54" s="1"/>
  <c i="12" r="K82"/>
  <c i="12" r="CF56" s="1"/>
  <c i="12" r="K84"/>
  <c i="12" r="K86"/>
  <c i="12" r="L67"/>
  <c i="12" r="CG41" s="1"/>
  <c i="12" r="J81"/>
  <c i="12" r="AR68"/>
  <c i="12" r="AN70"/>
  <c i="12" r="AJ72"/>
  <c i="12" r="AF74"/>
  <c i="12" r="AB76"/>
  <c i="12" r="AT77"/>
  <c i="12" r="AP79"/>
  <c i="12" r="AL81"/>
  <c i="12" r="AH83"/>
  <c i="12" r="AD85"/>
  <c i="12" r="AV86"/>
  <c i="12" r="AR88"/>
  <c i="12" r="L68"/>
  <c i="12" r="L70"/>
  <c i="12" r="L72"/>
  <c i="12" r="L74"/>
  <c i="12" r="L76"/>
  <c i="12" r="L78"/>
  <c i="12" r="L80"/>
  <c i="12" r="L82"/>
  <c i="12" r="L84"/>
  <c i="12" r="L86"/>
  <c i="12" r="M67"/>
  <c i="12" r="CH41" s="1"/>
  <c i="12" r="AS68"/>
  <c i="12" r="AO70"/>
  <c i="12" r="AK72"/>
  <c i="12" r="AG74"/>
  <c i="12" r="AC76"/>
  <c i="12" r="AU77"/>
  <c i="12" r="AQ79"/>
  <c i="12" r="AM81"/>
  <c i="12" r="AI83"/>
  <c i="12" r="AE85"/>
  <c i="12" r="AA87"/>
  <c i="12" r="AS88"/>
  <c i="12" r="M68"/>
  <c i="12" r="M70"/>
  <c i="12" r="M72"/>
  <c i="12" r="M74"/>
  <c i="12" r="M76"/>
  <c i="12" r="M78"/>
  <c i="12" r="M80"/>
  <c i="12" r="M82"/>
  <c i="12" r="M84"/>
  <c i="12" r="M86"/>
  <c i="12" r="N67"/>
  <c i="12" r="AT68"/>
  <c i="12" r="AP70"/>
  <c i="12" r="AL72"/>
  <c i="12" r="AH74"/>
  <c i="12" r="AD76"/>
  <c i="12" r="AV77"/>
  <c i="12" r="AR79"/>
  <c i="12" r="AN81"/>
  <c i="12" r="AJ83"/>
  <c i="12" r="AF85"/>
  <c i="12" r="AB87"/>
  <c i="12" r="AT88"/>
  <c i="12" r="N68"/>
  <c i="12" r="N70"/>
  <c i="12" r="N72"/>
  <c i="12" r="N74"/>
  <c i="12" r="N76"/>
  <c i="12" r="N78"/>
  <c i="12" r="V26" s="1"/>
  <c i="12" r="N80"/>
  <c i="12" r="N82"/>
  <c i="12" r="N84"/>
  <c i="12" r="N86"/>
  <c i="12" r="O67"/>
  <c i="12" r="AU68"/>
  <c i="12" r="AQ70"/>
  <c i="12" r="AM72"/>
  <c i="12" r="AI74"/>
  <c i="12" r="AE76"/>
  <c i="12" r="AA78"/>
  <c i="12" r="AS79"/>
  <c i="12" r="AO81"/>
  <c i="12" r="AK83"/>
  <c i="12" r="AG85"/>
  <c i="12" r="AC87"/>
  <c i="12" r="AU88"/>
  <c i="12" r="O68"/>
  <c i="12" r="O70"/>
  <c i="12" r="O72"/>
  <c i="12" r="O74"/>
  <c i="12" r="O76"/>
  <c i="12" r="O78"/>
  <c i="12" r="CJ52" s="1"/>
  <c i="12" r="O80"/>
  <c i="12" r="O82"/>
  <c i="12" r="O84"/>
  <c i="12" r="O86"/>
  <c i="12" r="P67"/>
  <c i="12" r="CK41" s="1"/>
  <c i="12" r="AV68"/>
  <c i="12" r="AR70"/>
  <c i="12" r="AN72"/>
  <c i="12" r="AJ74"/>
  <c i="12" r="AF76"/>
  <c i="12" r="AB78"/>
  <c i="12" r="AT79"/>
  <c i="12" r="AP81"/>
  <c i="12" r="AL83"/>
  <c i="12" r="AH85"/>
  <c i="12" r="AD87"/>
  <c i="12" r="AV88"/>
  <c i="12" r="P68"/>
  <c i="12" r="P70"/>
  <c i="12" r="P72"/>
  <c i="12" r="P74"/>
  <c i="12" r="P76"/>
  <c i="12" r="P78"/>
  <c i="12" r="P80"/>
  <c i="12" r="P82"/>
  <c i="12" r="P84"/>
  <c i="12" r="P86"/>
  <c i="12" r="Q67"/>
  <c i="12" r="AA69"/>
  <c i="12" r="AS70"/>
  <c i="12" r="AO72"/>
  <c i="12" r="AK74"/>
  <c i="12" r="AG76"/>
  <c i="12" r="AC78"/>
  <c i="12" r="AU79"/>
  <c i="12" r="AQ81"/>
  <c i="12" r="AM83"/>
  <c i="12" r="AI85"/>
  <c i="12" r="AE87"/>
  <c i="12" r="AB67"/>
  <c i="12" r="Q68"/>
  <c i="12" r="Q70"/>
  <c i="12" r="Q72"/>
  <c i="12" r="Q74"/>
  <c i="12" r="Q76"/>
  <c i="12" r="CL50" s="1"/>
  <c i="12" r="Q78"/>
  <c i="12" r="Q80"/>
  <c i="12" r="Q82"/>
  <c i="12" r="Q84"/>
  <c i="12" r="Q86"/>
  <c i="12" r="R67"/>
  <c i="12" r="AB69"/>
  <c i="12" r="AT70"/>
  <c i="12" r="AP72"/>
  <c i="12" r="AL74"/>
  <c i="12" r="AH76"/>
  <c i="12" r="AD78"/>
  <c i="12" r="AV79"/>
  <c i="12" r="AR81"/>
  <c i="12" r="AN83"/>
  <c i="12" r="AJ85"/>
  <c i="12" r="AF87"/>
  <c i="12" r="AC67"/>
  <c i="12" r="R68"/>
  <c i="12" r="R70"/>
  <c i="12" r="R72"/>
  <c i="12" r="R74"/>
  <c i="12" r="R76"/>
  <c i="12" r="R78"/>
  <c i="12" r="R80"/>
  <c i="12" r="R82"/>
  <c i="12" r="R84"/>
  <c i="12" r="R86"/>
  <c i="12" r="S67"/>
  <c i="12" r="AC69"/>
  <c i="12" r="AU70"/>
  <c i="12" r="AQ72"/>
  <c i="12" r="AM74"/>
  <c i="12" r="AI76"/>
  <c i="12" r="AE78"/>
  <c i="12" r="AA80"/>
  <c i="12" r="AS81"/>
  <c i="12" r="AO83"/>
  <c i="12" r="AK85"/>
  <c i="12" r="AG87"/>
  <c i="12" r="AD67"/>
  <c i="12" r="S68"/>
  <c i="12" r="S70"/>
  <c i="12" r="S72"/>
  <c i="12" r="S74"/>
  <c i="12" r="S76"/>
  <c i="12" r="S78"/>
  <c i="12" r="S80"/>
  <c i="12" r="S82"/>
  <c i="12" r="S84"/>
  <c i="12" r="S86"/>
  <c i="12" r="T67"/>
  <c i="12" r="AO67"/>
  <c i="12" r="AD69"/>
  <c i="12" r="AV70"/>
  <c i="12" r="AR72"/>
  <c i="12" r="AN74"/>
  <c i="12" r="AJ76"/>
  <c i="12" r="AF78"/>
  <c i="12" r="AB80"/>
  <c i="12" r="AT81"/>
  <c i="12" r="AP83"/>
  <c i="12" r="AL85"/>
  <c i="12" r="AH87"/>
  <c i="12" r="AE67"/>
  <c i="12" r="T68"/>
  <c i="12" r="T70"/>
  <c i="12" r="T72"/>
  <c i="12" r="CO46" s="1"/>
  <c i="12" r="T74"/>
  <c i="12" r="CO48" s="1"/>
  <c i="12" r="T76"/>
  <c i="12" r="T78"/>
  <c i="12" r="T80"/>
  <c i="12" r="T82"/>
  <c i="12" r="T84"/>
  <c i="12" r="T86"/>
  <c i="12" r="U67"/>
  <c i="12" r="AN69"/>
  <c i="12" r="J75"/>
  <c i="12" r="AE69"/>
  <c i="12" r="AA71"/>
  <c i="12" r="AS72"/>
  <c i="12" r="AO74"/>
  <c i="12" r="AK76"/>
  <c i="12" r="AG78"/>
  <c i="12" r="AC80"/>
  <c i="12" r="AU81"/>
  <c i="12" r="AQ83"/>
  <c i="12" r="AM85"/>
  <c i="12" r="AI87"/>
  <c i="12" r="AF67"/>
  <c i="12" r="U68"/>
  <c i="12" r="U70"/>
  <c i="12" r="U72"/>
  <c i="12" r="U74"/>
  <c i="12" r="U76"/>
  <c i="12" r="U78"/>
  <c i="12" r="U80"/>
  <c i="12" r="U82"/>
  <c i="12" r="U84"/>
  <c i="12" r="U86"/>
  <c i="12" r="V67"/>
  <c i="12" r="CQ41" s="1"/>
  <c i="12" r="AF69"/>
  <c i="12" r="AB71"/>
  <c i="12" r="AT72"/>
  <c i="12" r="AP74"/>
  <c i="12" r="AL76"/>
  <c i="12" r="AH78"/>
  <c i="12" r="AD80"/>
  <c i="12" r="AV81"/>
  <c i="12" r="AR83"/>
  <c i="12" r="AN85"/>
  <c i="12" r="AJ87"/>
  <c i="12" r="AG67"/>
  <c i="12" r="V68"/>
  <c i="12" r="V70"/>
  <c i="12" r="V72"/>
  <c i="12" r="V74"/>
  <c i="12" r="V76"/>
  <c i="12" r="V78"/>
  <c i="12" r="V80"/>
  <c i="12" r="V82"/>
  <c i="12" r="V84"/>
  <c i="12" r="V86"/>
  <c i="12" r="V28" s="1"/>
  <c i="12" r="C67"/>
  <c i="12" r="AG69"/>
  <c i="12" r="AC71"/>
  <c i="12" r="AU72"/>
  <c i="12" r="AQ74"/>
  <c i="12" r="AM76"/>
  <c i="12" r="AI78"/>
  <c i="12" r="AE80"/>
  <c i="12" r="AA82"/>
  <c i="12" r="AS83"/>
  <c i="12" r="AO85"/>
  <c i="12" r="AK87"/>
  <c i="12" r="AH67"/>
  <c i="12" r="C69"/>
  <c i="12" r="C71"/>
  <c i="12" r="BX45" s="1"/>
  <c i="12" r="C73"/>
  <c i="12" r="BX47" s="1"/>
  <c i="12" r="C75"/>
  <c i="12" r="BX49" s="1"/>
  <c i="12" r="C77"/>
  <c i="12" r="BX51" s="1"/>
  <c i="12" r="C79"/>
  <c i="12" r="BX53" s="1"/>
  <c i="12" r="C81"/>
  <c i="12" r="BX55" s="1"/>
  <c i="12" r="C83"/>
  <c i="12" r="BX57" s="1"/>
  <c i="12" r="C85"/>
  <c i="12" r="BX59" s="1"/>
  <c i="12" r="C87"/>
  <c i="12" r="AM69"/>
  <c i="12" r="AH69"/>
  <c i="12" r="AD71"/>
  <c i="12" r="AV72"/>
  <c i="12" r="AR74"/>
  <c i="12" r="AN76"/>
  <c i="12" r="AJ78"/>
  <c i="12" r="AF80"/>
  <c i="12" r="AB82"/>
  <c i="12" r="AT83"/>
  <c i="12" r="AP85"/>
  <c i="12" r="AL87"/>
  <c i="12" r="AI67"/>
  <c i="12" r="D69"/>
  <c i="12" r="D71"/>
  <c i="12" r="D73"/>
  <c i="12" r="D75"/>
  <c i="12" r="D77"/>
  <c i="12" r="D79"/>
  <c i="12" r="D81"/>
  <c i="12" r="D83"/>
  <c i="12" r="D85"/>
  <c i="12" r="D87"/>
  <c i="12" r="AB141" s="1"/>
  <c i="12" r="AB167" s="1"/>
  <c i="12" r="I83"/>
  <c i="12" r="AR87"/>
  <c i="12" r="AI69"/>
  <c i="12" r="AE71"/>
  <c i="12" r="AA73"/>
  <c i="12" r="AS74"/>
  <c i="12" r="AO76"/>
  <c i="12" r="AK78"/>
  <c i="12" r="AG80"/>
  <c i="12" r="AC82"/>
  <c i="12" r="AU83"/>
  <c i="12" r="AQ85"/>
  <c i="12" r="AM87"/>
  <c i="12" r="AJ67"/>
  <c i="12" r="E69"/>
  <c i="12" r="E71"/>
  <c i="12" r="E73"/>
  <c i="12" r="E75"/>
  <c i="12" r="E77"/>
  <c i="12" r="E79"/>
  <c i="12" r="E81"/>
  <c i="12" r="E83"/>
  <c i="12" r="E85"/>
  <c i="12" r="E87"/>
  <c i="12" r="AC141" s="1"/>
  <c i="12" r="AC167" s="1"/>
  <c i="12" r="AJ69"/>
  <c i="12" r="AF71"/>
  <c i="12" r="AB73"/>
  <c i="12" r="AT74"/>
  <c i="12" r="AP76"/>
  <c i="12" r="AL78"/>
  <c i="12" r="AH80"/>
  <c i="12" r="AD82"/>
  <c i="12" r="AV83"/>
  <c i="12" r="AR85"/>
  <c i="12" r="AN87"/>
  <c i="12" r="AK67"/>
  <c i="12" r="F69"/>
  <c i="12" r="F71"/>
  <c i="12" r="F73"/>
  <c i="12" r="F75"/>
  <c i="12" r="F77"/>
  <c i="12" r="F79"/>
  <c i="12" r="F81"/>
  <c i="12" r="F83"/>
  <c i="12" r="F85"/>
  <c i="12" r="F87"/>
  <c i="12" r="AD141" s="1"/>
  <c i="12" r="AD167" s="1"/>
  <c i="12" r="AK69"/>
  <c i="12" r="AG71"/>
  <c i="12" r="AC73"/>
  <c i="12" r="AU74"/>
  <c i="12" r="AQ76"/>
  <c i="12" r="AM78"/>
  <c i="12" r="AI80"/>
  <c i="12" r="AE82"/>
  <c i="12" r="AA84"/>
  <c i="12" r="AS85"/>
  <c i="12" r="AO87"/>
  <c i="12" r="AL67"/>
  <c i="12" r="G69"/>
  <c i="12" r="G71"/>
  <c i="12" r="G73"/>
  <c i="12" r="G75"/>
  <c i="12" r="G77"/>
  <c i="12" r="G79"/>
  <c i="12" r="G81"/>
  <c i="12" r="G83"/>
  <c i="12" r="G85"/>
  <c i="12" r="G87"/>
  <c i="12" r="AE141" s="1"/>
  <c i="12" r="AE167" s="1"/>
  <c i="12" r="AL69"/>
  <c i="12" r="AH71"/>
  <c i="12" r="AD73"/>
  <c i="12" r="AV74"/>
  <c i="12" r="AR76"/>
  <c i="12" r="AN78"/>
  <c i="12" r="AJ80"/>
  <c i="12" r="AF82"/>
  <c i="12" r="AB84"/>
  <c i="12" r="AT85"/>
  <c i="12" r="AP87"/>
  <c i="12" r="AM67"/>
  <c i="12" r="H69"/>
  <c i="12" r="H71"/>
  <c i="12" r="H73"/>
  <c i="12" r="H75"/>
  <c i="12" r="H77"/>
  <c i="12" r="H79"/>
  <c i="12" r="H81"/>
  <c i="12" r="H83"/>
  <c i="12" r="H85"/>
  <c i="12" r="H87"/>
  <c i="12" r="AF141" s="1"/>
  <c i="12" r="AF167" s="1"/>
  <c i="12" r="I75"/>
  <c i="12" r="AV85"/>
  <c i="12" r="J69"/>
  <c i="12" r="BS62"/>
  <c i="12" r="BS70" s="1"/>
  <c i="12" r="K23" s="1"/>
  <c i="12" r="N23" s="1"/>
  <c i="12" r="AZ62"/>
  <c i="12" r="BA62"/>
  <c i="12" r="BB62"/>
  <c i="12" r="BC62"/>
  <c i="12" r="BD62"/>
  <c i="12" r="BM62"/>
  <c i="12" r="BP62"/>
  <c i="12" r="BG62"/>
  <c i="12" r="BR62"/>
  <c i="12" r="BU62"/>
  <c i="12" r="BK62"/>
  <c i="12" r="BQ62"/>
  <c i="12" r="BN62"/>
  <c i="12" r="BF62"/>
  <c i="12" r="BI62"/>
  <c i="12" r="BO62"/>
  <c i="12" r="BL62"/>
  <c i="12" r="BT62"/>
  <c i="12" r="AU168" s="1"/>
  <c i="12" r="BJ62"/>
  <c i="12" r="BE62"/>
  <c i="12" r="CV6"/>
  <c i="12" r="CX6" s="1"/>
  <c i="12" r="BH62"/>
  <c i="12" l="1" r="S26"/>
  <c i="12" r="S25"/>
  <c i="12" r="BX41"/>
  <c i="12" r="V24"/>
  <c i="12" r="S28"/>
  <c i="12" r="S27"/>
  <c i="12" r="AK138"/>
  <c i="12" r="AK164" s="1"/>
  <c i="12" r="CH58"/>
  <c i="12" r="AK139"/>
  <c i="12" r="AK165" s="1"/>
  <c i="12" r="CH59"/>
  <c i="12" r="AE129"/>
  <c i="12" r="AE155" s="1"/>
  <c i="12" r="CB49"/>
  <c i="12" r="AC137"/>
  <c i="12" r="AC163" s="1"/>
  <c i="12" r="BZ57"/>
  <c i="12" r="AR132"/>
  <c i="12" r="AR158" s="1"/>
  <c i="12" r="CO52"/>
  <c i="12" r="AM124"/>
  <c i="12" r="AM150" s="1"/>
  <c i="12" r="CJ44"/>
  <c i="12" r="AK136"/>
  <c i="12" r="AK162" s="1"/>
  <c i="12" r="CH56"/>
  <c i="12" r="AF130"/>
  <c i="12" r="AF156" s="1"/>
  <c i="12" r="CC50"/>
  <c i="12" r="AA140"/>
  <c i="12" r="AA166" s="1"/>
  <c i="12" r="BX60"/>
  <c i="12" r="AP131"/>
  <c i="12" r="AP157" s="1"/>
  <c i="12" r="CM51"/>
  <c i="12" r="AK137"/>
  <c i="12" r="AK163" s="1"/>
  <c i="12" r="CH57"/>
  <c i="12" r="AE127"/>
  <c i="12" r="AE153" s="1"/>
  <c i="12" r="CB47"/>
  <c i="12" r="AC135"/>
  <c i="12" r="AC161" s="1"/>
  <c i="12" r="BZ55"/>
  <c i="12" r="AR130"/>
  <c i="12" r="AR156" s="1"/>
  <c i="12" r="CO50"/>
  <c i="12" r="AM122"/>
  <c i="12" r="AM148" s="1"/>
  <c i="12" r="CJ42"/>
  <c i="12" r="AK134"/>
  <c i="12" r="AK160" s="1"/>
  <c i="12" r="CH54"/>
  <c i="12" r="AF128"/>
  <c i="12" r="AF154" s="1"/>
  <c i="12" r="CC48"/>
  <c i="12" r="AA138"/>
  <c i="12" r="AA164" s="1"/>
  <c i="12" r="BX58"/>
  <c i="12" r="AP129"/>
  <c i="12" r="AP155" s="1"/>
  <c i="12" r="CM49"/>
  <c i="12" r="AK135"/>
  <c i="12" r="AK161" s="1"/>
  <c i="12" r="CH55"/>
  <c i="12" r="AE125"/>
  <c i="12" r="AE151" s="1"/>
  <c i="12" r="CB45"/>
  <c i="12" r="AC133"/>
  <c i="12" r="AC159" s="1"/>
  <c i="12" r="BZ53"/>
  <c i="12" r="AQ121"/>
  <c i="12" r="AQ147" s="1"/>
  <c i="12" r="CN41"/>
  <c i="12" r="AK132"/>
  <c i="12" r="AK158" s="1"/>
  <c i="12" r="CH52"/>
  <c i="12" r="AF126"/>
  <c i="12" r="AF152" s="1"/>
  <c i="12" r="CC46"/>
  <c i="12" r="AH137"/>
  <c i="12" r="AH163" s="1"/>
  <c i="12" r="CE57"/>
  <c i="12" r="AA136"/>
  <c i="12" r="AA162" s="1"/>
  <c i="12" r="BX56"/>
  <c i="12" r="AP127"/>
  <c i="12" r="AP153" s="1"/>
  <c i="12" r="CM47"/>
  <c i="12" r="AK133"/>
  <c i="12" r="AK159" s="1"/>
  <c i="12" r="CH53"/>
  <c i="12" r="AE123"/>
  <c i="12" r="AE149" s="1"/>
  <c i="12" r="CB43"/>
  <c i="12" r="AC131"/>
  <c i="12" r="AC157" s="1"/>
  <c i="12" r="BZ51"/>
  <c i="12" r="AP140"/>
  <c i="12" r="AP166" s="1"/>
  <c i="12" r="CM60"/>
  <c i="12" r="AK130"/>
  <c i="12" r="AK156" s="1"/>
  <c i="12" r="CH50"/>
  <c i="12" r="AH135"/>
  <c i="12" r="AH161" s="1"/>
  <c i="12" r="CE55"/>
  <c i="12" r="AF124"/>
  <c i="12" r="AF150" s="1"/>
  <c i="12" r="CC44"/>
  <c i="12" r="AG131"/>
  <c i="12" r="AG157" s="1"/>
  <c i="12" r="CD51"/>
  <c i="12" r="AA134"/>
  <c i="12" r="AA160" s="1"/>
  <c i="12" r="BX54"/>
  <c i="12" r="AP125"/>
  <c i="12" r="AP151" s="1"/>
  <c i="12" r="CM45"/>
  <c i="12" r="AH127"/>
  <c i="12" r="AH153" s="1"/>
  <c i="12" r="CE47"/>
  <c i="12" r="AK131"/>
  <c i="12" r="AK157" s="1"/>
  <c i="12" r="CH51"/>
  <c i="12" r="AE131"/>
  <c i="12" r="AE157" s="1"/>
  <c i="12" r="CB51"/>
  <c i="12" r="AC129"/>
  <c i="12" r="AC155" s="1"/>
  <c i="12" r="BZ49"/>
  <c i="12" r="AR124"/>
  <c i="12" r="AR150" s="1"/>
  <c i="12" r="CO44"/>
  <c i="12" r="AP138"/>
  <c i="12" r="AP164" s="1"/>
  <c i="12" r="CM58"/>
  <c i="12" r="AK128"/>
  <c i="12" r="AK154" s="1"/>
  <c i="12" r="CH48"/>
  <c i="12" r="AF122"/>
  <c i="12" r="AF148" s="1"/>
  <c i="12" r="CC42"/>
  <c i="12" r="AA132"/>
  <c i="12" r="AA158" s="1"/>
  <c i="12" r="BX52"/>
  <c i="12" r="AK129"/>
  <c i="12" r="AK155" s="1"/>
  <c i="12" r="CH49"/>
  <c i="12" r="AC127"/>
  <c i="12" r="AC153" s="1"/>
  <c i="12" r="BZ47"/>
  <c i="12" r="AR122"/>
  <c i="12" r="AR148" s="1"/>
  <c i="12" r="CO42"/>
  <c i="12" r="AP136"/>
  <c i="12" r="AP162" s="1"/>
  <c i="12" r="CM56"/>
  <c i="12" r="AK126"/>
  <c i="12" r="AK152" s="1"/>
  <c i="12" r="CH46"/>
  <c i="12" r="AI140"/>
  <c i="12" r="AI166" s="1"/>
  <c i="12" r="CF60"/>
  <c i="12" r="AD140"/>
  <c i="12" r="AD166" s="1"/>
  <c i="12" r="CA60"/>
  <c i="12" r="AA130"/>
  <c i="12" r="AA156" s="1"/>
  <c i="12" r="BX50"/>
  <c i="12" r="AK127"/>
  <c i="12" r="AK153" s="1"/>
  <c i="12" r="CH47"/>
  <c i="12" r="AM126"/>
  <c i="12" r="AM152" s="1"/>
  <c i="12" r="CJ46"/>
  <c i="12" r="AC125"/>
  <c i="12" r="AC151" s="1"/>
  <c i="12" r="BZ45"/>
  <c i="12" r="AP134"/>
  <c i="12" r="AP160" s="1"/>
  <c i="12" r="CM54"/>
  <c i="12" r="AK124"/>
  <c i="12" r="AK150" s="1"/>
  <c i="12" r="CH44"/>
  <c i="12" r="AI138"/>
  <c i="12" r="AI164" s="1"/>
  <c i="12" r="CF58"/>
  <c i="12" r="AD138"/>
  <c i="12" r="AD164" s="1"/>
  <c i="12" r="CA58"/>
  <c i="12" r="AA128"/>
  <c i="12" r="AA154" s="1"/>
  <c i="12" r="BX48"/>
  <c i="12" r="AS139"/>
  <c i="12" r="AS165" s="1"/>
  <c i="12" r="CP59"/>
  <c i="12" r="AN139"/>
  <c i="12" r="AN165" s="1"/>
  <c i="12" r="CK59"/>
  <c i="12" r="AK125"/>
  <c i="12" r="AK151" s="1"/>
  <c i="12" r="CH45"/>
  <c i="12" r="AC123"/>
  <c i="12" r="AC149" s="1"/>
  <c i="12" r="BZ43"/>
  <c i="12" r="AP132"/>
  <c i="12" r="AP158" s="1"/>
  <c i="12" r="CM52"/>
  <c i="12" r="AK122"/>
  <c i="12" r="AK148" s="1"/>
  <c i="12" r="CH42"/>
  <c i="12" r="AD136"/>
  <c i="12" r="AD162" s="1"/>
  <c i="12" r="CA56"/>
  <c i="12" r="AA126"/>
  <c i="12" r="AA152" s="1"/>
  <c i="12" r="BX46"/>
  <c i="12" r="AS137"/>
  <c i="12" r="AS163" s="1"/>
  <c i="12" r="CP57"/>
  <c i="12" r="AN137"/>
  <c i="12" r="AN163" s="1"/>
  <c i="12" r="CK57"/>
  <c i="12" r="AK123"/>
  <c i="12" r="AK149" s="1"/>
  <c i="12" r="CH43"/>
  <c i="12" r="AP130"/>
  <c i="12" r="AP156" s="1"/>
  <c i="12" r="CM50"/>
  <c i="12" r="AO121"/>
  <c i="12" r="AO147" s="1"/>
  <c i="12" r="CL41"/>
  <c i="12" r="AD134"/>
  <c i="12" r="AD160" s="1"/>
  <c i="12" r="CA54"/>
  <c i="12" r="AS135"/>
  <c i="12" r="AS161" s="1"/>
  <c i="12" r="CP55"/>
  <c i="12" r="AN135"/>
  <c i="12" r="AN161" s="1"/>
  <c i="12" r="CK55"/>
  <c i="12" r="AH123"/>
  <c i="12" r="AH149" s="1"/>
  <c i="12" r="CE43"/>
  <c i="12" r="AP128"/>
  <c i="12" r="AP154" s="1"/>
  <c i="12" r="CM48"/>
  <c i="12" r="AN140"/>
  <c i="12" r="AN166" s="1"/>
  <c i="12" r="CK60"/>
  <c i="12" r="AI132"/>
  <c i="12" r="AI158" s="1"/>
  <c i="12" r="CF52"/>
  <c i="12" r="AD132"/>
  <c i="12" r="AD158" s="1"/>
  <c i="12" r="CA52"/>
  <c i="12" r="AS133"/>
  <c i="12" r="AS159" s="1"/>
  <c i="12" r="CP53"/>
  <c i="12" r="AN133"/>
  <c i="12" r="AN159" s="1"/>
  <c i="12" r="CK53"/>
  <c i="12" r="AF134"/>
  <c i="12" r="AF160" s="1"/>
  <c i="12" r="CC54"/>
  <c i="12" r="AP126"/>
  <c i="12" r="AP152" s="1"/>
  <c i="12" r="CM46"/>
  <c i="12" r="AN138"/>
  <c i="12" r="AN164" s="1"/>
  <c i="12" r="CK58"/>
  <c i="12" r="AI130"/>
  <c i="12" r="AI156" s="1"/>
  <c i="12" r="CF50"/>
  <c i="12" r="AD130"/>
  <c i="12" r="AD156" s="1"/>
  <c i="12" r="CA50"/>
  <c i="12" r="AS131"/>
  <c i="12" r="AS157" s="1"/>
  <c i="12" r="CP51"/>
  <c i="12" r="AN131"/>
  <c i="12" r="AN157" s="1"/>
  <c i="12" r="CK51"/>
  <c i="12" r="AK140"/>
  <c i="12" r="AK166" s="1"/>
  <c i="12" r="CH60"/>
  <c i="12" r="AG129"/>
  <c i="12" r="AG155" s="1"/>
  <c i="12" r="CD49"/>
  <c i="12" r="AS140"/>
  <c i="12" r="AS166" s="1"/>
  <c i="12" r="CP60"/>
  <c i="12" r="AP124"/>
  <c i="12" r="AP150" s="1"/>
  <c i="12" r="CM44"/>
  <c i="12" r="AN136"/>
  <c i="12" r="AN162" s="1"/>
  <c i="12" r="CK56"/>
  <c i="12" r="AI128"/>
  <c i="12" r="AI154" s="1"/>
  <c i="12" r="CF48"/>
  <c i="12" r="AG140"/>
  <c i="12" r="AG166" s="1"/>
  <c i="12" r="CD60"/>
  <c i="12" r="AD128"/>
  <c i="12" r="AD154" s="1"/>
  <c i="12" r="CA48"/>
  <c i="12" r="AH139"/>
  <c i="12" r="AH165" s="1"/>
  <c i="12" r="CE59"/>
  <c i="12" r="AS129"/>
  <c i="12" r="AS155" s="1"/>
  <c i="12" r="CP49"/>
  <c i="12" r="AH125"/>
  <c i="12" r="AH151" s="1"/>
  <c i="12" r="CE45"/>
  <c i="12" r="AN129"/>
  <c i="12" r="AN155" s="1"/>
  <c i="12" r="CK49"/>
  <c i="12" r="AC139"/>
  <c i="12" r="AC165" s="1"/>
  <c i="12" r="BZ59"/>
  <c i="12" r="AS138"/>
  <c i="12" r="AS164" s="1"/>
  <c i="12" r="CP58"/>
  <c i="12" r="AP122"/>
  <c i="12" r="AP148" s="1"/>
  <c i="12" r="CM42"/>
  <c i="12" r="AN134"/>
  <c i="12" r="AN160" s="1"/>
  <c i="12" r="CK54"/>
  <c i="12" r="AI126"/>
  <c i="12" r="AI152" s="1"/>
  <c i="12" r="CF46"/>
  <c i="12" r="AG138"/>
  <c i="12" r="AG164" s="1"/>
  <c i="12" r="CD58"/>
  <c i="12" r="AD126"/>
  <c i="12" r="AD152" s="1"/>
  <c i="12" r="CA46"/>
  <c i="12" r="AS127"/>
  <c i="12" r="AS153" s="1"/>
  <c i="12" r="CP47"/>
  <c i="12" r="AN127"/>
  <c i="12" r="AN153" s="1"/>
  <c i="12" r="CK47"/>
  <c i="12" r="AI139"/>
  <c i="12" r="AI165" s="1"/>
  <c i="12" r="CF59"/>
  <c i="12" r="AR134"/>
  <c i="12" r="AR160" s="1"/>
  <c i="12" r="CO54"/>
  <c i="12" r="AF139"/>
  <c i="12" r="AF165" s="1"/>
  <c i="12" r="CC59"/>
  <c i="12" r="AS136"/>
  <c i="12" r="AS162" s="1"/>
  <c i="12" r="CP56"/>
  <c i="12" r="AN132"/>
  <c i="12" r="AN158" s="1"/>
  <c i="12" r="CK52"/>
  <c i="12" r="AI124"/>
  <c i="12" r="AI150" s="1"/>
  <c i="12" r="CF44"/>
  <c i="12" r="AG136"/>
  <c i="12" r="AG162" s="1"/>
  <c i="12" r="CD56"/>
  <c i="12" r="AD124"/>
  <c i="12" r="AD150" s="1"/>
  <c i="12" r="CA44"/>
  <c i="12" r="AS125"/>
  <c i="12" r="AS151" s="1"/>
  <c i="12" r="CP45"/>
  <c i="12" r="AN125"/>
  <c i="12" r="AN151" s="1"/>
  <c i="12" r="CK45"/>
  <c i="12" r="AH133"/>
  <c i="12" r="AH159" s="1"/>
  <c i="12" r="CE53"/>
  <c i="12" r="AI137"/>
  <c i="12" r="AI163" s="1"/>
  <c i="12" r="CF57"/>
  <c i="12" r="AM128"/>
  <c i="12" r="AM154" s="1"/>
  <c i="12" r="CJ48"/>
  <c i="12" r="AA123"/>
  <c i="12" r="AA149" s="1"/>
  <c i="12" r="BX43"/>
  <c i="12" r="AS134"/>
  <c i="12" r="AS160" s="1"/>
  <c i="12" r="CP54"/>
  <c i="12" r="AN130"/>
  <c i="12" r="AN156" s="1"/>
  <c i="12" r="CK50"/>
  <c i="12" r="AM121"/>
  <c i="12" r="AM147" s="1"/>
  <c i="12" r="CJ41"/>
  <c i="12" r="AI122"/>
  <c i="12" r="AI148" s="1"/>
  <c i="12" r="CF42"/>
  <c i="12" r="AG134"/>
  <c i="12" r="AG160" s="1"/>
  <c i="12" r="CD54"/>
  <c i="12" r="AD122"/>
  <c i="12" r="AD148" s="1"/>
  <c i="12" r="CA42"/>
  <c i="12" r="AQ139"/>
  <c i="12" r="AQ165" s="1"/>
  <c i="12" r="CN59"/>
  <c i="12" r="AI135"/>
  <c i="12" r="AI161" s="1"/>
  <c i="12" r="CF55"/>
  <c i="12" r="AS132"/>
  <c i="12" r="AS158" s="1"/>
  <c i="12" r="CP52"/>
  <c i="12" r="AN128"/>
  <c i="12" r="AN154" s="1"/>
  <c i="12" r="CK48"/>
  <c i="12" r="AL140"/>
  <c i="12" r="AL166" s="1"/>
  <c i="12" r="CI60"/>
  <c i="12" r="AG132"/>
  <c i="12" r="AG158" s="1"/>
  <c i="12" r="CD52"/>
  <c i="12" r="AB140"/>
  <c i="12" r="AB166" s="1"/>
  <c i="12" r="BY60"/>
  <c i="12" r="AQ137"/>
  <c i="12" r="AQ163" s="1"/>
  <c i="12" r="CN57"/>
  <c i="12" r="AG139"/>
  <c i="12" r="AG165" s="1"/>
  <c i="12" r="CD59"/>
  <c i="12" r="AI133"/>
  <c i="12" r="AI159" s="1"/>
  <c i="12" r="CF53"/>
  <c i="12" r="AF133"/>
  <c i="12" r="AF159" s="1"/>
  <c i="12" r="CC53"/>
  <c i="12" r="AS130"/>
  <c i="12" r="AS156" s="1"/>
  <c i="12" r="CP50"/>
  <c i="12" r="AN126"/>
  <c i="12" r="AN152" s="1"/>
  <c i="12" r="CK46"/>
  <c i="12" r="AG130"/>
  <c i="12" r="AG156" s="1"/>
  <c i="12" r="CD50"/>
  <c i="12" r="AB138"/>
  <c i="12" r="AB164" s="1"/>
  <c i="12" r="BY58"/>
  <c i="12" r="AQ135"/>
  <c i="12" r="AQ161" s="1"/>
  <c i="12" r="CN55"/>
  <c i="12" r="AI131"/>
  <c i="12" r="AI157" s="1"/>
  <c i="12" r="CF51"/>
  <c i="12" r="AB136"/>
  <c i="12" r="AB162" s="1"/>
  <c i="12" r="BY56"/>
  <c i="12" r="AQ133"/>
  <c i="12" r="AQ159" s="1"/>
  <c i="12" r="CN53"/>
  <c i="12" r="AL139"/>
  <c i="12" r="AL165" s="1"/>
  <c i="12" r="CI59"/>
  <c i="12" r="AI129"/>
  <c i="12" r="AI155" s="1"/>
  <c i="12" r="CF49"/>
  <c i="12" r="AG125"/>
  <c i="12" r="AG151" s="1"/>
  <c i="12" r="CD45"/>
  <c i="12" r="AB134"/>
  <c i="12" r="AB160" s="1"/>
  <c i="12" r="BY54"/>
  <c i="12" r="AQ131"/>
  <c i="12" r="AQ157" s="1"/>
  <c i="12" r="CN51"/>
  <c i="12" r="AL137"/>
  <c i="12" r="AL163" s="1"/>
  <c i="12" r="CI57"/>
  <c i="12" r="AI127"/>
  <c i="12" r="AI153" s="1"/>
  <c i="12" r="CF47"/>
  <c i="12" r="AQ129"/>
  <c i="12" r="AQ155" s="1"/>
  <c i="12" r="CN49"/>
  <c i="12" r="AG133"/>
  <c i="12" r="AG159" s="1"/>
  <c i="12" r="CD53"/>
  <c i="12" r="AL135"/>
  <c i="12" r="AL161" s="1"/>
  <c i="12" r="CI55"/>
  <c i="12" r="AI125"/>
  <c i="12" r="AI151" s="1"/>
  <c i="12" r="CF45"/>
  <c i="12" r="AG135"/>
  <c i="12" r="AG161" s="1"/>
  <c i="12" r="CD55"/>
  <c i="12" r="AI123"/>
  <c i="12" r="AI149" s="1"/>
  <c i="12" r="CF43"/>
  <c i="12" r="AL134"/>
  <c i="12" r="AL160" s="1"/>
  <c i="12" r="CI54"/>
  <c i="12" r="AS124"/>
  <c i="12" r="AS150" s="1"/>
  <c i="12" r="CP44"/>
  <c i="12" r="AE140"/>
  <c i="12" r="AE166" s="1"/>
  <c i="12" r="CB60"/>
  <c i="12" r="AF123"/>
  <c i="12" r="AF149" s="1"/>
  <c i="12" r="CC43"/>
  <c i="12" r="AD131"/>
  <c i="12" r="AD157" s="1"/>
  <c i="12" r="CA51"/>
  <c i="12" r="AG137"/>
  <c i="12" r="AG163" s="1"/>
  <c i="12" r="CD57"/>
  <c i="12" r="AQ138"/>
  <c i="12" r="AQ164" s="1"/>
  <c i="12" r="CN58"/>
  <c i="12" r="AL128"/>
  <c i="12" r="AL154" s="1"/>
  <c i="12" r="CI48"/>
  <c i="12" r="AJ140"/>
  <c i="12" r="AJ166" s="1"/>
  <c i="12" r="CG60"/>
  <c i="12" r="AE138"/>
  <c i="12" r="AE164" s="1"/>
  <c i="12" r="CB58"/>
  <c i="12" r="AB128"/>
  <c i="12" r="AB154" s="1"/>
  <c i="12" r="BY48"/>
  <c i="12" r="AQ125"/>
  <c i="12" r="AQ151" s="1"/>
  <c i="12" r="CN45"/>
  <c i="12" r="AO139"/>
  <c i="12" r="AO165" s="1"/>
  <c i="12" r="CL59"/>
  <c i="12" r="AL131"/>
  <c i="12" r="AL157" s="1"/>
  <c i="12" r="CI51"/>
  <c i="12" r="AB132"/>
  <c i="12" r="AB158" s="1"/>
  <c i="12" r="BY52"/>
  <c i="12" r="AQ136"/>
  <c i="12" r="AQ162" s="1"/>
  <c i="12" r="CN56"/>
  <c i="12" r="AL126"/>
  <c i="12" r="AL152" s="1"/>
  <c i="12" r="CI46"/>
  <c i="12" r="AJ138"/>
  <c i="12" r="AJ164" s="1"/>
  <c i="12" r="CG58"/>
  <c i="12" r="AE136"/>
  <c i="12" r="AE162" s="1"/>
  <c i="12" r="CB56"/>
  <c i="12" r="AB126"/>
  <c i="12" r="AB152" s="1"/>
  <c i="12" r="BY46"/>
  <c i="12" r="AO137"/>
  <c i="12" r="AO163" s="1"/>
  <c i="12" r="CL57"/>
  <c i="12" r="AL129"/>
  <c i="12" r="AL155" s="1"/>
  <c i="12" r="CI49"/>
  <c i="12" r="AE133"/>
  <c i="12" r="AE159" s="1"/>
  <c i="12" r="CB53"/>
  <c i="12" r="AD133"/>
  <c i="12" r="AD159" s="1"/>
  <c i="12" r="CA53"/>
  <c i="12" r="AS122"/>
  <c i="12" r="AS148" s="1"/>
  <c i="12" r="CP42"/>
  <c i="12" r="AD127"/>
  <c i="12" r="AD153" s="1"/>
  <c i="12" r="CA47"/>
  <c i="12" r="AB139"/>
  <c i="12" r="AB165" s="1"/>
  <c i="12" r="BY59"/>
  <c i="12" r="AQ134"/>
  <c i="12" r="AQ160" s="1"/>
  <c i="12" r="CN54"/>
  <c i="12" r="AL124"/>
  <c i="12" r="AL150" s="1"/>
  <c i="12" r="CI44"/>
  <c i="12" r="AJ136"/>
  <c i="12" r="AJ162" s="1"/>
  <c i="12" r="CG56"/>
  <c i="12" r="AE134"/>
  <c i="12" r="AE160" s="1"/>
  <c i="12" r="CB54"/>
  <c i="12" r="AB124"/>
  <c i="12" r="AB150" s="1"/>
  <c i="12" r="BY44"/>
  <c i="12" r="AT139"/>
  <c i="12" r="AT165" s="1"/>
  <c i="12" r="CQ59"/>
  <c i="12" r="AO135"/>
  <c i="12" r="AO161" s="1"/>
  <c i="12" r="CL55"/>
  <c i="12" r="AL127"/>
  <c i="12" r="AL153" s="1"/>
  <c i="12" r="CI47"/>
  <c i="12" r="AF132"/>
  <c i="12" r="AF158" s="1"/>
  <c i="12" r="CC52"/>
  <c i="12" r="AF137"/>
  <c i="12" r="AF163" s="1"/>
  <c i="12" r="CC57"/>
  <c i="12" r="AL136"/>
  <c i="12" r="AL162" s="1"/>
  <c i="12" r="CI56"/>
  <c i="12" r="AQ140"/>
  <c i="12" r="AQ166" s="1"/>
  <c i="12" r="CN60"/>
  <c i="12" r="AD125"/>
  <c i="12" r="AD151" s="1"/>
  <c i="12" r="CA45"/>
  <c i="12" r="AB137"/>
  <c i="12" r="AB163" s="1"/>
  <c i="12" r="BY57"/>
  <c i="12" r="AQ132"/>
  <c i="12" r="AQ158" s="1"/>
  <c i="12" r="CN52"/>
  <c i="12" r="AL122"/>
  <c i="12" r="AL148" s="1"/>
  <c i="12" r="CI42"/>
  <c i="12" r="AJ134"/>
  <c i="12" r="AJ160" s="1"/>
  <c i="12" r="CG54"/>
  <c i="12" r="AE132"/>
  <c i="12" r="AE158" s="1"/>
  <c i="12" r="CB52"/>
  <c i="12" r="AB122"/>
  <c i="12" r="AB148" s="1"/>
  <c i="12" r="BY42"/>
  <c i="12" r="AT137"/>
  <c i="12" r="AT163" s="1"/>
  <c i="12" r="CQ57"/>
  <c i="12" r="AO133"/>
  <c i="12" r="AO159" s="1"/>
  <c i="12" r="CL53"/>
  <c i="12" r="AL125"/>
  <c i="12" r="AL151" s="1"/>
  <c i="12" r="CI45"/>
  <c i="12" r="AD129"/>
  <c i="12" r="AD155" s="1"/>
  <c i="12" r="CA49"/>
  <c i="12" r="AD123"/>
  <c i="12" r="AD149" s="1"/>
  <c i="12" r="CA43"/>
  <c i="12" r="AB135"/>
  <c i="12" r="AB161" s="1"/>
  <c i="12" r="BY55"/>
  <c i="12" r="AQ130"/>
  <c i="12" r="AQ156" s="1"/>
  <c i="12" r="CN50"/>
  <c i="12" r="AP121"/>
  <c i="12" r="AP147" s="1"/>
  <c i="12" r="CM41"/>
  <c i="12" r="AJ132"/>
  <c i="12" r="AJ158" s="1"/>
  <c i="12" r="CG52"/>
  <c i="12" r="AE130"/>
  <c i="12" r="AE156" s="1"/>
  <c i="12" r="CB50"/>
  <c i="12" r="AT135"/>
  <c i="12" r="AT161" s="1"/>
  <c i="12" r="CQ55"/>
  <c i="12" r="AO131"/>
  <c i="12" r="AO157" s="1"/>
  <c i="12" r="CL51"/>
  <c i="12" r="AL123"/>
  <c i="12" r="AL149" s="1"/>
  <c i="12" r="CI43"/>
  <c i="12" r="AP135"/>
  <c i="12" r="AP161" s="1"/>
  <c i="12" r="CM55"/>
  <c i="12" r="AB133"/>
  <c i="12" r="AB159" s="1"/>
  <c i="12" r="BY53"/>
  <c i="12" r="AQ128"/>
  <c i="12" r="AQ154" s="1"/>
  <c i="12" r="CN48"/>
  <c i="12" r="AO140"/>
  <c i="12" r="AO166" s="1"/>
  <c i="12" r="CL60"/>
  <c i="12" r="AJ130"/>
  <c i="12" r="AJ156" s="1"/>
  <c i="12" r="CG50"/>
  <c i="12" r="AE128"/>
  <c i="12" r="AE154" s="1"/>
  <c i="12" r="CB48"/>
  <c i="12" r="AT133"/>
  <c i="12" r="AT159" s="1"/>
  <c i="12" r="CQ53"/>
  <c i="12" r="AO129"/>
  <c i="12" r="AO155" s="1"/>
  <c i="12" r="CL49"/>
  <c i="12" r="AP133"/>
  <c i="12" r="AP159" s="1"/>
  <c i="12" r="CM53"/>
  <c i="12" r="AQ126"/>
  <c i="12" r="AQ152" s="1"/>
  <c i="12" r="CN46"/>
  <c i="12" r="AO138"/>
  <c i="12" r="AO164" s="1"/>
  <c i="12" r="CL58"/>
  <c i="12" r="AJ128"/>
  <c i="12" r="AJ154" s="1"/>
  <c i="12" r="CG48"/>
  <c i="12" r="AE126"/>
  <c i="12" r="AE152" s="1"/>
  <c i="12" r="CB46"/>
  <c i="12" r="AT131"/>
  <c i="12" r="AT157" s="1"/>
  <c i="12" r="CQ51"/>
  <c i="12" r="AG127"/>
  <c i="12" r="AG153" s="1"/>
  <c i="12" r="CD47"/>
  <c i="12" r="AO127"/>
  <c i="12" r="AO153" s="1"/>
  <c i="12" r="CL47"/>
  <c i="12" r="AC122"/>
  <c i="12" r="AC148" s="1"/>
  <c i="12" r="BZ42"/>
  <c i="12" r="AG126"/>
  <c i="12" r="AG152" s="1"/>
  <c i="12" r="CD46"/>
  <c i="12" r="AG122"/>
  <c i="12" r="AG148" s="1"/>
  <c i="12" r="CD42"/>
  <c i="12" r="AB131"/>
  <c i="12" r="AB157" s="1"/>
  <c i="12" r="BY51"/>
  <c i="12" r="AB129"/>
  <c i="12" r="AB155" s="1"/>
  <c i="12" r="BY49"/>
  <c i="12" r="AT140"/>
  <c i="12" r="AT166" s="1"/>
  <c i="12" r="CQ60"/>
  <c i="12" r="AQ124"/>
  <c i="12" r="AQ150" s="1"/>
  <c i="12" r="CN44"/>
  <c i="12" r="AO136"/>
  <c i="12" r="AO162" s="1"/>
  <c i="12" r="CL56"/>
  <c i="12" r="AJ126"/>
  <c i="12" r="AJ152" s="1"/>
  <c i="12" r="CG46"/>
  <c i="12" r="AH140"/>
  <c i="12" r="AH166" s="1"/>
  <c i="12" r="CE60"/>
  <c i="12" r="AE124"/>
  <c i="12" r="AE150" s="1"/>
  <c i="12" r="CB44"/>
  <c i="12" r="AT129"/>
  <c i="12" r="AT155" s="1"/>
  <c i="12" r="CQ49"/>
  <c i="12" r="AO125"/>
  <c i="12" r="AO151" s="1"/>
  <c i="12" r="CL45"/>
  <c i="12" r="AJ139"/>
  <c i="12" r="AJ165" s="1"/>
  <c i="12" r="CG59"/>
  <c i="12" r="AM123"/>
  <c i="12" r="AM149" s="1"/>
  <c i="12" r="CJ43"/>
  <c i="12" r="AD135"/>
  <c i="12" r="AD161" s="1"/>
  <c i="12" r="CA55"/>
  <c i="12" r="AB127"/>
  <c i="12" r="AB153" s="1"/>
  <c i="12" r="BY47"/>
  <c i="12" r="AT138"/>
  <c i="12" r="AT164" s="1"/>
  <c i="12" r="CQ58"/>
  <c i="12" r="AQ122"/>
  <c i="12" r="AQ148" s="1"/>
  <c i="12" r="CN42"/>
  <c i="12" r="AO134"/>
  <c i="12" r="AO160" s="1"/>
  <c i="12" r="CL54"/>
  <c i="12" r="AJ124"/>
  <c i="12" r="AJ150" s="1"/>
  <c i="12" r="CG44"/>
  <c i="12" r="AH138"/>
  <c i="12" r="AH164" s="1"/>
  <c i="12" r="CE58"/>
  <c i="12" r="AE122"/>
  <c i="12" r="AE148" s="1"/>
  <c i="12" r="CB42"/>
  <c i="12" r="AC140"/>
  <c i="12" r="AC166" s="1"/>
  <c i="12" r="BZ60"/>
  <c i="12" r="AT127"/>
  <c i="12" r="AT153" s="1"/>
  <c i="12" r="CQ47"/>
  <c i="12" r="AG123"/>
  <c i="12" r="AG149" s="1"/>
  <c i="12" r="CD43"/>
  <c i="12" r="AJ137"/>
  <c i="12" r="AJ163" s="1"/>
  <c i="12" r="CG57"/>
  <c i="12" r="AG128"/>
  <c i="12" r="AG154" s="1"/>
  <c i="12" r="CD48"/>
  <c i="12" r="AD137"/>
  <c i="12" r="AD163" s="1"/>
  <c i="12" r="CA57"/>
  <c i="12" r="AG124"/>
  <c i="12" r="AG150" s="1"/>
  <c i="12" r="CD44"/>
  <c i="12" r="AB125"/>
  <c i="12" r="AB151" s="1"/>
  <c i="12" r="BY45"/>
  <c i="12" r="AT136"/>
  <c i="12" r="AT162" s="1"/>
  <c i="12" r="CQ56"/>
  <c i="12" r="AO132"/>
  <c i="12" r="AO158" s="1"/>
  <c i="12" r="CL52"/>
  <c i="12" r="AJ122"/>
  <c i="12" r="AJ148" s="1"/>
  <c i="12" r="CG42"/>
  <c i="12" r="AH136"/>
  <c i="12" r="AH162" s="1"/>
  <c i="12" r="CE56"/>
  <c i="12" r="AC138"/>
  <c i="12" r="AC164" s="1"/>
  <c i="12" r="BZ58"/>
  <c i="12" r="AT125"/>
  <c i="12" r="AT151" s="1"/>
  <c i="12" r="CQ45"/>
  <c i="12" r="AR139"/>
  <c i="12" r="AR165" s="1"/>
  <c i="12" r="CO59"/>
  <c i="12" r="AJ135"/>
  <c i="12" r="AJ161" s="1"/>
  <c i="12" r="CG55"/>
  <c i="12" r="AN122"/>
  <c i="12" r="AN148" s="1"/>
  <c i="12" r="CK42"/>
  <c i="12" r="AF127"/>
  <c i="12" r="AF153" s="1"/>
  <c i="12" r="CC47"/>
  <c i="12" r="AR121"/>
  <c i="12" r="AR147" s="1"/>
  <c i="12" r="CO41"/>
  <c i="12" r="AL132"/>
  <c i="12" r="AL158" s="1"/>
  <c i="12" r="CI52"/>
  <c i="12" r="AF125"/>
  <c i="12" r="AF151" s="1"/>
  <c i="12" r="CC45"/>
  <c i="12" r="AL130"/>
  <c i="12" r="AL156" s="1"/>
  <c i="12" r="CI50"/>
  <c i="12" r="AB123"/>
  <c i="12" r="AB149" s="1"/>
  <c i="12" r="BY43"/>
  <c i="12" r="AT134"/>
  <c i="12" r="AT160" s="1"/>
  <c i="12" r="CQ54"/>
  <c i="12" r="AH134"/>
  <c i="12" r="AH160" s="1"/>
  <c i="12" r="CE54"/>
  <c i="12" r="AC136"/>
  <c i="12" r="AC162" s="1"/>
  <c i="12" r="BZ56"/>
  <c i="12" r="AT123"/>
  <c i="12" r="AT149" s="1"/>
  <c i="12" r="CQ43"/>
  <c i="12" r="AR137"/>
  <c i="12" r="AR163" s="1"/>
  <c i="12" r="CO57"/>
  <c i="12" r="AM139"/>
  <c i="12" r="AM165" s="1"/>
  <c i="12" r="CJ59"/>
  <c i="12" r="AJ133"/>
  <c i="12" r="AJ159" s="1"/>
  <c i="12" r="CG53"/>
  <c i="12" r="AF135"/>
  <c i="12" r="AF161" s="1"/>
  <c i="12" r="CC55"/>
  <c i="12" r="AN124"/>
  <c i="12" r="AN150" s="1"/>
  <c i="12" r="CK44"/>
  <c i="12" r="AF129"/>
  <c i="12" r="AF155" s="1"/>
  <c i="12" r="CC49"/>
  <c i="12" r="AT132"/>
  <c i="12" r="AT158" s="1"/>
  <c i="12" r="CQ52"/>
  <c i="12" r="AO128"/>
  <c i="12" r="AO154" s="1"/>
  <c i="12" r="CL48"/>
  <c i="12" r="AM140"/>
  <c i="12" r="AM166" s="1"/>
  <c i="12" r="CJ60"/>
  <c i="12" r="AH132"/>
  <c i="12" r="AH158" s="1"/>
  <c i="12" r="CE52"/>
  <c i="12" r="AC134"/>
  <c i="12" r="AC160" s="1"/>
  <c i="12" r="BZ54"/>
  <c i="12" r="AR135"/>
  <c i="12" r="AR161" s="1"/>
  <c i="12" r="CO55"/>
  <c i="12" r="AM137"/>
  <c i="12" r="AM163" s="1"/>
  <c i="12" r="CJ57"/>
  <c i="12" r="AJ131"/>
  <c i="12" r="AJ157" s="1"/>
  <c i="12" r="CG51"/>
  <c i="12" r="AL138"/>
  <c i="12" r="AL164" s="1"/>
  <c i="12" r="CI58"/>
  <c i="12" r="AF131"/>
  <c i="12" r="AF157" s="1"/>
  <c i="12" r="CC51"/>
  <c i="12" r="AB130"/>
  <c i="12" r="AB156" s="1"/>
  <c i="12" r="BY50"/>
  <c i="12" r="AT130"/>
  <c i="12" r="AT156" s="1"/>
  <c i="12" r="CQ50"/>
  <c i="12" r="AH129"/>
  <c i="12" r="AH155" s="1"/>
  <c i="12" r="CE49"/>
  <c i="12" r="AO126"/>
  <c i="12" r="AO152" s="1"/>
  <c i="12" r="CL46"/>
  <c i="12" r="AM138"/>
  <c i="12" r="AM164" s="1"/>
  <c i="12" r="CJ58"/>
  <c i="12" r="AH130"/>
  <c i="12" r="AH156" s="1"/>
  <c i="12" r="CE50"/>
  <c i="12" r="AC132"/>
  <c i="12" r="AC158" s="1"/>
  <c i="12" r="BZ52"/>
  <c i="12" r="AR133"/>
  <c i="12" r="AR159" s="1"/>
  <c i="12" r="CO53"/>
  <c i="12" r="AM135"/>
  <c i="12" r="AM161" s="1"/>
  <c i="12" r="CJ55"/>
  <c i="12" r="AJ129"/>
  <c i="12" r="AJ155" s="1"/>
  <c i="12" r="CG49"/>
  <c i="12" r="AT128"/>
  <c i="12" r="AT154" s="1"/>
  <c i="12" r="CQ48"/>
  <c i="12" r="AO124"/>
  <c i="12" r="AO150" s="1"/>
  <c i="12" r="CL44"/>
  <c i="12" r="AM136"/>
  <c i="12" r="AM162" s="1"/>
  <c i="12" r="CJ56"/>
  <c i="12" r="AH128"/>
  <c i="12" r="AH154" s="1"/>
  <c i="12" r="CE48"/>
  <c i="12" r="AC130"/>
  <c i="12" r="AC156" s="1"/>
  <c i="12" r="BZ50"/>
  <c i="12" r="AR131"/>
  <c i="12" r="AR157" s="1"/>
  <c i="12" r="CO51"/>
  <c i="12" r="AM133"/>
  <c i="12" r="AM159" s="1"/>
  <c i="12" r="CJ53"/>
  <c i="12" r="AJ127"/>
  <c i="12" r="AJ153" s="1"/>
  <c i="12" r="CG47"/>
  <c i="12" r="AR136"/>
  <c i="12" r="AR162" s="1"/>
  <c i="12" r="CO56"/>
  <c i="12" r="AQ127"/>
  <c i="12" r="AQ153" s="1"/>
  <c i="12" r="CN47"/>
  <c i="12" r="AE139"/>
  <c i="12" r="AE165" s="1"/>
  <c i="12" r="CB59"/>
  <c i="12" r="AT126"/>
  <c i="12" r="AT152" s="1"/>
  <c i="12" r="CQ46"/>
  <c i="12" r="AS121"/>
  <c i="12" r="AS147" s="1"/>
  <c i="12" r="CP41"/>
  <c i="12" r="AO122"/>
  <c i="12" r="AO148" s="1"/>
  <c i="12" r="CL42"/>
  <c i="12" r="AM134"/>
  <c i="12" r="AM160" s="1"/>
  <c i="12" r="CJ54"/>
  <c i="12" r="AH126"/>
  <c i="12" r="AH152" s="1"/>
  <c i="12" r="CE46"/>
  <c i="12" r="AC128"/>
  <c i="12" r="AC154" s="1"/>
  <c i="12" r="BZ48"/>
  <c i="12" r="AR129"/>
  <c i="12" r="AR155" s="1"/>
  <c i="12" r="CO49"/>
  <c i="12" r="AM131"/>
  <c i="12" r="AM157" s="1"/>
  <c i="12" r="CJ51"/>
  <c i="12" r="AJ125"/>
  <c i="12" r="AJ151" s="1"/>
  <c i="12" r="CG45"/>
  <c i="12" r="AD139"/>
  <c i="12" r="AD165" s="1"/>
  <c i="12" r="CA59"/>
  <c i="12" r="AS128"/>
  <c i="12" r="AS154" s="1"/>
  <c i="12" r="CP48"/>
  <c i="12" r="AS126"/>
  <c i="12" r="AS152" s="1"/>
  <c i="12" r="CP46"/>
  <c i="12" r="AE137"/>
  <c i="12" r="AE163" s="1"/>
  <c i="12" r="CB57"/>
  <c i="12" r="AT124"/>
  <c i="12" r="AT150" s="1"/>
  <c i="12" r="CQ44"/>
  <c i="12" r="AR140"/>
  <c i="12" r="AR166" s="1"/>
  <c i="12" r="CO60"/>
  <c i="12" r="AH124"/>
  <c i="12" r="AH150" s="1"/>
  <c i="12" r="CE44"/>
  <c i="12" r="AC126"/>
  <c i="12" r="AC152" s="1"/>
  <c i="12" r="BZ46"/>
  <c i="12" r="AR127"/>
  <c i="12" r="AR153" s="1"/>
  <c i="12" r="CO47"/>
  <c i="12" r="AP139"/>
  <c i="12" r="AP165" s="1"/>
  <c i="12" r="CM59"/>
  <c i="12" r="AM129"/>
  <c i="12" r="AM155" s="1"/>
  <c i="12" r="CJ49"/>
  <c i="12" r="AJ123"/>
  <c i="12" r="AJ149" s="1"/>
  <c i="12" r="CG43"/>
  <c i="12" r="AE135"/>
  <c i="12" r="AE161" s="1"/>
  <c i="12" r="CB55"/>
  <c i="12" r="AT122"/>
  <c i="12" r="AT148" s="1"/>
  <c i="12" r="CQ42"/>
  <c i="12" r="AR138"/>
  <c i="12" r="AR164" s="1"/>
  <c i="12" r="CO58"/>
  <c i="12" r="AM130"/>
  <c i="12" r="AM156" s="1"/>
  <c i="12" r="CJ50"/>
  <c i="12" r="AL121"/>
  <c i="12" r="AL147" s="1"/>
  <c i="12" r="CI41"/>
  <c i="12" r="AH122"/>
  <c i="12" r="AH148" s="1"/>
  <c i="12" r="CE42"/>
  <c i="12" r="AF136"/>
  <c i="12" r="AF162" s="1"/>
  <c i="12" r="CC56"/>
  <c i="12" r="AC124"/>
  <c i="12" r="AC150" s="1"/>
  <c i="12" r="BZ44"/>
  <c i="12" r="AH131"/>
  <c i="12" r="AH157" s="1"/>
  <c i="12" r="CE51"/>
  <c i="12" r="AR125"/>
  <c i="12" r="AR151" s="1"/>
  <c i="12" r="CO45"/>
  <c i="12" r="AP137"/>
  <c i="12" r="AP163" s="1"/>
  <c i="12" r="CM57"/>
  <c i="12" r="AM127"/>
  <c i="12" r="AM153" s="1"/>
  <c i="12" r="CJ47"/>
  <c i="12" r="D88"/>
  <c i="12" r="AB121"/>
  <c i="12" r="AB147" s="1"/>
  <c i="12" r="CY3"/>
  <c i="12" r="X78"/>
  <c i="12" r="CS52" s="1"/>
  <c i="12" r="AM132"/>
  <c i="12" r="AM158" s="1"/>
  <c i="12" r="X74"/>
  <c i="12" r="CS48" s="1"/>
  <c i="12" r="AR128"/>
  <c i="12" r="AR154" s="1"/>
  <c i="12" r="X72"/>
  <c i="12" r="CS46" s="1"/>
  <c i="12" r="AR126"/>
  <c i="12" r="AR152" s="1"/>
  <c i="12" r="AJ121"/>
  <c i="12" r="AJ147" s="1"/>
  <c i="12" r="L88"/>
  <c i="12" r="G88"/>
  <c i="12" r="AE121"/>
  <c i="12" r="AE147" s="1"/>
  <c i="12" r="R88"/>
  <c i="12" r="AP123"/>
  <c i="12" r="AP149" s="1"/>
  <c i="12" r="X87"/>
  <c i="12" r="AV141" s="1"/>
  <c i="12" r="AV167" s="1"/>
  <c i="12" r="AA141"/>
  <c i="12" r="AA167" s="1"/>
  <c i="12" r="X85"/>
  <c i="12" r="CS59" s="1"/>
  <c i="12" r="AA139"/>
  <c i="12" r="AA165" s="1"/>
  <c i="12" r="X83"/>
  <c i="12" r="CS57" s="1"/>
  <c i="12" r="AA137"/>
  <c i="12" r="AA163" s="1"/>
  <c i="12" r="X82"/>
  <c i="12" r="CS56" s="1"/>
  <c i="12" r="AI136"/>
  <c i="12" r="AI162" s="1"/>
  <c i="12" r="X81"/>
  <c i="12" r="CS55" s="1"/>
  <c i="12" r="AA135"/>
  <c i="12" r="AA161" s="1"/>
  <c i="12" r="X80"/>
  <c i="12" r="CS54" s="1"/>
  <c i="12" r="AI134"/>
  <c i="12" r="AI160" s="1"/>
  <c i="12" r="AA124"/>
  <c i="12" r="AA150" s="1"/>
  <c i="12" r="X70"/>
  <c i="12" r="CS44" s="1"/>
  <c i="12" r="X79"/>
  <c i="12" r="CS53" s="1"/>
  <c i="12" r="AA133"/>
  <c i="12" r="AA159" s="1"/>
  <c i="12" r="AA122"/>
  <c i="12" r="AA148" s="1"/>
  <c i="12" r="X68"/>
  <c i="12" r="CS42" s="1"/>
  <c i="12" r="X77"/>
  <c i="12" r="CS51" s="1"/>
  <c i="12" r="AA131"/>
  <c i="12" r="AA157" s="1"/>
  <c i="12" r="AT121"/>
  <c i="12" r="AT147" s="1"/>
  <c i="12" r="V88"/>
  <c i="12" r="AH121"/>
  <c i="12" r="AH147" s="1"/>
  <c i="12" r="J88"/>
  <c i="12" r="X75"/>
  <c i="12" r="CS49" s="1"/>
  <c i="12" r="AA129"/>
  <c i="12" r="AA155" s="1"/>
  <c i="12" r="X73"/>
  <c i="12" r="CS47" s="1"/>
  <c i="12" r="AA127"/>
  <c i="12" r="AA153" s="1"/>
  <c i="12" r="X71"/>
  <c i="12" r="CS45" s="1"/>
  <c i="12" r="AA125"/>
  <c i="12" r="AA151" s="1"/>
  <c i="12" r="E88"/>
  <c i="12" r="AC121"/>
  <c i="12" r="AC147" s="1"/>
  <c i="12" r="CY4"/>
  <c i="12" r="U88"/>
  <c i="12" r="AS123"/>
  <c i="12" r="AS149" s="1"/>
  <c i="12" r="X69"/>
  <c i="12" r="CS43" s="1"/>
  <c i="12" r="AN123"/>
  <c i="12" r="AN149" s="1"/>
  <c i="12" r="CY6"/>
  <c i="12" r="CZ6"/>
  <c i="12" r="AF121"/>
  <c i="12" r="AF147" s="1"/>
  <c i="12" r="H88"/>
  <c i="12" r="AK121"/>
  <c i="12" r="AK147" s="1"/>
  <c i="12" r="M88"/>
  <c i="12" r="N88"/>
  <c i="12" r="AL133"/>
  <c i="12" r="AL159" s="1"/>
  <c i="12" r="S88"/>
  <c i="12" r="AQ123"/>
  <c i="12" r="AQ149" s="1"/>
  <c i="12" r="AA121"/>
  <c i="12" r="AA147" s="1"/>
  <c i="12" r="C88"/>
  <c i="12" r="AZ69" s="1"/>
  <c i="12" r="X67"/>
  <c i="12" r="CS41" s="1"/>
  <c i="12" r="CY2"/>
  <c i="12" r="AI121"/>
  <c i="12" r="AI147" s="1"/>
  <c i="12" r="K88"/>
  <c i="12" r="F88"/>
  <c i="12" r="AD121"/>
  <c i="12" r="AD147" s="1"/>
  <c i="12" r="T88"/>
  <c i="12" r="AR123"/>
  <c i="12" r="AR149" s="1"/>
  <c i="12" r="Q88"/>
  <c i="12" r="AO123"/>
  <c i="12" r="AO149" s="1"/>
  <c i="12" r="O88"/>
  <c i="12" r="AM125"/>
  <c i="12" r="AM151" s="1"/>
  <c i="12" r="X76"/>
  <c i="12" r="CS50" s="1"/>
  <c i="12" r="AO130"/>
  <c i="12" r="AO156" s="1"/>
  <c i="12" r="AN121"/>
  <c i="12" r="AN147" s="1"/>
  <c i="12" r="P88"/>
  <c i="12" r="X84"/>
  <c i="12" r="CS58" s="1"/>
  <c i="12" r="AF138"/>
  <c i="12" r="AF164" s="1"/>
  <c i="12" r="AG121"/>
  <c i="12" r="AG147" s="1"/>
  <c i="12" r="I88"/>
  <c i="12" r="X86"/>
  <c i="12" r="CS60" s="1"/>
  <c i="12" r="AF140"/>
  <c i="12" r="AF166" s="1"/>
  <c i="12" r="CY5"/>
  <c i="12" r="BP70"/>
  <c i="12" r="K20" s="1"/>
  <c i="12" r="N20" s="1"/>
  <c i="12" r="CS62"/>
  <c i="12" r="BU70"/>
  <c i="12" r="BJ70"/>
  <c i="12" r="K14" s="1"/>
  <c i="12" r="N14" s="1"/>
  <c i="12" r="BM70"/>
  <c i="12" r="K17" s="1"/>
  <c i="12" r="N17" s="1"/>
  <c i="12" r="BD70"/>
  <c i="12" r="K8" s="1"/>
  <c i="12" r="N8" s="1"/>
  <c i="12" r="BA70"/>
  <c i="12" r="K5" s="1"/>
  <c i="12" r="N5" s="1"/>
  <c i="12" r="BE70"/>
  <c i="12" r="K9" s="1"/>
  <c i="12" r="N9" s="1"/>
  <c i="12" r="BT70"/>
  <c i="12" r="CR62"/>
  <c i="12" r="BR70"/>
  <c i="12" r="K22" s="1"/>
  <c i="12" r="N22" s="1"/>
  <c i="12" r="BF70"/>
  <c i="12" r="K10" s="1"/>
  <c i="12" r="N10" s="1"/>
  <c i="12" r="BG70"/>
  <c i="12" r="K11" s="1"/>
  <c i="12" r="N11" s="1"/>
  <c i="12" r="BL70"/>
  <c i="12" r="K16" s="1"/>
  <c i="12" r="N16" s="1"/>
  <c i="12" r="BH70"/>
  <c i="12" r="K12" s="1"/>
  <c i="12" r="N12" s="1"/>
  <c i="12" r="BC70"/>
  <c i="12" r="K7" s="1"/>
  <c i="12" r="N7" s="1"/>
  <c i="12" r="BO70"/>
  <c i="12" r="K19" s="1"/>
  <c i="12" r="N19" s="1"/>
  <c i="12" r="BN70"/>
  <c i="12" r="K18" s="1"/>
  <c i="12" r="N18" s="1"/>
  <c i="12" r="BI70"/>
  <c i="12" r="K13" s="1"/>
  <c i="12" r="N13" s="1"/>
  <c i="12" r="CV7"/>
  <c i="12" r="CX7" s="1"/>
  <c i="12" r="AZ70"/>
  <c i="12" r="K4" s="1"/>
  <c i="12" r="N4" s="1"/>
  <c i="12" r="BK70"/>
  <c i="12" r="K15" s="1"/>
  <c i="12" r="N15" s="1"/>
  <c i="12" r="BQ70"/>
  <c i="12" r="K21" s="1"/>
  <c i="12" r="N21" s="1"/>
  <c i="12" r="BB70"/>
  <c i="12" r="K6" s="1"/>
  <c i="12" r="N6" s="1"/>
  <c i="12" l="1" r="CO62"/>
  <c i="12" r="S24"/>
  <c i="12" r="BZ62"/>
  <c i="12" r="CA62"/>
  <c i="12" r="CD62"/>
  <c i="12" r="BY62"/>
  <c i="12" r="CN62"/>
  <c i="12" r="CM62"/>
  <c i="12" r="CK62"/>
  <c i="12" r="CJ62"/>
  <c i="12" r="CL62"/>
  <c i="12" r="CH62"/>
  <c i="12" r="CG62"/>
  <c i="12" r="BX62"/>
  <c i="12" r="CI62"/>
  <c i="12" r="CC62"/>
  <c i="12" r="CP62"/>
  <c i="12" r="CQ62"/>
  <c i="12" r="CF62"/>
  <c i="12" r="CE62"/>
  <c i="12" r="CB62"/>
  <c i="12" r="N24"/>
  <c i="12" r="AK142"/>
  <c i="12" r="AK168" s="1"/>
  <c i="12" r="BJ69"/>
  <c i="12" r="J14" s="1"/>
  <c i="12" r="AC142"/>
  <c i="12" r="AC168" s="1"/>
  <c i="12" r="BB69"/>
  <c i="12" r="J6" s="1"/>
  <c i="12" r="AV129"/>
  <c i="12" r="AV155" s="1"/>
  <c i="12" r="F12"/>
  <c i="12" r="AE142"/>
  <c i="12" r="AE168" s="1"/>
  <c i="12" r="BD69"/>
  <c i="12" r="J8" s="1"/>
  <c i="12" r="AG142"/>
  <c i="12" r="AG168" s="1"/>
  <c i="12" r="BF69"/>
  <c i="12" r="J10" s="1"/>
  <c i="12" r="AN142"/>
  <c i="12" r="AN168" s="1"/>
  <c i="12" r="BM69"/>
  <c i="12" r="J17" s="1"/>
  <c i="12" r="AV125"/>
  <c i="12" r="AV151" s="1"/>
  <c i="12" r="F8"/>
  <c i="12" r="AJ142"/>
  <c i="12" r="AJ168" s="1"/>
  <c i="12" r="BI69"/>
  <c i="12" r="J13" s="1"/>
  <c i="12" r="K24"/>
  <c i="12" r="AB142"/>
  <c i="12" r="AB168" s="1"/>
  <c i="12" r="BA69"/>
  <c i="12" r="J5" s="1"/>
  <c i="12" r="AP142"/>
  <c i="12" r="AP168" s="1"/>
  <c i="12" r="BO69"/>
  <c i="12" r="J19" s="1"/>
  <c i="12" r="AV123"/>
  <c i="12" r="AV149" s="1"/>
  <c i="12" r="F6"/>
  <c i="12" r="AH142"/>
  <c i="12" r="AH168" s="1"/>
  <c i="12" r="BG69"/>
  <c i="12" r="J11" s="1"/>
  <c i="12" r="AV133"/>
  <c i="12" r="AV159" s="1"/>
  <c i="12" r="F16"/>
  <c i="12" r="AV126"/>
  <c i="12" r="AV152" s="1"/>
  <c i="12" r="F9"/>
  <c i="12" r="AV130"/>
  <c i="12" r="AV156" s="1"/>
  <c i="12" r="F13"/>
  <c i="12" r="AV122"/>
  <c i="12" r="AV148" s="1"/>
  <c i="12" r="F5"/>
  <c i="12" r="AV134"/>
  <c i="12" r="AV160" s="1"/>
  <c i="12" r="F17"/>
  <c i="12" r="AV139"/>
  <c i="12" r="AV165" s="1"/>
  <c i="12" r="F22"/>
  <c i="12" r="AV127"/>
  <c i="12" r="AV153" s="1"/>
  <c i="12" r="F10"/>
  <c i="12" r="AV121"/>
  <c i="12" r="AV147" s="1"/>
  <c i="12" r="F4"/>
  <c i="12" r="AV128"/>
  <c i="12" r="AV154" s="1"/>
  <c i="12" r="F11"/>
  <c i="12" r="AD142"/>
  <c i="12" r="AD168" s="1"/>
  <c i="12" r="BC69"/>
  <c i="12" r="J7" s="1"/>
  <c i="12" r="J4"/>
  <c i="12" r="AV135"/>
  <c i="12" r="AV161" s="1"/>
  <c i="12" r="F18"/>
  <c i="12" r="AF142"/>
  <c i="12" r="AF168" s="1"/>
  <c i="12" r="BE69"/>
  <c i="12" r="J9" s="1"/>
  <c i="12" r="AV138"/>
  <c i="12" r="AV164" s="1"/>
  <c i="12" r="F21"/>
  <c i="12" r="AO142"/>
  <c i="12" r="AO168" s="1"/>
  <c i="12" r="BN69"/>
  <c i="12" r="J18" s="1"/>
  <c i="12" r="AV124"/>
  <c i="12" r="AV150" s="1"/>
  <c i="12" r="F7"/>
  <c i="12" r="AS142"/>
  <c i="12" r="AS168" s="1"/>
  <c i="12" r="BR69"/>
  <c i="12" r="J22" s="1"/>
  <c i="12" r="AV140"/>
  <c i="12" r="AV166" s="1"/>
  <c i="12" r="F23"/>
  <c i="12" r="AV136"/>
  <c i="12" r="AV162" s="1"/>
  <c i="12" r="F19"/>
  <c i="12" r="AL142"/>
  <c i="12" r="AL168" s="1"/>
  <c i="12" r="BK69"/>
  <c i="12" r="J15" s="1"/>
  <c i="12" r="AV132"/>
  <c i="12" r="AV158" s="1"/>
  <c i="12" r="F15"/>
  <c i="12" r="AM142"/>
  <c i="12" r="AM168" s="1"/>
  <c i="12" r="BL69"/>
  <c i="12" r="J16" s="1"/>
  <c i="12" r="AQ142"/>
  <c i="12" r="AQ168" s="1"/>
  <c i="12" r="BP69"/>
  <c i="12" r="J20" s="1"/>
  <c i="12" r="AT142"/>
  <c i="12" r="AT168" s="1"/>
  <c i="12" r="BS69"/>
  <c i="12" r="J23" s="1"/>
  <c i="12" r="AV131"/>
  <c i="12" r="AV157" s="1"/>
  <c i="12" r="F14"/>
  <c i="12" r="AR142"/>
  <c i="12" r="AR168" s="1"/>
  <c i="12" r="BQ69"/>
  <c i="12" r="J21" s="1"/>
  <c i="12" r="AI142"/>
  <c i="12" r="AI168" s="1"/>
  <c i="12" r="BH69"/>
  <c i="12" r="J12" s="1"/>
  <c i="12" r="AV137"/>
  <c i="12" r="AV163" s="1"/>
  <c i="12" r="F20"/>
  <c i="12" r="AA142"/>
  <c i="12" r="AA168" s="1"/>
  <c i="12" r="X88"/>
  <c i="12" r="CY7"/>
  <c i="12" r="CZ7"/>
  <c i="12" r="BH72"/>
  <c i="12" r="BT72"/>
  <c i="12" r="BC72"/>
  <c i="12" r="BN72"/>
  <c i="12" r="BD72"/>
  <c i="12" r="BI72"/>
  <c i="12" r="AZ72"/>
  <c i="12" r="BO72"/>
  <c i="12" r="BJ72"/>
  <c i="12" r="BP72"/>
  <c i="12" r="BE72"/>
  <c i="12" r="BK72"/>
  <c i="12" r="BQ72"/>
  <c i="12" r="BU72"/>
  <c i="12" r="BA72"/>
  <c i="12" r="BF72"/>
  <c i="12" r="CV8"/>
  <c i="12" r="CX8" s="1"/>
  <c i="12" r="BL72"/>
  <c i="12" r="BR72"/>
  <c i="12" r="BG72"/>
  <c i="12" r="BB72"/>
  <c i="12" r="BS72"/>
  <c i="12" r="BM72"/>
  <c i="12" l="1" r="M16"/>
  <c i="12" r="Q23"/>
  <c i="12" r="Y28"/>
  <c i="12" r="Y24"/>
  <c i="12" r="Y26"/>
  <c i="12" r="Y27"/>
  <c i="12" r="Y25"/>
  <c i="12" r="M23"/>
  <c i="12" r="Q20"/>
  <c i="12" r="Q7"/>
  <c i="12" r="Q9"/>
  <c i="12" r="Q18"/>
  <c i="12" r="Q22"/>
  <c i="12" r="Q19"/>
  <c i="12" r="Q13"/>
  <c i="12" r="Q11"/>
  <c i="12" r="Q14"/>
  <c i="12" r="M11"/>
  <c i="12" r="S11" s="1"/>
  <c i="12" r="M12"/>
  <c i="12" r="S12" s="1"/>
  <c i="12" r="M21"/>
  <c i="12" r="S21" s="1"/>
  <c i="12" r="M18"/>
  <c i="12" r="S18" s="1"/>
  <c i="12" r="M20"/>
  <c i="12" r="M19"/>
  <c i="12" r="Q15"/>
  <c i="12" r="S23"/>
  <c i="12" r="Q4"/>
  <c i="12" r="Q21"/>
  <c i="12" r="Q6"/>
  <c i="12" r="M5"/>
  <c i="12" r="M17"/>
  <c i="12" r="Q8"/>
  <c i="12" r="M13"/>
  <c i="12" r="M9"/>
  <c i="12" r="M10"/>
  <c i="12" r="Q5"/>
  <c i="12" r="M8"/>
  <c i="12" r="S16"/>
  <c i="12" r="M4"/>
  <c i="12" r="Q16"/>
  <c i="12" r="Q17"/>
  <c i="12" r="M7"/>
  <c i="12" r="Q10"/>
  <c i="12" r="M6"/>
  <c i="12" r="M15"/>
  <c i="12" r="Q12"/>
  <c i="12" r="M22"/>
  <c i="12" r="M14"/>
  <c i="12" r="F24"/>
  <c i="12" r="BU69"/>
  <c i="12" r="J24"/>
  <c i="12" r="P24" s="1"/>
  <c i="12" r="Q24"/>
  <c i="12" r="M96"/>
  <c i="12" r="AK97" s="1"/>
  <c i="12" r="I98"/>
  <c i="12" r="AG99" s="1"/>
  <c i="12" r="E100"/>
  <c i="12" r="AC101" s="1"/>
  <c i="12" r="W101"/>
  <c i="12" r="AU102" s="1"/>
  <c i="12" r="S103"/>
  <c i="12" r="AQ104" s="1"/>
  <c i="12" r="O105"/>
  <c i="12" r="AM106" s="1"/>
  <c i="12" r="K107"/>
  <c i="12" r="AI108" s="1"/>
  <c i="12" r="G109"/>
  <c i="12" r="AE110" s="1"/>
  <c i="12" r="C111"/>
  <c i="12" r="AA112" s="1"/>
  <c i="12" r="U112"/>
  <c i="12" r="AS113" s="1"/>
  <c i="12" r="Q114"/>
  <c i="12" r="AO115" s="1"/>
  <c i="12" r="N94"/>
  <c i="12" r="AL95" s="1"/>
  <c i="12" r="N105"/>
  <c i="12" r="AL106" s="1"/>
  <c i="12" r="N96"/>
  <c i="12" r="AL97" s="1"/>
  <c i="12" r="J98"/>
  <c i="12" r="AH99" s="1"/>
  <c i="12" r="F100"/>
  <c i="12" r="AD101" s="1"/>
  <c i="12" r="X101"/>
  <c i="12" r="AV102" s="1"/>
  <c i="12" r="T103"/>
  <c i="12" r="AR104" s="1"/>
  <c i="12" r="P105"/>
  <c i="12" r="AN106" s="1"/>
  <c i="12" r="L107"/>
  <c i="12" r="AJ108" s="1"/>
  <c i="12" r="H109"/>
  <c i="12" r="AF110" s="1"/>
  <c i="12" r="D111"/>
  <c i="12" r="AB112" s="1"/>
  <c i="12" r="V112"/>
  <c i="12" r="AT113" s="1"/>
  <c i="12" r="R114"/>
  <c i="12" r="AP115" s="1"/>
  <c i="12" r="O94"/>
  <c i="12" r="AM95" s="1"/>
  <c i="12" r="K96"/>
  <c i="12" r="AI97" s="1"/>
  <c i="12" r="M105"/>
  <c i="12" r="O114"/>
  <c i="12" r="AM115" s="1"/>
  <c i="12" r="O96"/>
  <c i="12" r="AM97" s="1"/>
  <c i="12" r="K98"/>
  <c i="12" r="AI99" s="1"/>
  <c i="12" r="G100"/>
  <c i="12" r="AE101" s="1"/>
  <c i="12" r="C102"/>
  <c i="12" r="AA103" s="1"/>
  <c i="12" r="U103"/>
  <c i="12" r="AS104" s="1"/>
  <c i="12" r="Q105"/>
  <c i="12" r="AO106" s="1"/>
  <c i="12" r="M107"/>
  <c i="12" r="AK108" s="1"/>
  <c i="12" r="I109"/>
  <c i="12" r="AG110" s="1"/>
  <c i="12" r="E111"/>
  <c i="12" r="AC112" s="1"/>
  <c i="12" r="W112"/>
  <c i="12" r="AU113" s="1"/>
  <c i="12" r="S114"/>
  <c i="12" r="AQ115" s="1"/>
  <c i="12" r="P94"/>
  <c i="12" r="AN95" s="1"/>
  <c i="12" r="I107"/>
  <c i="12" r="AG108" s="1"/>
  <c i="12" r="P96"/>
  <c i="12" r="AN97" s="1"/>
  <c i="12" r="L98"/>
  <c i="12" r="AJ99" s="1"/>
  <c i="12" r="H100"/>
  <c i="12" r="AF101" s="1"/>
  <c i="12" r="D102"/>
  <c i="12" r="AB103" s="1"/>
  <c i="12" r="V103"/>
  <c i="12" r="AT104" s="1"/>
  <c i="12" r="R105"/>
  <c i="12" r="AP106" s="1"/>
  <c i="12" r="N107"/>
  <c i="12" r="AL108" s="1"/>
  <c i="12" r="J109"/>
  <c i="12" r="AH110" s="1"/>
  <c i="12" r="F111"/>
  <c i="12" r="AD112" s="1"/>
  <c i="12" r="X112"/>
  <c i="12" r="AV113" s="1"/>
  <c i="12" r="T114"/>
  <c i="12" r="AR115" s="1"/>
  <c i="12" r="Q94"/>
  <c i="12" r="AO95" s="1"/>
  <c i="12" r="D100"/>
  <c i="12" r="AB101" s="1"/>
  <c i="12" r="Q96"/>
  <c i="12" r="AO97" s="1"/>
  <c i="12" r="M98"/>
  <c i="12" r="AK99" s="1"/>
  <c i="12" r="I100"/>
  <c i="12" r="AG101" s="1"/>
  <c i="12" r="E102"/>
  <c i="12" r="AC103" s="1"/>
  <c i="12" r="W103"/>
  <c i="12" r="AU104" s="1"/>
  <c i="12" r="S105"/>
  <c i="12" r="AQ106" s="1"/>
  <c i="12" r="O107"/>
  <c i="12" r="AM108" s="1"/>
  <c i="12" r="K109"/>
  <c i="12" r="AI110" s="1"/>
  <c i="12" r="G111"/>
  <c i="12" r="AE112" s="1"/>
  <c i="12" r="C113"/>
  <c i="12" r="AA114" s="1"/>
  <c i="12" r="U114"/>
  <c i="12" r="AS115" s="1"/>
  <c i="12" r="R94"/>
  <c i="12" r="AP95" s="1"/>
  <c i="12" r="H98"/>
  <c i="12" r="AF99" s="1"/>
  <c i="12" r="M94"/>
  <c i="12" r="AK95" s="1"/>
  <c i="12" r="R96"/>
  <c i="12" r="AP97" s="1"/>
  <c i="12" r="N98"/>
  <c i="12" r="AL99" s="1"/>
  <c i="12" r="J100"/>
  <c i="12" r="AH101" s="1"/>
  <c i="12" r="F102"/>
  <c i="12" r="AD103" s="1"/>
  <c i="12" r="X103"/>
  <c i="12" r="AV104" s="1"/>
  <c i="12" r="T105"/>
  <c i="12" r="AR106" s="1"/>
  <c i="12" r="P107"/>
  <c i="12" r="AN108" s="1"/>
  <c i="12" r="L109"/>
  <c i="12" r="AJ110" s="1"/>
  <c i="12" r="H111"/>
  <c i="12" r="AF112" s="1"/>
  <c i="12" r="D113"/>
  <c i="12" r="AB114" s="1"/>
  <c i="12" r="V114"/>
  <c i="12" r="AT115" s="1"/>
  <c i="12" r="S94"/>
  <c i="12" r="AQ95" s="1"/>
  <c i="12" r="E109"/>
  <c i="12" r="AC110" s="1"/>
  <c i="12" r="S96"/>
  <c i="12" r="AQ97" s="1"/>
  <c i="12" r="O98"/>
  <c i="12" r="AM99" s="1"/>
  <c i="12" r="K100"/>
  <c i="12" r="AI101" s="1"/>
  <c i="12" r="G102"/>
  <c i="12" r="AE103" s="1"/>
  <c i="12" r="C104"/>
  <c i="12" r="AA105" s="1"/>
  <c i="12" r="U105"/>
  <c i="12" r="AS106" s="1"/>
  <c i="12" r="Q107"/>
  <c i="12" r="AO108" s="1"/>
  <c i="12" r="M109"/>
  <c i="12" r="AK110" s="1"/>
  <c i="12" r="I111"/>
  <c i="12" r="AG112" s="1"/>
  <c i="12" r="E113"/>
  <c i="12" r="AC114" s="1"/>
  <c i="12" r="W114"/>
  <c i="12" r="AU115" s="1"/>
  <c i="12" r="T94"/>
  <c i="12" r="AR95" s="1"/>
  <c i="12" r="P114"/>
  <c i="12" r="AN115" s="1"/>
  <c i="12" r="T96"/>
  <c i="12" r="AR97" s="1"/>
  <c i="12" r="P98"/>
  <c i="12" r="AN99" s="1"/>
  <c i="12" r="L100"/>
  <c i="12" r="AJ101" s="1"/>
  <c i="12" r="H102"/>
  <c i="12" r="AF103" s="1"/>
  <c i="12" r="D104"/>
  <c i="12" r="AB105" s="1"/>
  <c i="12" r="V105"/>
  <c i="12" r="AT106" s="1"/>
  <c i="12" r="R107"/>
  <c i="12" r="AP108" s="1"/>
  <c i="12" r="N109"/>
  <c i="12" r="AL110" s="1"/>
  <c i="12" r="J111"/>
  <c i="12" r="AH112" s="1"/>
  <c i="12" r="F113"/>
  <c i="12" r="AD114" s="1"/>
  <c i="12" r="X114"/>
  <c i="12" r="AV115" s="1"/>
  <c i="12" r="U94"/>
  <c i="12" r="AS95" s="1"/>
  <c i="12" r="U101"/>
  <c i="12" r="AS102" s="1"/>
  <c i="12" r="C95"/>
  <c i="12" r="AA96" s="1"/>
  <c i="12" r="U96"/>
  <c i="12" r="AS97" s="1"/>
  <c i="12" r="Q98"/>
  <c i="12" r="AO99" s="1"/>
  <c i="12" r="M100"/>
  <c i="12" r="AK101" s="1"/>
  <c i="12" r="I102"/>
  <c i="12" r="AG103" s="1"/>
  <c i="12" r="E104"/>
  <c i="12" r="AC105" s="1"/>
  <c i="12" r="W105"/>
  <c i="12" r="AU106" s="1"/>
  <c i="12" r="S107"/>
  <c i="12" r="AQ108" s="1"/>
  <c i="12" r="O109"/>
  <c i="12" r="AM110" s="1"/>
  <c i="12" r="K111"/>
  <c i="12" r="AI112" s="1"/>
  <c i="12" r="G113"/>
  <c i="12" r="AE114" s="1"/>
  <c i="12" r="C115"/>
  <c i="12" r="V94"/>
  <c i="12" r="AT95" s="1"/>
  <c i="12" r="W110"/>
  <c i="12" r="AU111" s="1"/>
  <c i="12" r="D95"/>
  <c i="12" r="AB96" s="1"/>
  <c i="12" r="V96"/>
  <c i="12" r="AT97" s="1"/>
  <c i="12" r="R98"/>
  <c i="12" r="AP99" s="1"/>
  <c i="12" r="N100"/>
  <c i="12" r="AL101" s="1"/>
  <c i="12" r="J102"/>
  <c i="12" r="AH103" s="1"/>
  <c i="12" r="F104"/>
  <c i="12" r="AD105" s="1"/>
  <c i="12" r="X105"/>
  <c i="12" r="AV106" s="1"/>
  <c i="12" r="T107"/>
  <c i="12" r="AR108" s="1"/>
  <c i="12" r="P109"/>
  <c i="12" r="AN110" s="1"/>
  <c i="12" r="L111"/>
  <c i="12" r="AJ112" s="1"/>
  <c i="12" r="H113"/>
  <c i="12" r="AF114" s="1"/>
  <c i="12" r="D115"/>
  <c i="12" r="W94"/>
  <c i="12" r="AU95" s="1"/>
  <c i="12" r="Q103"/>
  <c i="12" r="AO104" s="1"/>
  <c i="12" r="E95"/>
  <c i="12" r="AC96" s="1"/>
  <c i="12" r="W96"/>
  <c i="12" r="AU97" s="1"/>
  <c i="12" r="S98"/>
  <c i="12" r="AQ99" s="1"/>
  <c i="12" r="O100"/>
  <c i="12" r="AM101" s="1"/>
  <c i="12" r="K102"/>
  <c i="12" r="AI103" s="1"/>
  <c i="12" r="G104"/>
  <c i="12" r="AE105" s="1"/>
  <c i="12" r="C106"/>
  <c i="12" r="AA107" s="1"/>
  <c i="12" r="U107"/>
  <c i="12" r="AS108" s="1"/>
  <c i="12" r="Q109"/>
  <c i="12" r="AO110" s="1"/>
  <c i="12" r="M111"/>
  <c i="12" r="AK112" s="1"/>
  <c i="12" r="I113"/>
  <c i="12" r="AG114" s="1"/>
  <c i="12" r="E115"/>
  <c i="12" r="X94"/>
  <c i="12" r="AV95" s="1"/>
  <c i="12" r="J107"/>
  <c i="12" r="AH108" s="1"/>
  <c i="12" r="F95"/>
  <c i="12" r="AD96" s="1"/>
  <c i="12" r="X96"/>
  <c i="12" r="AV97" s="1"/>
  <c i="12" r="T98"/>
  <c i="12" r="AR99" s="1"/>
  <c i="12" r="P100"/>
  <c i="12" r="AN101" s="1"/>
  <c i="12" r="L102"/>
  <c i="12" r="AJ103" s="1"/>
  <c i="12" r="H104"/>
  <c i="12" r="AF105" s="1"/>
  <c i="12" r="D106"/>
  <c i="12" r="AB107" s="1"/>
  <c i="12" r="V107"/>
  <c i="12" r="AT108" s="1"/>
  <c i="12" r="R109"/>
  <c i="12" r="AP110" s="1"/>
  <c i="12" r="N111"/>
  <c i="12" r="AL112" s="1"/>
  <c i="12" r="J113"/>
  <c i="12" r="AH114" s="1"/>
  <c i="12" r="F115"/>
  <c i="12" r="C94"/>
  <c i="12" r="AA95" s="1"/>
  <c i="12" r="G98"/>
  <c i="12" r="AE99" s="1"/>
  <c i="12" r="G95"/>
  <c i="12" r="AE96" s="1"/>
  <c i="12" r="C97"/>
  <c i="12" r="AA98" s="1"/>
  <c i="12" r="U98"/>
  <c i="12" r="AS99" s="1"/>
  <c i="12" r="Q100"/>
  <c i="12" r="AO101" s="1"/>
  <c i="12" r="M102"/>
  <c i="12" r="AK103" s="1"/>
  <c i="12" r="I104"/>
  <c i="12" r="AG105" s="1"/>
  <c i="12" r="E106"/>
  <c i="12" r="AC107" s="1"/>
  <c i="12" r="W107"/>
  <c i="12" r="AU108" s="1"/>
  <c i="12" r="S109"/>
  <c i="12" r="AQ110" s="1"/>
  <c i="12" r="O111"/>
  <c i="12" r="AM112" s="1"/>
  <c i="12" r="K113"/>
  <c i="12" r="AI114" s="1"/>
  <c i="12" r="G115"/>
  <c i="12" r="L94"/>
  <c i="12" r="AJ95" s="1"/>
  <c i="12" r="V101"/>
  <c i="12" r="AT102" s="1"/>
  <c i="12" r="H95"/>
  <c i="12" r="AF96" s="1"/>
  <c i="12" r="D97"/>
  <c i="12" r="AB98" s="1"/>
  <c i="12" r="V98"/>
  <c i="12" r="AT99" s="1"/>
  <c i="12" r="R100"/>
  <c i="12" r="AP101" s="1"/>
  <c i="12" r="N102"/>
  <c i="12" r="AL103" s="1"/>
  <c i="12" r="J104"/>
  <c i="12" r="AH105" s="1"/>
  <c i="12" r="F106"/>
  <c i="12" r="AD107" s="1"/>
  <c i="12" r="X107"/>
  <c i="12" r="AV108" s="1"/>
  <c i="12" r="T109"/>
  <c i="12" r="AR110" s="1"/>
  <c i="12" r="P111"/>
  <c i="12" r="AN112" s="1"/>
  <c i="12" r="L113"/>
  <c i="12" r="AJ114" s="1"/>
  <c i="12" r="H115"/>
  <c i="12" r="R103"/>
  <c i="12" r="AP104" s="1"/>
  <c i="12" r="I95"/>
  <c i="12" r="AG96" s="1"/>
  <c i="12" r="E97"/>
  <c i="12" r="AC98" s="1"/>
  <c i="12" r="W98"/>
  <c i="12" r="AU99" s="1"/>
  <c i="12" r="S100"/>
  <c i="12" r="AQ101" s="1"/>
  <c i="12" r="O102"/>
  <c i="12" r="AM103" s="1"/>
  <c i="12" r="K104"/>
  <c i="12" r="AI105" s="1"/>
  <c i="12" r="G106"/>
  <c i="12" r="AE107" s="1"/>
  <c i="12" r="C108"/>
  <c i="12" r="AA109" s="1"/>
  <c i="12" r="U109"/>
  <c i="12" r="AS110" s="1"/>
  <c i="12" r="Q111"/>
  <c i="12" r="AO112" s="1"/>
  <c i="12" r="M113"/>
  <c i="12" r="AK114" s="1"/>
  <c i="12" r="I115"/>
  <c i="12" r="J95"/>
  <c i="12" r="AH96" s="1"/>
  <c i="12" r="F97"/>
  <c i="12" r="AD98" s="1"/>
  <c i="12" r="X98"/>
  <c i="12" r="AV99" s="1"/>
  <c i="12" r="T100"/>
  <c i="12" r="AR101" s="1"/>
  <c i="12" r="P102"/>
  <c i="12" r="AN103" s="1"/>
  <c i="12" r="L104"/>
  <c i="12" r="AJ105" s="1"/>
  <c i="12" r="H106"/>
  <c i="12" r="AF107" s="1"/>
  <c i="12" r="D108"/>
  <c i="12" r="AB109" s="1"/>
  <c i="12" r="V109"/>
  <c i="12" r="AT110" s="1"/>
  <c i="12" r="R111"/>
  <c i="12" r="AP112" s="1"/>
  <c i="12" r="N113"/>
  <c i="12" r="AL114" s="1"/>
  <c i="12" r="J115"/>
  <c i="12" r="K95"/>
  <c i="12" r="AI96" s="1"/>
  <c i="12" r="G97"/>
  <c i="12" r="AE98" s="1"/>
  <c i="12" r="C99"/>
  <c i="12" r="AA100" s="1"/>
  <c i="12" r="U100"/>
  <c i="12" r="AS101" s="1"/>
  <c i="12" r="Q102"/>
  <c i="12" r="AO103" s="1"/>
  <c i="12" r="M104"/>
  <c i="12" r="AK105" s="1"/>
  <c i="12" r="I106"/>
  <c i="12" r="AG107" s="1"/>
  <c i="12" r="E108"/>
  <c i="12" r="AC109" s="1"/>
  <c i="12" r="W109"/>
  <c i="12" r="AU110" s="1"/>
  <c i="12" r="S111"/>
  <c i="12" r="AQ112" s="1"/>
  <c i="12" r="O113"/>
  <c i="12" r="AM114" s="1"/>
  <c i="12" r="K115"/>
  <c i="12" r="X110"/>
  <c i="12" r="AV111" s="1"/>
  <c i="12" r="L95"/>
  <c i="12" r="AJ96" s="1"/>
  <c i="12" r="H97"/>
  <c i="12" r="AF98" s="1"/>
  <c i="12" r="D99"/>
  <c i="12" r="AB100" s="1"/>
  <c i="12" r="V100"/>
  <c i="12" r="AT101" s="1"/>
  <c i="12" r="R102"/>
  <c i="12" r="AP103" s="1"/>
  <c i="12" r="N104"/>
  <c i="12" r="AL105" s="1"/>
  <c i="12" r="J106"/>
  <c i="12" r="AH107" s="1"/>
  <c i="12" r="F108"/>
  <c i="12" r="AD109" s="1"/>
  <c i="12" r="X109"/>
  <c i="12" r="AV110" s="1"/>
  <c i="12" r="T111"/>
  <c i="12" r="AR112" s="1"/>
  <c i="12" r="P113"/>
  <c i="12" r="AN114" s="1"/>
  <c i="12" r="L115"/>
  <c i="12" r="C100"/>
  <c i="12" r="AA101" s="1"/>
  <c i="12" r="S112"/>
  <c i="12" r="AQ113" s="1"/>
  <c i="12" r="F109"/>
  <c i="12" r="AD110" s="1"/>
  <c i="12" r="M95"/>
  <c i="12" r="AK96" s="1"/>
  <c i="12" r="I97"/>
  <c i="12" r="AG98" s="1"/>
  <c i="12" r="E99"/>
  <c i="12" r="AC100" s="1"/>
  <c i="12" r="W100"/>
  <c i="12" r="AU101" s="1"/>
  <c i="12" r="S102"/>
  <c i="12" r="AQ103" s="1"/>
  <c i="12" r="O104"/>
  <c i="12" r="AM105" s="1"/>
  <c i="12" r="K106"/>
  <c i="12" r="AI107" s="1"/>
  <c i="12" r="G108"/>
  <c i="12" r="AE109" s="1"/>
  <c i="12" r="C110"/>
  <c i="12" r="AA111" s="1"/>
  <c i="12" r="U111"/>
  <c i="12" r="AS112" s="1"/>
  <c i="12" r="Q113"/>
  <c i="12" r="AO114" s="1"/>
  <c i="12" r="M115"/>
  <c i="12" r="N95"/>
  <c i="12" r="AL96" s="1"/>
  <c i="12" r="J97"/>
  <c i="12" r="AH98" s="1"/>
  <c i="12" r="F99"/>
  <c i="12" r="AD100" s="1"/>
  <c i="12" r="X100"/>
  <c i="12" r="AV101" s="1"/>
  <c i="12" r="T102"/>
  <c i="12" r="AR103" s="1"/>
  <c i="12" r="P104"/>
  <c i="12" r="AN105" s="1"/>
  <c i="12" r="L106"/>
  <c i="12" r="AJ107" s="1"/>
  <c i="12" r="H108"/>
  <c i="12" r="AF109" s="1"/>
  <c i="12" r="D110"/>
  <c i="12" r="AB111" s="1"/>
  <c i="12" r="V111"/>
  <c i="12" r="AT112" s="1"/>
  <c i="12" r="R113"/>
  <c i="12" r="AP114" s="1"/>
  <c i="12" r="N115"/>
  <c i="12" r="O95"/>
  <c i="12" r="AM96" s="1"/>
  <c i="12" r="K97"/>
  <c i="12" r="AI98" s="1"/>
  <c i="12" r="G99"/>
  <c i="12" r="AE100" s="1"/>
  <c i="12" r="C101"/>
  <c i="12" r="AA102" s="1"/>
  <c i="12" r="U102"/>
  <c i="12" r="AS103" s="1"/>
  <c i="12" r="Q104"/>
  <c i="12" r="AO105" s="1"/>
  <c i="12" r="M106"/>
  <c i="12" r="I108"/>
  <c i="12" r="AG109" s="1"/>
  <c i="12" r="E110"/>
  <c i="12" r="AC111" s="1"/>
  <c i="12" r="W111"/>
  <c i="12" r="AU112" s="1"/>
  <c i="12" r="S113"/>
  <c i="12" r="AQ114" s="1"/>
  <c i="12" r="O115"/>
  <c i="12" r="L96"/>
  <c i="12" r="AJ97" s="1"/>
  <c i="12" r="AV142"/>
  <c i="12" r="AV168" s="1"/>
  <c i="12" r="P95"/>
  <c i="12" r="AN96" s="1"/>
  <c i="12" r="L97"/>
  <c i="12" r="AJ98" s="1"/>
  <c i="12" r="H99"/>
  <c i="12" r="AF100" s="1"/>
  <c i="12" r="D101"/>
  <c i="12" r="AB102" s="1"/>
  <c i="12" r="V102"/>
  <c i="12" r="AT103" s="1"/>
  <c i="12" r="R104"/>
  <c i="12" r="AP105" s="1"/>
  <c i="12" r="N106"/>
  <c i="12" r="AL107" s="1"/>
  <c i="12" r="J108"/>
  <c i="12" r="AH109" s="1"/>
  <c i="12" r="F110"/>
  <c i="12" r="AD111" s="1"/>
  <c i="12" r="X111"/>
  <c i="12" r="AV112" s="1"/>
  <c i="12" r="T113"/>
  <c i="12" r="AR114" s="1"/>
  <c i="12" r="P115"/>
  <c i="12" r="Q95"/>
  <c i="12" r="AO96" s="1"/>
  <c i="12" r="M97"/>
  <c i="12" r="AK98" s="1"/>
  <c i="12" r="I99"/>
  <c i="12" r="AG100" s="1"/>
  <c i="12" r="E101"/>
  <c i="12" r="AC102" s="1"/>
  <c i="12" r="W102"/>
  <c i="12" r="AU103" s="1"/>
  <c i="12" r="S104"/>
  <c i="12" r="AQ105" s="1"/>
  <c i="12" r="O106"/>
  <c i="12" r="AM107" s="1"/>
  <c i="12" r="K108"/>
  <c i="12" r="AI109" s="1"/>
  <c i="12" r="G110"/>
  <c i="12" r="AE111" s="1"/>
  <c i="12" r="C112"/>
  <c i="12" r="AA113" s="1"/>
  <c i="12" r="U113"/>
  <c i="12" r="AS114" s="1"/>
  <c i="12" r="Q115"/>
  <c i="12" r="R95"/>
  <c i="12" r="AP96" s="1"/>
  <c i="12" r="N97"/>
  <c i="12" r="AL98" s="1"/>
  <c i="12" r="J99"/>
  <c i="12" r="AH100" s="1"/>
  <c i="12" r="F101"/>
  <c i="12" r="AD102" s="1"/>
  <c i="12" r="X102"/>
  <c i="12" r="AV103" s="1"/>
  <c i="12" r="T104"/>
  <c i="12" r="AR105" s="1"/>
  <c i="12" r="P106"/>
  <c i="12" r="AN107" s="1"/>
  <c i="12" r="L108"/>
  <c i="12" r="AJ109" s="1"/>
  <c i="12" r="H110"/>
  <c i="12" r="AF111" s="1"/>
  <c i="12" r="D112"/>
  <c i="12" r="AB113" s="1"/>
  <c i="12" r="V113"/>
  <c i="12" r="AT114" s="1"/>
  <c i="12" r="R115"/>
  <c i="12" r="S95"/>
  <c i="12" r="AQ96" s="1"/>
  <c i="12" r="O97"/>
  <c i="12" r="AM98" s="1"/>
  <c i="12" r="K99"/>
  <c i="12" r="AI100" s="1"/>
  <c i="12" r="G101"/>
  <c i="12" r="AE102" s="1"/>
  <c i="12" r="C103"/>
  <c i="12" r="AA104" s="1"/>
  <c i="12" r="U104"/>
  <c i="12" r="AS105" s="1"/>
  <c i="12" r="Q106"/>
  <c i="12" r="AO107" s="1"/>
  <c i="12" r="M108"/>
  <c i="12" r="AK109" s="1"/>
  <c i="12" r="I110"/>
  <c i="12" r="AG111" s="1"/>
  <c i="12" r="E112"/>
  <c i="12" r="AC113" s="1"/>
  <c i="12" r="W113"/>
  <c i="12" r="AU114" s="1"/>
  <c i="12" r="S115"/>
  <c i="12" r="T95"/>
  <c i="12" r="AR96" s="1"/>
  <c i="12" r="P97"/>
  <c i="12" r="AN98" s="1"/>
  <c i="12" r="L99"/>
  <c i="12" r="AJ100" s="1"/>
  <c i="12" r="H101"/>
  <c i="12" r="AF102" s="1"/>
  <c i="12" r="D103"/>
  <c i="12" r="AB104" s="1"/>
  <c i="12" r="V104"/>
  <c i="12" r="AT105" s="1"/>
  <c i="12" r="R106"/>
  <c i="12" r="AP107" s="1"/>
  <c i="12" r="N108"/>
  <c i="12" r="AL109" s="1"/>
  <c i="12" r="J110"/>
  <c i="12" r="AH111" s="1"/>
  <c i="12" r="F112"/>
  <c i="12" r="AD113" s="1"/>
  <c i="12" r="X113"/>
  <c i="12" r="AV114" s="1"/>
  <c i="12" r="T115"/>
  <c i="12" r="U95"/>
  <c i="12" r="AS96" s="1"/>
  <c i="12" r="Q97"/>
  <c i="12" r="AO98" s="1"/>
  <c i="12" r="M99"/>
  <c i="12" r="AK100" s="1"/>
  <c i="12" r="I101"/>
  <c i="12" r="AG102" s="1"/>
  <c i="12" r="E103"/>
  <c i="12" r="AC104" s="1"/>
  <c i="12" r="W104"/>
  <c i="12" r="AU105" s="1"/>
  <c i="12" r="S106"/>
  <c i="12" r="AQ107" s="1"/>
  <c i="12" r="O108"/>
  <c i="12" r="AM109" s="1"/>
  <c i="12" r="K110"/>
  <c i="12" r="AI111" s="1"/>
  <c i="12" r="G112"/>
  <c i="12" r="AE113" s="1"/>
  <c i="12" r="C114"/>
  <c i="12" r="AA115" s="1"/>
  <c i="12" r="U115"/>
  <c i="12" r="V95"/>
  <c i="12" r="AT96" s="1"/>
  <c i="12" r="R97"/>
  <c i="12" r="AP98" s="1"/>
  <c i="12" r="N99"/>
  <c i="12" r="AL100" s="1"/>
  <c i="12" r="J101"/>
  <c i="12" r="AH102" s="1"/>
  <c i="12" r="F103"/>
  <c i="12" r="AD104" s="1"/>
  <c i="12" r="X104"/>
  <c i="12" r="AV105" s="1"/>
  <c i="12" r="T106"/>
  <c i="12" r="AR107" s="1"/>
  <c i="12" r="P108"/>
  <c i="12" r="AN109" s="1"/>
  <c i="12" r="L110"/>
  <c i="12" r="AJ111" s="1"/>
  <c i="12" r="H112"/>
  <c i="12" r="AF113" s="1"/>
  <c i="12" r="D114"/>
  <c i="12" r="AB115" s="1"/>
  <c i="12" r="V115"/>
  <c i="12" r="W95"/>
  <c i="12" r="AU96" s="1"/>
  <c i="12" r="S97"/>
  <c i="12" r="AQ98" s="1"/>
  <c i="12" r="O99"/>
  <c i="12" r="AM100" s="1"/>
  <c i="12" r="K101"/>
  <c i="12" r="AI102" s="1"/>
  <c i="12" r="G103"/>
  <c i="12" r="AE104" s="1"/>
  <c i="12" r="C105"/>
  <c i="12" r="AA106" s="1"/>
  <c i="12" r="U106"/>
  <c i="12" r="AS107" s="1"/>
  <c i="12" r="Q108"/>
  <c i="12" r="AO109" s="1"/>
  <c i="12" r="M110"/>
  <c i="12" r="AK111" s="1"/>
  <c i="12" r="I112"/>
  <c i="12" r="AG113" s="1"/>
  <c i="12" r="E114"/>
  <c i="12" r="AC115" s="1"/>
  <c i="12" r="W115"/>
  <c i="12" r="X95"/>
  <c i="12" r="AV96" s="1"/>
  <c i="12" r="T97"/>
  <c i="12" r="AR98" s="1"/>
  <c i="12" r="P99"/>
  <c i="12" r="AN100" s="1"/>
  <c i="12" r="L101"/>
  <c i="12" r="AJ102" s="1"/>
  <c i="12" r="H103"/>
  <c i="12" r="AF104" s="1"/>
  <c i="12" r="D105"/>
  <c i="12" r="AB106" s="1"/>
  <c i="12" r="V106"/>
  <c i="12" r="AT107" s="1"/>
  <c i="12" r="R108"/>
  <c i="12" r="AP109" s="1"/>
  <c i="12" r="N110"/>
  <c i="12" r="AL111" s="1"/>
  <c i="12" r="J112"/>
  <c i="12" r="AH113" s="1"/>
  <c i="12" r="F114"/>
  <c i="12" r="AD115" s="1"/>
  <c i="12" r="X115"/>
  <c i="12" r="C96"/>
  <c i="12" r="AA97" s="1"/>
  <c i="12" r="U97"/>
  <c i="12" r="AS98" s="1"/>
  <c i="12" r="Q99"/>
  <c i="12" r="AO100" s="1"/>
  <c i="12" r="M101"/>
  <c i="12" r="AK102" s="1"/>
  <c i="12" r="I103"/>
  <c i="12" r="AG104" s="1"/>
  <c i="12" r="E105"/>
  <c i="12" r="AC106" s="1"/>
  <c i="12" r="W106"/>
  <c i="12" r="AU107" s="1"/>
  <c i="12" r="S108"/>
  <c i="12" r="AQ109" s="1"/>
  <c i="12" r="O110"/>
  <c i="12" r="AM111" s="1"/>
  <c i="12" r="K112"/>
  <c i="12" r="AI113" s="1"/>
  <c i="12" r="G114"/>
  <c i="12" r="AE115" s="1"/>
  <c i="12" r="D94"/>
  <c i="12" r="AB95" s="1"/>
  <c i="12" r="D96"/>
  <c i="12" r="AB97" s="1"/>
  <c i="12" r="V97"/>
  <c i="12" r="AT98" s="1"/>
  <c i="12" r="R99"/>
  <c i="12" r="AP100" s="1"/>
  <c i="12" r="N101"/>
  <c i="12" r="AL102" s="1"/>
  <c i="12" r="J103"/>
  <c i="12" r="AH104" s="1"/>
  <c i="12" r="F105"/>
  <c i="12" r="AD106" s="1"/>
  <c i="12" r="X106"/>
  <c i="12" r="AV107" s="1"/>
  <c i="12" r="T108"/>
  <c i="12" r="AR109" s="1"/>
  <c i="12" r="P110"/>
  <c i="12" r="AN111" s="1"/>
  <c i="12" r="L112"/>
  <c i="12" r="AJ113" s="1"/>
  <c i="12" r="H114"/>
  <c i="12" r="AF115" s="1"/>
  <c i="12" r="E94"/>
  <c i="12" r="AC95" s="1"/>
  <c i="12" r="E96"/>
  <c i="12" r="AC97" s="1"/>
  <c i="12" r="W97"/>
  <c i="12" r="AU98" s="1"/>
  <c i="12" r="S99"/>
  <c i="12" r="AQ100" s="1"/>
  <c i="12" r="O101"/>
  <c i="12" r="AM102" s="1"/>
  <c i="12" r="K103"/>
  <c i="12" r="AI104" s="1"/>
  <c i="12" r="G105"/>
  <c i="12" r="AE106" s="1"/>
  <c i="12" r="C107"/>
  <c i="12" r="AA108" s="1"/>
  <c i="12" r="U108"/>
  <c i="12" r="AS109" s="1"/>
  <c i="12" r="Q110"/>
  <c i="12" r="AO111" s="1"/>
  <c i="12" r="M112"/>
  <c i="12" r="AK113" s="1"/>
  <c i="12" r="I114"/>
  <c i="12" r="AG115" s="1"/>
  <c i="12" r="F94"/>
  <c i="12" r="AD95" s="1"/>
  <c i="12" r="F96"/>
  <c i="12" r="AD97" s="1"/>
  <c i="12" r="X97"/>
  <c i="12" r="AV98" s="1"/>
  <c i="12" r="T99"/>
  <c i="12" r="AR100" s="1"/>
  <c i="12" r="P101"/>
  <c i="12" r="AN102" s="1"/>
  <c i="12" r="L103"/>
  <c i="12" r="AJ104" s="1"/>
  <c i="12" r="H105"/>
  <c i="12" r="AF106" s="1"/>
  <c i="12" r="D107"/>
  <c i="12" r="AB108" s="1"/>
  <c i="12" r="V108"/>
  <c i="12" r="AT109" s="1"/>
  <c i="12" r="R110"/>
  <c i="12" r="AP111" s="1"/>
  <c i="12" r="N112"/>
  <c i="12" r="AL113" s="1"/>
  <c i="12" r="J114"/>
  <c i="12" r="AH115" s="1"/>
  <c i="12" r="G94"/>
  <c i="12" r="AE95" s="1"/>
  <c i="12" r="G96"/>
  <c i="12" r="AE97" s="1"/>
  <c i="12" r="C98"/>
  <c i="12" r="AA99" s="1"/>
  <c i="12" r="U99"/>
  <c i="12" r="AS100" s="1"/>
  <c i="12" r="Q101"/>
  <c i="12" r="AO102" s="1"/>
  <c i="12" r="M103"/>
  <c i="12" r="AK104" s="1"/>
  <c i="12" r="I105"/>
  <c i="12" r="AG106" s="1"/>
  <c i="12" r="E107"/>
  <c i="12" r="AC108" s="1"/>
  <c i="12" r="W108"/>
  <c i="12" r="AU109" s="1"/>
  <c i="12" r="S110"/>
  <c i="12" r="AQ111" s="1"/>
  <c i="12" r="O112"/>
  <c i="12" r="AM113" s="1"/>
  <c i="12" r="K114"/>
  <c i="12" r="AI115" s="1"/>
  <c i="12" r="H94"/>
  <c i="12" r="AF95" s="1"/>
  <c i="12" r="T112"/>
  <c i="12" r="AR113" s="1"/>
  <c i="12" r="H96"/>
  <c i="12" r="AF97" s="1"/>
  <c i="12" r="D98"/>
  <c i="12" r="AB99" s="1"/>
  <c i="12" r="V99"/>
  <c i="12" r="AT100" s="1"/>
  <c i="12" r="R101"/>
  <c i="12" r="AP102" s="1"/>
  <c i="12" r="N103"/>
  <c i="12" r="AL104" s="1"/>
  <c i="12" r="J105"/>
  <c i="12" r="AH106" s="1"/>
  <c i="12" r="F107"/>
  <c i="12" r="AD108" s="1"/>
  <c i="12" r="X108"/>
  <c i="12" r="AV109" s="1"/>
  <c i="12" r="T110"/>
  <c i="12" r="AR111" s="1"/>
  <c i="12" r="P112"/>
  <c i="12" r="AN113" s="1"/>
  <c i="12" r="L114"/>
  <c i="12" r="AJ115" s="1"/>
  <c i="12" r="I94"/>
  <c i="12" r="AG95" s="1"/>
  <c i="12" r="I96"/>
  <c i="12" r="AG97" s="1"/>
  <c i="12" r="E98"/>
  <c i="12" r="AC99" s="1"/>
  <c i="12" r="W99"/>
  <c i="12" r="AU100" s="1"/>
  <c i="12" r="S101"/>
  <c i="12" r="AQ102" s="1"/>
  <c i="12" r="O103"/>
  <c i="12" r="AM104" s="1"/>
  <c i="12" r="K105"/>
  <c i="12" r="AI106" s="1"/>
  <c i="12" r="G107"/>
  <c i="12" r="AE108" s="1"/>
  <c i="12" r="C109"/>
  <c i="12" r="AA110" s="1"/>
  <c i="12" r="U110"/>
  <c i="12" r="AS111" s="1"/>
  <c i="12" r="Q112"/>
  <c i="12" r="AO113" s="1"/>
  <c i="12" r="M114"/>
  <c i="12" r="AK115" s="1"/>
  <c i="12" r="J94"/>
  <c i="12" r="AH95" s="1"/>
  <c i="12" r="J96"/>
  <c i="12" r="AH97" s="1"/>
  <c i="12" r="F98"/>
  <c i="12" r="AD99" s="1"/>
  <c i="12" r="X99"/>
  <c i="12" r="AV100" s="1"/>
  <c i="12" r="T101"/>
  <c i="12" r="AR102" s="1"/>
  <c i="12" r="P103"/>
  <c i="12" r="AN104" s="1"/>
  <c i="12" r="L105"/>
  <c i="12" r="AJ106" s="1"/>
  <c i="12" r="H107"/>
  <c i="12" r="AF108" s="1"/>
  <c i="12" r="D109"/>
  <c i="12" r="AB110" s="1"/>
  <c i="12" r="V110"/>
  <c i="12" r="AT111" s="1"/>
  <c i="12" r="R112"/>
  <c i="12" r="AP113" s="1"/>
  <c i="12" r="N114"/>
  <c i="12" r="AL115" s="1"/>
  <c i="12" r="K94"/>
  <c i="12" r="AI95" s="1"/>
  <c i="12" r="CY8"/>
  <c i="12" r="CZ8"/>
  <c i="12" r="CV9"/>
  <c i="12" r="CX9" s="1"/>
  <c i="12" l="1" r="S14"/>
  <c i="12" r="S22"/>
  <c i="12" r="S15"/>
  <c i="12" r="S6"/>
  <c i="12" r="S7"/>
  <c i="12" r="M24"/>
  <c i="12" r="P10" s="1"/>
  <c i="12" r="S4"/>
  <c i="12" r="S8"/>
  <c i="12" r="S10"/>
  <c i="12" r="P9"/>
  <c i="12" r="S9"/>
  <c i="12" r="P13"/>
  <c i="12" r="T13" s="1"/>
  <c i="12" r="AE13" s="1"/>
  <c i="12" r="S13"/>
  <c i="12" r="P17"/>
  <c i="12" r="T17" s="1"/>
  <c i="12" r="AE17" s="1"/>
  <c i="12" r="S17"/>
  <c i="12" r="P5"/>
  <c i="12" r="S5"/>
  <c i="12" r="P19"/>
  <c i="12" r="T19" s="1"/>
  <c i="12" r="AE19" s="1"/>
  <c i="12" r="S19"/>
  <c i="12" r="P20"/>
  <c i="12" r="R20" s="1"/>
  <c i="12" r="S20"/>
  <c i="12" r="T5"/>
  <c i="12" r="AE5" s="1"/>
  <c i="12" r="R13"/>
  <c i="12" r="R5"/>
  <c i="12" r="T9"/>
  <c i="12" r="AE9" s="1"/>
  <c i="12" r="BB71"/>
  <c i="12" r="AC116"/>
  <c i="12" r="AK106"/>
  <c i="12" r="AK107"/>
  <c i="12" r="BL71"/>
  <c i="12" r="AM116"/>
  <c i="12" r="BO71"/>
  <c i="12" r="AP116"/>
  <c i="12" r="BT71"/>
  <c i="12" r="AU116"/>
  <c i="12" r="BD71"/>
  <c i="12" r="AE116"/>
  <c i="12" r="BQ71"/>
  <c i="12" r="AR116"/>
  <c i="12" r="BJ71"/>
  <c i="12" r="AK116"/>
  <c i="12" r="BG71"/>
  <c i="12" r="AH116"/>
  <c i="12" r="BA71"/>
  <c i="12" r="AB116"/>
  <c i="12" r="BM71"/>
  <c i="12" r="AN116"/>
  <c i="12" r="CY9"/>
  <c i="12" r="CZ9"/>
  <c i="12" r="BR71"/>
  <c i="12" r="AS116"/>
  <c i="12" r="BP71"/>
  <c i="12" r="AQ116"/>
  <c i="12" r="BE71"/>
  <c i="12" r="AF116"/>
  <c i="12" r="BH71"/>
  <c i="12" r="AI116"/>
  <c i="12" r="BN71"/>
  <c i="12" r="AO116"/>
  <c i="12" r="BK71"/>
  <c i="12" r="AL116"/>
  <c i="12" r="BI71"/>
  <c i="12" r="AJ116"/>
  <c i="12" r="AZ71"/>
  <c i="12" r="AA116"/>
  <c i="12" r="BS71"/>
  <c i="12" r="AT116"/>
  <c i="12" r="BF71"/>
  <c i="12" r="AG116"/>
  <c i="12" r="BU71"/>
  <c i="12" r="AV116"/>
  <c i="12" r="BC71"/>
  <c i="12" r="AD116"/>
  <c i="12" r="CV10"/>
  <c i="12" r="CX10" s="1"/>
  <c i="12" l="1" r="T20"/>
  <c i="12" r="AE20" s="1"/>
  <c i="12" r="P15"/>
  <c i="12" r="T15" s="1"/>
  <c i="12" r="AE15" s="1"/>
  <c i="12" r="X26"/>
  <c i="12" r="X25"/>
  <c i="12" r="X28"/>
  <c i="12" r="X27"/>
  <c i="12" r="X24"/>
  <c i="12" r="P23"/>
  <c i="12" r="P16"/>
  <c i="12" r="P18"/>
  <c i="12" r="P12"/>
  <c i="12" r="P21"/>
  <c i="12" r="P11"/>
  <c i="12" r="T11" s="1"/>
  <c i="12" r="AE11" s="1"/>
  <c i="12" r="P7"/>
  <c i="12" r="T7" s="1"/>
  <c i="12" r="AE7" s="1"/>
  <c i="12" r="P6"/>
  <c i="12" r="P22"/>
  <c i="12" r="T22" s="1"/>
  <c i="12" r="AE22" s="1"/>
  <c i="12" r="P8"/>
  <c i="12" r="P4"/>
  <c i="12" r="P14"/>
  <c i="12" r="T12"/>
  <c i="12" r="AE12" s="1"/>
  <c i="12" r="R12"/>
  <c i="12" r="R15"/>
  <c i="12" r="R17"/>
  <c i="12" r="R11"/>
  <c i="12" r="T16"/>
  <c i="12" r="AE16" s="1"/>
  <c i="12" r="R16"/>
  <c i="12" r="T6"/>
  <c i="12" r="AE6" s="1"/>
  <c i="12" r="R6"/>
  <c i="12" r="R7"/>
  <c i="12" r="R22"/>
  <c i="12" r="R19"/>
  <c i="12" r="T10"/>
  <c i="12" r="AE10" s="1"/>
  <c i="12" r="R10"/>
  <c i="12" r="R9"/>
  <c i="12" r="T4"/>
  <c i="12" r="AE4" s="1"/>
  <c i="12" r="R4"/>
  <c i="12" r="CY10"/>
  <c i="12" r="CZ10"/>
  <c i="12" r="CV11"/>
  <c i="12" r="CX11" s="1"/>
  <c i="12" l="1" r="T27"/>
  <c i="12" r="AE27" s="1"/>
  <c i="12" r="R27"/>
  <c i="12" r="T28"/>
  <c i="12" r="AE28" s="1"/>
  <c i="12" r="R28"/>
  <c i="12" r="T24"/>
  <c i="12" r="AE24" s="1"/>
  <c i="12" r="R24"/>
  <c i="12" r="T25"/>
  <c i="12" r="AE25" s="1"/>
  <c i="12" r="R25"/>
  <c i="12" r="T26"/>
  <c i="12" r="AE26" s="1"/>
  <c i="12" r="R26"/>
  <c i="12" r="R18"/>
  <c i="12" r="T18"/>
  <c i="12" r="AE18" s="1"/>
  <c i="12" r="T8"/>
  <c i="12" r="AE8" s="1"/>
  <c i="12" r="R8"/>
  <c i="12" r="T14"/>
  <c i="12" r="AE14" s="1"/>
  <c i="12" r="R14"/>
  <c i="12" r="R21"/>
  <c i="12" r="T21"/>
  <c i="12" r="AE21" s="1"/>
  <c i="12" r="AF21" s="1"/>
  <c i="12" r="R23"/>
  <c i="12" r="T23"/>
  <c i="12" r="AE23" s="1"/>
  <c i="12" r="AF4"/>
  <c i="12" r="AF13"/>
  <c i="12" r="AF5"/>
  <c i="12" r="AF8"/>
  <c i="12" r="AF10"/>
  <c i="12" r="AF14"/>
  <c i="12" r="AF7"/>
  <c i="12" r="AF15"/>
  <c i="12" r="AF9"/>
  <c i="12" r="AF20"/>
  <c i="12" r="AF22"/>
  <c i="12" r="AF18"/>
  <c i="12" r="AF6"/>
  <c i="12" r="AF17"/>
  <c i="12" r="AF23"/>
  <c i="12" r="AF11"/>
  <c i="12" r="AF16"/>
  <c i="12" r="AF19"/>
  <c i="12" r="AF12"/>
  <c i="12" r="CY11"/>
  <c i="12" r="CZ11"/>
  <c i="12" r="CV12"/>
  <c i="12" r="CX12" s="1"/>
  <c i="12" l="1" r="AF26"/>
  <c i="12" r="AF24"/>
  <c i="12" r="AF25"/>
  <c i="12" r="AF28"/>
  <c i="12" r="AF27"/>
  <c i="12" r="CY12"/>
  <c i="12" r="CZ12"/>
  <c i="12" r="CV13"/>
  <c i="12" r="CX13" s="1"/>
  <c i="12" l="1" r="CY13"/>
  <c i="12" r="CZ13"/>
  <c i="12" r="CV14"/>
  <c i="12" r="CX14" s="1"/>
  <c i="12" l="1" r="CY14"/>
  <c i="12" r="CZ14"/>
  <c i="12" r="CV15"/>
  <c i="12" r="CX15" s="1"/>
  <c i="12" l="1" r="CY15"/>
  <c i="12" r="DD15" s="1"/>
  <c i="12" r="CZ15"/>
  <c i="12" r="CV16"/>
  <c i="12" r="CX16" s="1"/>
  <c i="12" l="1" r="CY16"/>
  <c i="12" r="CZ16"/>
  <c i="12" r="CV17"/>
  <c i="12" r="CX17" s="1"/>
  <c i="12" l="1" r="CY17"/>
  <c i="12" r="CZ17"/>
  <c i="12" r="CV18"/>
  <c i="12" r="CX18" s="1"/>
  <c i="12" l="1" r="CY18"/>
  <c i="12" r="DD18" s="1"/>
  <c i="12" r="CZ18"/>
  <c i="12" r="CV19"/>
  <c i="12" r="CX19" s="1"/>
  <c i="12" l="1" r="CY19"/>
  <c i="12" r="CZ19"/>
  <c i="12" r="CV20"/>
  <c i="12" r="CX20" s="1"/>
  <c i="12" l="1" r="CY20"/>
  <c i="12" r="CZ20"/>
  <c i="12" r="CV21"/>
  <c i="12" r="CX21" s="1"/>
  <c i="12" l="1" r="CY21"/>
  <c i="12" r="DD21" s="1"/>
  <c i="12" r="CZ21"/>
  <c i="12" r="CV22"/>
  <c i="12" r="CX22" s="1"/>
  <c i="12" l="1" r="CY22"/>
  <c i="12" r="CZ22"/>
  <c i="12" r="CV23"/>
  <c i="12" r="CX23" s="1"/>
  <c i="12" l="1" r="CY23"/>
  <c i="12" r="CZ23"/>
  <c i="12" r="CV24"/>
  <c i="12" r="CX24" s="1"/>
  <c i="12" l="1" r="CY24"/>
  <c i="12" r="CZ24"/>
  <c i="12" r="CV25"/>
  <c i="12" r="CX25" s="1"/>
  <c i="12" l="1" r="CY25"/>
  <c i="12" r="CZ25"/>
  <c i="12" r="CV26"/>
  <c i="12" r="CX26" s="1"/>
  <c i="12" l="1" r="CY26"/>
  <c i="12" r="CZ26"/>
  <c i="12" r="CV27"/>
  <c i="12" r="CX27" s="1"/>
  <c i="12" l="1" r="CY27"/>
  <c i="12" r="DD27" s="1"/>
  <c i="12" r="CZ27"/>
  <c i="12" r="CV28"/>
  <c i="12" r="CX28" s="1"/>
  <c i="12" l="1" r="CY28"/>
  <c i="12" r="CZ28"/>
  <c i="12" r="CV29"/>
  <c i="12" r="CX29" s="1"/>
  <c i="12" l="1" r="CY29"/>
  <c i="12" r="DD29" s="1"/>
  <c i="12" r="CZ29"/>
  <c i="12" r="CV30"/>
  <c i="12" r="CX30" s="1"/>
  <c i="12" l="1" r="CY30"/>
  <c i="12" r="CZ30"/>
  <c i="12" r="CV31"/>
  <c i="12" r="CX31" s="1"/>
  <c i="12" l="1" r="CY31"/>
  <c i="12" r="CZ31"/>
  <c i="12" r="CV32"/>
  <c i="12" r="CX32" s="1"/>
  <c i="12" l="1" r="CY32"/>
  <c i="12" r="CZ32"/>
  <c i="12" r="CV33"/>
  <c i="12" r="CX33" s="1"/>
  <c i="12" l="1" r="CY33"/>
  <c i="12" r="DD33" s="1"/>
  <c i="12" r="CZ33"/>
  <c i="12" r="CV34"/>
  <c i="12" r="CX34" s="1"/>
  <c i="12" l="1" r="CY34"/>
  <c i="12" r="CZ34"/>
  <c i="12" r="CV35"/>
  <c i="12" r="CX35" s="1"/>
  <c i="12" l="1" r="CY35"/>
  <c i="12" r="DD35" s="1"/>
  <c i="12" r="CZ35"/>
  <c i="12" r="CV36"/>
  <c i="12" r="CX36" s="1"/>
  <c i="12" l="1" r="CY36"/>
  <c i="12" r="CZ36"/>
  <c i="12" r="CV37"/>
  <c i="12" r="CX37" s="1"/>
  <c i="12" l="1" r="CY37"/>
  <c i="12" r="CZ37"/>
  <c i="12" r="CV38"/>
  <c i="12" r="CX38" s="1"/>
  <c i="12" l="1" r="CY38"/>
  <c i="12" r="DD38" s="1"/>
  <c i="12" r="CZ38"/>
  <c i="12" r="CV39"/>
  <c i="12" r="CX39" s="1"/>
  <c i="12" l="1" r="CY39"/>
  <c i="12" r="DD39" s="1"/>
  <c i="12" r="CZ39"/>
  <c i="12" r="CV40"/>
  <c i="12" r="CX40" s="1"/>
  <c i="12" l="1" r="CY40"/>
  <c i="12" r="CZ40"/>
  <c i="12" r="CV41"/>
  <c i="12" r="CX41" s="1"/>
  <c i="12" l="1" r="CY41"/>
  <c i="12" r="DD41" s="1"/>
  <c i="12" r="CZ41"/>
  <c i="12" r="CV42"/>
  <c i="12" r="CX42" s="1"/>
  <c i="12" l="1" r="CY42"/>
  <c i="12" r="CZ42"/>
  <c i="12" r="CV43"/>
  <c i="12" r="CX43" s="1"/>
  <c i="12" l="1" r="CY43"/>
  <c i="12" r="CZ43"/>
  <c i="12" r="CV44"/>
  <c i="12" r="CX44" s="1"/>
  <c i="12" l="1" r="CY44"/>
  <c i="12" r="CZ44"/>
  <c i="12" r="CV45"/>
  <c i="12" r="CX45" s="1"/>
  <c i="12" l="1" r="CY45"/>
  <c i="12" r="CZ45"/>
  <c i="12" r="CV46"/>
  <c i="12" r="CX46" s="1"/>
  <c i="12" l="1" r="CY46"/>
  <c i="12" r="CZ46"/>
  <c i="12" r="CV47"/>
  <c i="12" r="CX47" s="1"/>
  <c i="12" l="1" r="CY47"/>
  <c i="12" r="CZ47"/>
  <c i="12" r="CV48"/>
  <c i="12" r="CX48" s="1"/>
  <c i="12" l="1" r="CY48"/>
  <c i="12" r="CZ48"/>
  <c i="12" r="CV49"/>
  <c i="12" r="CX49" s="1"/>
  <c i="12" l="1" r="CY49"/>
  <c i="12" r="CZ49"/>
  <c i="12" r="CV50"/>
  <c i="12" r="CX50" s="1"/>
  <c i="12" l="1" r="CY50"/>
  <c i="12" r="CZ50"/>
  <c i="12" r="CV51"/>
  <c i="12" r="CX51" s="1"/>
  <c i="12" l="1" r="CY51"/>
  <c i="12" r="CZ51"/>
  <c i="12" r="CV52"/>
  <c i="12" r="CX52" s="1"/>
  <c i="12" l="1" r="CY52"/>
  <c i="12" r="CZ52"/>
  <c i="12" r="CV53"/>
  <c i="12" r="CX53" s="1"/>
  <c i="12" l="1" r="CY53"/>
  <c i="12" r="CZ53"/>
  <c i="12" r="CV54"/>
  <c i="12" r="CX54" s="1"/>
  <c i="12" l="1" r="CY54"/>
  <c i="12" r="CZ54"/>
  <c i="12" r="CV55"/>
  <c i="12" r="CX55" s="1"/>
  <c i="12" l="1" r="CY55"/>
  <c i="12" r="DD55" s="1"/>
  <c i="12" r="CZ55"/>
  <c i="12" r="CV56"/>
  <c i="12" r="CX56" s="1"/>
  <c i="12" l="1" r="CY56"/>
  <c i="12" r="CZ56"/>
  <c i="12" r="CV57"/>
  <c i="12" r="CX57" s="1"/>
  <c i="12" l="1" r="CY57"/>
  <c i="12" r="CZ57"/>
  <c i="12" r="CV58"/>
  <c i="12" r="CX58" s="1"/>
  <c i="12" l="1" r="CY58"/>
  <c i="12" r="DD58" s="1"/>
  <c i="12" r="CZ58"/>
  <c i="12" r="CV59"/>
  <c i="12" r="CX59" s="1"/>
  <c i="12" l="1" r="CY59"/>
  <c i="12" r="CZ59"/>
  <c i="12" r="CV60"/>
  <c i="12" r="CX60" s="1"/>
  <c i="12" l="1" r="CY60"/>
  <c i="12" r="CZ60"/>
  <c i="12" r="CV61"/>
  <c i="12" r="CX61" s="1"/>
  <c i="12" l="1" r="CY61"/>
  <c i="12" r="DD61" s="1"/>
  <c i="12" r="CZ61"/>
  <c i="12" r="CV62"/>
  <c i="12" r="CX62" s="1"/>
  <c i="12" l="1" r="CY62"/>
  <c i="12" r="CZ62"/>
  <c i="12" r="CV63"/>
  <c i="12" r="CX63" s="1"/>
  <c i="12" l="1" r="CY63"/>
  <c i="12" r="CZ63"/>
  <c i="12" r="CV64"/>
  <c i="12" r="CX64" s="1"/>
  <c i="12" l="1" r="CY64"/>
  <c i="12" r="CZ64"/>
  <c i="12" r="CV65"/>
  <c i="12" r="CX65" s="1"/>
  <c i="12" l="1" r="CY65"/>
  <c i="12" r="CZ65"/>
  <c i="12" r="CV66"/>
  <c i="12" r="CX66" s="1"/>
  <c i="12" l="1" r="CY66"/>
  <c i="12" r="CZ66"/>
  <c i="12" r="CV67"/>
  <c i="12" r="CX67" s="1"/>
  <c i="12" l="1" r="CY67"/>
  <c i="12" r="CZ67"/>
  <c i="12" r="CV68"/>
  <c i="12" r="CX68" s="1"/>
  <c i="12" l="1" r="CY68"/>
  <c i="12" r="CZ68"/>
  <c i="12" r="CV69"/>
  <c i="12" r="CX69" s="1"/>
  <c i="12" l="1" r="CY69"/>
  <c i="12" r="CZ69"/>
  <c i="12" r="CV70"/>
  <c i="12" r="CX70" s="1"/>
  <c i="12" l="1" r="CY70"/>
  <c i="12" r="CZ70"/>
  <c i="12" r="CV71"/>
  <c i="12" r="CX71" s="1"/>
  <c i="12" l="1" r="CY71"/>
  <c i="12" r="CZ71"/>
  <c i="12" r="CV72"/>
  <c i="12" r="CX72" s="1"/>
  <c i="12" l="1" r="CY72"/>
  <c i="12" r="CZ72"/>
  <c i="12" r="CV73"/>
  <c i="12" r="CX73" s="1"/>
  <c i="12" l="1" r="CY73"/>
  <c i="12" r="DD73" s="1"/>
  <c i="12" r="CZ73"/>
  <c i="12" r="CV74"/>
  <c i="12" r="CX74" s="1"/>
  <c i="12" l="1" r="CY74"/>
  <c i="12" r="CZ74"/>
  <c i="12" r="CV75"/>
  <c i="12" r="CX75" s="1"/>
  <c i="12" l="1" r="CY75"/>
  <c i="12" r="DD75" s="1"/>
  <c i="12" r="CZ75"/>
  <c i="12" r="CV76"/>
  <c i="12" r="CX76" s="1"/>
  <c i="12" l="1" r="CY76"/>
  <c i="12" r="CZ76"/>
  <c i="12" r="CV77"/>
  <c i="12" r="CX77" s="1"/>
  <c i="12" l="1" r="CY77"/>
  <c i="12" r="CZ77"/>
  <c i="12" r="CV78"/>
  <c i="12" r="CX78" s="1"/>
  <c i="12" l="1" r="CY78"/>
  <c i="12" r="DD78" s="1"/>
  <c i="12" r="CZ78"/>
  <c i="12" r="CV79"/>
  <c i="12" r="CX79" s="1"/>
  <c i="12" l="1" r="CY79"/>
  <c i="12" r="DD79" s="1"/>
  <c i="12" r="CZ79"/>
  <c i="12" r="CV80"/>
  <c i="12" r="CX80" s="1"/>
  <c i="12" l="1" r="CY80"/>
  <c i="12" r="CZ80"/>
  <c i="12" r="CV81"/>
  <c i="12" r="CX81" s="1"/>
  <c i="12" l="1" r="CY81"/>
  <c i="12" r="DD81" s="1"/>
  <c i="12" r="CZ81"/>
  <c i="12" r="CV82"/>
  <c i="12" r="CX82" s="1"/>
  <c i="12" l="1" r="CY82"/>
  <c i="12" r="CZ82"/>
  <c i="12" r="CV83"/>
  <c i="12" r="CX83" s="1"/>
  <c i="12" l="1" r="CY83"/>
  <c i="12" r="CZ83"/>
  <c i="12" r="CV84"/>
  <c i="12" r="CX84" s="1"/>
  <c i="12" l="1" r="CY84"/>
  <c i="12" r="CZ84"/>
  <c i="12" r="CV85"/>
  <c i="12" r="CX85" s="1"/>
  <c i="12" l="1" r="CY85"/>
  <c i="12" r="CZ85"/>
  <c i="12" r="CV86"/>
  <c i="12" r="CX86" s="1"/>
  <c i="12" l="1" r="CY86"/>
  <c i="12" r="CZ86"/>
  <c i="12" r="CV87"/>
  <c i="12" r="CX87" s="1"/>
  <c i="12" l="1" r="CY87"/>
  <c i="12" r="CZ87"/>
  <c i="12" r="CV88"/>
  <c i="12" r="CX88" s="1"/>
  <c i="12" l="1" r="CY88"/>
  <c i="12" r="CZ88"/>
  <c i="12" r="CV89"/>
  <c i="12" r="CX89" s="1"/>
  <c i="12" l="1" r="CY89"/>
  <c i="12" r="CZ89"/>
  <c i="12" r="CV90"/>
  <c i="12" r="CX90" s="1"/>
  <c i="12" l="1" r="CY90"/>
  <c i="12" r="CZ90"/>
  <c i="12" r="CV91"/>
  <c i="12" r="CX91" s="1"/>
  <c i="12" l="1" r="CY91"/>
  <c i="12" r="CZ91"/>
  <c i="12" r="CV92"/>
  <c i="12" r="CX92" s="1"/>
  <c i="12" l="1" r="CY92"/>
  <c i="12" r="CZ92"/>
  <c i="12" r="CV93"/>
  <c i="12" r="CX93" s="1"/>
  <c i="12" l="1" r="CY93"/>
  <c i="12" r="CZ93"/>
  <c i="12" r="CV94"/>
  <c i="12" r="CX94" s="1"/>
  <c i="12" l="1" r="CY94"/>
  <c i="12" r="CZ94"/>
  <c i="12" r="CV95"/>
  <c i="12" r="CX95" s="1"/>
  <c i="12" l="1" r="CY95"/>
  <c i="12" r="CZ95"/>
  <c i="12" r="CV96"/>
  <c i="12" r="CX96" s="1"/>
  <c i="12" l="1" r="CY96"/>
  <c i="12" r="CZ96"/>
  <c i="12" r="CV97"/>
  <c i="12" r="CX97" s="1"/>
  <c i="12" l="1" r="CY97"/>
  <c i="12" r="CZ97"/>
  <c i="12" r="CV98"/>
  <c i="12" r="CX98" s="1"/>
  <c i="12" l="1" r="CY98"/>
  <c i="12" r="CZ98"/>
  <c i="12" r="CV99"/>
  <c i="12" r="CX99" s="1"/>
  <c i="12" l="1" r="CY99"/>
  <c i="12" r="CZ99"/>
  <c i="12" r="CV100"/>
  <c i="12" r="CX100" s="1"/>
  <c i="12" l="1" r="CY100"/>
  <c i="12" r="CZ100"/>
  <c i="12" r="CV101"/>
  <c i="12" r="CX101" s="1"/>
  <c i="12" l="1" r="CY101"/>
  <c i="12" r="DD101" s="1"/>
  <c i="12" r="CZ101"/>
  <c i="12" r="CV102"/>
  <c i="12" r="CX102" s="1"/>
  <c i="12" l="1" r="CY102"/>
  <c i="12" r="CZ102"/>
  <c i="12" r="CV103"/>
  <c i="12" r="CX103" s="1"/>
  <c i="12" l="1" r="CY103"/>
  <c i="12" r="DD103" s="1"/>
  <c i="12" r="CZ103"/>
  <c i="12" r="CV104"/>
  <c i="12" r="CX104" s="1"/>
  <c i="12" l="1" r="CY104"/>
  <c i="12" r="CZ104"/>
  <c i="12" r="CV105"/>
  <c i="12" r="CX105" s="1"/>
  <c i="12" l="1" r="CY105"/>
  <c i="12" r="CZ105"/>
  <c i="12" r="CV106"/>
  <c i="12" r="CX106" s="1"/>
  <c i="12" l="1" r="CY106"/>
  <c i="12" r="CZ106"/>
  <c i="12" r="CV107"/>
  <c i="12" r="CX107" s="1"/>
  <c i="12" l="1" r="CY107"/>
  <c i="12" r="CZ107"/>
  <c i="12" r="CV108"/>
  <c i="12" r="CX108" s="1"/>
  <c i="12" l="1" r="CY108"/>
  <c i="12" r="CZ108"/>
  <c i="12" r="CV109"/>
  <c i="12" r="CX109" s="1"/>
  <c i="12" l="1" r="CY109"/>
  <c i="12" r="DD109" s="1"/>
  <c i="12" r="CZ109"/>
  <c i="12" r="CV110"/>
  <c i="12" r="CX110" s="1"/>
  <c i="12" l="1" r="CY110"/>
  <c i="12" r="CZ110"/>
  <c i="12" r="CV111"/>
  <c i="12" r="CX111" s="1"/>
  <c i="12" l="1" r="CY111"/>
  <c i="12" r="CZ111"/>
  <c i="12" r="CV112"/>
  <c i="12" r="CX112" s="1"/>
  <c i="12" l="1" r="CY112"/>
  <c i="12" r="CZ112"/>
  <c i="12" r="CV113"/>
  <c i="12" r="CX113" s="1"/>
  <c i="12" l="1" r="CY113"/>
  <c i="12" r="CZ113"/>
  <c i="12" r="CV114"/>
  <c i="12" r="CX114" s="1"/>
  <c i="12" l="1" r="CY114"/>
  <c i="12" r="CZ114"/>
  <c i="12" r="CV115"/>
  <c i="12" r="CX115" s="1"/>
  <c i="12" l="1" r="CY115"/>
  <c i="12" r="DD115" s="1"/>
  <c i="12" r="CZ115"/>
  <c i="12" r="CV116"/>
  <c i="12" r="CX116" s="1"/>
  <c i="12" l="1" r="CY116"/>
  <c i="12" r="DD116" s="1"/>
  <c i="12" r="CZ116"/>
  <c i="12" r="CV117"/>
  <c i="12" r="CX117" s="1"/>
  <c i="12" l="1" r="CY117"/>
  <c i="12" r="CZ117"/>
  <c i="12" r="CV118"/>
  <c i="12" r="CX118" s="1"/>
  <c i="12" l="1" r="CY118"/>
  <c i="12" r="DD118" s="1"/>
  <c i="12" r="CZ118"/>
  <c i="12" r="CV119"/>
  <c i="12" r="CX119" s="1"/>
  <c i="12" l="1" r="CY119"/>
  <c i="12" r="DD119" s="1"/>
  <c i="12" r="CZ119"/>
  <c i="12" r="CV120"/>
  <c i="12" r="CX120" s="1"/>
  <c i="12" l="1" r="CY120"/>
  <c i="12" r="CZ120"/>
  <c i="12" r="CV121"/>
  <c i="12" r="CX121" s="1"/>
  <c i="12" l="1" r="CZ121"/>
  <c i="12" r="CY121"/>
  <c i="12" r="DD121" s="1"/>
  <c i="12" r="CV122"/>
  <c i="12" r="CX122" s="1"/>
  <c i="12" l="1" r="CY122"/>
  <c i="12" r="CZ122"/>
  <c i="12" r="CV123"/>
  <c i="12" r="CX123" s="1"/>
  <c i="12" l="1" r="CY123"/>
  <c i="12" r="CZ123"/>
  <c i="12" r="CV124"/>
  <c i="12" r="CX124" s="1"/>
  <c i="12" l="1" r="CY124"/>
  <c i="12" r="CZ124"/>
  <c i="12" r="CV125"/>
  <c i="12" r="CX125" s="1"/>
  <c i="12" l="1" r="CY125"/>
  <c i="12" r="CZ125"/>
  <c i="12" r="CV126"/>
  <c i="12" r="CX126" s="1"/>
  <c i="12" l="1" r="CY126"/>
  <c i="12" r="CZ126"/>
  <c i="12" r="CV127"/>
  <c i="12" r="CX127" s="1"/>
  <c i="12" l="1" r="CY127"/>
  <c i="12" r="CZ127"/>
  <c i="12" r="CV128"/>
  <c i="12" r="CX128" s="1"/>
  <c i="12" l="1" r="CY128"/>
  <c i="12" r="CZ128"/>
  <c i="12" r="CV129"/>
  <c i="12" r="CX129" s="1"/>
  <c i="12" l="1" r="CY129"/>
  <c i="12" r="CZ129"/>
  <c i="12" r="CV130"/>
  <c i="12" r="CX130" s="1"/>
  <c i="12" l="1" r="CY130"/>
  <c i="12" r="CZ130"/>
  <c i="12" r="CV131"/>
  <c i="12" r="CX131" s="1"/>
  <c i="12" l="1" r="CY131"/>
  <c i="12" r="CZ131"/>
  <c i="12" r="CV132"/>
  <c i="12" r="CX132" s="1"/>
  <c i="12" l="1" r="CY132"/>
  <c i="12" r="CZ132"/>
  <c i="12" r="CV133"/>
  <c i="12" r="CX133" s="1"/>
  <c i="12" l="1" r="CY133"/>
  <c i="12" r="CZ133"/>
  <c i="12" r="CV134"/>
  <c i="12" r="CX134" s="1"/>
  <c i="12" l="1" r="CY134"/>
  <c i="12" r="CZ134"/>
  <c i="12" r="CV135"/>
  <c i="12" r="CX135" s="1"/>
  <c i="12" l="1" r="CY135"/>
  <c i="12" r="DD135" s="1"/>
  <c i="12" r="CZ135"/>
  <c i="12" r="CV136"/>
  <c i="12" r="CX136" s="1"/>
  <c i="12" l="1" r="CY136"/>
  <c i="12" r="DD136" s="1"/>
  <c i="12" r="CZ136"/>
  <c i="12" r="CV137"/>
  <c i="12" r="CX137" s="1"/>
  <c i="12" l="1" r="CY137"/>
  <c i="12" r="DD137" s="1"/>
  <c i="12" r="CZ137"/>
  <c i="12" r="CV138"/>
  <c i="12" r="CX138" s="1"/>
  <c i="12" l="1" r="CY138"/>
  <c i="12" r="DD138" s="1"/>
  <c i="12" r="CZ138"/>
  <c i="12" r="CV139"/>
  <c i="12" r="CX139" s="1"/>
  <c i="12" l="1" r="CY139"/>
  <c i="12" r="CZ139"/>
  <c i="12" r="CV140"/>
  <c i="12" r="CX140" s="1"/>
  <c i="12" l="1" r="CY140"/>
  <c i="12" r="DD140" s="1"/>
  <c i="12" r="CZ140"/>
  <c i="12" r="CV141"/>
  <c i="12" r="CX141" s="1"/>
  <c i="12" l="1" r="CY141"/>
  <c i="12" r="DD141" s="1"/>
  <c i="12" r="CZ141"/>
  <c i="12" r="CV142"/>
  <c i="12" r="CX142" s="1"/>
  <c i="12" l="1" r="CY142"/>
  <c i="12" r="CZ142"/>
  <c i="12" r="CV143"/>
  <c i="12" r="CX143" s="1"/>
  <c i="12" l="1" r="CY143"/>
  <c i="12" r="CZ143"/>
  <c i="12" r="CV144"/>
  <c i="12" r="CX144" s="1"/>
  <c i="12" l="1" r="CY144"/>
  <c i="12" r="CZ144"/>
  <c i="12" r="CV145"/>
  <c i="12" r="CX145" s="1"/>
  <c i="12" l="1" r="CY145"/>
  <c i="12" r="CZ145"/>
  <c i="12" r="CV146"/>
  <c i="12" r="CX146" s="1"/>
  <c i="12" l="1" r="CY146"/>
  <c i="12" r="CZ146"/>
  <c i="12" r="CV147"/>
  <c i="12" r="CX147" s="1"/>
  <c i="12" l="1" r="CY147"/>
  <c i="12" r="DD147" s="1"/>
  <c i="12" r="CZ147"/>
  <c i="12" r="CV148"/>
  <c i="12" r="CX148" s="1"/>
  <c i="12" l="1" r="CY148"/>
  <c i="12" r="CZ148"/>
  <c i="12" r="CV149"/>
  <c i="12" r="CX149" s="1"/>
  <c i="12" l="1" r="CY149"/>
  <c i="12" r="CZ149"/>
  <c i="12" r="CV150"/>
  <c i="12" r="CX150" s="1"/>
  <c i="12" l="1" r="CY150"/>
  <c i="12" r="CZ150"/>
  <c i="12" r="CV151"/>
  <c i="12" r="CX151" s="1"/>
  <c i="12" l="1" r="CY151"/>
  <c i="12" r="DD151" s="1"/>
  <c i="12" r="CZ151"/>
  <c i="12" r="CV152"/>
  <c i="12" r="CX152" s="1"/>
  <c i="12" l="1" r="CY152"/>
  <c i="12" r="CZ152"/>
  <c i="12" r="CV153"/>
  <c i="12" r="CX153" s="1"/>
  <c i="12" l="1" r="CY153"/>
  <c i="12" r="DD153" s="1"/>
  <c i="12" r="CZ153"/>
  <c i="12" r="CV154"/>
  <c i="12" r="CX154" s="1"/>
  <c i="12" l="1" r="CY154"/>
  <c i="12" r="CZ154"/>
  <c i="12" r="CV155"/>
  <c i="12" r="CX155" s="1"/>
  <c i="12" l="1" r="CY155"/>
  <c i="12" r="CZ155"/>
  <c i="12" r="CV156"/>
  <c i="12" r="CX156" s="1"/>
  <c i="12" l="1" r="CY156"/>
  <c i="12" r="CZ156"/>
  <c i="12" r="CV157"/>
  <c i="12" r="CX157" s="1"/>
  <c i="12" l="1" r="CY157"/>
  <c i="12" r="DD157" s="1"/>
  <c i="12" r="CZ157"/>
  <c i="12" r="CV158"/>
  <c i="12" r="CX158" s="1"/>
  <c i="12" l="1" r="CY158"/>
  <c i="12" r="DD158" s="1"/>
  <c i="12" r="CZ158"/>
  <c i="12" r="CV159"/>
  <c i="12" r="CX159" s="1"/>
  <c i="12" l="1" r="CY159"/>
  <c i="12" r="DD159" s="1"/>
  <c i="12" r="CZ159"/>
  <c i="12" r="CV160"/>
  <c i="12" r="CX160" s="1"/>
  <c i="12" l="1" r="CY160"/>
  <c i="12" r="CZ160"/>
  <c i="12" r="CV161"/>
  <c i="12" r="CX161" s="1"/>
  <c i="12" l="1" r="CZ161"/>
  <c i="12" r="CY161"/>
  <c i="12" r="DD161" s="1"/>
  <c i="12" r="CV162"/>
  <c i="12" r="CX162" s="1"/>
  <c i="12" l="1" r="CZ162"/>
  <c i="12" r="CY162"/>
  <c i="12" r="CV163"/>
  <c i="12" r="CX163" s="1"/>
  <c i="12" l="1" r="CY163"/>
  <c i="12" r="CZ163"/>
  <c i="12" r="CV164"/>
  <c i="12" r="CX164" s="1"/>
  <c i="12" l="1" r="CY164"/>
  <c i="12" r="CZ164"/>
  <c i="12" r="CV165"/>
  <c i="12" r="CX165" s="1"/>
  <c i="12" l="1" r="CY165"/>
  <c i="12" r="CZ165"/>
  <c i="12" r="CV166"/>
  <c i="12" r="CX166" s="1"/>
  <c i="12" l="1" r="CY166"/>
  <c i="12" r="CZ166"/>
  <c i="12" r="CV167"/>
  <c i="12" r="CX167" s="1"/>
  <c i="12" l="1" r="CY167"/>
  <c i="12" r="CZ167"/>
  <c i="12" r="CV168"/>
  <c i="12" r="CX168" s="1"/>
  <c i="12" l="1" r="CY168"/>
  <c i="12" r="CZ168"/>
  <c i="12" r="CV169"/>
  <c i="12" r="CX169" s="1"/>
  <c i="12" l="1" r="CY169"/>
  <c i="12" r="CZ169"/>
  <c i="12" r="CV170"/>
  <c i="12" r="CX170" s="1"/>
  <c i="12" l="1" r="CY170"/>
  <c i="12" r="CZ170"/>
  <c i="12" r="CV171"/>
  <c i="12" r="CX171" s="1"/>
  <c i="12" l="1" r="CY171"/>
  <c i="12" r="CZ171"/>
  <c i="12" r="CV172"/>
  <c i="12" r="CX172" s="1"/>
  <c i="12" l="1" r="CY172"/>
  <c i="12" r="CZ172"/>
  <c i="12" r="CV173"/>
  <c i="12" r="CX173" s="1"/>
  <c i="12" l="1" r="CY173"/>
  <c i="12" r="CZ173"/>
  <c i="12" r="CV174"/>
  <c i="12" r="CX174" s="1"/>
  <c i="12" l="1" r="CY174"/>
  <c i="12" r="CZ174"/>
  <c i="12" r="CV175"/>
  <c i="12" r="CX175" s="1"/>
  <c i="12" l="1" r="CY175"/>
  <c i="12" r="DD175" s="1"/>
  <c i="12" r="CZ175"/>
  <c i="12" r="CV176"/>
  <c i="12" r="CX176" s="1"/>
  <c i="12" l="1" r="CY176"/>
  <c i="12" r="CZ176"/>
  <c i="12" r="CV177"/>
  <c i="12" r="CX177" s="1"/>
  <c i="12" l="1" r="CY177"/>
  <c i="12" r="CZ177"/>
  <c i="12" r="CV178"/>
  <c i="12" r="CX178" s="1"/>
  <c i="12" l="1" r="CY178"/>
  <c i="12" r="DD178" s="1"/>
  <c i="12" r="CZ178"/>
  <c i="12" r="CV179"/>
  <c i="12" r="CX179" s="1"/>
  <c i="12" l="1" r="CY179"/>
  <c i="12" r="CZ179"/>
  <c i="12" r="CV180"/>
  <c i="12" r="CX180" s="1"/>
  <c i="12" l="1" r="CY180"/>
  <c i="12" r="CZ180"/>
  <c i="12" r="CV181"/>
  <c i="12" r="CX181" s="1"/>
  <c i="12" l="1" r="CY181"/>
  <c i="12" r="DD181" s="1"/>
  <c i="12" r="CZ181"/>
  <c i="12" r="CV182"/>
  <c i="12" r="CX182" s="1"/>
  <c i="12" l="1" r="CY182"/>
  <c i="12" r="CZ182"/>
  <c i="12" r="CV183"/>
  <c i="12" r="CX183" s="1"/>
  <c i="12" l="1" r="CY183"/>
  <c i="12" r="CZ183"/>
  <c i="12" r="CV184"/>
  <c i="12" r="CX184" s="1"/>
  <c i="12" l="1" r="CY184"/>
  <c i="12" r="CZ184"/>
  <c i="12" r="CV185"/>
  <c i="12" r="CX185" s="1"/>
  <c i="12" l="1" r="CY185"/>
  <c i="12" r="CZ185"/>
  <c i="12" r="CV186"/>
  <c i="12" r="CX186" s="1"/>
  <c i="12" l="1" r="CY186"/>
  <c i="12" r="CZ186"/>
  <c i="12" r="CV187"/>
  <c i="12" r="CX187" s="1"/>
  <c i="12" l="1" r="CY187"/>
  <c i="12" r="CZ187"/>
  <c i="12" r="CV188"/>
  <c i="12" r="CX188" s="1"/>
  <c i="12" l="1" r="CY188"/>
  <c i="12" r="CZ188"/>
  <c i="12" r="CV189"/>
  <c i="12" r="CX189" s="1"/>
  <c i="12" l="1" r="CY189"/>
  <c i="12" r="DD189" s="1"/>
  <c i="12" r="CZ189"/>
  <c i="12" r="CV190"/>
  <c i="12" r="CX190" s="1"/>
  <c i="12" l="1" r="CY190"/>
  <c i="12" r="CZ190"/>
  <c i="12" r="CV191"/>
  <c i="12" r="CX191" s="1"/>
  <c i="12" l="1" r="CY191"/>
  <c i="12" r="CZ191"/>
  <c i="12" r="CV192"/>
  <c i="12" r="CX192" s="1"/>
  <c i="12" l="1" r="CY192"/>
  <c i="12" r="CZ192"/>
  <c i="12" r="CV193"/>
  <c i="12" r="CX193" s="1"/>
  <c i="12" l="1" r="CY193"/>
  <c i="12" r="CZ193"/>
  <c i="12" r="CV194"/>
  <c i="12" r="CX194" s="1"/>
  <c i="12" l="1" r="CY194"/>
  <c i="12" r="CZ194"/>
  <c i="12" r="CV195"/>
  <c i="12" r="CX195" s="1"/>
  <c i="12" l="1" r="CY195"/>
  <c i="12" r="CZ195"/>
  <c i="12" r="CV196"/>
  <c i="12" r="CX196" s="1"/>
  <c i="12" l="1" r="CY196"/>
  <c i="12" r="CZ196"/>
  <c i="12" r="CV197"/>
  <c i="12" r="CX197" s="1"/>
  <c i="12" l="1" r="CY197"/>
  <c i="12" r="CZ197"/>
  <c i="12" r="CV198"/>
  <c i="12" r="CX198" s="1"/>
  <c i="12" l="1" r="CY198"/>
  <c i="12" r="DD198" s="1"/>
  <c i="12" r="CZ198"/>
  <c i="12" r="CV199"/>
  <c i="12" r="CX199" s="1"/>
  <c i="12" l="1" r="CY199"/>
  <c i="12" r="DD199" s="1"/>
  <c i="12" r="CZ199"/>
  <c i="12" r="CV200"/>
  <c i="12" r="CX200" s="1"/>
  <c i="12" l="1" r="CY200"/>
  <c i="12" r="CZ200"/>
  <c i="12" r="CV201"/>
  <c i="12" r="CX201" s="1"/>
  <c i="12" l="1" r="CY201"/>
  <c i="12" r="DD201" s="1"/>
  <c i="12" r="CZ201"/>
  <c i="12" r="CV202"/>
  <c i="12" r="CX202" s="1"/>
  <c i="12" l="1" r="CY202"/>
  <c i="12" r="CZ202"/>
  <c i="12" r="CV203"/>
  <c i="12" r="CX203" s="1"/>
  <c i="12" l="1" r="CY203"/>
  <c i="12" r="CZ203"/>
  <c i="12" r="CV204"/>
  <c i="12" r="CX204" s="1"/>
  <c i="12" l="1" r="CY204"/>
  <c i="12" r="CZ204"/>
  <c i="12" r="CV205"/>
  <c i="12" r="CX205" s="1"/>
  <c i="12" l="1" r="CY205"/>
  <c i="12" r="CZ205"/>
  <c i="12" r="CV206"/>
  <c i="12" r="CX206" s="1"/>
  <c i="12" l="1" r="CY206"/>
  <c i="12" r="CZ206"/>
  <c i="12" r="CV207"/>
  <c i="12" r="CX207" s="1"/>
  <c i="12" l="1" r="CY207"/>
  <c i="12" r="CZ207"/>
  <c i="12" r="CV208"/>
  <c i="12" r="CX208" s="1"/>
  <c i="12" l="1" r="CY208"/>
  <c i="12" r="CZ208"/>
  <c i="12" r="CV209"/>
  <c i="12" r="CX209" s="1"/>
  <c i="12" l="1" r="CY209"/>
  <c i="12" r="CZ209"/>
  <c i="12" r="CV210"/>
  <c i="12" r="CX210" s="1"/>
  <c i="12" l="1" r="CY210"/>
  <c i="12" r="CZ210"/>
  <c i="12" r="CV211"/>
  <c i="12" r="CX211" s="1"/>
  <c i="12" l="1" r="CY211"/>
  <c i="12" r="CZ211"/>
  <c i="12" r="CV212"/>
  <c i="12" r="CX212" s="1"/>
  <c i="12" l="1" r="CY212"/>
  <c i="12" r="CZ212"/>
  <c i="12" r="CV213"/>
  <c i="12" r="CX213" s="1"/>
  <c i="12" l="1" r="CY213"/>
  <c i="12" r="DD213" s="1"/>
  <c i="12" r="CZ213"/>
  <c i="12" r="CV214"/>
  <c i="12" r="CX214" s="1"/>
  <c i="12" l="1" r="CY214"/>
  <c i="12" r="DD214" s="1"/>
  <c i="12" r="CZ214"/>
  <c i="12" r="CV215"/>
  <c i="12" r="CX215" s="1"/>
  <c i="12" l="1" r="CY215"/>
  <c i="12" r="DD215" s="1"/>
  <c i="12" r="CZ215"/>
  <c i="12" r="CV216"/>
  <c i="12" r="CX216" s="1"/>
  <c i="12" l="1" r="CY216"/>
  <c i="12" r="DD216" s="1"/>
  <c i="12" r="CZ216"/>
  <c i="12" r="CV217"/>
  <c i="12" r="CX217" s="1"/>
  <c i="12" l="1" r="CY217"/>
  <c i="12" r="CZ217"/>
  <c i="12" r="CV218"/>
  <c i="12" r="CX218" s="1"/>
  <c i="12" l="1" r="CY218"/>
  <c i="12" r="CZ218"/>
  <c i="12" r="CV219"/>
  <c i="12" r="CX219" s="1"/>
  <c i="12" l="1" r="CY219"/>
  <c i="12" r="DD219" s="1"/>
  <c i="12" r="CZ219"/>
  <c i="12" r="CV220"/>
  <c i="12" r="CX220" s="1"/>
  <c i="12" l="1" r="CY220"/>
  <c i="12" r="CZ220"/>
  <c i="12" r="CV221"/>
  <c i="12" r="CX221" s="1"/>
  <c i="12" l="1" r="CY221"/>
  <c i="12" r="DD221" s="1"/>
  <c i="12" r="CZ221"/>
  <c i="12" r="CV222"/>
  <c i="12" r="CX222" s="1"/>
  <c i="12" l="1" r="CY222"/>
  <c i="12" r="CZ222"/>
  <c i="12" r="CV223"/>
  <c i="12" r="CX223" s="1"/>
  <c i="12" l="1" r="CY223"/>
  <c i="12" r="DD223" s="1"/>
  <c i="12" r="CZ223"/>
  <c i="12" r="CV224"/>
  <c i="12" r="CX224" s="1"/>
  <c i="12" l="1" r="CY224"/>
  <c i="12" r="CZ224"/>
  <c i="12" r="CV225"/>
  <c i="12" r="CX225" s="1"/>
  <c i="12" l="1" r="CY225"/>
  <c i="12" r="DD225" s="1"/>
  <c i="12" r="CZ225"/>
  <c i="12" r="CV226"/>
  <c i="12" r="CX226" s="1"/>
  <c i="12" l="1" r="CY226"/>
  <c i="12" r="CZ226"/>
  <c i="12" r="CV227"/>
  <c i="12" r="CX227" s="1"/>
  <c i="12" l="1" r="CY227"/>
  <c i="12" r="CZ227"/>
  <c i="12" r="CV228"/>
  <c i="12" r="CX228" s="1"/>
  <c i="12" l="1" r="CY228"/>
  <c i="12" r="CZ228"/>
  <c i="12" r="CV229"/>
  <c i="12" r="CX229" s="1"/>
  <c i="12" l="1" r="CY229"/>
  <c i="12" r="DD229" s="1"/>
  <c i="12" r="CZ229"/>
  <c i="12" r="CV230"/>
  <c i="12" r="CX230" s="1"/>
  <c i="12" l="1" r="CY230"/>
  <c i="12" r="CZ230"/>
  <c i="12" r="CV231"/>
  <c i="12" r="CX231" s="1"/>
  <c i="12" l="1" r="CY231"/>
  <c i="12" r="CZ231"/>
  <c i="12" r="CV232"/>
  <c i="12" r="CX232" s="1"/>
  <c i="12" l="1" r="CY232"/>
  <c i="12" r="DD232" s="1"/>
  <c i="12" r="CZ232"/>
  <c i="12" r="CV233"/>
  <c i="12" r="CX233" s="1"/>
  <c i="12" l="1" r="CY233"/>
  <c i="12" r="CZ233"/>
  <c i="12" r="CV234"/>
  <c i="12" r="CX234" s="1"/>
  <c i="12" l="1" r="CY234"/>
  <c i="12" r="CZ234"/>
  <c i="12" r="CV235"/>
  <c i="12" r="CX235" s="1"/>
  <c i="12" l="1" r="CY235"/>
  <c i="12" r="DD235" s="1"/>
  <c i="12" r="CZ235"/>
  <c i="12" r="CV236"/>
  <c i="12" r="CX236" s="1"/>
  <c i="12" l="1" r="CY236"/>
  <c i="12" r="DD236" s="1"/>
  <c i="12" r="CZ236"/>
  <c i="12" r="CV237"/>
  <c i="12" r="CX237" s="1"/>
  <c i="12" l="1" r="CY237"/>
  <c i="12" r="CZ237"/>
  <c i="12" r="CV238"/>
  <c i="12" r="CX238" s="1"/>
  <c i="12" l="1" r="CY238"/>
  <c i="12" r="DD238" s="1"/>
  <c i="12" r="CZ238"/>
  <c i="12" r="CV239"/>
  <c i="12" r="CX239" s="1"/>
  <c i="12" l="1" r="CY239"/>
  <c i="12" r="CZ239"/>
  <c i="12" r="CV240"/>
  <c i="12" r="CX240" s="1"/>
  <c i="12" l="1" r="CY240"/>
  <c i="12" r="CZ240"/>
  <c i="12" r="CV241"/>
  <c i="12" r="CX241" s="1"/>
  <c i="12" l="1" r="CZ241"/>
  <c i="12" r="CY241"/>
  <c i="12" r="DD241" s="1"/>
  <c i="12" r="CV242"/>
  <c i="12" r="CX242" s="1"/>
  <c i="12" l="1" r="CZ242"/>
  <c i="12" r="CY242"/>
  <c i="12" r="CV243"/>
  <c i="12" r="CX243" s="1"/>
  <c i="12" l="1" r="CY243"/>
  <c i="12" r="CZ243"/>
  <c i="12" r="CV244"/>
  <c i="12" r="CX244" s="1"/>
  <c i="12" l="1" r="CY244"/>
  <c i="12" r="CZ244"/>
  <c i="12" r="CV245"/>
  <c i="12" r="CX245" s="1"/>
  <c i="12" l="1" r="CY245"/>
  <c i="12" r="CZ245"/>
  <c i="12" r="CV246"/>
  <c i="12" r="CX246" s="1"/>
  <c i="12" l="1" r="CY246"/>
  <c i="12" r="CZ246"/>
  <c i="12" r="CV247"/>
  <c i="12" r="CX247" s="1"/>
  <c i="12" l="1" r="CY247"/>
  <c i="12" r="CZ247"/>
  <c i="12" r="CV248"/>
  <c i="12" r="CX248" s="1"/>
  <c i="12" l="1" r="CY248"/>
  <c i="12" r="CZ248"/>
  <c i="12" r="CV249"/>
  <c i="12" r="CX249" s="1"/>
  <c i="12" l="1" r="CY249"/>
  <c i="12" r="CZ249"/>
  <c i="12" r="CV250"/>
  <c i="12" r="CX250" s="1"/>
  <c i="12" l="1" r="CY250"/>
  <c i="12" r="CZ250"/>
  <c i="12" r="CV251"/>
  <c i="12" r="CX251" s="1"/>
  <c i="12" l="1" r="CY251"/>
  <c i="12" r="CZ251"/>
  <c i="12" r="CV252"/>
  <c i="12" r="CX252" s="1"/>
  <c i="12" l="1" r="CY252"/>
  <c i="12" r="DD252" s="1"/>
  <c i="12" r="CZ252"/>
  <c i="12" r="CV253"/>
  <c i="12" r="CX253" s="1"/>
  <c i="12" l="1" r="CY253"/>
  <c i="12" r="DD253" s="1"/>
  <c i="12" r="CZ253"/>
  <c i="12" r="CV254"/>
  <c i="12" r="CX254" s="1"/>
  <c i="12" l="1" r="CY254"/>
  <c i="12" r="CZ254"/>
  <c i="12" r="CV255"/>
  <c i="12" r="CX255" s="1"/>
  <c i="12" l="1" r="CY255"/>
  <c i="12" r="CZ255"/>
  <c i="12" r="CV256"/>
  <c i="12" r="CX256" s="1"/>
  <c i="12" l="1" r="CY256"/>
  <c i="12" r="CZ256"/>
  <c i="12" r="CV257"/>
  <c i="12" r="CX257" s="1"/>
  <c i="12" l="1" r="CY257"/>
  <c i="12" r="DD257" s="1"/>
  <c i="12" r="CZ257"/>
  <c i="12" r="CV258"/>
  <c i="12" r="CX258" s="1"/>
  <c i="12" l="1" r="CY258"/>
  <c i="12" r="DD258" s="1"/>
  <c i="12" r="CZ258"/>
  <c i="12" r="CV259"/>
  <c i="12" r="CX259" s="1"/>
  <c i="12" l="1" r="CY259"/>
  <c i="12" r="CZ259"/>
  <c i="12" r="CV260"/>
  <c i="12" r="CX260" s="1"/>
  <c i="12" l="1" r="CY260"/>
  <c i="12" r="DD260" s="1"/>
  <c i="12" r="CZ260"/>
  <c i="12" r="CV261"/>
  <c i="12" r="CX261" s="1"/>
  <c i="12" l="1" r="CY261"/>
  <c i="12" r="DD261" s="1"/>
  <c i="12" r="CZ261"/>
  <c i="12" r="CV262"/>
  <c i="12" r="CX262" s="1"/>
  <c i="12" l="1" r="CY262"/>
  <c i="12" r="DD262" s="1"/>
  <c i="12" r="CZ262"/>
  <c i="12" r="CV263"/>
  <c i="12" r="CX263" s="1"/>
  <c i="12" l="1" r="CY263"/>
  <c i="12" r="DD263" s="1"/>
  <c i="12" r="CZ263"/>
  <c i="12" r="CV264"/>
  <c i="12" r="CX264" s="1"/>
  <c i="12" l="1" r="CY264"/>
  <c i="12" r="DD264" s="1"/>
  <c i="12" r="CZ264"/>
  <c i="12" r="CV265"/>
  <c i="12" r="CX265" s="1"/>
  <c i="12" l="1" r="CY265"/>
  <c i="12" r="DD265" s="1"/>
  <c i="12" r="CZ265"/>
  <c i="12" r="CV266"/>
  <c i="12" r="CX266" s="1"/>
  <c i="12" l="1" r="CY266"/>
  <c i="12" r="CZ266"/>
  <c i="12" r="CV267"/>
  <c i="12" r="CX267" s="1"/>
  <c i="12" l="1" r="CY267"/>
  <c i="12" r="DD267" s="1"/>
  <c i="12" r="CZ267"/>
  <c i="12" r="CV268"/>
  <c i="12" r="CX268" s="1"/>
  <c i="12" l="1" r="CY268"/>
  <c i="12" r="DD268" s="1"/>
  <c i="12" r="CZ268"/>
  <c i="12" r="CV269"/>
  <c i="12" r="CX269" s="1"/>
  <c i="12" l="1" r="CY269"/>
  <c i="12" r="CZ269"/>
  <c i="12" r="CV270"/>
  <c i="12" r="CX270" s="1"/>
  <c i="12" l="1" r="CY270"/>
  <c i="12" r="DD270" s="1"/>
  <c i="12" r="CZ270"/>
  <c i="12" r="CV271"/>
  <c i="12" r="CX271" s="1"/>
  <c i="12" l="1" r="CY271"/>
  <c i="12" r="CZ271"/>
  <c i="12" r="CV272"/>
  <c i="12" r="CX272" s="1"/>
  <c i="12" l="1" r="CY272"/>
  <c i="12" r="DD272" s="1"/>
  <c i="12" r="CZ272"/>
  <c i="12" r="CV273"/>
  <c i="12" r="CX273" s="1"/>
  <c i="12" l="1" r="CY273"/>
  <c i="12" r="DD273" s="1"/>
  <c i="12" r="CZ273"/>
  <c i="12" r="CV274"/>
  <c i="12" r="CX274" s="1"/>
  <c i="12" l="1" r="CY274"/>
  <c i="12" r="CZ274"/>
  <c i="12" r="CV275"/>
  <c i="12" r="CX275" s="1"/>
  <c i="12" l="1" r="CY275"/>
  <c i="12" r="CZ275"/>
  <c i="12" r="CV276"/>
  <c i="12" r="CX276" s="1"/>
  <c i="12" l="1" r="CY276"/>
  <c i="12" r="DD276" s="1"/>
  <c i="12" r="CZ276"/>
  <c i="12" r="CV277"/>
  <c i="12" r="CX277" s="1"/>
  <c i="12" l="1" r="CY277"/>
  <c i="12" r="CZ277"/>
  <c i="12" r="CV278"/>
  <c i="12" r="CX278" s="1"/>
  <c i="12" l="1" r="CY278"/>
  <c i="12" r="CZ278"/>
  <c i="12" r="CV279"/>
  <c i="12" r="CX279" s="1"/>
  <c i="12" l="1" r="CY279"/>
  <c i="12" r="DD279" s="1"/>
  <c i="12" r="CZ279"/>
  <c i="12" r="CV280"/>
  <c i="12" r="CX280" s="1"/>
  <c i="12" l="1" r="CY280"/>
  <c i="12" r="DD280" s="1"/>
  <c i="12" r="CZ280"/>
  <c i="12" r="CV281"/>
  <c i="12" r="CX281" s="1"/>
  <c i="12" l="1" r="CZ281"/>
  <c i="12" r="CY281"/>
  <c i="12" r="DD281" s="1"/>
  <c i="12" r="CV282"/>
  <c i="12" r="CX282" s="1"/>
  <c i="12" l="1" r="CZ282"/>
  <c i="12" r="CY282"/>
  <c i="12" r="CV283"/>
  <c i="12" r="CX283" s="1"/>
  <c i="12" l="1" r="CY283"/>
  <c i="12" r="CZ283"/>
  <c i="12" r="CV284"/>
  <c i="12" r="CX284" s="1"/>
  <c i="12" l="1" r="CY284"/>
  <c i="12" r="CZ284"/>
  <c i="12" r="CV285"/>
  <c i="12" r="CX285" s="1"/>
  <c i="12" l="1" r="CY285"/>
  <c i="12" r="CZ285"/>
  <c i="12" r="CV286"/>
  <c i="12" r="CX286" s="1"/>
  <c i="12" l="1" r="CY286"/>
  <c i="12" r="CZ286"/>
  <c i="12" r="CV287"/>
  <c i="12" r="CX287" s="1"/>
  <c i="12" l="1" r="CY287"/>
  <c i="12" r="DD287" s="1"/>
  <c i="12" r="CZ287"/>
  <c i="12" r="CV288"/>
  <c i="12" r="CX288" s="1"/>
  <c i="12" l="1" r="CY288"/>
  <c i="12" r="DD288" s="1"/>
  <c i="12" r="CZ288"/>
  <c i="12" r="CV289"/>
  <c i="12" r="CX289" s="1"/>
  <c i="12" l="1" r="CY289"/>
  <c i="12" r="CZ289"/>
  <c i="12" r="CV290"/>
  <c i="12" r="CX290" s="1"/>
  <c i="12" l="1" r="CY290"/>
  <c i="12" r="CZ290"/>
  <c i="12" r="CV291"/>
  <c i="12" r="CX291" s="1"/>
  <c i="12" l="1" r="CY291"/>
  <c i="12" r="CZ291"/>
  <c i="12" r="CV292"/>
  <c i="12" r="CX292" s="1"/>
  <c i="12" l="1" r="CY292"/>
  <c i="12" r="DD292" s="1"/>
  <c i="12" r="CZ292"/>
  <c i="12" r="CV293"/>
  <c i="12" r="CX293" s="1"/>
  <c i="12" l="1" r="CY293"/>
  <c i="12" r="DD293" s="1"/>
  <c i="12" r="CZ293"/>
  <c i="12" r="CV294"/>
  <c i="12" r="CX294" s="1"/>
  <c i="12" l="1" r="CY294"/>
  <c i="12" r="CZ294"/>
  <c i="12" r="CV295"/>
  <c i="12" r="CX295" s="1"/>
  <c i="12" l="1" r="CY295"/>
  <c i="12" r="DD295" s="1"/>
  <c i="12" r="CZ295"/>
  <c i="12" r="CV296"/>
  <c i="12" r="CX296" s="1"/>
  <c i="12" l="1" r="CY296"/>
  <c i="12" r="CZ296"/>
  <c i="12" r="CV297"/>
  <c i="12" r="CX297" s="1"/>
  <c i="12" l="1" r="CY297"/>
  <c i="12" r="CZ297"/>
  <c i="12" r="CV298"/>
  <c i="12" r="CX298" s="1"/>
  <c i="12" l="1" r="CY298"/>
  <c i="12" r="DD298" s="1"/>
  <c i="12" r="CZ298"/>
  <c i="12" r="CV299"/>
  <c i="12" r="CX299" s="1"/>
  <c i="12" l="1" r="CY299"/>
  <c i="12" r="CZ299"/>
  <c i="12" r="CV300"/>
  <c i="12" r="CX300" s="1"/>
  <c i="12" l="1" r="CY300"/>
  <c i="12" r="DD300" s="1"/>
  <c i="12" r="CZ300"/>
  <c i="12" r="CV301"/>
  <c i="12" r="CX301" s="1"/>
  <c i="12" l="1" r="CY301"/>
  <c i="12" r="DD301" s="1"/>
  <c i="12" r="CZ301"/>
  <c i="12" r="CV302"/>
  <c i="12" r="CX302" s="1"/>
  <c i="12" l="1" r="CY302"/>
  <c i="12" r="CZ302"/>
  <c i="12" r="CV303"/>
  <c i="12" r="CX303" s="1"/>
  <c i="12" l="1" r="CY303"/>
  <c i="12" r="CZ303"/>
  <c i="12" r="CV304"/>
  <c i="12" r="CX304" s="1"/>
  <c i="12" l="1" r="CY304"/>
  <c i="12" r="CZ304"/>
  <c i="12" r="CV305"/>
  <c i="12" r="CX305" s="1"/>
  <c i="12" l="1" r="CY305"/>
  <c i="12" r="CZ305"/>
  <c i="12" r="CV306"/>
  <c i="12" r="CX306" s="1"/>
  <c i="12" l="1" r="CY306"/>
  <c i="12" r="CZ306"/>
  <c i="12" r="CV307"/>
  <c i="12" r="CX307" s="1"/>
  <c i="12" l="1" r="CY307"/>
  <c i="12" r="CZ307"/>
  <c i="12" r="CV308"/>
  <c i="12" r="CX308" s="1"/>
  <c i="12" l="1" r="CY308"/>
  <c i="12" r="DD308" s="1"/>
  <c i="12" r="CZ308"/>
  <c i="12" r="CV309"/>
  <c i="12" r="CX309" s="1"/>
  <c i="12" l="1" r="CY309"/>
  <c i="12" r="DD309" s="1"/>
  <c i="12" r="CZ309"/>
  <c i="12" r="CV310"/>
  <c i="12" r="CX310" s="1"/>
  <c i="12" l="1" r="CY310"/>
  <c i="12" r="CZ310"/>
  <c i="12" r="CV311"/>
  <c i="12" r="CX311" s="1"/>
  <c i="12" l="1" r="CY311"/>
  <c i="12" r="CZ311"/>
  <c i="12" r="CV312"/>
  <c i="12" r="CX312" s="1"/>
  <c i="12" l="1" r="CY312"/>
  <c i="12" r="CZ312"/>
  <c i="12" r="CV313"/>
  <c i="12" r="CX313" s="1"/>
  <c i="12" l="1" r="CY313"/>
  <c i="12" r="CZ313"/>
  <c i="12" r="CV314"/>
  <c i="12" r="CX314" s="1"/>
  <c i="12" l="1" r="CY314"/>
  <c i="12" r="DD314" s="1"/>
  <c i="12" r="CZ314"/>
  <c i="12" r="CV315"/>
  <c i="12" r="CX315" s="1"/>
  <c i="12" l="1" r="CY315"/>
  <c i="12" r="CZ315"/>
  <c i="12" r="CV316"/>
  <c i="12" r="CX316" s="1"/>
  <c i="12" l="1" r="CY316"/>
  <c i="12" r="CZ316"/>
  <c i="12" r="CV317"/>
  <c i="12" r="CX317" s="1"/>
  <c i="12" l="1" r="CY317"/>
  <c i="12" r="CZ317"/>
  <c i="12" r="CV318"/>
  <c i="12" r="CX318" s="1"/>
  <c i="12" l="1" r="CY318"/>
  <c i="12" r="DD318" s="1"/>
  <c i="12" r="CZ318"/>
  <c i="12" r="CV319"/>
  <c i="12" r="CX319" s="1"/>
  <c i="12" l="1" r="CY319"/>
  <c i="12" r="CZ319"/>
  <c i="12" r="CV320"/>
  <c i="12" r="CX320" s="1"/>
  <c i="12" l="1" r="CY320"/>
  <c i="12" r="DD320" s="1"/>
  <c i="12" r="CZ320"/>
  <c i="12" r="CV321"/>
  <c i="12" r="CX321" s="1"/>
  <c i="12" l="1" r="CZ321"/>
  <c i="12" r="CY321"/>
  <c i="12" r="DD321" s="1"/>
  <c i="12" r="CV322"/>
  <c i="12" r="CX322" s="1"/>
  <c i="12" l="1" r="CY322"/>
  <c i="12" r="DD322" s="1"/>
  <c i="12" r="CZ322"/>
  <c i="12" r="CV323"/>
  <c i="12" r="CX323" s="1"/>
  <c i="12" l="1" r="CY323"/>
  <c i="12" r="DD323" s="1"/>
  <c i="12" r="CZ323"/>
  <c i="12" r="CV324"/>
  <c i="12" r="CX324" s="1"/>
  <c i="12" l="1" r="CY324"/>
  <c i="12" r="DD324" s="1"/>
  <c i="12" r="CZ324"/>
  <c i="12" r="CV325"/>
  <c i="12" r="CX325" s="1"/>
  <c i="12" l="1" r="CY325"/>
  <c i="12" r="DD325" s="1"/>
  <c i="12" r="CZ325"/>
  <c i="12" r="CV326"/>
  <c i="12" r="CX326" s="1"/>
  <c i="12" l="1" r="CY326"/>
  <c i="12" r="CZ326"/>
  <c i="12" r="CV327"/>
  <c i="12" r="CX327" s="1"/>
  <c i="12" l="1" r="CY327"/>
  <c i="12" r="DD327" s="1"/>
  <c i="12" r="CZ327"/>
  <c i="12" r="CV328"/>
  <c i="12" r="CX328" s="1"/>
  <c i="12" l="1" r="CY328"/>
  <c i="12" r="DD328" s="1"/>
  <c i="12" r="CZ328"/>
  <c i="12" r="CV329"/>
  <c i="12" r="CX329" s="1"/>
  <c i="12" l="1" r="CY329"/>
  <c i="12" r="DD329" s="1"/>
  <c i="12" r="CZ329"/>
  <c i="12" r="CV330"/>
  <c i="12" r="CX330" s="1"/>
  <c i="12" l="1" r="CY330"/>
  <c i="12" r="DD330" s="1"/>
  <c i="12" r="CZ330"/>
  <c i="12" r="CV331"/>
  <c i="12" r="CX331" s="1"/>
  <c i="12" l="1" r="CY331"/>
  <c i="12" r="DD331" s="1"/>
  <c i="12" r="CZ331"/>
  <c i="12" r="CV332"/>
  <c i="12" r="CX332" s="1"/>
  <c i="12" l="1" r="CY332"/>
  <c i="12" r="CZ332"/>
  <c i="12" r="CV333"/>
  <c i="12" r="CX333" s="1"/>
  <c i="12" l="1" r="CY333"/>
  <c i="12" r="DD333" s="1"/>
  <c i="12" r="CZ333"/>
  <c i="12" r="CV334"/>
  <c i="12" r="CX334" s="1"/>
  <c i="12" l="1" r="CY334"/>
  <c i="12" r="DD334" s="1"/>
  <c i="12" r="CZ334"/>
  <c i="12" r="CV335"/>
  <c i="12" r="CX335" s="1"/>
  <c i="12" l="1" r="CY335"/>
  <c i="12" r="CZ335"/>
  <c i="12" r="CV336"/>
  <c i="12" r="CX336" s="1"/>
  <c i="12" l="1" r="CY336"/>
  <c i="12" r="DD336" s="1"/>
  <c i="12" r="CZ336"/>
  <c i="12" r="CV337"/>
  <c i="12" r="CX337" s="1"/>
  <c i="12" l="1" r="CY337"/>
  <c i="12" r="DD337" s="1"/>
  <c i="12" r="CZ337"/>
  <c i="12" r="CV338"/>
  <c i="12" r="CX338" s="1"/>
  <c i="12" l="1" r="CY338"/>
  <c i="12" r="CZ338"/>
  <c i="12" r="CV339"/>
  <c i="12" r="CX339" s="1"/>
  <c i="12" l="1" r="CY339"/>
  <c i="12" r="DD339" s="1"/>
  <c i="12" r="CZ339"/>
  <c i="12" r="CV340"/>
  <c i="12" r="CX340" s="1"/>
  <c i="12" l="1" r="CY340"/>
  <c i="12" r="CZ340"/>
  <c i="12" r="CV341"/>
  <c i="12" r="CX341" s="1"/>
  <c i="12" l="1" r="CY341"/>
  <c i="12" r="DD341" s="1"/>
  <c i="12" r="CZ341"/>
  <c i="12" r="CV342"/>
  <c i="12" r="CX342" s="1"/>
  <c i="12" l="1" r="CY342"/>
  <c i="12" r="CZ342"/>
  <c i="12" r="CV343"/>
  <c i="12" r="CX343" s="1"/>
  <c i="12" l="1" r="CY343"/>
  <c i="12" r="DD343" s="1"/>
  <c i="12" r="CZ343"/>
  <c i="12" r="CV344"/>
  <c i="12" r="CX344" s="1"/>
  <c i="12" l="1" r="CY344"/>
  <c i="12" r="CZ344"/>
  <c i="12" r="CV345"/>
  <c i="12" r="CX345" s="1"/>
  <c i="12" l="1" r="CY345"/>
  <c i="12" r="DD345" s="1"/>
  <c i="12" r="CZ345"/>
  <c i="12" r="CV346"/>
  <c i="12" r="CX346" s="1"/>
  <c i="12" l="1" r="CY346"/>
  <c i="12" r="CZ346"/>
  <c i="12" r="CV347"/>
  <c i="12" r="CX347" s="1"/>
  <c i="12" l="1" r="CY347"/>
  <c i="12" r="DD347" s="1"/>
  <c i="12" r="CZ347"/>
  <c i="12" r="CV348"/>
  <c i="12" r="CX348" s="1"/>
  <c i="12" l="1" r="CY348"/>
  <c i="12" r="CZ348"/>
  <c i="12" r="CV349"/>
  <c i="12" r="CX349" s="1"/>
  <c i="12" l="1" r="CY349"/>
  <c i="12" r="DD349" s="1"/>
  <c i="12" r="CZ349"/>
  <c i="12" r="CV350"/>
  <c i="12" r="CX350" s="1"/>
  <c i="12" l="1" r="CY350"/>
  <c i="12" r="DD350" s="1"/>
  <c i="12" r="CZ350"/>
  <c i="12" r="CV351"/>
  <c i="12" r="CX351" s="1"/>
  <c i="12" l="1" r="CY351"/>
  <c i="12" r="CZ351"/>
  <c i="12" r="CV352"/>
  <c i="12" r="CX352" s="1"/>
  <c i="12" l="1" r="CY352"/>
  <c i="12" r="DD352" s="1"/>
  <c i="12" r="CZ352"/>
  <c i="12" r="CV353"/>
  <c i="12" r="CX353" s="1"/>
  <c i="12" l="1" r="CY353"/>
  <c i="12" r="CZ353"/>
  <c i="12" r="CV354"/>
  <c i="12" r="CX354" s="1"/>
  <c i="12" l="1" r="CY354"/>
  <c i="12" r="CZ354"/>
  <c i="12" r="CV355"/>
  <c i="12" r="CX355" s="1"/>
  <c i="12" l="1" r="CY355"/>
  <c i="12" r="DD355" s="1"/>
  <c i="12" r="CZ355"/>
  <c i="12" r="CV356"/>
  <c i="12" r="CX356" s="1"/>
  <c i="12" l="1" r="CY356"/>
  <c i="12" r="CZ356"/>
  <c i="12" r="CV357"/>
  <c i="12" r="CX357" s="1"/>
  <c i="12" l="1" r="CY357"/>
  <c i="12" r="CZ357"/>
  <c i="12" r="CV358"/>
  <c i="12" r="CX358" s="1"/>
  <c i="12" l="1" r="CY358"/>
  <c i="12" r="DD358" s="1"/>
  <c i="12" r="CZ358"/>
  <c i="12" r="CV359"/>
  <c i="12" r="CX359" s="1"/>
  <c i="12" l="1" r="CY359"/>
  <c i="12" r="CZ359"/>
  <c i="12" r="CV360"/>
  <c i="12" r="CX360" s="1"/>
  <c i="12" l="1" r="CY360"/>
  <c i="12" r="CZ360"/>
  <c i="12" r="CV361"/>
  <c i="12" r="CX361" s="1"/>
  <c i="12" l="1" r="CZ361"/>
  <c i="12" r="CY361"/>
  <c i="12" r="CV362"/>
  <c i="12" r="CX362" s="1"/>
  <c i="12" l="1" r="CY362"/>
  <c i="12" r="CZ362"/>
  <c i="12" r="CV363"/>
  <c i="12" r="CX363" s="1"/>
  <c i="12" l="1" r="CY363"/>
  <c i="12" r="CZ363"/>
  <c i="12" r="CV364"/>
  <c i="12" r="CX364" s="1"/>
  <c i="12" l="1" r="CY364"/>
  <c i="12" r="CZ364"/>
  <c i="12" r="CV365"/>
  <c i="12" r="CX365" s="1"/>
  <c i="12" l="1" r="CY365"/>
  <c i="12" r="CZ365"/>
  <c i="12" r="CV366"/>
  <c i="12" r="CX366" s="1"/>
  <c i="12" l="1" r="CY366"/>
  <c i="12" r="CZ366"/>
  <c i="12" r="CV367"/>
  <c i="12" r="CX367" s="1"/>
  <c i="12" l="1" r="CY367"/>
  <c i="12" r="CZ367"/>
  <c i="12" r="CV368"/>
  <c i="12" r="CX368" s="1"/>
  <c i="12" l="1" r="CY368"/>
  <c i="12" r="DD368" s="1"/>
  <c i="12" r="CZ368"/>
  <c i="12" r="CV369"/>
  <c i="12" r="CX369" s="1"/>
  <c i="12" l="1" r="CY369"/>
  <c i="12" r="CZ369"/>
  <c i="12" r="CV370"/>
  <c i="12" r="CX370" s="1"/>
  <c i="12" l="1" r="CY370"/>
  <c i="12" r="CZ370"/>
  <c i="12" r="CV371"/>
  <c i="12" r="CX371" s="1"/>
  <c i="12" l="1" r="CY371"/>
  <c i="12" r="DD371" s="1"/>
  <c i="12" r="CZ371"/>
  <c i="12" r="CV372"/>
  <c i="12" r="CX372" s="1"/>
  <c i="12" l="1" r="CY372"/>
  <c i="12" r="CZ372"/>
  <c i="12" r="CV373"/>
  <c i="12" r="CX373" s="1"/>
  <c i="12" l="1" r="CY373"/>
  <c i="12" r="CZ373"/>
  <c i="12" r="CV374"/>
  <c i="12" r="CX374" s="1"/>
  <c i="12" l="1" r="CY374"/>
  <c i="12" r="DD374" s="1"/>
  <c i="12" r="CZ374"/>
  <c i="12" r="CV375"/>
  <c i="12" r="CX375" s="1"/>
  <c i="12" l="1" r="CY375"/>
  <c i="12" r="DD375" s="1"/>
  <c i="12" r="CZ375"/>
  <c i="12" r="CV376"/>
  <c i="12" r="CX376" s="1"/>
  <c i="12" l="1" r="CY376"/>
  <c i="12" r="DD376" s="1"/>
  <c i="12" r="CZ376"/>
  <c i="12" r="CV377"/>
  <c i="12" r="CX377" s="1"/>
  <c i="12" l="1" r="CY377"/>
  <c i="12" r="DD377" s="1"/>
  <c i="12" r="CZ377"/>
  <c i="12" r="CV378"/>
  <c i="12" r="CX378" s="1"/>
  <c i="12" l="1" r="CY378"/>
  <c i="12" r="CZ378"/>
  <c i="12" r="CV379"/>
  <c i="12" r="CX379" s="1"/>
  <c i="12" l="1" r="CY379"/>
  <c i="12" r="CZ379"/>
  <c i="12" r="CV380"/>
  <c i="12" r="CX380" s="1"/>
  <c i="12" l="1" r="CY380"/>
  <c i="12" r="CZ380"/>
  <c i="12" r="CV381"/>
  <c i="12" r="CX381" s="1"/>
  <c i="12" l="1" r="CY381"/>
  <c i="12" r="DD381" s="1"/>
  <c i="12" r="CZ381"/>
  <c i="12" r="CV382"/>
  <c i="12" r="CX382" s="1"/>
  <c i="12" l="1" r="CY382"/>
  <c i="12" r="DD382" s="1"/>
  <c i="12" r="CZ382"/>
  <c i="12" r="CV383"/>
  <c i="12" r="CX383" s="1"/>
  <c i="12" l="1" r="CY383"/>
  <c i="12" r="DD383" s="1"/>
  <c i="12" r="CZ383"/>
  <c i="12" r="CV384"/>
  <c i="12" r="CX384" s="1"/>
  <c i="12" l="1" r="CY384"/>
  <c i="12" r="DD384" s="1"/>
  <c i="12" r="CZ384"/>
  <c i="12" r="CV385"/>
  <c i="12" r="CX385" s="1"/>
  <c i="12" l="1" r="CY385"/>
  <c i="12" r="DD385" s="1"/>
  <c i="12" r="CZ385"/>
  <c i="12" r="CV386"/>
  <c i="12" r="CX386" s="1"/>
  <c i="12" l="1" r="CY386"/>
  <c i="12" r="DD386" s="1"/>
  <c i="12" r="CZ386"/>
  <c i="12" r="CV387"/>
  <c i="12" r="CX387" s="1"/>
  <c i="12" l="1" r="CY387"/>
  <c i="12" r="DD387" s="1"/>
  <c i="12" r="CZ387"/>
  <c i="12" r="CV388"/>
  <c i="12" r="CX388" s="1"/>
  <c i="12" l="1" r="CY388"/>
  <c i="12" r="DD388" s="1"/>
  <c i="12" r="CZ388"/>
  <c i="12" r="CV389"/>
  <c i="12" r="CX389" s="1"/>
  <c i="12" l="1" r="CY389"/>
  <c i="12" r="DD389" s="1"/>
  <c i="12" r="CZ389"/>
  <c i="12" r="CV390"/>
  <c i="12" r="CX390" s="1"/>
  <c i="12" l="1" r="CY390"/>
  <c i="12" r="DD390" s="1"/>
  <c i="12" r="CZ390"/>
  <c i="12" r="CV391"/>
  <c i="12" r="CX391" s="1"/>
  <c i="12" l="1" r="CY391"/>
  <c i="12" r="DD391" s="1"/>
  <c i="12" r="CZ391"/>
  <c i="12" r="CV392"/>
  <c i="12" r="CX392" s="1"/>
  <c i="12" l="1" r="CY392"/>
  <c i="12" r="DD392" s="1"/>
  <c i="12" r="CZ392"/>
  <c i="12" r="CV393"/>
  <c i="12" r="CX393" s="1"/>
  <c i="12" l="1" r="CY393"/>
  <c i="12" r="DD393" s="1"/>
  <c i="12" r="CZ393"/>
  <c i="12" r="CV394"/>
  <c i="12" r="CX394" s="1"/>
  <c i="12" l="1" r="CY394"/>
  <c i="12" r="DD394" s="1"/>
  <c i="12" r="CZ394"/>
  <c i="12" r="CV395"/>
  <c i="12" r="CX395" s="1"/>
  <c i="12" l="1" r="CY395"/>
  <c i="12" r="DD395" s="1"/>
  <c i="12" r="CZ395"/>
  <c i="12" r="CV396"/>
  <c i="12" r="CX396" s="1"/>
  <c i="12" l="1" r="CY396"/>
  <c i="12" r="DD396" s="1"/>
  <c i="12" r="CZ396"/>
  <c i="12" r="CV397"/>
  <c i="12" r="CX397" s="1"/>
  <c i="12" l="1" r="CY397"/>
  <c i="12" r="DD397" s="1"/>
  <c i="12" r="CZ397"/>
  <c i="12" r="CV398"/>
  <c i="12" r="CX398" s="1"/>
  <c i="12" l="1" r="CY398"/>
  <c i="12" r="DD398" s="1"/>
  <c i="12" r="CZ398"/>
  <c i="12" r="CV399"/>
  <c i="12" r="CX399" s="1"/>
  <c i="12" l="1" r="CY399"/>
  <c i="12" r="CZ399"/>
  <c i="12" r="CV400"/>
  <c i="12" r="CX400" s="1"/>
  <c i="12" l="1" r="DA400"/>
  <c i="12" r="DB400"/>
  <c i="12" r="DB398"/>
  <c i="12" r="DA398"/>
  <c i="12" r="DB396"/>
  <c i="12" r="DA396"/>
  <c i="12" r="DB394"/>
  <c i="12" r="DA394"/>
  <c i="12" r="DB392"/>
  <c i="12" r="DA392"/>
  <c i="12" r="CY400"/>
  <c i="12" r="DD400" s="1"/>
  <c i="12" r="CZ400"/>
  <c i="12" r="CV401"/>
  <c i="12" r="CX401" s="1"/>
  <c i="12" l="1" r="DE392"/>
  <c i="12" r="DE394"/>
  <c i="12" r="DE398"/>
  <c i="12" r="DC400"/>
  <c i="12" r="DE396"/>
  <c i="12" r="DE400"/>
  <c i="12" r="DB3"/>
  <c i="12" r="DB4"/>
  <c i="12" r="DB5"/>
  <c i="12" r="DB2"/>
  <c i="12" r="DB6"/>
  <c i="12" r="DA6"/>
  <c i="12" r="DA5"/>
  <c i="12" r="DA4"/>
  <c i="12" r="DA2"/>
  <c i="12" r="DB7"/>
  <c i="12" r="DA3"/>
  <c i="12" r="DA7"/>
  <c i="12" r="DA8"/>
  <c i="12" r="DA10"/>
  <c i="12" r="DA9"/>
  <c i="12" r="DB9"/>
  <c i="12" r="DB8"/>
  <c i="12" r="DA11"/>
  <c i="12" r="DA12"/>
  <c i="12" r="DB10"/>
  <c i="12" r="DB11"/>
  <c i="12" r="DB12"/>
  <c i="12" r="DA13"/>
  <c i="12" r="DB13"/>
  <c i="12" r="DB14"/>
  <c i="12" r="DA14"/>
  <c i="12" r="DB15"/>
  <c i="12" r="DA15"/>
  <c i="12" r="DA16"/>
  <c i="12" r="DB16"/>
  <c i="12" r="DA17"/>
  <c i="12" r="DB17"/>
  <c i="12" r="DA18"/>
  <c i="12" r="DE18" s="1"/>
  <c i="12" r="DB19"/>
  <c i="12" r="DC19" s="1"/>
  <c i="12" r="DD19" s="1"/>
  <c i="12" r="DA19"/>
  <c i="12" r="DB18"/>
  <c i="12" r="DB20"/>
  <c i="12" r="DB21"/>
  <c i="12" r="DA20"/>
  <c i="12" r="DB22"/>
  <c i="12" r="DA21"/>
  <c i="12" r="DE21" s="1"/>
  <c i="12" r="DA22"/>
  <c i="12" r="DE22" s="1"/>
  <c i="12" r="DB23"/>
  <c i="12" r="DA23"/>
  <c i="12" r="DA25"/>
  <c i="12" r="DB24"/>
  <c i="12" r="DA24"/>
  <c i="12" r="DA26"/>
  <c i="12" r="DB25"/>
  <c i="12" r="DB26"/>
  <c i="12" r="DA27"/>
  <c i="12" r="DB27"/>
  <c i="12" r="DB28"/>
  <c i="12" r="DA30"/>
  <c i="12" r="DB29"/>
  <c i="12" r="DB31"/>
  <c i="12" r="DA28"/>
  <c i="12" r="DA31"/>
  <c i="12" r="DB30"/>
  <c i="12" r="DA29"/>
  <c i="12" r="DA32"/>
  <c i="12" r="DB32"/>
  <c i="12" r="DB33"/>
  <c i="12" r="DB36"/>
  <c i="12" r="DA34"/>
  <c i="12" r="DB34"/>
  <c i="12" r="DA33"/>
  <c i="12" r="DB35"/>
  <c i="12" r="DA36"/>
  <c i="12" r="DA35"/>
  <c i="12" r="DB37"/>
  <c i="12" r="DA37"/>
  <c i="12" r="DA39"/>
  <c i="12" r="DE39" s="1"/>
  <c i="12" r="DA38"/>
  <c i="12" r="DB38"/>
  <c i="12" r="DB41"/>
  <c i="12" r="DB39"/>
  <c i="12" r="DA40"/>
  <c i="12" r="DB40"/>
  <c i="12" r="DA44"/>
  <c i="12" r="DA41"/>
  <c i="12" r="DB42"/>
  <c i="12" r="DC42" s="1"/>
  <c i="12" r="DD42" s="1"/>
  <c i="12" r="DA42"/>
  <c i="12" r="DA43"/>
  <c i="12" r="DB45"/>
  <c i="12" r="DB43"/>
  <c i="12" r="DB44"/>
  <c i="12" r="DC44" s="1"/>
  <c i="12" r="DD44" s="1"/>
  <c i="12" r="DA45"/>
  <c i="12" r="DA46"/>
  <c i="12" r="DB46"/>
  <c i="12" r="DA47"/>
  <c i="12" r="DB47"/>
  <c i="12" r="DA48"/>
  <c i="12" r="DB48"/>
  <c i="12" r="DA49"/>
  <c i="12" r="DB49"/>
  <c i="12" r="DB50"/>
  <c i="12" r="DA50"/>
  <c i="12" r="DB52"/>
  <c i="12" r="DA51"/>
  <c i="12" r="DA54"/>
  <c i="12" r="DA52"/>
  <c i="12" r="DA53"/>
  <c i="12" r="DB54"/>
  <c i="12" r="DB51"/>
  <c i="12" r="DB53"/>
  <c i="12" r="DA56"/>
  <c i="12" r="DA55"/>
  <c i="12" r="DB55"/>
  <c i="12" r="DB56"/>
  <c i="12" r="DB57"/>
  <c i="12" r="DB58"/>
  <c i="12" r="DA57"/>
  <c i="12" r="DA59"/>
  <c i="12" r="DE59" s="1"/>
  <c i="12" r="DB59"/>
  <c i="12" r="DB60"/>
  <c i="12" r="DA60"/>
  <c i="12" r="DA58"/>
  <c i="12" r="DB61"/>
  <c i="12" r="DA61"/>
  <c i="12" r="DA62"/>
  <c i="12" r="DE62" s="1"/>
  <c i="12" r="DA64"/>
  <c i="12" r="DA63"/>
  <c i="12" r="DB63"/>
  <c i="12" r="DB62"/>
  <c i="12" r="DB64"/>
  <c i="12" r="DA65"/>
  <c i="12" r="DB65"/>
  <c i="12" r="DB66"/>
  <c i="12" r="DA67"/>
  <c i="12" r="DB67"/>
  <c i="12" r="DA66"/>
  <c i="12" r="DA68"/>
  <c i="12" r="DB68"/>
  <c i="12" r="DA69"/>
  <c i="12" r="DB69"/>
  <c i="12" r="DA70"/>
  <c i="12" r="DB70"/>
  <c i="12" r="DA71"/>
  <c i="12" r="DB71"/>
  <c i="12" r="DA72"/>
  <c i="12" r="DB72"/>
  <c i="12" r="DB73"/>
  <c i="12" r="DB74"/>
  <c i="12" r="DA74"/>
  <c i="12" r="DA73"/>
  <c i="12" r="DB75"/>
  <c i="12" r="DB76"/>
  <c i="12" r="DA75"/>
  <c i="12" r="DA77"/>
  <c i="12" r="DB77"/>
  <c i="12" r="DA76"/>
  <c i="12" r="DA78"/>
  <c i="12" r="DE78" s="1"/>
  <c i="12" r="DB79"/>
  <c i="12" r="DC79" s="1"/>
  <c i="12" r="DA79"/>
  <c i="12" r="DB80"/>
  <c i="12" r="DB78"/>
  <c i="12" r="DA80"/>
  <c i="12" r="DB81"/>
  <c i="12" r="DA81"/>
  <c i="12" r="DB82"/>
  <c i="12" r="DC82" s="1"/>
  <c i="12" r="DD82" s="1"/>
  <c i="12" r="DA83"/>
  <c i="12" r="DE83" s="1"/>
  <c i="12" r="DB83"/>
  <c i="12" r="DA82"/>
  <c i="12" r="DB84"/>
  <c i="12" r="DA84"/>
  <c i="12" r="DA85"/>
  <c i="12" r="DB85"/>
  <c i="12" r="DB86"/>
  <c i="12" r="DA86"/>
  <c i="12" r="DA87"/>
  <c i="12" r="DB87"/>
  <c i="12" r="DB88"/>
  <c i="12" r="DA89"/>
  <c i="12" r="DB89"/>
  <c i="12" r="DA88"/>
  <c i="12" r="DA91"/>
  <c i="12" r="DB91"/>
  <c i="12" r="DB90"/>
  <c i="12" r="DA90"/>
  <c i="12" r="DB92"/>
  <c i="12" r="DA93"/>
  <c i="12" r="DB94"/>
  <c i="12" r="DA92"/>
  <c i="12" r="DA96"/>
  <c i="12" r="DA94"/>
  <c i="12" r="DB93"/>
  <c i="12" r="DB95"/>
  <c i="12" r="DB96"/>
  <c i="12" r="DA95"/>
  <c i="12" r="DB97"/>
  <c i="12" r="DA97"/>
  <c i="12" r="DA99"/>
  <c i="12" r="DB99"/>
  <c i="12" r="DA98"/>
  <c i="12" r="DB98"/>
  <c i="12" r="DB100"/>
  <c i="12" r="DB101"/>
  <c i="12" r="DA102"/>
  <c i="12" r="DB102"/>
  <c i="12" r="DA100"/>
  <c i="12" r="DE100" s="1"/>
  <c i="12" r="DA101"/>
  <c i="12" r="DE101" s="1"/>
  <c i="12" r="DB103"/>
  <c i="12" r="DA104"/>
  <c i="12" r="DA103"/>
  <c i="12" r="DA105"/>
  <c i="12" r="DB105"/>
  <c i="12" r="DB104"/>
  <c i="12" r="DB106"/>
  <c i="12" r="DA107"/>
  <c i="12" r="DB107"/>
  <c i="12" r="DA106"/>
  <c i="12" r="DB108"/>
  <c i="12" r="DB109"/>
  <c i="12" r="DA109"/>
  <c i="12" r="DA108"/>
  <c i="12" r="DB111"/>
  <c i="12" r="DA110"/>
  <c i="12" r="DB110"/>
  <c i="12" r="DA111"/>
  <c i="12" r="DA113"/>
  <c i="12" r="DB112"/>
  <c i="12" r="DA112"/>
  <c i="12" r="DA114"/>
  <c i="12" r="DB114"/>
  <c i="12" r="DB113"/>
  <c i="12" r="DB115"/>
  <c i="12" r="DB116"/>
  <c i="12" r="DA115"/>
  <c i="12" r="DA116"/>
  <c i="12" r="DB118"/>
  <c i="12" r="DB117"/>
  <c i="12" r="DA117"/>
  <c i="12" r="DA118"/>
  <c i="12" r="DB120"/>
  <c i="12" r="DB119"/>
  <c i="12" r="DA119"/>
  <c i="12" r="DB121"/>
  <c i="12" r="DB122"/>
  <c i="12" r="DA120"/>
  <c i="12" r="DA121"/>
  <c i="12" r="DE121" s="1"/>
  <c i="12" r="DA122"/>
  <c i="12" r="DE122" s="1"/>
  <c i="12" r="DB124"/>
  <c i="12" r="DA123"/>
  <c i="12" r="DB123"/>
  <c i="12" r="DA124"/>
  <c i="12" r="DA125"/>
  <c i="12" r="DB125"/>
  <c i="12" r="DB126"/>
  <c i="12" r="DA126"/>
  <c i="12" r="DB127"/>
  <c i="12" r="DA127"/>
  <c i="12" r="DB128"/>
  <c i="12" r="DB129"/>
  <c i="12" r="DA128"/>
  <c i="12" r="DB131"/>
  <c i="12" r="DB130"/>
  <c i="12" r="DA129"/>
  <c i="12" r="DA131"/>
  <c i="12" r="DA130"/>
  <c i="12" r="DA132"/>
  <c i="12" r="DB132"/>
  <c i="12" r="DB133"/>
  <c i="12" r="DA134"/>
  <c i="12" r="DA133"/>
  <c i="12" r="DB134"/>
  <c i="12" r="DB135"/>
  <c i="12" r="DA135"/>
  <c i="12" r="DA136"/>
  <c i="12" r="DB136"/>
  <c i="12" r="DA137"/>
  <c i="12" r="DB137"/>
  <c i="12" r="DB138"/>
  <c i="12" r="DA138"/>
  <c i="12" r="DB139"/>
  <c i="12" r="DA139"/>
  <c i="12" r="DA140"/>
  <c i="12" r="DB140"/>
  <c i="12" r="DB141"/>
  <c i="12" r="DA141"/>
  <c i="12" r="DB142"/>
  <c i="12" r="DA142"/>
  <c i="12" r="DB144"/>
  <c i="12" r="DA143"/>
  <c i="12" r="DE143" s="1"/>
  <c i="12" r="DA145"/>
  <c i="12" r="DB145"/>
  <c i="12" r="DB143"/>
  <c i="12" r="DB146"/>
  <c i="12" r="DA144"/>
  <c i="12" r="DA146"/>
  <c i="12" r="DA147"/>
  <c i="12" r="DB147"/>
  <c i="12" r="DA148"/>
  <c i="12" r="DB148"/>
  <c i="12" r="DA149"/>
  <c i="12" r="DB149"/>
  <c i="12" r="DA150"/>
  <c i="12" r="DB150"/>
  <c i="12" r="DB151"/>
  <c i="12" r="DA151"/>
  <c i="12" r="DA152"/>
  <c i="12" r="DB152"/>
  <c i="12" r="DA153"/>
  <c i="12" r="DB153"/>
  <c i="12" r="DA154"/>
  <c i="12" r="DB154"/>
  <c i="12" r="DA155"/>
  <c i="12" r="DB155"/>
  <c i="12" r="DA156"/>
  <c i="12" r="DB156"/>
  <c i="12" r="DA157"/>
  <c i="12" r="DB157"/>
  <c i="12" r="DA158"/>
  <c i="12" r="DB158"/>
  <c i="12" r="DA159"/>
  <c i="12" r="DB159"/>
  <c i="12" r="DA160"/>
  <c i="12" r="DB160"/>
  <c i="12" r="DA161"/>
  <c i="12" r="DB161"/>
  <c i="12" r="DB162"/>
  <c i="12" r="DA162"/>
  <c i="12" r="DB163"/>
  <c i="12" r="DA163"/>
  <c i="12" r="DA164"/>
  <c i="12" r="DB164"/>
  <c i="12" r="DB165"/>
  <c i="12" r="DA165"/>
  <c i="12" r="DA166"/>
  <c i="12" r="DB166"/>
  <c i="12" r="DA167"/>
  <c i="12" r="DB167"/>
  <c i="12" r="DA168"/>
  <c i="12" r="DB168"/>
  <c i="12" r="DA169"/>
  <c i="12" r="DB169"/>
  <c i="12" r="DA170"/>
  <c i="12" r="DB170"/>
  <c i="12" r="DB171"/>
  <c i="12" r="DA171"/>
  <c i="12" r="DB172"/>
  <c i="12" r="DA172"/>
  <c i="12" r="DA173"/>
  <c i="12" r="DB173"/>
  <c i="12" r="DB174"/>
  <c i="12" r="DA174"/>
  <c i="12" r="DB175"/>
  <c i="12" r="DA175"/>
  <c i="12" r="DB176"/>
  <c i="12" r="DA176"/>
  <c i="12" r="DB177"/>
  <c i="12" r="DA177"/>
  <c i="12" r="DA178"/>
  <c i="12" r="DB178"/>
  <c i="12" r="DB179"/>
  <c i="12" r="DA179"/>
  <c i="12" r="DB180"/>
  <c i="12" r="DA180"/>
  <c i="12" r="DA181"/>
  <c i="12" r="DB181"/>
  <c i="12" r="DB182"/>
  <c i="12" r="DA182"/>
  <c i="12" r="DB183"/>
  <c i="12" r="DA183"/>
  <c i="12" r="DB184"/>
  <c i="12" r="DA184"/>
  <c i="12" r="DB185"/>
  <c i="12" r="DA185"/>
  <c i="12" r="DB186"/>
  <c i="12" r="DA186"/>
  <c i="12" r="DB187"/>
  <c i="12" r="DA187"/>
  <c i="12" r="DB188"/>
  <c i="12" r="DA188"/>
  <c i="12" r="DB189"/>
  <c i="12" r="DA189"/>
  <c i="12" r="DA190"/>
  <c i="12" r="DB190"/>
  <c i="12" r="DB191"/>
  <c i="12" r="DA191"/>
  <c i="12" r="DB192"/>
  <c i="12" r="DA192"/>
  <c i="12" r="DB193"/>
  <c i="12" r="DA193"/>
  <c i="12" r="DB194"/>
  <c i="12" r="DA194"/>
  <c i="12" r="DB195"/>
  <c i="12" r="DA195"/>
  <c i="12" r="DB196"/>
  <c i="12" r="DA196"/>
  <c i="12" r="DB197"/>
  <c i="12" r="DA197"/>
  <c i="12" r="DB198"/>
  <c i="12" r="DA198"/>
  <c i="12" r="DB199"/>
  <c i="12" r="DA199"/>
  <c i="12" r="DA200"/>
  <c i="12" r="DB200"/>
  <c i="12" r="DA201"/>
  <c i="12" r="DB201"/>
  <c i="12" r="DB202"/>
  <c i="12" r="DA202"/>
  <c i="12" r="DB203"/>
  <c i="12" r="DA203"/>
  <c i="12" r="DB204"/>
  <c i="12" r="DA204"/>
  <c i="12" r="DB205"/>
  <c i="12" r="DA205"/>
  <c i="12" r="DB206"/>
  <c i="12" r="DA206"/>
  <c i="12" r="DB207"/>
  <c i="12" r="DA207"/>
  <c i="12" r="DB208"/>
  <c i="12" r="DA208"/>
  <c i="12" r="DB209"/>
  <c i="12" r="DA209"/>
  <c i="12" r="DB210"/>
  <c i="12" r="DA210"/>
  <c i="12" r="DB211"/>
  <c i="12" r="DA211"/>
  <c i="12" r="DB212"/>
  <c i="12" r="DA212"/>
  <c i="12" r="DB213"/>
  <c i="12" r="DA213"/>
  <c i="12" r="DB214"/>
  <c i="12" r="DA214"/>
  <c i="12" r="DB215"/>
  <c i="12" r="DA215"/>
  <c i="12" r="DB216"/>
  <c i="12" r="DA216"/>
  <c i="12" r="DB217"/>
  <c i="12" r="DA217"/>
  <c i="12" r="DB218"/>
  <c i="12" r="DA218"/>
  <c i="12" r="DB219"/>
  <c i="12" r="DA219"/>
  <c i="12" r="DB220"/>
  <c i="12" r="DA220"/>
  <c i="12" r="DB221"/>
  <c i="12" r="DA221"/>
  <c i="12" r="DB222"/>
  <c i="12" r="DA222"/>
  <c i="12" r="DB223"/>
  <c i="12" r="DA223"/>
  <c i="12" r="DB224"/>
  <c i="12" r="DA224"/>
  <c i="12" r="DB225"/>
  <c i="12" r="DA225"/>
  <c i="12" r="DB226"/>
  <c i="12" r="DA226"/>
  <c i="12" r="DB227"/>
  <c i="12" r="DA227"/>
  <c i="12" r="DB228"/>
  <c i="12" r="DA228"/>
  <c i="12" r="DB229"/>
  <c i="12" r="DA229"/>
  <c i="12" r="DB230"/>
  <c i="12" r="DA230"/>
  <c i="12" r="DB231"/>
  <c i="12" r="DA231"/>
  <c i="12" r="DB232"/>
  <c i="12" r="DA232"/>
  <c i="12" r="DB233"/>
  <c i="12" r="DA233"/>
  <c i="12" r="DB234"/>
  <c i="12" r="DA234"/>
  <c i="12" r="DB235"/>
  <c i="12" r="DA235"/>
  <c i="12" r="DB236"/>
  <c i="12" r="DA236"/>
  <c i="12" r="DB237"/>
  <c i="12" r="DA237"/>
  <c i="12" r="DB238"/>
  <c i="12" r="DA238"/>
  <c i="12" r="DB239"/>
  <c i="12" r="DA239"/>
  <c i="12" r="DB240"/>
  <c i="12" r="DA240"/>
  <c i="12" r="DA241"/>
  <c i="12" r="DB241"/>
  <c i="12" r="DB242"/>
  <c i="12" r="DA242"/>
  <c i="12" r="DB243"/>
  <c i="12" r="DA243"/>
  <c i="12" r="DB244"/>
  <c i="12" r="DA244"/>
  <c i="12" r="DB245"/>
  <c i="12" r="DA245"/>
  <c i="12" r="DB246"/>
  <c i="12" r="DA246"/>
  <c i="12" r="DB247"/>
  <c i="12" r="DA247"/>
  <c i="12" r="DB248"/>
  <c i="12" r="DA248"/>
  <c i="12" r="DB249"/>
  <c i="12" r="DA249"/>
  <c i="12" r="DB250"/>
  <c i="12" r="DA250"/>
  <c i="12" r="DB251"/>
  <c i="12" r="DA251"/>
  <c i="12" r="DB252"/>
  <c i="12" r="DA252"/>
  <c i="12" r="DB253"/>
  <c i="12" r="DA253"/>
  <c i="12" r="DB254"/>
  <c i="12" r="DA254"/>
  <c i="12" r="DB255"/>
  <c i="12" r="DA255"/>
  <c i="12" r="DB256"/>
  <c i="12" r="DA256"/>
  <c i="12" r="DB257"/>
  <c i="12" r="DA257"/>
  <c i="12" r="DB258"/>
  <c i="12" r="DA258"/>
  <c i="12" r="DB259"/>
  <c i="12" r="DA259"/>
  <c i="12" r="DB260"/>
  <c i="12" r="DA260"/>
  <c i="12" r="DB261"/>
  <c i="12" r="DA261"/>
  <c i="12" r="DB262"/>
  <c i="12" r="DA262"/>
  <c i="12" r="DB263"/>
  <c i="12" r="DA263"/>
  <c i="12" r="DB264"/>
  <c i="12" r="DA264"/>
  <c i="12" r="DB265"/>
  <c i="12" r="DA265"/>
  <c i="12" r="DB266"/>
  <c i="12" r="DA266"/>
  <c i="12" r="DB267"/>
  <c i="12" r="DA267"/>
  <c i="12" r="DB268"/>
  <c i="12" r="DA268"/>
  <c i="12" r="DB269"/>
  <c i="12" r="DA269"/>
  <c i="12" r="DB270"/>
  <c i="12" r="DA270"/>
  <c i="12" r="DB271"/>
  <c i="12" r="DA271"/>
  <c i="12" r="DB272"/>
  <c i="12" r="DA272"/>
  <c i="12" r="DB273"/>
  <c i="12" r="DA273"/>
  <c i="12" r="DB274"/>
  <c i="12" r="DA274"/>
  <c i="12" r="DB275"/>
  <c i="12" r="DA275"/>
  <c i="12" r="DB276"/>
  <c i="12" r="DA276"/>
  <c i="12" r="DB277"/>
  <c i="12" r="DA277"/>
  <c i="12" r="DB278"/>
  <c i="12" r="DA278"/>
  <c i="12" r="DB279"/>
  <c i="12" r="DA279"/>
  <c i="12" r="DB280"/>
  <c i="12" r="DA280"/>
  <c i="12" r="DA281"/>
  <c i="12" r="DB281"/>
  <c i="12" r="DA282"/>
  <c i="12" r="DB282"/>
  <c i="12" r="DC282" s="1"/>
  <c i="12" r="DD282" s="1"/>
  <c i="12" r="DB283"/>
  <c i="12" r="DA283"/>
  <c i="12" r="DB284"/>
  <c i="12" r="DA284"/>
  <c i="12" r="DB285"/>
  <c i="12" r="DA285"/>
  <c i="12" r="DB286"/>
  <c i="12" r="DA286"/>
  <c i="12" r="DB287"/>
  <c i="12" r="DA287"/>
  <c i="12" r="DB288"/>
  <c i="12" r="DA288"/>
  <c i="12" r="DB289"/>
  <c i="12" r="DA289"/>
  <c i="12" r="DB290"/>
  <c i="12" r="DA290"/>
  <c i="12" r="DB291"/>
  <c i="12" r="DA291"/>
  <c i="12" r="DB292"/>
  <c i="12" r="DA292"/>
  <c i="12" r="DB293"/>
  <c i="12" r="DA293"/>
  <c i="12" r="DB294"/>
  <c i="12" r="DA294"/>
  <c i="12" r="DB295"/>
  <c i="12" r="DA295"/>
  <c i="12" r="DB296"/>
  <c i="12" r="DA296"/>
  <c i="12" r="DB297"/>
  <c i="12" r="DA297"/>
  <c i="12" r="DB298"/>
  <c i="12" r="DA298"/>
  <c i="12" r="DB299"/>
  <c i="12" r="DA299"/>
  <c i="12" r="DB300"/>
  <c i="12" r="DA300"/>
  <c i="12" r="DB301"/>
  <c i="12" r="DA301"/>
  <c i="12" r="DB302"/>
  <c i="12" r="DA302"/>
  <c i="12" r="DE302" s="1"/>
  <c i="12" r="DB303"/>
  <c i="12" r="DA303"/>
  <c i="12" r="DB304"/>
  <c i="12" r="DA304"/>
  <c i="12" r="DB305"/>
  <c i="12" r="DA305"/>
  <c i="12" r="DB306"/>
  <c i="12" r="DA306"/>
  <c i="12" r="DB307"/>
  <c i="12" r="DA307"/>
  <c i="12" r="DB308"/>
  <c i="12" r="DA308"/>
  <c i="12" r="DB309"/>
  <c i="12" r="DA309"/>
  <c i="12" r="DB310"/>
  <c i="12" r="DA310"/>
  <c i="12" r="DB311"/>
  <c i="12" r="DA311"/>
  <c i="12" r="DB312"/>
  <c i="12" r="DA312"/>
  <c i="12" r="DB313"/>
  <c i="12" r="DA313"/>
  <c i="12" r="DB314"/>
  <c i="12" r="DA314"/>
  <c i="12" r="DB315"/>
  <c i="12" r="DA315"/>
  <c i="12" r="DB316"/>
  <c i="12" r="DA316"/>
  <c i="12" r="DB317"/>
  <c i="12" r="DA317"/>
  <c i="12" r="DB318"/>
  <c i="12" r="DA318"/>
  <c i="12" r="DB319"/>
  <c i="12" r="DA319"/>
  <c i="12" r="DB320"/>
  <c i="12" r="DA320"/>
  <c i="12" r="DB321"/>
  <c i="12" r="DA321"/>
  <c i="12" r="DA322"/>
  <c i="12" r="DB322"/>
  <c i="12" r="DB323"/>
  <c i="12" r="DA323"/>
  <c i="12" r="DB324"/>
  <c i="12" r="DA324"/>
  <c i="12" r="DB325"/>
  <c i="12" r="DA325"/>
  <c i="12" r="DB326"/>
  <c i="12" r="DA326"/>
  <c i="12" r="DB327"/>
  <c i="12" r="DA327"/>
  <c i="12" r="DB328"/>
  <c i="12" r="DA328"/>
  <c i="12" r="DB329"/>
  <c i="12" r="DA329"/>
  <c i="12" r="DB330"/>
  <c i="12" r="DA330"/>
  <c i="12" r="DB331"/>
  <c i="12" r="DA331"/>
  <c i="12" r="DB332"/>
  <c i="12" r="DA332"/>
  <c i="12" r="DB333"/>
  <c i="12" r="DA333"/>
  <c i="12" r="DB334"/>
  <c i="12" r="DA334"/>
  <c i="12" r="DB335"/>
  <c i="12" r="DA335"/>
  <c i="12" r="DB336"/>
  <c i="12" r="DA336"/>
  <c i="12" r="DB337"/>
  <c i="12" r="DA337"/>
  <c i="12" r="DB338"/>
  <c i="12" r="DA338"/>
  <c i="12" r="DB339"/>
  <c i="12" r="DA339"/>
  <c i="12" r="DB340"/>
  <c i="12" r="DA340"/>
  <c i="12" r="DB341"/>
  <c i="12" r="DA341"/>
  <c i="12" r="DB342"/>
  <c i="12" r="DA342"/>
  <c i="12" r="DB343"/>
  <c i="12" r="DA343"/>
  <c i="12" r="DB344"/>
  <c i="12" r="DA344"/>
  <c i="12" r="DB345"/>
  <c i="12" r="DA345"/>
  <c i="12" r="DB346"/>
  <c i="12" r="DA346"/>
  <c i="12" r="DB347"/>
  <c i="12" r="DA347"/>
  <c i="12" r="DB348"/>
  <c i="12" r="DA348"/>
  <c i="12" r="DB349"/>
  <c i="12" r="DA349"/>
  <c i="12" r="DB350"/>
  <c i="12" r="DA350"/>
  <c i="12" r="DB351"/>
  <c i="12" r="DA351"/>
  <c i="12" r="DB352"/>
  <c i="12" r="DA352"/>
  <c i="12" r="DB353"/>
  <c i="12" r="DA353"/>
  <c i="12" r="DB354"/>
  <c i="12" r="DA354"/>
  <c i="12" r="DB355"/>
  <c i="12" r="DA355"/>
  <c i="12" r="DB356"/>
  <c i="12" r="DA356"/>
  <c i="12" r="DB357"/>
  <c i="12" r="DA357"/>
  <c i="12" r="DB358"/>
  <c i="12" r="DA358"/>
  <c i="12" r="DB359"/>
  <c i="12" r="DA359"/>
  <c i="12" r="DB360"/>
  <c i="12" r="DA360"/>
  <c i="12" r="DA361"/>
  <c i="12" r="DB361"/>
  <c i="12" r="DB362"/>
  <c i="12" r="DA362"/>
  <c i="12" r="DB363"/>
  <c i="12" r="DA363"/>
  <c i="12" r="DB364"/>
  <c i="12" r="DA364"/>
  <c i="12" r="DB365"/>
  <c i="12" r="DA365"/>
  <c i="12" r="DB366"/>
  <c i="12" r="DA366"/>
  <c i="12" r="DB367"/>
  <c i="12" r="DA367"/>
  <c i="12" r="DB368"/>
  <c i="12" r="DA368"/>
  <c i="12" r="DB369"/>
  <c i="12" r="DA369"/>
  <c i="12" r="DB370"/>
  <c i="12" r="DA370"/>
  <c i="12" r="DB371"/>
  <c i="12" r="DA371"/>
  <c i="12" r="DB372"/>
  <c i="12" r="DA372"/>
  <c i="12" r="DB373"/>
  <c i="12" r="DA373"/>
  <c i="12" r="DB374"/>
  <c i="12" r="DA374"/>
  <c i="12" r="DB375"/>
  <c i="12" r="DA375"/>
  <c i="12" r="DB376"/>
  <c i="12" r="DA376"/>
  <c i="12" r="DB377"/>
  <c i="12" r="DA377"/>
  <c i="12" r="DB378"/>
  <c i="12" r="DA378"/>
  <c i="12" r="DB379"/>
  <c i="12" r="DA379"/>
  <c i="12" r="DB380"/>
  <c i="12" r="DA380"/>
  <c i="12" r="DB381"/>
  <c i="12" r="DA381"/>
  <c i="12" r="DB382"/>
  <c i="12" r="DA382"/>
  <c i="12" r="DB383"/>
  <c i="12" r="DA383"/>
  <c i="12" r="DB384"/>
  <c i="12" r="DA384"/>
  <c i="12" r="DB385"/>
  <c i="12" r="DA385"/>
  <c i="12" r="DB386"/>
  <c i="12" r="DA386"/>
  <c i="12" r="DB387"/>
  <c i="12" r="DA387"/>
  <c i="12" r="DB388"/>
  <c i="12" r="DA388"/>
  <c i="12" r="DB389"/>
  <c i="12" r="DA389"/>
  <c i="12" r="DB390"/>
  <c i="12" r="DA390"/>
  <c i="12" r="DB399"/>
  <c i="12" r="DA399"/>
  <c i="12" r="DB397"/>
  <c i="12" r="DA397"/>
  <c i="12" r="DB395"/>
  <c i="12" r="DA395"/>
  <c i="12" r="DB393"/>
  <c i="12" r="DA393"/>
  <c i="12" r="DB391"/>
  <c i="12" r="DA391"/>
  <c i="12" r="DC392"/>
  <c i="12" r="DC394"/>
  <c i="12" r="DC396"/>
  <c i="12" r="DC398"/>
  <c i="12" r="CY401"/>
  <c i="12" r="DA401" s="1"/>
  <c i="12" r="CZ401"/>
  <c i="12" r="DB401" s="1"/>
  <c i="12" l="1" r="DE370"/>
  <c i="12" r="DC10"/>
  <c i="12" r="DD10" s="1"/>
  <c i="12" r="DC322"/>
  <c i="12" r="DC8"/>
  <c i="12" r="DD8" s="1"/>
  <c i="12" r="DE181"/>
  <c i="12" r="DE161"/>
  <c i="12" r="DC141"/>
  <c i="12" r="DE352"/>
  <c i="12" r="DC12"/>
  <c i="12" r="DD12" s="1"/>
  <c i="12" r="DE371"/>
  <c i="12" r="DC144"/>
  <c i="12" r="DD144" s="1"/>
  <c i="12" r="DE390"/>
  <c i="12" r="DE4"/>
  <c i="12" r="DE393"/>
  <c i="12" r="DE353"/>
  <c i="12" r="DC401"/>
  <c i="12" r="DE131"/>
  <c i="12" r="DE16"/>
  <c i="12" r="DE210"/>
  <c i="12" r="DE115"/>
  <c i="12" r="DE132"/>
  <c i="12" r="DE72"/>
  <c i="12" r="DE31"/>
  <c i="12" r="DE15"/>
  <c i="12" r="DE372"/>
  <c i="12" r="DC15"/>
  <c i="12" r="DC14"/>
  <c i="12" r="DD14" s="1"/>
  <c i="12" r="DE331"/>
  <c i="12" r="DE12"/>
  <c i="12" r="DC170"/>
  <c i="12" r="DD170" s="1"/>
  <c i="12" r="DE11"/>
  <c i="12" r="DE28"/>
  <c i="12" r="DE128"/>
  <c i="12" r="DE397"/>
  <c i="12" r="DE361"/>
  <c i="12" r="DC301"/>
  <c i="12" r="DE281"/>
  <c i="12" r="DC261"/>
  <c i="12" r="DE241"/>
  <c i="12" r="DC221"/>
  <c i="12" r="DE201"/>
  <c i="12" r="DC341"/>
  <c i="12" r="DC381"/>
  <c i="12" r="DC321"/>
  <c i="12" r="DE298"/>
  <c i="12" r="DE258"/>
  <c i="12" r="DC90"/>
  <c i="12" r="DD90" s="1"/>
  <c i="12" r="DE310"/>
  <c i="12" r="DC386"/>
  <c i="12" r="DC366"/>
  <c i="12" r="DD366" s="1"/>
  <c i="12" r="DC346"/>
  <c i="12" r="DD346" s="1"/>
  <c i="12" r="DC326"/>
  <c i="12" r="DD326" s="1"/>
  <c i="12" r="DC306"/>
  <c i="12" r="DD306" s="1"/>
  <c i="12" r="DC286"/>
  <c i="12" r="DD286" s="1"/>
  <c i="12" r="DC266"/>
  <c i="12" r="DD266" s="1"/>
  <c i="12" r="DE136"/>
  <c i="12" r="DC116"/>
  <c i="12" r="DC13"/>
  <c i="12" r="DD13" s="1"/>
  <c i="12" r="DC246"/>
  <c i="12" r="DD246" s="1"/>
  <c i="12" r="DC226"/>
  <c i="12" r="DD226" s="1"/>
  <c i="12" r="DC206"/>
  <c i="12" r="DD206" s="1"/>
  <c i="12" r="DC279"/>
  <c i="12" r="DE375"/>
  <c i="12" r="DE113"/>
  <c i="12" r="DE129"/>
  <c i="12" r="DC259"/>
  <c i="12" r="DD259" s="1"/>
  <c i="12" r="DC239"/>
  <c i="12" r="DD239" s="1"/>
  <c i="12" r="DC219"/>
  <c i="12" r="DE152"/>
  <c i="12" r="DE395"/>
  <c i="12" r="DE166"/>
  <c i="12" r="DE105"/>
  <c i="12" r="DE104"/>
  <c i="12" r="DC95"/>
  <c i="12" r="DD95" s="1"/>
  <c i="12" r="DE29"/>
  <c i="12" r="DC52"/>
  <c i="12" r="DD52" s="1"/>
  <c i="12" r="DC30"/>
  <c i="12" r="DD30" s="1"/>
  <c i="12" r="DE290"/>
  <c i="12" r="DE270"/>
  <c i="12" r="DE230"/>
  <c i="12" r="DC24"/>
  <c i="12" r="DD24" s="1"/>
  <c i="12" r="DE383"/>
  <c i="12" r="DE363"/>
  <c i="12" r="DE343"/>
  <c i="12" r="DE358"/>
  <c i="12" r="DE338"/>
  <c i="12" r="DE318"/>
  <c i="12" r="DE278"/>
  <c i="12" r="DE138"/>
  <c i="12" r="DE118"/>
  <c i="12" r="DC99"/>
  <c i="12" r="DD99" s="1"/>
  <c i="12" r="DE356"/>
  <c i="12" r="DE77"/>
  <c i="12" r="DE35"/>
  <c i="12" r="DC16"/>
  <c i="12" r="DD16" s="1"/>
  <c i="12" r="DE17"/>
  <c i="12" r="DE75"/>
  <c i="12" r="DC76"/>
  <c i="12" r="DD76" s="1"/>
  <c i="12" r="DE374"/>
  <c i="12" r="DE94"/>
  <c i="12" r="DC97"/>
  <c i="12" r="DD97" s="1"/>
  <c i="12" r="DC193"/>
  <c i="12" r="DD193" s="1"/>
  <c i="12" r="DE173"/>
  <c i="12" r="DE153"/>
  <c i="12" r="DC152"/>
  <c i="12" r="DD152" s="1"/>
  <c i="12" r="DC91"/>
  <c i="12" r="DD91" s="1"/>
  <c i="12" r="DE157"/>
  <c i="12" r="DE2"/>
  <c i="12" r="DE137"/>
  <c i="12" r="DE63"/>
  <c i="12" r="DE200"/>
  <c i="12" r="DE160"/>
  <c i="12" r="DC199"/>
  <c i="12" r="DC179"/>
  <c i="12" r="DD179" s="1"/>
  <c i="12" r="DC17"/>
  <c i="12" r="DD17" s="1"/>
  <c i="12" r="DE216"/>
  <c i="12" r="DE156"/>
  <c i="12" r="DC175"/>
  <c i="12" r="DE174"/>
  <c i="12" r="DE14"/>
  <c i="12" r="DE114"/>
  <c i="12" r="DC54"/>
  <c i="12" r="DD54" s="1"/>
  <c i="12" r="DC233"/>
  <c i="12" r="DD233" s="1"/>
  <c i="12" r="DC213"/>
  <c i="12" r="DC133"/>
  <c i="12" r="DD133" s="1"/>
  <c i="12" r="DE53"/>
  <c i="12" r="DE332"/>
  <c i="12" r="DE312"/>
  <c i="12" r="DE292"/>
  <c i="12" r="DE272"/>
  <c i="12" r="DE252"/>
  <c i="12" r="DE232"/>
  <c i="12" r="DE212"/>
  <c i="12" r="DE172"/>
  <c i="12" r="DC72"/>
  <c i="12" r="DD72" s="1"/>
  <c i="12" r="DE71"/>
  <c i="12" r="DC190"/>
  <c i="12" r="DD190" s="1"/>
  <c i="12" r="DE389"/>
  <c i="12" r="DE369"/>
  <c i="12" r="DE349"/>
  <c i="12" r="DE329"/>
  <c i="12" r="DE309"/>
  <c i="12" r="DE289"/>
  <c i="12" r="DE269"/>
  <c i="12" r="DE249"/>
  <c i="12" r="DE229"/>
  <c i="12" r="DE209"/>
  <c i="12" r="DE189"/>
  <c i="12" r="DC169"/>
  <c i="12" r="DD169" s="1"/>
  <c i="12" r="DC149"/>
  <c i="12" r="DD149" s="1"/>
  <c i="12" r="DE108"/>
  <c i="12" r="DE88"/>
  <c i="12" r="DC69"/>
  <c i="12" r="DD69" s="1"/>
  <c i="12" r="DC49"/>
  <c i="12" r="DD49" s="1"/>
  <c i="12" r="DE391"/>
  <c i="12" r="DC367"/>
  <c i="12" r="DD367" s="1"/>
  <c i="12" r="DC347"/>
  <c i="12" r="DC327"/>
  <c i="12" r="DC307"/>
  <c i="12" r="DD307" s="1"/>
  <c i="12" r="DC287"/>
  <c i="12" r="DC267"/>
  <c i="12" r="DC247"/>
  <c i="12" r="DD247" s="1"/>
  <c i="12" r="DC227"/>
  <c i="12" r="DD227" s="1"/>
  <c i="12" r="DC207"/>
  <c i="12" r="DD207" s="1"/>
  <c i="12" r="DC187"/>
  <c i="12" r="DD187" s="1"/>
  <c i="12" r="DE167"/>
  <c i="12" r="DE147"/>
  <c i="12" r="DC127"/>
  <c i="12" r="DD127" s="1"/>
  <c i="12" r="DC387"/>
  <c i="12" r="DC126"/>
  <c i="12" r="DD126" s="1"/>
  <c i="12" r="DC106"/>
  <c i="12" r="DD106" s="1"/>
  <c i="12" r="DE46"/>
  <c i="12" r="DC184"/>
  <c i="12" r="DD184" s="1"/>
  <c i="12" r="DE164"/>
  <c i="12" r="DE145"/>
  <c i="12" r="DC124"/>
  <c i="12" r="DD124" s="1"/>
  <c i="12" r="DE64"/>
  <c i="12" r="DC242"/>
  <c i="12" r="DD242" s="1"/>
  <c i="12" r="DE140"/>
  <c i="12" r="DE159"/>
  <c i="12" r="DE178"/>
  <c i="12" r="DE158"/>
  <c i="12" r="DC138"/>
  <c i="12" r="DE317"/>
  <c i="12" r="DE297"/>
  <c i="12" r="DE277"/>
  <c i="12" r="DE237"/>
  <c i="12" r="DE217"/>
  <c i="12" r="DE177"/>
  <c i="12" r="DE76"/>
  <c i="12" r="DC118"/>
  <c i="12" r="DC77"/>
  <c i="12" r="DD77" s="1"/>
  <c i="12" r="DE316"/>
  <c i="12" r="DE355"/>
  <c i="12" r="DE175"/>
  <c i="12" r="DE135"/>
  <c i="12" r="DE73"/>
  <c i="12" r="DC334"/>
  <c i="12" r="DC314"/>
  <c i="12" r="DC294"/>
  <c i="12" r="DD294" s="1"/>
  <c i="12" r="DC274"/>
  <c i="12" r="DD274" s="1"/>
  <c i="12" r="DC254"/>
  <c i="12" r="DD254" s="1"/>
  <c i="12" r="DC234"/>
  <c i="12" r="DD234" s="1"/>
  <c i="12" r="DC214"/>
  <c i="12" r="DC194"/>
  <c i="12" r="DD194" s="1"/>
  <c i="12" r="DE96"/>
  <c i="12" r="DC51"/>
  <c i="12" r="DD51" s="1"/>
  <c i="12" r="DE34"/>
  <c i="12" r="DE333"/>
  <c i="12" r="DE273"/>
  <c i="12" r="DE253"/>
  <c i="12" r="DC33"/>
  <c i="12" r="DE13"/>
  <c i="12" r="DE93"/>
  <c i="12" r="DE311"/>
  <c i="12" r="DE350"/>
  <c i="12" r="DE330"/>
  <c i="12" r="DE250"/>
  <c i="12" r="DE50"/>
  <c i="12" r="DE7"/>
  <c i="12" r="DE3"/>
  <c i="12" r="DE385"/>
  <c i="12" r="DC384"/>
  <c i="12" r="DC364"/>
  <c i="12" r="DD364" s="1"/>
  <c i="12" r="DC344"/>
  <c i="12" r="DD344" s="1"/>
  <c i="12" r="DC324"/>
  <c i="12" r="DC304"/>
  <c i="12" r="DD304" s="1"/>
  <c i="12" r="DC284"/>
  <c i="12" r="DD284" s="1"/>
  <c i="12" r="DC264"/>
  <c i="12" r="DC244"/>
  <c i="12" r="DD244" s="1"/>
  <c i="12" r="DC224"/>
  <c i="12" r="DD224" s="1"/>
  <c i="12" r="DC204"/>
  <c i="12" r="DD204" s="1"/>
  <c i="12" r="DC84"/>
  <c i="12" r="DD84" s="1"/>
  <c i="12" r="DE323"/>
  <c i="12" r="DE303"/>
  <c i="12" r="DE283"/>
  <c i="12" r="DE263"/>
  <c i="12" r="DE243"/>
  <c i="12" r="DE223"/>
  <c i="12" r="DE203"/>
  <c i="12" r="DE183"/>
  <c i="12" r="DE163"/>
  <c i="12" r="DC162"/>
  <c i="12" r="DD162" s="1"/>
  <c i="12" r="DE40"/>
  <c i="12" r="DC120"/>
  <c i="12" r="DD120" s="1"/>
  <c i="12" r="DE98"/>
  <c i="12" r="DE19"/>
  <c i="12" r="DE238"/>
  <c i="12" r="DE99"/>
  <c i="12" r="DE197"/>
  <c i="12" r="DC157"/>
  <c i="12" r="DC117"/>
  <c i="12" r="DD117" s="1"/>
  <c i="12" r="DE97"/>
  <c i="12" r="DC337"/>
  <c i="12" r="DC317"/>
  <c i="12" r="DD317" s="1"/>
  <c i="12" r="DE296"/>
  <c i="12" r="DE276"/>
  <c i="12" r="DE256"/>
  <c i="12" r="DE236"/>
  <c i="12" r="DE196"/>
  <c i="12" r="DE176"/>
  <c i="12" r="DE36"/>
  <c i="12" r="DE155"/>
  <c i="12" r="DC135"/>
  <c i="12" r="DC93"/>
  <c i="12" r="DD93" s="1"/>
  <c i="12" r="DC134"/>
  <c i="12" r="DD134" s="1"/>
  <c i="12" r="DC114"/>
  <c i="12" r="DD114" s="1"/>
  <c i="12" r="DE233"/>
  <c i="12" r="DE92"/>
  <c i="12" r="DE192"/>
  <c i="12" r="DC112"/>
  <c i="12" r="DD112" s="1"/>
  <c i="12" r="DC252"/>
  <c i="12" r="DE376"/>
  <c i="12" r="DE291"/>
  <c i="12" r="DE271"/>
  <c i="12" r="DE251"/>
  <c i="12" r="DE231"/>
  <c i="12" r="DE171"/>
  <c i="12" r="DE130"/>
  <c i="12" r="DE90"/>
  <c i="12" r="DE377"/>
  <c i="12" r="DE362"/>
  <c i="12" r="DE110"/>
  <c i="12" r="DE109"/>
  <c i="12" r="DC89"/>
  <c i="12" r="DD89" s="1"/>
  <c i="12" r="DE107"/>
  <c i="12" r="DE67"/>
  <c i="12" r="DC86"/>
  <c i="12" r="DD86" s="1"/>
  <c i="12" r="DE5"/>
  <c i="12" r="DC382"/>
  <c i="12" r="DC23"/>
  <c i="12" r="DD23" s="1"/>
  <c i="12" r="DC222"/>
  <c i="12" r="DD222" s="1"/>
  <c i="12" r="DC142"/>
  <c i="12" r="DD142" s="1"/>
  <c i="12" r="DE342"/>
  <c i="12" r="DE379"/>
  <c i="12" r="DE239"/>
  <c i="12" r="DE219"/>
  <c i="12" r="DE199"/>
  <c i="12" r="DE179"/>
  <c i="12" r="DE139"/>
  <c i="12" r="DE79"/>
  <c i="12" r="DE218"/>
  <c i="12" r="DC158"/>
  <c i="12" r="DE38"/>
  <c i="12" r="DC358"/>
  <c i="12" r="DC318"/>
  <c i="12" r="DC298"/>
  <c i="12" r="DC278"/>
  <c i="12" r="DD278" s="1"/>
  <c i="12" r="DC258"/>
  <c i="12" r="DE117"/>
  <c i="12" r="DE57"/>
  <c i="12" r="DE37"/>
  <c i="12" r="DC156"/>
  <c i="12" r="DD156" s="1"/>
  <c i="12" r="DC336"/>
  <c i="12" r="DC316"/>
  <c i="12" r="DD316" s="1"/>
  <c i="12" r="DC296"/>
  <c i="12" r="DD296" s="1"/>
  <c i="12" r="DC357"/>
  <c i="12" r="DD357" s="1"/>
  <c i="12" r="DC75"/>
  <c i="12" r="DE56"/>
  <c i="12" r="DE194"/>
  <c i="12" r="DC154"/>
  <c i="12" r="DD154" s="1"/>
  <c i="12" r="DC113"/>
  <c i="12" r="DD113" s="1"/>
  <c i="12" r="DE133"/>
  <c i="12" r="DE74"/>
  <c i="12" r="DE213"/>
  <c i="12" r="DC36"/>
  <c i="12" r="DD36" s="1"/>
  <c i="12" r="DE112"/>
  <c i="12" r="DC232"/>
  <c i="12" r="DC11"/>
  <c i="12" r="DD11" s="1"/>
  <c i="12" r="DE211"/>
  <c i="12" r="DE191"/>
  <c i="12" r="DE151"/>
  <c i="12" r="DE111"/>
  <c i="12" r="DE373"/>
  <c i="12" r="DE9"/>
  <c i="12" r="DC388"/>
  <c i="12" r="DC368"/>
  <c i="12" r="DC348"/>
  <c i="12" r="DD348" s="1"/>
  <c i="12" r="DC328"/>
  <c i="12" r="DC308"/>
  <c i="12" r="DC288"/>
  <c i="12" r="DC268"/>
  <c i="12" r="DC248"/>
  <c i="12" r="DD248" s="1"/>
  <c i="12" r="DC228"/>
  <c i="12" r="DD228" s="1"/>
  <c i="12" r="DC208"/>
  <c i="12" r="DD208" s="1"/>
  <c i="12" r="DC188"/>
  <c i="12" r="DD188" s="1"/>
  <c i="12" r="DE168"/>
  <c i="12" r="DE148"/>
  <c i="12" r="DE68"/>
  <c i="12" r="DE48"/>
  <c i="12" r="DE87"/>
  <c i="12" r="DE47"/>
  <c i="12" r="DE27"/>
  <c i="12" r="DE146"/>
  <c i="12" r="DC66"/>
  <c i="12" r="DD66" s="1"/>
  <c i="12" r="DE399"/>
  <c i="12" r="DE365"/>
  <c i="12" r="DE351"/>
  <c i="12" r="DE125"/>
  <c i="12" r="DE85"/>
  <c i="12" r="DE65"/>
  <c i="12" r="DE354"/>
  <c i="12" r="DC43"/>
  <c i="12" r="DD43" s="1"/>
  <c i="12" r="DE6"/>
  <c i="12" r="DC123"/>
  <c i="12" r="DD123" s="1"/>
  <c i="12" r="DE103"/>
  <c i="12" r="DE23"/>
  <c i="12" r="DC2"/>
  <c i="12" r="DD2" s="1"/>
  <c i="12" r="DE222"/>
  <c i="12" r="DE202"/>
  <c i="12" r="DE182"/>
  <c i="12" r="DE162"/>
  <c i="12" r="DE102"/>
  <c i="12" r="DC81"/>
  <c i="12" r="DC61"/>
  <c i="12" r="DC21"/>
  <c i="12" r="DC262"/>
  <c i="12" r="DE60"/>
  <c i="12" r="DC20"/>
  <c i="12" r="DD20" s="1"/>
  <c i="12" r="DE360"/>
  <c i="12" r="DE340"/>
  <c i="12" r="DE320"/>
  <c i="12" r="DE300"/>
  <c i="12" r="DE280"/>
  <c i="12" r="DE260"/>
  <c i="12" r="DE240"/>
  <c i="12" r="DE220"/>
  <c i="12" r="DC200"/>
  <c i="12" r="DD200" s="1"/>
  <c i="12" r="DE180"/>
  <c i="12" r="DC160"/>
  <c i="12" r="DD160" s="1"/>
  <c i="12" r="DC140"/>
  <c i="12" r="DC121"/>
  <c i="12" r="DC101"/>
  <c i="12" r="DE80"/>
  <c i="12" r="DE58"/>
  <c i="12" r="DE119"/>
  <c i="12" r="DE359"/>
  <c i="12" r="DE339"/>
  <c i="12" r="DE319"/>
  <c i="12" r="DE299"/>
  <c i="12" r="DE279"/>
  <c i="12" r="DE259"/>
  <c i="12" r="DC139"/>
  <c i="12" r="DD139" s="1"/>
  <c i="12" r="DE198"/>
  <c i="12" r="DC338"/>
  <c i="12" r="DD338" s="1"/>
  <c i="12" r="DE357"/>
  <c i="12" r="DE337"/>
  <c i="12" r="DE257"/>
  <c i="12" r="DC137"/>
  <c i="12" r="DC297"/>
  <c i="12" r="DD297" s="1"/>
  <c i="12" r="DC57"/>
  <c i="12" r="DD57" s="1"/>
  <c i="12" r="DC37"/>
  <c i="12" r="DD37" s="1"/>
  <c i="12" r="DE336"/>
  <c i="12" r="DC136"/>
  <c i="12" r="DE116"/>
  <c i="12" r="DE95"/>
  <c i="12" r="DC56"/>
  <c i="12" r="DD56" s="1"/>
  <c i="12" r="DC276"/>
  <c i="12" r="DC256"/>
  <c i="12" r="DD256" s="1"/>
  <c i="12" r="DC96"/>
  <c i="12" r="DD96" s="1"/>
  <c i="12" r="DC376"/>
  <c i="12" r="DE335"/>
  <c i="12" r="DE315"/>
  <c i="12" r="DE295"/>
  <c i="12" r="DE275"/>
  <c i="12" r="DE255"/>
  <c i="12" r="DE235"/>
  <c i="12" r="DE215"/>
  <c i="12" r="DE195"/>
  <c i="12" r="DE55"/>
  <c i="12" r="DC115"/>
  <c i="12" r="DE33"/>
  <c i="12" r="DE378"/>
  <c i="12" r="DE334"/>
  <c i="12" r="DE314"/>
  <c i="12" r="DE294"/>
  <c i="12" r="DE274"/>
  <c i="12" r="DE254"/>
  <c i="12" r="DE234"/>
  <c i="12" r="DE214"/>
  <c i="12" r="DC53"/>
  <c i="12" r="DD53" s="1"/>
  <c i="12" r="DE380"/>
  <c i="12" r="DE154"/>
  <c i="12" r="DE313"/>
  <c i="12" r="DE293"/>
  <c i="12" r="DE193"/>
  <c i="12" r="DE134"/>
  <c i="12" r="DC132"/>
  <c i="12" r="DD132" s="1"/>
  <c i="12" r="DE52"/>
  <c i="12" r="DE322"/>
  <c i="12" r="DC212"/>
  <c i="12" r="DD212" s="1"/>
  <c i="12" r="DC192"/>
  <c i="12" r="DD192" s="1"/>
  <c i="12" r="DC172"/>
  <c i="12" r="DD172" s="1"/>
  <c i="12" r="DE54"/>
  <c i="12" r="DE32"/>
  <c i="12" r="DE51"/>
  <c i="12" r="DC251"/>
  <c i="12" r="DD251" s="1"/>
  <c i="12" r="DC231"/>
  <c i="12" r="DD231" s="1"/>
  <c i="12" r="DC211"/>
  <c i="12" r="DD211" s="1"/>
  <c i="12" r="DC191"/>
  <c i="12" r="DD191" s="1"/>
  <c i="12" r="DC171"/>
  <c i="12" r="DD171" s="1"/>
  <c i="12" r="DC151"/>
  <c i="12" r="DC330"/>
  <c i="12" r="DC310"/>
  <c i="12" r="DD310" s="1"/>
  <c i="12" r="DC290"/>
  <c i="12" r="DD290" s="1"/>
  <c i="12" r="DC270"/>
  <c i="12" r="DE190"/>
  <c i="12" r="DE170"/>
  <c i="12" r="DE150"/>
  <c i="12" r="DC130"/>
  <c i="12" r="DD130" s="1"/>
  <c i="12" r="DC111"/>
  <c i="12" r="DD111" s="1"/>
  <c i="12" r="DE91"/>
  <c i="12" r="DE70"/>
  <c i="12" r="DC50"/>
  <c i="12" r="DD50" s="1"/>
  <c i="12" r="DC9"/>
  <c i="12" r="DD9" s="1"/>
  <c i="12" r="DC373"/>
  <c i="12" r="DD373" s="1"/>
  <c i="12" r="DC389"/>
  <c i="12" r="DC369"/>
  <c i="12" r="DD369" s="1"/>
  <c i="12" r="DC349"/>
  <c i="12" r="DE169"/>
  <c i="12" r="DE149"/>
  <c i="12" r="DE69"/>
  <c i="12" r="DE49"/>
  <c i="12" r="DE401"/>
  <c i="12" r="DE388"/>
  <c i="12" r="DE368"/>
  <c i="12" r="DE348"/>
  <c i="12" r="DE328"/>
  <c i="12" r="DE308"/>
  <c i="12" r="DE288"/>
  <c i="12" r="DE268"/>
  <c i="12" r="DE248"/>
  <c i="12" r="DE228"/>
  <c i="12" r="DE208"/>
  <c i="12" r="DE188"/>
  <c i="12" r="DE89"/>
  <c i="12" r="DE30"/>
  <c i="12" r="DE10"/>
  <c i="12" r="DE8"/>
  <c i="12" r="DE387"/>
  <c i="12" r="DE367"/>
  <c i="12" r="DE347"/>
  <c i="12" r="DE327"/>
  <c i="12" r="DE307"/>
  <c i="12" r="DE287"/>
  <c i="12" r="DE267"/>
  <c i="12" r="DE247"/>
  <c i="12" r="DE227"/>
  <c i="12" r="DE207"/>
  <c i="12" r="DE187"/>
  <c i="12" r="DE127"/>
  <c i="12" r="DE106"/>
  <c i="12" r="DE66"/>
  <c i="12" r="DC107"/>
  <c i="12" r="DD107" s="1"/>
  <c i="12" r="DC67"/>
  <c i="12" r="DD67" s="1"/>
  <c i="12" r="DE386"/>
  <c i="12" r="DE366"/>
  <c i="12" r="DE346"/>
  <c i="12" r="DE326"/>
  <c i="12" r="DE306"/>
  <c i="12" r="DE286"/>
  <c i="12" r="DE266"/>
  <c i="12" r="DE246"/>
  <c i="12" r="DE226"/>
  <c i="12" r="DE206"/>
  <c i="12" r="DE186"/>
  <c i="12" r="DC166"/>
  <c i="12" r="DD166" s="1"/>
  <c i="12" r="DE126"/>
  <c i="12" r="DE86"/>
  <c i="12" r="DE144"/>
  <c i="12" r="DE282"/>
  <c i="12" r="DE345"/>
  <c i="12" r="DE325"/>
  <c i="12" r="DE305"/>
  <c i="12" r="DE285"/>
  <c i="12" r="DE265"/>
  <c i="12" r="DE245"/>
  <c i="12" r="DE225"/>
  <c i="12" r="DE205"/>
  <c i="12" r="DE185"/>
  <c i="12" r="DE165"/>
  <c i="12" r="DC146"/>
  <c i="12" r="DD146" s="1"/>
  <c i="12" r="DC125"/>
  <c i="12" r="DD125" s="1"/>
  <c i="12" r="DC85"/>
  <c i="12" r="DD85" s="1"/>
  <c i="12" r="DC65"/>
  <c i="12" r="DD65" s="1"/>
  <c i="12" r="DE45"/>
  <c i="12" r="DE26"/>
  <c i="12" r="DE24"/>
  <c i="12" r="DE384"/>
  <c i="12" r="DE364"/>
  <c i="12" r="DE344"/>
  <c i="12" r="DE324"/>
  <c i="12" r="DE304"/>
  <c i="12" r="DE284"/>
  <c i="12" r="DE264"/>
  <c i="12" r="DE244"/>
  <c i="12" r="DE224"/>
  <c i="12" r="DE204"/>
  <c i="12" r="DE184"/>
  <c i="12" r="DE124"/>
  <c i="12" r="DE84"/>
  <c i="12" r="DE25"/>
  <c i="12" r="DE123"/>
  <c i="12" r="DE82"/>
  <c i="12" r="DE43"/>
  <c i="12" r="DC383"/>
  <c i="12" r="DC363"/>
  <c i="12" r="DD363" s="1"/>
  <c i="12" r="DC343"/>
  <c i="12" r="DC323"/>
  <c i="12" r="DC303"/>
  <c i="12" r="DD303" s="1"/>
  <c i="12" r="DC283"/>
  <c i="12" r="DD283" s="1"/>
  <c i="12" r="DC263"/>
  <c i="12" r="DC243"/>
  <c i="12" r="DD243" s="1"/>
  <c i="12" r="DC223"/>
  <c i="12" r="DC203"/>
  <c i="12" r="DD203" s="1"/>
  <c i="12" r="DC183"/>
  <c i="12" r="DD183" s="1"/>
  <c i="12" r="DC163"/>
  <c i="12" r="DD163" s="1"/>
  <c i="12" r="DE42"/>
  <c i="12" r="DE262"/>
  <c i="12" r="DE242"/>
  <c i="12" r="DE142"/>
  <c i="12" r="DC202"/>
  <c i="12" r="DD202" s="1"/>
  <c i="12" r="DC182"/>
  <c i="12" r="DD182" s="1"/>
  <c i="12" r="DE41"/>
  <c i="12" r="DE382"/>
  <c i="12" r="DE381"/>
  <c i="12" r="DE341"/>
  <c i="12" r="DE321"/>
  <c i="12" r="DE301"/>
  <c i="12" r="DE261"/>
  <c i="12" r="DE221"/>
  <c i="12" r="DE141"/>
  <c i="12" r="DE120"/>
  <c i="12" r="DC102"/>
  <c i="12" r="DD102" s="1"/>
  <c i="12" r="DE81"/>
  <c i="12" r="DE61"/>
  <c i="12" r="DE44"/>
  <c i="12" r="DE20"/>
  <c i="12" r="DC360"/>
  <c i="12" r="DD360" s="1"/>
  <c i="12" r="DC340"/>
  <c i="12" r="DD340" s="1"/>
  <c i="12" r="DC320"/>
  <c i="12" r="DC300"/>
  <c i="12" r="DC280"/>
  <c i="12" r="DC260"/>
  <c i="12" r="DC240"/>
  <c i="12" r="DD240" s="1"/>
  <c i="12" r="DC220"/>
  <c i="12" r="DD220" s="1"/>
  <c i="12" r="DC180"/>
  <c i="12" r="DD180" s="1"/>
  <c i="12" r="DC100"/>
  <c i="12" r="DD100" s="1"/>
  <c i="12" r="DC78"/>
  <c i="12" r="DC39"/>
  <c i="12" r="DC159"/>
  <c i="12" r="DC119"/>
  <c i="12" r="DC98"/>
  <c i="12" r="DD98" s="1"/>
  <c i="12" r="DC80"/>
  <c i="12" r="DD80" s="1"/>
  <c i="12" r="DC60"/>
  <c i="12" r="DD60" s="1"/>
  <c i="12" r="DC41"/>
  <c i="12" r="DC18"/>
  <c i="12" r="DC380"/>
  <c i="12" r="DD380" s="1"/>
  <c i="12" r="DC379"/>
  <c i="12" r="DD379" s="1"/>
  <c i="12" r="DC359"/>
  <c i="12" r="DD359" s="1"/>
  <c i="12" r="DC339"/>
  <c i="12" r="DC319"/>
  <c i="12" r="DD319" s="1"/>
  <c i="12" r="DC299"/>
  <c i="12" r="DD299" s="1"/>
  <c i="12" r="DC59"/>
  <c i="12" r="DD59" s="1"/>
  <c i="12" r="DC38"/>
  <c i="12" r="DC178"/>
  <c i="12" r="DC378"/>
  <c i="12" r="DD378" s="1"/>
  <c i="12" r="DC238"/>
  <c i="12" r="DC218"/>
  <c i="12" r="DD218" s="1"/>
  <c i="12" r="DC198"/>
  <c i="12" r="DC58"/>
  <c i="12" r="DC277"/>
  <c i="12" r="DD277" s="1"/>
  <c i="12" r="DC257"/>
  <c i="12" r="DC237"/>
  <c i="12" r="DD237" s="1"/>
  <c i="12" r="DC217"/>
  <c i="12" r="DD217" s="1"/>
  <c i="12" r="DC197"/>
  <c i="12" r="DD197" s="1"/>
  <c i="12" r="DC177"/>
  <c i="12" r="DD177" s="1"/>
  <c i="12" r="DC236"/>
  <c i="12" r="DC216"/>
  <c i="12" r="DC196"/>
  <c i="12" r="DD196" s="1"/>
  <c i="12" r="DC176"/>
  <c i="12" r="DD176" s="1"/>
  <c i="12" r="DC55"/>
  <c i="12" r="DC155"/>
  <c i="12" r="DD155" s="1"/>
  <c i="12" r="DC35"/>
  <c i="12" r="DC335"/>
  <c i="12" r="DD335" s="1"/>
  <c i="12" r="DC315"/>
  <c i="12" r="DD315" s="1"/>
  <c i="12" r="DC295"/>
  <c i="12" r="DC275"/>
  <c i="12" r="DD275" s="1"/>
  <c i="12" r="DC255"/>
  <c i="12" r="DD255" s="1"/>
  <c i="12" r="DC235"/>
  <c i="12" r="DC215"/>
  <c i="12" r="DC195"/>
  <c i="12" r="DD195" s="1"/>
  <c i="12" r="DC34"/>
  <c i="12" r="DD34" s="1"/>
  <c i="12" r="DC174"/>
  <c i="12" r="DD174" s="1"/>
  <c i="12" r="DC173"/>
  <c i="12" r="DD173" s="1"/>
  <c i="12" r="DC153"/>
  <c i="12" r="DC74"/>
  <c i="12" r="DD74" s="1"/>
  <c i="12" r="DC313"/>
  <c i="12" r="DD313" s="1"/>
  <c i="12" r="DC293"/>
  <c i="12" r="DC273"/>
  <c i="12" r="DC253"/>
  <c i="12" r="DC94"/>
  <c i="12" r="DD94" s="1"/>
  <c i="12" r="DC73"/>
  <c i="12" r="DC393"/>
  <c i="12" r="DC32"/>
  <c i="12" r="DD32" s="1"/>
  <c i="12" r="DC312"/>
  <c i="12" r="DD312" s="1"/>
  <c i="12" r="DC292"/>
  <c i="12" r="DC272"/>
  <c i="12" r="DC92"/>
  <c i="12" r="DD92" s="1"/>
  <c i="12" r="DC354"/>
  <c i="12" r="DD354" s="1"/>
  <c i="12" r="DC71"/>
  <c i="12" r="DD71" s="1"/>
  <c i="12" r="DC291"/>
  <c i="12" r="DD291" s="1"/>
  <c i="12" r="DC271"/>
  <c i="12" r="DD271" s="1"/>
  <c i="12" r="DC110"/>
  <c i="12" r="DD110" s="1"/>
  <c i="12" r="DC150"/>
  <c i="12" r="DD150" s="1"/>
  <c i="12" r="DC70"/>
  <c i="12" r="DD70" s="1"/>
  <c i="12" r="DC353"/>
  <c i="12" r="DD353" s="1"/>
  <c i="12" r="DC399"/>
  <c i="12" r="DD399" s="1"/>
  <c i="12" r="DC250"/>
  <c i="12" r="DD250" s="1"/>
  <c i="12" r="DC230"/>
  <c i="12" r="DD230" s="1"/>
  <c i="12" r="DC210"/>
  <c i="12" r="DD210" s="1"/>
  <c i="12" r="DC377"/>
  <c i="12" r="DC333"/>
  <c i="12" r="DC371"/>
  <c i="12" r="DC131"/>
  <c i="12" r="DD131" s="1"/>
  <c i="12" r="DC31"/>
  <c i="12" r="DD31" s="1"/>
  <c i="12" r="DC374"/>
  <c i="12" r="DC329"/>
  <c i="12" r="DC309"/>
  <c i="12" r="DC289"/>
  <c i="12" r="DD289" s="1"/>
  <c i="12" r="DC269"/>
  <c i="12" r="DD269" s="1"/>
  <c i="12" r="DC249"/>
  <c i="12" r="DD249" s="1"/>
  <c i="12" r="DC229"/>
  <c i="12" r="DC209"/>
  <c i="12" r="DD209" s="1"/>
  <c i="12" r="DC189"/>
  <c i="12" r="DC29"/>
  <c i="12" r="DC375"/>
  <c i="12" r="DC332"/>
  <c i="12" r="DD332" s="1"/>
  <c i="12" r="DC370"/>
  <c i="12" r="DD370" s="1"/>
  <c i="12" r="DC168"/>
  <c i="12" r="DD168" s="1"/>
  <c i="12" r="DC148"/>
  <c i="12" r="DD148" s="1"/>
  <c i="12" r="DC129"/>
  <c i="12" r="DD129" s="1"/>
  <c i="12" r="DC109"/>
  <c i="12" r="DC68"/>
  <c i="12" r="DD68" s="1"/>
  <c i="12" r="DC48"/>
  <c i="12" r="DD48" s="1"/>
  <c i="12" r="DC128"/>
  <c i="12" r="DD128" s="1"/>
  <c i="12" r="DC108"/>
  <c i="12" r="DD108" s="1"/>
  <c i="12" r="DC88"/>
  <c i="12" r="DD88" s="1"/>
  <c i="12" r="DC28"/>
  <c i="12" r="DD28" s="1"/>
  <c i="12" r="DC350"/>
  <c i="12" r="DC167"/>
  <c i="12" r="DD167" s="1"/>
  <c i="12" r="DC147"/>
  <c i="12" r="DC87"/>
  <c i="12" r="DD87" s="1"/>
  <c i="12" r="DC47"/>
  <c i="12" r="DD47" s="1"/>
  <c i="12" r="DC27"/>
  <c i="12" r="DC311"/>
  <c i="12" r="DD311" s="1"/>
  <c i="12" r="DC355"/>
  <c i="12" r="DC352"/>
  <c i="12" r="DC390"/>
  <c i="12" r="DC46"/>
  <c i="12" r="DD46" s="1"/>
  <c i="12" r="DC26"/>
  <c i="12" r="DD26" s="1"/>
  <c i="12" r="DC7"/>
  <c i="12" r="DD7" s="1"/>
  <c i="12" r="DC397"/>
  <c i="12" r="DC186"/>
  <c i="12" r="DD186" s="1"/>
  <c i="12" r="DC25"/>
  <c i="12" r="DD25" s="1"/>
  <c i="12" r="DC351"/>
  <c i="12" r="DD351" s="1"/>
  <c i="12" r="DC104"/>
  <c i="12" r="DD104" s="1"/>
  <c i="12" r="DC391"/>
  <c i="12" r="DC372"/>
  <c i="12" r="DD372" s="1"/>
  <c i="12" r="DC385"/>
  <c i="12" r="DC365"/>
  <c i="12" r="DD365" s="1"/>
  <c i="12" r="DC345"/>
  <c i="12" r="DC325"/>
  <c i="12" r="DC305"/>
  <c i="12" r="DD305" s="1"/>
  <c i="12" r="DC285"/>
  <c i="12" r="DD285" s="1"/>
  <c i="12" r="DC265"/>
  <c i="12" r="DC245"/>
  <c i="12" r="DD245" s="1"/>
  <c i="12" r="DC225"/>
  <c i="12" r="DC205"/>
  <c i="12" r="DD205" s="1"/>
  <c i="12" r="DC185"/>
  <c i="12" r="DD185" s="1"/>
  <c i="12" r="DC165"/>
  <c i="12" r="DD165" s="1"/>
  <c i="12" r="DC143"/>
  <c i="12" r="DD143" s="1"/>
  <c i="12" r="DC105"/>
  <c i="12" r="DD105" s="1"/>
  <c i="12" r="DC395"/>
  <c i="12" r="DC331"/>
  <c i="12" r="DC164"/>
  <c i="12" r="DD164" s="1"/>
  <c i="12" r="DC145"/>
  <c i="12" r="DD145" s="1"/>
  <c i="12" r="DC64"/>
  <c i="12" r="DD64" s="1"/>
  <c i="12" r="DC362"/>
  <c i="12" r="DD362" s="1"/>
  <c i="12" r="DC356"/>
  <c i="12" r="DD356" s="1"/>
  <c i="12" r="DC62"/>
  <c i="12" r="DD62" s="1"/>
  <c i="12" r="DC45"/>
  <c i="12" r="DD45" s="1"/>
  <c i="12" r="DC6"/>
  <c i="12" r="DD6" s="1"/>
  <c i="12" r="DC63"/>
  <c i="12" r="DD63" s="1"/>
  <c i="12" r="DC342"/>
  <c i="12" r="DD342" s="1"/>
  <c i="12" r="DC103"/>
  <c i="12" r="DC83"/>
  <c i="12" r="DD83" s="1"/>
  <c i="12" r="DC5"/>
  <c i="12" r="DD5" s="1"/>
  <c i="12" r="DC4"/>
  <c i="12" r="DD4" s="1"/>
  <c i="12" r="DC3"/>
  <c i="12" r="DD3" s="1"/>
  <c i="12" r="DC361"/>
  <c i="12" r="DD361" s="1"/>
  <c i="12" r="DC281"/>
  <c i="12" r="DC241"/>
  <c i="12" r="DC201"/>
  <c i="12" r="DC181"/>
  <c i="12" r="DC161"/>
  <c i="12" r="DC22"/>
  <c i="12" r="DD22" s="1"/>
  <c i="12" r="DC302"/>
  <c i="12" r="DD302" s="1"/>
  <c i="12" r="DC122"/>
  <c i="12" r="DD122" s="1"/>
  <c i="12" r="DC40"/>
  <c i="12" r="DD40" s="1"/>
  <c i="12" r="DD401"/>
  <c i="1" l="1" r="S21"/>
  <c i="1" r="S22"/>
  <c i="1" r="S23"/>
  <c i="1" r="S24"/>
  <c i="1" r="S25"/>
  <c i="1" r="S20"/>
  <c i="1" r="S27"/>
  <c i="1" r="T27"/>
  <c i="1" r="N26"/>
  <c i="1" r="O26"/>
  <c i="1" r="P26"/>
  <c i="1" r="Q26"/>
  <c i="1" r="R26"/>
  <c i="1" r="S26"/>
  <c i="1" r="T26"/>
  <c i="1" r="M26"/>
  <c i="1" r="U13"/>
  <c i="1" r="S15"/>
  <c i="1" r="S28" s="1"/>
  <c i="1" r="J13"/>
  <c i="1" r="H15"/>
  <c i="1" l="1" r="D26"/>
  <c i="1" r="U26"/>
  <c i="1" r="I26"/>
  <c i="1" r="J26"/>
  <c i="1" r="G26"/>
  <c i="1" r="E26"/>
  <c i="1" r="B26"/>
  <c i="1" r="C26"/>
  <c i="1" r="H26"/>
  <c i="1" r="F26"/>
  <c i="1" r="U14"/>
  <c i="1" r="M27"/>
  <c i="1" r="N27"/>
  <c i="1" r="O27"/>
  <c i="1" r="P27"/>
  <c i="1" r="Q27"/>
  <c i="1" r="R27"/>
  <c i="1" r="T21"/>
  <c i="1" r="T22"/>
  <c i="1" r="T23"/>
  <c i="1" r="T24"/>
  <c i="1" r="T25"/>
  <c i="1" r="T20"/>
  <c i="1" l="1" r="U27"/>
  <c i="7" r="P103"/>
  <c i="7" r="O103"/>
  <c i="7" r="N103"/>
  <c i="7" r="Q103" s="1"/>
  <c i="7" r="P102"/>
  <c i="7" r="O102"/>
  <c i="7" r="N102"/>
  <c i="7" r="P101"/>
  <c i="7" r="O101"/>
  <c i="7" r="N101"/>
  <c i="7" r="Q101" s="1"/>
  <c i="7" r="P100"/>
  <c i="7" r="O100"/>
  <c i="7" r="N100"/>
  <c i="7" r="Q100" s="1"/>
  <c i="7" r="P99"/>
  <c i="7" r="O99"/>
  <c i="7" r="N99"/>
  <c i="7" r="Q99" s="1"/>
  <c i="7" r="P98"/>
  <c i="7" r="O98"/>
  <c i="7" r="N98"/>
  <c i="7" r="Q98" s="1"/>
  <c i="7" r="P97"/>
  <c i="7" r="O97"/>
  <c i="7" r="N97"/>
  <c i="7" r="Q97" s="1"/>
  <c i="7" r="P96"/>
  <c i="7" r="O96"/>
  <c i="7" r="N96"/>
  <c i="7" r="Q96" s="1"/>
  <c i="7" r="P95"/>
  <c i="7" r="O95"/>
  <c i="7" r="N95"/>
  <c i="7" r="Q95" s="1"/>
  <c i="7" r="P94"/>
  <c i="7" r="O94"/>
  <c i="7" r="N94"/>
  <c i="7" r="P93"/>
  <c i="7" r="O93"/>
  <c i="7" r="N93"/>
  <c i="7" r="P92"/>
  <c i="7" r="O92"/>
  <c i="7" r="N92"/>
  <c i="7" r="P91"/>
  <c i="7" r="O91"/>
  <c i="7" r="N91"/>
  <c i="7" r="P90"/>
  <c i="7" r="O90"/>
  <c i="7" r="N90"/>
  <c i="7" r="Q90" s="1"/>
  <c i="7" r="P89"/>
  <c i="7" r="O89"/>
  <c i="7" r="N89"/>
  <c i="7" r="P88"/>
  <c i="7" r="O88"/>
  <c i="7" r="N88"/>
  <c i="7" r="Q88" s="1"/>
  <c i="7" r="P87"/>
  <c i="7" r="O87"/>
  <c i="7" r="N87"/>
  <c i="7" r="P86"/>
  <c i="7" r="O86"/>
  <c i="7" r="N86"/>
  <c i="7" r="Q86" s="1"/>
  <c i="7" r="P85"/>
  <c i="7" r="O85"/>
  <c i="7" r="N85"/>
  <c i="7" r="Q85" s="1"/>
  <c i="7" r="P84"/>
  <c i="7" r="O84"/>
  <c i="7" r="N84"/>
  <c i="7" r="Q84" s="1"/>
  <c i="7" r="P83"/>
  <c i="7" r="O83"/>
  <c i="7" r="N83"/>
  <c i="7" r="Q83" s="1"/>
  <c i="7" r="P82"/>
  <c i="7" r="O82"/>
  <c i="7" r="N82"/>
  <c i="7" r="Q82" s="1"/>
  <c i="7" r="P81"/>
  <c i="7" r="O81"/>
  <c i="7" r="N81"/>
  <c i="7" r="Q81" s="1"/>
  <c i="7" r="P80"/>
  <c i="7" r="O80"/>
  <c i="7" r="N80"/>
  <c i="7" r="P79"/>
  <c i="7" r="O79"/>
  <c i="7" r="N79"/>
  <c i="7" r="Q79" s="1"/>
  <c i="7" r="P78"/>
  <c i="7" r="O78"/>
  <c i="7" r="N78"/>
  <c i="7" r="P77"/>
  <c i="7" r="O77"/>
  <c i="7" r="N77"/>
  <c i="7" r="P76"/>
  <c i="7" r="O76"/>
  <c i="7" r="N76"/>
  <c i="7" r="P75"/>
  <c i="7" r="O75"/>
  <c i="7" r="N75"/>
  <c i="7" r="P74"/>
  <c i="7" r="O74"/>
  <c i="7" r="N74"/>
  <c i="7" r="P73"/>
  <c i="7" r="O73"/>
  <c i="7" r="N73"/>
  <c i="7" r="P72"/>
  <c i="7" r="O72"/>
  <c i="7" r="N72"/>
  <c i="7" r="Q72" s="1"/>
  <c i="7" r="P71"/>
  <c i="7" r="O71"/>
  <c i="7" r="N71"/>
  <c i="7" r="Q71" s="1"/>
  <c i="7" r="P70"/>
  <c i="7" r="O70"/>
  <c i="7" r="N70"/>
  <c i="7" r="P69"/>
  <c i="7" r="O69"/>
  <c i="7" r="N69"/>
  <c i="7" r="Q69" s="1"/>
  <c i="7" r="P68"/>
  <c i="7" r="O68"/>
  <c i="7" r="N68"/>
  <c i="7" r="Q68" s="1"/>
  <c i="7" r="P67"/>
  <c i="7" r="O67"/>
  <c i="7" r="N67"/>
  <c i="7" r="P66"/>
  <c i="7" r="O66"/>
  <c i="7" r="N66"/>
  <c i="7" r="P65"/>
  <c i="7" r="O65"/>
  <c i="7" r="N65"/>
  <c i="7" r="P64"/>
  <c i="7" r="O64"/>
  <c i="7" r="N64"/>
  <c i="7" r="P63"/>
  <c i="7" r="O63"/>
  <c i="7" r="N63"/>
  <c i="7" r="Q63" s="1"/>
  <c i="7" r="P62"/>
  <c i="7" r="O62"/>
  <c i="7" r="N62"/>
  <c i="7" r="P61"/>
  <c i="7" r="O61"/>
  <c i="7" r="N61"/>
  <c i="7" r="Q61" s="1"/>
  <c i="7" r="P60"/>
  <c i="7" r="O60"/>
  <c i="7" r="N60"/>
  <c i="7" r="Q60" s="1"/>
  <c i="7" r="P59"/>
  <c i="7" r="O59"/>
  <c i="7" r="N59"/>
  <c i="7" r="Q59" s="1"/>
  <c i="7" r="P58"/>
  <c i="7" r="O58"/>
  <c i="7" r="N58"/>
  <c i="7" r="Q58" s="1"/>
  <c i="7" r="P57"/>
  <c i="7" r="O57"/>
  <c i="7" r="N57"/>
  <c i="7" r="Q57" s="1"/>
  <c i="7" r="P56"/>
  <c i="7" r="O56"/>
  <c i="7" r="N56"/>
  <c i="7" r="Q56" s="1"/>
  <c i="7" r="P55"/>
  <c i="7" r="O55"/>
  <c i="7" r="N55"/>
  <c i="7" r="Q55" s="1"/>
  <c i="7" r="P54"/>
  <c i="7" r="O54"/>
  <c i="7" r="N54"/>
  <c i="7" r="P53"/>
  <c i="7" r="O53"/>
  <c i="7" r="N53"/>
  <c i="7" r="Q53" s="1"/>
  <c i="7" r="P52"/>
  <c i="7" r="O52"/>
  <c i="7" r="N52"/>
  <c i="7" r="P51"/>
  <c i="7" r="O51"/>
  <c i="7" r="N51"/>
  <c i="7" r="Q51" s="1"/>
  <c i="7" r="P50"/>
  <c i="7" r="O50"/>
  <c i="7" r="N50"/>
  <c i="7" r="Q50" s="1"/>
  <c i="7" r="P49"/>
  <c i="7" r="O49"/>
  <c i="7" r="N49"/>
  <c i="7" r="P48"/>
  <c i="7" r="O48"/>
  <c i="7" r="N48"/>
  <c i="7" r="Q48" s="1"/>
  <c i="7" r="P47"/>
  <c i="7" r="O47"/>
  <c i="7" r="N47"/>
  <c i="7" r="P46"/>
  <c i="7" r="O46"/>
  <c i="7" r="N46"/>
  <c i="7" r="P45"/>
  <c i="7" r="O45"/>
  <c i="7" r="N45"/>
  <c i="7" r="Q45" s="1"/>
  <c i="7" r="P44"/>
  <c i="7" r="O44"/>
  <c i="7" r="N44"/>
  <c i="7" r="P43"/>
  <c i="7" r="O43"/>
  <c i="7" r="N43"/>
  <c i="7" r="Q43" s="1"/>
  <c i="7" r="P42"/>
  <c i="7" r="O42"/>
  <c i="7" r="N42"/>
  <c i="7" r="Q42" s="1"/>
  <c i="7" r="P41"/>
  <c i="7" r="O41"/>
  <c i="7" r="N41"/>
  <c i="7" r="Q41" s="1"/>
  <c i="7" r="P40"/>
  <c i="7" r="O40"/>
  <c i="7" r="N40"/>
  <c i="7" r="Q40" s="1"/>
  <c i="7" r="P39"/>
  <c i="7" r="O39"/>
  <c i="7" r="N39"/>
  <c i="7" r="Q39" s="1"/>
  <c i="7" r="P38"/>
  <c i="7" r="O38"/>
  <c i="7" r="N38"/>
  <c i="7" r="Q38" s="1"/>
  <c i="7" r="P37"/>
  <c i="7" r="O37"/>
  <c i="7" r="N37"/>
  <c i="7" r="P36"/>
  <c i="7" r="O36"/>
  <c i="7" r="N36"/>
  <c i="7" r="P35"/>
  <c i="7" r="O35"/>
  <c i="7" r="N35"/>
  <c i="7" r="P34"/>
  <c i="7" r="O34"/>
  <c i="7" r="N34"/>
  <c i="7" r="P33"/>
  <c i="7" r="O33"/>
  <c i="7" r="N33"/>
  <c i="7" r="P32"/>
  <c i="7" r="O32"/>
  <c i="7" r="N32"/>
  <c i="7" r="Q32" s="1"/>
  <c i="7" r="P31"/>
  <c i="7" r="O31"/>
  <c i="7" r="N31"/>
  <c i="7" r="P30"/>
  <c i="7" r="O30"/>
  <c i="7" r="N30"/>
  <c i="7" r="P29"/>
  <c i="7" r="O29"/>
  <c i="7" r="N29"/>
  <c i="7" r="P28"/>
  <c i="7" r="O28"/>
  <c i="7" r="N28"/>
  <c i="7" r="Q28" s="1"/>
  <c i="7" r="P27"/>
  <c i="7" r="O27"/>
  <c i="7" r="N27"/>
  <c i="7" r="Q27" s="1"/>
  <c i="7" r="P26"/>
  <c i="7" r="O26"/>
  <c i="7" r="N26"/>
  <c i="7" r="Q26" s="1"/>
  <c i="7" r="P25"/>
  <c i="7" r="O25"/>
  <c i="7" r="N25"/>
  <c i="7" r="Q25" s="1"/>
  <c i="7" r="P24"/>
  <c i="7" r="O24"/>
  <c i="7" r="N24"/>
  <c i="7" r="P23"/>
  <c i="7" r="O23"/>
  <c i="7" r="N23"/>
  <c i="7" r="Q23" s="1"/>
  <c i="7" r="P22"/>
  <c i="7" r="O22"/>
  <c i="7" r="N22"/>
  <c i="7" r="P21"/>
  <c i="7" r="O21"/>
  <c i="7" r="N21"/>
  <c i="7" r="Q21" s="1"/>
  <c i="7" r="P20"/>
  <c i="7" r="O20"/>
  <c i="7" r="N20"/>
  <c i="7" r="P19"/>
  <c i="7" r="O19"/>
  <c i="7" r="N19"/>
  <c i="7" r="Q19" s="1"/>
  <c i="7" r="P18"/>
  <c i="7" r="O18"/>
  <c i="7" r="N18"/>
  <c i="7" r="Q18" s="1"/>
  <c i="7" r="P17"/>
  <c i="7" r="O17"/>
  <c i="7" r="N17"/>
  <c i="7" r="Q17" s="1"/>
  <c i="7" r="P16"/>
  <c i="7" r="O16"/>
  <c i="7" r="N16"/>
  <c i="7" r="P15"/>
  <c i="7" r="O15"/>
  <c i="7" r="N15"/>
  <c i="7" r="Q15" s="1"/>
  <c i="7" r="P14"/>
  <c i="7" r="O14"/>
  <c i="7" r="N14"/>
  <c i="7" r="Q14" s="1"/>
  <c i="7" r="P13"/>
  <c i="7" r="O13"/>
  <c i="7" r="N13"/>
  <c i="7" r="P12"/>
  <c i="7" r="O12"/>
  <c i="7" r="N12"/>
  <c i="7" r="Q12" s="1"/>
  <c i="7" r="P11"/>
  <c i="7" r="O11"/>
  <c i="7" r="N11"/>
  <c i="7" r="Q11" s="1"/>
  <c i="7" r="P10"/>
  <c i="7" r="O10"/>
  <c i="7" r="N10"/>
  <c i="7" r="Q10" s="1"/>
  <c i="7" r="P9"/>
  <c i="7" r="O9"/>
  <c i="7" r="N9"/>
  <c i="7" r="P8"/>
  <c i="7" r="O8"/>
  <c i="7" r="N8"/>
  <c i="7" r="Q8" s="1"/>
  <c i="7" r="P7"/>
  <c i="7" r="O7"/>
  <c i="7" r="N7"/>
  <c i="7" r="P6"/>
  <c i="7" r="O6"/>
  <c i="7" r="N6"/>
  <c i="7" r="Q6" s="1"/>
  <c i="7" r="P5"/>
  <c i="7" r="O5"/>
  <c i="7" r="N5"/>
  <c i="7" r="Q5" s="1"/>
  <c i="7" r="P4"/>
  <c i="7" r="O4"/>
  <c i="7" r="N4"/>
  <c i="7" r="Q4" s="1"/>
  <c i="7" r="P3"/>
  <c i="7" r="O3"/>
  <c i="7" r="N3"/>
  <c i="7" r="B36"/>
  <c i="7" r="B46" s="1"/>
  <c i="7" r="B35"/>
  <c i="7" r="B45" s="1"/>
  <c i="7" r="B34"/>
  <c i="7" r="B44" s="1"/>
  <c i="7" r="B33"/>
  <c i="7" r="B43" s="1"/>
  <c i="7" l="1" r="Q31"/>
  <c i="7" r="Q91"/>
  <c i="7" r="Q13"/>
  <c i="7" r="Q52"/>
  <c i="7" r="Q92"/>
  <c i="7" r="Q93"/>
  <c i="7" r="Q30"/>
  <c i="7" r="Q29"/>
  <c i="7" r="Q16"/>
  <c i="7" r="Q87"/>
  <c i="7" r="Q80"/>
  <c i="7" r="Q65"/>
  <c i="7" r="R65" s="1"/>
  <c i="7" r="Q36"/>
  <c i="7" r="Q33"/>
  <c i="7" r="Q34"/>
  <c i="7" r="Q35"/>
  <c i="7" r="Q75"/>
  <c i="7" r="R75" s="1"/>
  <c i="7" r="Q89"/>
  <c i="7" r="R89" s="1"/>
  <c i="7" r="Q76"/>
  <c i="7" r="Q44"/>
  <c i="7" r="R44" s="1"/>
  <c i="7" r="Q78"/>
  <c i="7" r="R78" s="1"/>
  <c i="7" r="Q73"/>
  <c i="7" r="R73" s="1"/>
  <c i="7" r="Q3"/>
  <c i="7" r="R3" s="1"/>
  <c i="7" r="Q7"/>
  <c i="7" r="R7" s="1"/>
  <c i="7" r="Q74"/>
  <c i="7" r="Q22"/>
  <c i="7" r="Q9"/>
  <c i="7" r="Q66"/>
  <c i="7" r="R66" s="1"/>
  <c i="7" r="Q67"/>
  <c i="7" r="R67" s="1"/>
  <c i="7" r="Q54"/>
  <c i="7" r="R54" s="1"/>
  <c i="7" r="Q94"/>
  <c i="7" r="R94" s="1"/>
  <c i="7" r="Q70"/>
  <c i="7" r="R70" s="1"/>
  <c i="7" r="Q46"/>
  <c i="7" r="R46" s="1"/>
  <c i="7" r="Q47"/>
  <c i="7" r="R47" s="1"/>
  <c i="7" r="Q20"/>
  <c i="7" r="R20" s="1"/>
  <c i="7" r="Q62"/>
  <c i="7" r="R62" s="1"/>
  <c i="7" r="Q102"/>
  <c i="7" r="R102" s="1"/>
  <c i="7" r="Q49"/>
  <c i="7" r="R49" s="1"/>
  <c i="7" r="Q37"/>
  <c i="7" r="R37" s="1"/>
  <c i="7" r="Q77"/>
  <c i="7" r="R77" s="1"/>
  <c i="7" r="Q24"/>
  <c i="7" r="R24" s="1"/>
  <c i="7" r="Q64"/>
  <c i="7" r="R64" s="1"/>
  <c i="7" r="R48"/>
  <c i="12" r="AG27"/>
  <c i="12" r="AH27" s="1"/>
  <c i="7" r="Q127" s="1"/>
  <c i="7" r="R127" s="1"/>
  <c i="12" r="AG24"/>
  <c i="12" r="AH24" s="1"/>
  <c i="12" r="AG26"/>
  <c i="12" r="AH26" s="1"/>
  <c i="7" r="Q126" s="1"/>
  <c i="7" r="R126" s="1"/>
  <c i="12" r="AG25"/>
  <c i="12" r="AH25" s="1"/>
  <c i="12" r="AG28"/>
  <c i="12" r="AH28" s="1"/>
  <c i="7" r="Q128" s="1"/>
  <c i="7" r="R128" s="1"/>
  <c i="7" r="M78"/>
  <c i="7" r="M65"/>
  <c i="7" r="M52"/>
  <c i="7" r="R52"/>
  <c i="7" r="M92"/>
  <c i="7" r="R92"/>
  <c i="7" r="M79"/>
  <c i="7" r="R79"/>
  <c i="7" r="M53"/>
  <c i="7" r="R53"/>
  <c i="7" r="M93"/>
  <c i="7" r="R93"/>
  <c i="7" r="M40"/>
  <c i="7" r="R40"/>
  <c i="7" r="M80"/>
  <c i="7" r="R80"/>
  <c i="7" r="M94"/>
  <c i="7" r="M12"/>
  <c i="7" r="R12"/>
  <c i="7" r="M81"/>
  <c i="7" r="R81"/>
  <c i="7" r="M68"/>
  <c i="7" r="R68"/>
  <c i="7" r="M91"/>
  <c i="7" r="R91"/>
  <c i="7" r="M95"/>
  <c i="7" r="R95"/>
  <c i="7" r="M39"/>
  <c i="7" r="R39"/>
  <c i="7" r="M96"/>
  <c i="7" r="R96"/>
  <c i="7" r="M97"/>
  <c i="7" r="R97"/>
  <c i="7" r="M98"/>
  <c i="7" r="R98"/>
  <c i="7" r="M67"/>
  <c i="7" r="M15"/>
  <c i="7" r="R15"/>
  <c i="7" r="M31"/>
  <c i="7" r="R31"/>
  <c i="7" r="M72"/>
  <c i="7" r="R72"/>
  <c i="7" r="M25"/>
  <c i="7" r="R25"/>
  <c i="7" r="M13"/>
  <c i="7" r="R13"/>
  <c i="7" r="M59"/>
  <c i="7" r="R59"/>
  <c i="7" r="M99"/>
  <c i="7" r="R99"/>
  <c i="7" r="M17"/>
  <c i="7" r="R17"/>
  <c i="7" r="M86"/>
  <c i="7" r="R86"/>
  <c i="7" r="M56"/>
  <c i="7" r="R56"/>
  <c i="7" r="M3"/>
  <c i="12" r="AG8"/>
  <c i="12" r="AH8" s="1"/>
  <c i="12" r="AG9"/>
  <c i="12" r="AH9" s="1"/>
  <c i="12" r="AG10"/>
  <c i="12" r="AH10" s="1"/>
  <c i="12" r="AG11"/>
  <c i="12" r="AH11" s="1"/>
  <c i="12" r="AG12"/>
  <c i="12" r="AH12" s="1"/>
  <c i="12" r="AG13"/>
  <c i="12" r="AH13" s="1"/>
  <c i="12" r="AG14"/>
  <c i="12" r="AH14" s="1"/>
  <c i="12" r="AG15"/>
  <c i="12" r="AH15" s="1"/>
  <c i="12" r="AG16"/>
  <c i="12" r="AH16" s="1"/>
  <c i="12" r="AG17"/>
  <c i="12" r="AH17" s="1"/>
  <c i="12" r="AG18"/>
  <c i="12" r="AH18" s="1"/>
  <c i="12" r="AG19"/>
  <c i="12" r="AH19" s="1"/>
  <c i="12" r="AG20"/>
  <c i="12" r="AH20" s="1"/>
  <c i="12" r="AG21"/>
  <c i="12" r="AH21" s="1"/>
  <c i="12" r="AG22"/>
  <c i="12" r="AH22" s="1"/>
  <c i="12" r="AG23"/>
  <c i="12" r="AH23" s="1"/>
  <c i="12" r="AG4"/>
  <c i="12" r="AH4" s="1"/>
  <c i="12" r="AG5"/>
  <c i="12" r="AH5" s="1"/>
  <c i="12" r="AG6"/>
  <c i="12" r="AH6" s="1"/>
  <c i="12" r="AG7"/>
  <c i="12" r="AH7" s="1"/>
  <c i="7" r="M43"/>
  <c i="7" r="R43"/>
  <c i="7" r="M45"/>
  <c i="7" r="R45"/>
  <c i="7" r="M73"/>
  <c i="7" r="M57"/>
  <c i="7" r="R57"/>
  <c i="7" r="M4"/>
  <c i="7" r="R4"/>
  <c i="7" r="M18"/>
  <c i="7" r="R18"/>
  <c i="7" r="M32"/>
  <c i="7" r="R32"/>
  <c i="7" r="M6"/>
  <c i="7" r="R6"/>
  <c i="7" r="M60"/>
  <c i="7" r="R60"/>
  <c i="7" r="M100"/>
  <c i="7" r="R100"/>
  <c i="7" r="M66"/>
  <c i="7" r="M83"/>
  <c i="7" r="R83"/>
  <c i="7" r="M87"/>
  <c i="7" r="R87"/>
  <c i="7" r="M30"/>
  <c i="7" r="R30"/>
  <c i="7" r="M74"/>
  <c i="7" r="R74"/>
  <c i="7" r="M14"/>
  <c i="7" r="R14"/>
  <c i="7" r="M19"/>
  <c i="7" r="R19"/>
  <c i="7" r="M21"/>
  <c i="7" r="R21"/>
  <c i="7" r="M61"/>
  <c i="7" r="R61"/>
  <c i="7" r="M101"/>
  <c i="7" r="R101"/>
  <c i="7" r="M16"/>
  <c i="7" r="R16"/>
  <c i="7" r="M88"/>
  <c i="7" r="R88"/>
  <c i="7" r="M69"/>
  <c i="7" r="R69"/>
  <c i="7" r="M85"/>
  <c i="7" r="R85"/>
  <c i="7" r="M20"/>
  <c i="7" r="M75"/>
  <c i="7" r="M11"/>
  <c i="7" r="R11"/>
  <c i="7" r="M84"/>
  <c i="7" r="R84"/>
  <c i="7" r="M34"/>
  <c i="7" r="R34"/>
  <c i="7" r="M55"/>
  <c i="7" r="R55"/>
  <c i="7" r="M44"/>
  <c i="7" r="M58"/>
  <c i="7" r="R58"/>
  <c i="7" r="M89"/>
  <c i="7" r="M82"/>
  <c i="7" r="R82"/>
  <c i="7" r="M22"/>
  <c i="7" r="R22"/>
  <c i="7" r="M36"/>
  <c i="7" r="R36"/>
  <c i="7" r="M76"/>
  <c i="7" r="R76"/>
  <c i="7" r="M28"/>
  <c i="7" r="R28"/>
  <c i="7" r="M9"/>
  <c i="7" r="R9"/>
  <c i="7" r="M23"/>
  <c i="7" r="R23"/>
  <c i="7" r="M63"/>
  <c i="7" r="R63"/>
  <c i="7" r="M103"/>
  <c i="7" r="R103"/>
  <c i="7" r="M51"/>
  <c i="7" r="R51"/>
  <c i="7" r="M41"/>
  <c i="7" r="R41"/>
  <c i="7" r="M70"/>
  <c i="7" r="M5"/>
  <c i="7" r="R5"/>
  <c i="7" r="M7"/>
  <c i="7" r="M62"/>
  <c i="7" r="M10"/>
  <c i="7" r="R10"/>
  <c i="7" r="M50"/>
  <c i="7" r="R50"/>
  <c i="7" r="M90"/>
  <c i="7" r="R90"/>
  <c i="7" r="M26"/>
  <c i="7" r="R26"/>
  <c i="7" r="M27"/>
  <c i="7" r="R27"/>
  <c i="7" r="M33"/>
  <c i="7" r="R33"/>
  <c i="7" r="M37"/>
  <c i="7" r="M77"/>
  <c i="7" r="M38"/>
  <c i="7" r="R38"/>
  <c i="7" r="M54"/>
  <c i="7" r="M42"/>
  <c i="7" r="R42"/>
  <c i="7" r="M29"/>
  <c i="7" r="R29"/>
  <c i="7" r="M71"/>
  <c i="7" r="R71"/>
  <c i="7" r="M8"/>
  <c i="7" r="R8"/>
  <c i="7" r="M35"/>
  <c i="7" r="R35"/>
  <c i="7" r="M24"/>
  <c i="7" r="M64"/>
  <c i="7" r="M46"/>
  <c i="7" r="M47"/>
  <c i="7" r="M49"/>
  <c i="7" r="M48"/>
  <c i="7" r="M102"/>
  <c i="7" l="1" r="Q117"/>
  <c i="7" r="R117" s="1"/>
  <c i="7" r="Q119"/>
  <c i="7" r="R119" s="1"/>
  <c i="7" r="Q113"/>
  <c i="7" r="R113" s="1"/>
  <c i="7" r="Q111"/>
  <c i="7" r="R111" s="1"/>
  <c i="7" r="Q112"/>
  <c i="7" r="R112" s="1"/>
  <c i="7" r="Q120"/>
  <c i="7" r="R120" s="1"/>
  <c i="7" r="Q118"/>
  <c i="7" r="R118" s="1"/>
  <c i="7" r="Q107"/>
  <c i="7" r="R107" s="1"/>
  <c i="7" r="Q106"/>
  <c i="7" r="R106" s="1"/>
  <c i="7" r="Q110"/>
  <c i="7" r="R110" s="1"/>
  <c i="7" r="Q105"/>
  <c i="7" r="R105" s="1"/>
  <c i="7" r="Q125"/>
  <c i="7" r="R125" s="1"/>
  <c i="7" r="Q114"/>
  <c i="7" r="R114" s="1"/>
  <c i="7" r="Q104"/>
  <c i="7" r="R104" s="1"/>
  <c i="7" r="Q123"/>
  <c i="7" r="R123" s="1"/>
  <c i="7" r="Q124"/>
  <c i="7" r="R124" s="1"/>
  <c i="7" r="Q115"/>
  <c i="7" r="R115" s="1"/>
  <c i="7" r="Q108"/>
  <c i="7" r="R108" s="1"/>
  <c i="7" r="Q116"/>
  <c i="7" r="R116" s="1"/>
  <c i="7" r="Q109"/>
  <c i="7" r="R109" s="1"/>
  <c i="7" r="Q122"/>
  <c i="7" r="R122" s="1"/>
  <c i="7" r="Q121"/>
  <c i="7" r="R121" s="1"/>
  <c i="1" r="U7"/>
  <c i="1" r="U8"/>
  <c i="1" r="U9"/>
  <c i="1" r="U10"/>
  <c i="1" r="U11"/>
  <c i="1" r="U12"/>
  <c i="1" r="L7"/>
  <c i="1" r="L8"/>
  <c i="1" r="L9"/>
  <c i="1" r="L10"/>
  <c i="1" r="L11"/>
  <c i="1" r="L12"/>
  <c i="1" r="L20"/>
  <c i="1" r="L21"/>
  <c i="1" r="L22"/>
  <c i="1" r="L23"/>
  <c i="1" r="L24"/>
  <c i="1" r="L25"/>
  <c i="7" l="1" r="D23"/>
  <c i="7" r="D24"/>
  <c i="7" r="D25"/>
  <c i="7" r="D26"/>
  <c i="7" l="1" r="G7"/>
  <c i="7" r="D7"/>
  <c i="7" r="G6"/>
  <c i="7" r="D6"/>
  <c i="7" r="G5"/>
  <c i="7" r="D5"/>
  <c i="7" r="G4"/>
  <c i="7" r="D4"/>
  <c i="7" l="1" r="D8"/>
  <c i="7" r="D16" s="1"/>
  <c i="7" r="G8"/>
  <c i="7" r="G16" s="1"/>
  <c i="7" r="D15"/>
  <c i="7" l="1" r="D14"/>
  <c i="7" r="D13"/>
  <c i="7" r="D12"/>
  <c i="7" r="G14"/>
  <c i="7" r="G13"/>
  <c i="7" r="G15"/>
  <c i="7" r="I15" s="1"/>
  <c i="7" r="J15" s="1"/>
  <c i="7" r="G12"/>
  <c i="7" l="1" r="I13"/>
  <c i="7" r="J13" s="1"/>
  <c i="7" r="I12"/>
  <c i="7" r="J12" s="1"/>
  <c i="7" r="I14"/>
  <c i="7" r="J14" s="1"/>
  <c i="7" l="1" r="K13"/>
  <c i="7" r="K14"/>
  <c i="7" r="D35" s="1"/>
  <c i="7" r="D45" s="1"/>
  <c i="7" r="K12"/>
  <c i="7" r="D33" s="1"/>
  <c i="7" r="D43" s="1"/>
  <c i="7" r="K15"/>
  <c i="7" r="D36" s="1"/>
  <c i="7" r="D46" s="1"/>
  <c i="7" r="D34"/>
  <c i="7" r="D44" s="1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l="1" r="Q15"/>
  <c i="1" r="Q28" s="1"/>
  <c i="1" r="R15"/>
  <c i="1" r="R28" s="1"/>
  <c i="1" r="F15"/>
  <c i="1" r="G15"/>
  <c i="1" r="J10"/>
  <c i="1" r="J11"/>
  <c i="1" r="J12"/>
  <c i="1" l="1" r="I24"/>
  <c i="1" r="H24"/>
  <c i="1" r="I25"/>
  <c i="1" r="H25"/>
  <c i="1" r="I23"/>
  <c i="1" r="H23"/>
  <c i="1" r="C24"/>
  <c i="1" r="B24"/>
  <c i="1" r="D24"/>
  <c i="1" r="E24"/>
  <c i="1" r="F24"/>
  <c i="1" r="G24"/>
  <c i="1" r="B25"/>
  <c i="1" r="C25"/>
  <c i="1" r="G25"/>
  <c i="1" r="F25"/>
  <c i="1" r="E25"/>
  <c i="1" r="D25"/>
  <c i="1" r="C23"/>
  <c i="1" r="D23"/>
  <c i="1" r="E23"/>
  <c i="1" r="G23"/>
  <c i="1" r="B23"/>
  <c i="1" r="F23"/>
  <c i="1" r="U25"/>
  <c i="1" r="R25"/>
  <c i="1" r="Q25"/>
  <c i="1" r="P25"/>
  <c i="1" r="O25"/>
  <c i="1" r="N25"/>
  <c i="1" r="M25"/>
  <c i="1" r="U24"/>
  <c i="1" r="R24"/>
  <c i="1" r="Q24"/>
  <c i="1" r="P24"/>
  <c i="1" r="O24"/>
  <c i="1" r="N24"/>
  <c i="1" r="M24"/>
  <c i="1" r="U23"/>
  <c i="1" r="R23"/>
  <c i="1" r="Q23"/>
  <c i="1" r="P23"/>
  <c i="1" r="O23"/>
  <c i="1" r="N23"/>
  <c i="1" r="M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J14"/>
  <c i="1" r="H27" s="1"/>
  <c i="1" r="J9"/>
  <c i="1" r="J8"/>
  <c i="1" r="J7"/>
  <c i="4" r="F102"/>
  <c i="4" r="G101" s="1"/>
  <c i="4" r="B102"/>
  <c i="4" r="C102" s="1"/>
  <c i="3" r="F102"/>
  <c i="3" r="G101" s="1"/>
  <c i="3" r="B102"/>
  <c i="3" r="C13" s="1"/>
  <c i="1" l="1" r="I21"/>
  <c i="1" r="H21"/>
  <c i="1" r="I20"/>
  <c i="1" r="H20"/>
  <c i="1" r="I22"/>
  <c i="1" r="H22"/>
  <c i="1" r="D27"/>
  <c i="1" r="B27"/>
  <c i="1" r="G27"/>
  <c i="1" r="C27"/>
  <c i="1" r="F27"/>
  <c i="1" r="I27"/>
  <c i="1" r="I28" s="1"/>
  <c i="1" r="E27"/>
  <c i="1" r="D20"/>
  <c i="1" r="G20"/>
  <c i="1" r="C20"/>
  <c i="1" r="B20"/>
  <c i="1" r="E20"/>
  <c i="1" r="F20"/>
  <c i="1" r="B22"/>
  <c i="1" r="G22"/>
  <c i="1" r="F22"/>
  <c i="1" r="D22"/>
  <c i="1" r="E22"/>
  <c i="1" r="C22"/>
  <c i="1" r="B21"/>
  <c i="1" r="D21"/>
  <c i="1" r="E21"/>
  <c i="1" r="F21"/>
  <c i="1" r="G21"/>
  <c i="1" r="C21"/>
  <c i="1" r="J23"/>
  <c i="1" r="U20"/>
  <c i="1" r="U21"/>
  <c i="1" r="J25"/>
  <c i="1" r="J24"/>
  <c i="1" r="J15"/>
  <c i="1" r="U15"/>
  <c i="1" r="U28" s="1"/>
  <c i="1" r="U22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H28"/>
  <c i="1" r="S37"/>
  <c i="1" r="S35"/>
  <c i="1" r="S41"/>
  <c i="1" r="O39"/>
  <c i="1" r="S34"/>
  <c i="1" r="P39"/>
  <c i="1" r="N39"/>
  <c i="1" r="S36"/>
  <c i="1" r="S33"/>
  <c i="1" r="Q39"/>
  <c i="1" r="S40"/>
  <c i="1" r="S38"/>
  <c i="1" r="T39"/>
  <c i="1" r="U39"/>
  <c i="1" r="S39"/>
  <c i="1" r="R39"/>
  <c i="1" r="M39"/>
  <c i="1" r="J27"/>
  <c i="1" r="R38"/>
  <c i="1" r="T34"/>
  <c i="1" r="T38"/>
  <c i="1" r="U40"/>
  <c i="1" r="T36"/>
  <c i="1" r="T40"/>
  <c i="1" r="T35"/>
  <c i="1" r="T37"/>
  <c i="1" r="Q40"/>
  <c i="1" r="T33"/>
  <c i="1" r="N40"/>
  <c i="1" r="R40"/>
  <c i="1" r="P40"/>
  <c i="1" r="O40"/>
  <c i="1" r="M40"/>
  <c i="1" r="M36"/>
  <c i="1" r="M38"/>
  <c i="1" r="O34"/>
  <c i="1" r="N35"/>
  <c i="1" r="N34"/>
  <c i="1" r="O35"/>
  <c i="1" r="R37"/>
  <c i="1" r="M34"/>
  <c i="1" r="N36"/>
  <c i="1" r="O37"/>
  <c i="1" r="M37"/>
  <c i="1" r="R36"/>
  <c i="1" r="N37"/>
  <c i="1" r="O36"/>
  <c i="1" r="R35"/>
  <c i="1" r="Q38"/>
  <c i="1" r="P36"/>
  <c i="1" r="M33"/>
  <c i="1" r="Q35"/>
  <c i="1" r="M35"/>
  <c i="1" r="Q37"/>
  <c i="1" r="R33"/>
  <c i="1" r="R34"/>
  <c i="1" r="N33"/>
  <c i="1" r="N38"/>
  <c i="1" r="P35"/>
  <c i="1" r="P38"/>
  <c i="1" r="P34"/>
  <c i="1" r="Q34"/>
  <c i="1" r="O38"/>
  <c i="1" r="P33"/>
  <c i="1" r="O33"/>
  <c i="1" r="P37"/>
  <c i="1" r="Q36"/>
  <c i="1" r="Q33"/>
  <c i="1" r="F28"/>
  <c i="1" r="G28"/>
  <c i="1" r="J21"/>
  <c i="1" r="M41"/>
  <c i="1" r="R41"/>
  <c i="1" r="Q41"/>
  <c i="1" r="U35"/>
  <c i="1" r="O41"/>
  <c i="1" r="U36"/>
  <c i="1" r="J22"/>
  <c i="1" r="U38"/>
  <c i="1" r="U34"/>
  <c i="1" r="U33"/>
  <c i="1" r="N41"/>
  <c i="1" r="P41"/>
  <c i="1" r="D28"/>
  <c i="1" r="U41"/>
  <c i="1" r="T41"/>
  <c i="1" r="U37"/>
  <c i="1" r="E28"/>
  <c i="1" r="C28"/>
  <c i="1" r="B28"/>
  <c i="1" r="J20"/>
  <c i="1" l="1" r="J28"/>
  <c i="1" l="1" r="J40"/>
  <c i="1" r="AF40" s="1"/>
  <c i="1" r="D39"/>
  <c i="1" r="Z39" s="1"/>
  <c i="1" r="B39"/>
  <c i="1" r="X39" s="1"/>
  <c i="1" r="E39"/>
  <c i="1" r="AA39" s="1"/>
  <c i="1" r="J39"/>
  <c i="1" r="AF39" s="1"/>
  <c i="1" r="F39"/>
  <c i="1" r="AB39" s="1"/>
  <c i="1" r="C39"/>
  <c i="1" r="Y39" s="1"/>
  <c i="1" r="G39"/>
  <c i="1" r="AC39" s="1"/>
  <c i="1" r="H39"/>
  <c i="1" r="AD39" s="1"/>
  <c i="1" r="I39"/>
  <c i="1" r="AE39" s="1"/>
  <c i="1" r="H36"/>
  <c i="1" r="AD36" s="1"/>
  <c i="1" r="H38"/>
  <c i="1" r="AD38" s="1"/>
  <c i="1" r="H37"/>
  <c i="1" r="AD37" s="1"/>
  <c i="1" r="H40"/>
  <c i="1" r="AD40" s="1"/>
  <c i="1" r="H35"/>
  <c i="1" r="AD35" s="1"/>
  <c i="1" r="H33"/>
  <c i="1" r="AD33" s="1"/>
  <c i="1" r="H34"/>
  <c i="1" r="AD34" s="1"/>
  <c i="1" r="H41"/>
  <c i="1" r="AD41" s="1"/>
  <c i="1" r="G36"/>
  <c i="1" r="AC36" s="1"/>
  <c i="1" r="C40"/>
  <c i="1" r="Y40" s="1"/>
  <c i="1" r="I36"/>
  <c i="1" r="AE36" s="1"/>
  <c i="1" r="E40"/>
  <c i="1" r="AA40" s="1"/>
  <c i="1" r="I34"/>
  <c i="1" r="AE34" s="1"/>
  <c i="1" r="G37"/>
  <c i="1" r="AC37" s="1"/>
  <c i="1" r="I35"/>
  <c i="1" r="AE35" s="1"/>
  <c i="1" r="I37"/>
  <c i="1" r="AE37" s="1"/>
  <c i="1" r="D40"/>
  <c i="1" r="Z40" s="1"/>
  <c i="1" r="G35"/>
  <c i="1" r="AC35" s="1"/>
  <c i="1" r="G38"/>
  <c i="1" r="AC38" s="1"/>
  <c i="1" r="G40"/>
  <c i="1" r="AC40" s="1"/>
  <c i="1" r="F40"/>
  <c i="1" r="AB40" s="1"/>
  <c i="1" r="I38"/>
  <c i="1" r="AE38" s="1"/>
  <c i="1" r="B40"/>
  <c i="1" r="X40" s="1"/>
  <c i="1" r="G34"/>
  <c i="1" r="AC34" s="1"/>
  <c i="1" r="I40"/>
  <c i="1" r="AE40" s="1"/>
  <c i="1" r="I33"/>
  <c i="1" r="AE33" s="1"/>
  <c i="1" r="E36"/>
  <c i="1" r="AA36" s="1"/>
  <c i="1" r="F36"/>
  <c i="1" r="AB36" s="1"/>
  <c i="1" r="C36"/>
  <c i="1" r="Y36" s="1"/>
  <c i="1" r="C37"/>
  <c i="1" r="Y37" s="1"/>
  <c i="1" r="B37"/>
  <c i="1" r="X37" s="1"/>
  <c i="1" r="D38"/>
  <c i="1" r="Z38" s="1"/>
  <c i="1" r="E38"/>
  <c i="1" r="AA38" s="1"/>
  <c i="1" r="F37"/>
  <c i="1" r="AB37" s="1"/>
  <c i="1" r="F38"/>
  <c i="1" r="AB38" s="1"/>
  <c i="1" r="B36"/>
  <c i="1" r="X36" s="1"/>
  <c i="1" r="B38"/>
  <c i="1" r="X38" s="1"/>
  <c i="1" r="E37"/>
  <c i="1" r="AA37" s="1"/>
  <c i="1" r="D36"/>
  <c i="1" r="Z36" s="1"/>
  <c i="1" r="C38"/>
  <c i="1" r="Y38" s="1"/>
  <c i="1" r="D37"/>
  <c i="1" r="Z37" s="1"/>
  <c i="1" r="C34"/>
  <c i="1" r="Y34" s="1"/>
  <c i="1" r="D34"/>
  <c i="1" r="Z34" s="1"/>
  <c i="1" r="E33"/>
  <c i="1" r="AA33" s="1"/>
  <c i="1" r="B34"/>
  <c i="1" r="X34" s="1"/>
  <c i="1" r="F35"/>
  <c i="1" r="AB35" s="1"/>
  <c i="1" r="B35"/>
  <c i="1" r="X35" s="1"/>
  <c i="1" r="F33"/>
  <c i="1" r="AB33" s="1"/>
  <c i="1" r="B33"/>
  <c i="1" r="X33" s="1"/>
  <c i="1" r="D33"/>
  <c i="1" r="Z33" s="1"/>
  <c i="1" r="C35"/>
  <c i="1" r="Y35" s="1"/>
  <c i="1" r="D35"/>
  <c i="1" r="Z35" s="1"/>
  <c i="1" r="E35"/>
  <c i="1" r="AA35" s="1"/>
  <c i="1" r="C33"/>
  <c i="1" r="Y33" s="1"/>
  <c i="1" r="F34"/>
  <c i="1" r="AB34" s="1"/>
  <c i="1" r="E34"/>
  <c i="1" r="AA34" s="1"/>
  <c i="1" r="G33"/>
  <c i="1" r="AC33" s="1"/>
  <c i="1" r="C41"/>
  <c i="1" r="Y41" s="1"/>
  <c i="1" r="G41"/>
  <c i="1" r="AC41" s="1"/>
  <c i="1" r="F41"/>
  <c i="1" r="AB41" s="1"/>
  <c i="1" r="J33"/>
  <c i="1" r="AF33" s="1"/>
  <c i="1" r="J35"/>
  <c i="1" r="AF35" s="1"/>
  <c i="1" r="J41"/>
  <c i="1" r="AF41" s="1"/>
  <c i="1" r="J38"/>
  <c i="1" r="AF38" s="1"/>
  <c i="1" r="I41"/>
  <c i="1" r="AE41" s="1"/>
  <c i="1" r="J37"/>
  <c i="1" r="AF37" s="1"/>
  <c i="1" r="J36"/>
  <c i="1" r="AF36" s="1"/>
  <c i="1" r="J34"/>
  <c i="1" r="AF34" s="1"/>
  <c i="1" r="E41"/>
  <c i="1" r="AA41" s="1"/>
  <c i="1" r="B41"/>
  <c i="1" r="X41" s="1"/>
  <c i="1" r="D41"/>
  <c i="1" r="Z41" s="1"/>
</calcChain>
</file>

<file path=xl/sharedStrings.xml><?xml version="1.0" encoding="utf-8"?>
<sst xmlns="http://schemas.openxmlformats.org/spreadsheetml/2006/main" count="932" uniqueCount="387">
  <si>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</si>
  <si>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</si>
  <si>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</si>
  <si>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</si>
  <si>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</si>
  <si>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</si>
  <si>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</si>
  <si>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</si>
  <si>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</si>
  <si>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</si>
  <si>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</si>
  <si>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</si>
  <si>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</si>
  <si>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</si>
  <si>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</si>
  <si>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</si>
  <si>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</si>
  <si>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</si>
  <si>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</si>
  <si>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</si>
  <si>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</si>
  <si>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</si>
  <si>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</si>
  <si>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</si>
  <si>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</si>
  <si>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</si>
  <si>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</si>
  <si>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</si>
  <si>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</si>
  <si>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</si>
  <si>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</si>
  <si>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</si>
  <si>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</si>
  <si>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</si>
  <si>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</si>
  <si>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</si>
  <si>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</si>
  <si>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</si>
  <si>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</si>
  <si>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</si>
  <si>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</si>
  <si>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</si>
  <si>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</si>
  <si>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</si>
  <si>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</si>
  <si>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</si>
  <si>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</si>
  <si>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</si>
  <si>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</si>
  <si>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</si>
  <si>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</si>
  <si>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</si>
  <si>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</si>
  <si>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</si>
  <si>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</si>
  <si>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</si>
  <si>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</si>
  <si>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</si>
  <si>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</si>
  <si>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</si>
  <si>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</si>
  <si>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</si>
  <si>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</si>
  <si>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</si>
  <si>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</si>
  <si>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</si>
  <si>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</si>
  <si>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</si>
  <si>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</si>
  <si>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</si>
  <si>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</si>
  <si>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</si>
  <si>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</si>
  <si>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</si>
  <si>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</si>
  <si>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</si>
  <si>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</si>
  <si>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</si>
  <si>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</si>
  <si>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</si>
  <si>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</si>
  <si>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</si>
  <si>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</si>
  <si>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</si>
  <si>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</si>
  <si>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</si>
  <si>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</si>
  <si>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</si>
  <si>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</si>
  <si>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</si>
  <si>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</si>
  <si>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</si>
  <si>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</si>
  <si>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</si>
  <si>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</si>
  <si>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</si>
  <si>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</si>
  <si>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</si>
  <si>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</si>
  <si>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</si>
  <si>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</si>
  <si>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</si>
  <si>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</si>
  <si>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</si>
  <si>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</si>
  <si>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</si>
  <si>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</si>
  <si>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</si>
  <si>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</si>
  <si>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</si>
  <si>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</si>
  <si>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</si>
  <si>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</si>
  <si>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</si>
  <si>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</si>
  <si>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</si>
  <si>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</si>
  <si>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</si>
  <si>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</si>
  <si>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</si>
  <si>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</si>
  <si>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</si>
  <si>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</si>
  <si>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</si>
  <si>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</si>
  <si>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</si>
  <si>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</si>
  <si>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</si>
  <si>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</si>
  <si>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</si>
  <si>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</si>
  <si>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</si>
  <si>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</si>
  <si>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</si>
  <si>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</si>
  <si>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</si>
  <si>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</si>
  <si>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</si>
  <si>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</si>
  <si>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</si>
  <si>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</si>
  <si>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</si>
  <si>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</si>
  <si>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</si>
  <si>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</si>
  <si>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</si>
  <si>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</si>
  <si>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</si>
  <si>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</si>
  <si>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</si>
  <si>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</si>
  <si>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</si>
  <si>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</si>
  <si>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</si>
  <si>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</si>
  <si>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</si>
  <si>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</si>
  <si>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</si>
  <si>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</si>
  <si>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</si>
  <si>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</si>
  <si>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</si>
  <si>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</si>
  <si>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</si>
  <si>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</si>
  <si>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</si>
  <si>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</si>
  <si>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</si>
  <si>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</si>
  <si>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</si>
  <si>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</si>
  <si>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</si>
  <si>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</si>
  <si>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</si>
  <si>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</si>
  <si>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</si>
  <si>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</si>
  <si>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</si>
  <si>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</si>
  <si>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</si>
  <si>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</si>
  <si>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</si>
  <si>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</si>
  <si>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</si>
  <si>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</si>
  <si>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</si>
  <si>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</si>
  <si>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</si>
  <si>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</si>
  <si>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</si>
  <si>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</si>
  <si>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</si>
  <si>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</si>
  <si>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</si>
  <si>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</si>
  <si>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</si>
  <si>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</si>
  <si>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</si>
  <si>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</si>
  <si>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</si>
  <si>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</si>
  <si>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</si>
  <si>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</si>
  <si>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</si>
  <si>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</si>
  <si>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</si>
  <si>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</si>
  <si>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</si>
  <si>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</si>
  <si>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</si>
  <si>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</si>
  <si>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</si>
  <si>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</si>
  <si>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</si>
  <si>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</si>
  <si>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</si>
  <si>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</si>
  <si>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</si>
  <si>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</si>
  <si>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</si>
  <si>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</si>
  <si>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</si>
  <si>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</si>
  <si>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</si>
  <si>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</si>
  <si>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</si>
  <si>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</si>
  <si>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</si>
  <si>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</si>
  <si>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</si>
  <si>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</si>
  <si>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</si>
  <si>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</si>
  <si>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</si>
  <si>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</si>
  <si>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</si>
  <si>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</si>
  <si>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</si>
  <si>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</si>
  <si>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</si>
  <si>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</si>
  <si>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</si>
  <si>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</si>
  <si>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</si>
  <si>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</si>
  <si>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</si>
  <si>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</si>
  <si>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</si>
  <si>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</si>
  <si>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</si>
  <si>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</si>
  <si>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</si>
  <si>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</si>
  <si>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</si>
  <si>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</si>
  <si>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</si>
  <si>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</si>
  <si>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</si>
  <si>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</si>
  <si>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</si>
  <si>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</si>
  <si>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</si>
  <si>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</si>
  <si>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</si>
  <si>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</si>
  <si>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</si>
  <si>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</si>
  <si>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</si>
  <si>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</si>
  <si>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</si>
  <si>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Table X. Observed Discretionary Tour Flows by County: Survey</t>
  </si>
  <si>
    <t>Table X. Estimated Discretionary Tour Flows by County: DaySim</t>
  </si>
  <si>
    <t>Table X. Adjusted Observed Discretionary Tour Flows by County: Survey</t>
  </si>
  <si>
    <t>OtherTourDestinationCoefficients_model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</si>
  <si>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</si>
  <si>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</si>
  <si>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</si>
  <si>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</si>
  <si>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</si>
  <si>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</si>
  <si>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</si>
  <si>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</si>
  <si>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</si>
  <si>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vehtrip</t>
  </si>
  <si>
    <t>ddist</t>
  </si>
  <si>
    <t>odist</t>
  </si>
  <si>
    <t>Table X. Estimated Worker Flows by District: DaySim</t>
  </si>
  <si>
    <t>WORKER FLOWS BY District: EST-OBS (DaySim - LEHD)</t>
  </si>
  <si>
    <t>Max Dist</t>
  </si>
  <si>
    <t>id</t>
  </si>
  <si>
    <t>Origin</t>
  </si>
  <si>
    <t>OBS</t>
  </si>
  <si>
    <t>ABM</t>
  </si>
  <si>
    <t>Diff</t>
  </si>
  <si>
    <t>% Diff</t>
  </si>
  <si>
    <t>Ref</t>
  </si>
  <si>
    <t>District</t>
  </si>
  <si>
    <t>%</t>
  </si>
  <si>
    <t>% DIFF</t>
  </si>
  <si>
    <t>ID</t>
  </si>
  <si>
    <t>SURVEY</t>
  </si>
  <si>
    <t>OD Data</t>
  </si>
  <si>
    <t>COEF INDEX</t>
  </si>
  <si>
    <t>OLD COEFF</t>
  </si>
  <si>
    <t>NEW COEFF</t>
  </si>
  <si>
    <t>damp</t>
  </si>
  <si>
    <t>CBD</t>
  </si>
  <si>
    <t>Inner Core I-24 E</t>
  </si>
  <si>
    <t>Inner Core I-24/65 N</t>
  </si>
  <si>
    <t>Inner Core I-24W</t>
  </si>
  <si>
    <t>Inner Core I-40 W</t>
  </si>
  <si>
    <t>Inner Core I-65 S</t>
  </si>
  <si>
    <t>Middle Core I-24 E</t>
  </si>
  <si>
    <t>Middle Core I-24 W</t>
  </si>
  <si>
    <t>Middle Core I-40 E</t>
  </si>
  <si>
    <t>Middle Core I-40 W</t>
  </si>
  <si>
    <t>Middle Core I-65 N</t>
  </si>
  <si>
    <t>Middle Core I-65 S</t>
  </si>
  <si>
    <t>Outer Core I-24 E</t>
  </si>
  <si>
    <t>Outer Core I-24 W</t>
  </si>
  <si>
    <t>Outer Core I-40 E</t>
  </si>
  <si>
    <t>Outer Core I-40 W</t>
  </si>
  <si>
    <t>Outer Core I-65 N</t>
  </si>
  <si>
    <t>Outer Core I-65 S</t>
  </si>
  <si>
    <t>Outer Core SR386</t>
  </si>
  <si>
    <t>Far Outer Core I-65 S</t>
  </si>
  <si>
    <t>Table X. Scaled Estimated Worker Flows by District: DaySim</t>
  </si>
  <si>
    <t>% Workers by Work Locatioin District</t>
  </si>
  <si>
    <t>Data</t>
  </si>
  <si>
    <t>Table X. OD Flows - OD Data</t>
  </si>
  <si>
    <t>Table X. Adjusted OD Flows - OD Data</t>
  </si>
  <si>
    <t>(DaySim - OBS)/OBS</t>
  </si>
  <si>
    <t>ABS((DaySim - OBS)/OBS)</t>
  </si>
  <si>
    <t>Key</t>
  </si>
  <si>
    <t>Ratio</t>
  </si>
  <si>
    <t>SCALED OD DATA</t>
  </si>
  <si>
    <t>ORIGIN</t>
  </si>
  <si>
    <t>DESTINATION</t>
  </si>
  <si>
    <t>ABM-OBS</t>
  </si>
  <si>
    <t>(ABM-OBS)/OBS</t>
  </si>
  <si>
    <t>svn</t>
  </si>
  <si>
    <t>v1799,</t>
  </si>
  <si>
    <t>alo</t>
  </si>
  <si>
    <t>v0601)</t>
  </si>
  <si>
    <t>May</t>
  </si>
  <si>
    <t>011:39:57</t>
  </si>
  <si>
    <t>Dist_1</t>
  </si>
  <si>
    <t>Dist_2</t>
  </si>
  <si>
    <t>Dist_3</t>
  </si>
  <si>
    <t>Dist_4</t>
  </si>
  <si>
    <t>Dist_5</t>
  </si>
  <si>
    <t>Dist_6</t>
  </si>
  <si>
    <t>Dist_7</t>
  </si>
  <si>
    <t>Dist_8</t>
  </si>
  <si>
    <t>Dist_9</t>
  </si>
  <si>
    <t>Dist_10</t>
  </si>
  <si>
    <t>Dist_11</t>
  </si>
  <si>
    <t>Dist_12</t>
  </si>
  <si>
    <t>Dist_13</t>
  </si>
  <si>
    <t>Dist_14</t>
  </si>
  <si>
    <t>Dist_15</t>
  </si>
  <si>
    <t>Dist_16</t>
  </si>
  <si>
    <t>Dist_17</t>
  </si>
  <si>
    <t>Dist_18</t>
  </si>
  <si>
    <t>Dist_19</t>
  </si>
  <si>
    <t>Dist_20</t>
  </si>
  <si>
    <t>Flag</t>
  </si>
  <si>
    <t>Table X. (DaySim - OBS)</t>
  </si>
  <si>
    <t>(ORIGIN+DESTINATION)/2</t>
  </si>
  <si>
    <t>ori1_des1</t>
  </si>
  <si>
    <t>ori6_des6</t>
  </si>
  <si>
    <t>ori12_des12</t>
  </si>
  <si>
    <t>ori20_des20</t>
  </si>
  <si>
    <t>OD data</t>
  </si>
  <si>
    <t>ori13_des13</t>
  </si>
  <si>
    <t>O1_D1</t>
  </si>
  <si>
    <t>O6_D6</t>
  </si>
  <si>
    <t>O12_D12</t>
  </si>
  <si>
    <t>O13_D13</t>
  </si>
  <si>
    <t>O20_D20</t>
  </si>
  <si>
    <t>GammaHosp</t>
  </si>
  <si>
    <t>GammaMall</t>
  </si>
  <si>
    <t>SpGenRecr</t>
  </si>
  <si>
    <t>SpgenAirp</t>
  </si>
  <si>
    <t>GammaInd</t>
  </si>
  <si>
    <t>GammaOth</t>
  </si>
  <si>
    <t>SpGenReg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</si>
</sst>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"/>
    <numFmt numFmtId="173" formatCode="0.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39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Font="1" borderId="0" fillId="0" fontId="5" numFmtId="0" xfId="0"/>
    <xf applyFont="1" applyNumberFormat="1" borderId="0" fillId="0" fontId="0" numFmtId="3" xfId="0"/>
    <xf applyBorder="1" applyFont="1" applyNumberFormat="1" borderId="3" fillId="0" fontId="0" numFmtId="3" xfId="0"/>
    <xf applyBorder="1" applyFill="1" applyFont="1" applyNumberFormat="1" borderId="4" fillId="0" fontId="0" numFmtId="3" xfId="0"/>
    <xf applyBorder="1" applyFill="1" applyFont="1" applyNumberFormat="1" borderId="0" fillId="0" fontId="5" numFmtId="3" xfId="0"/>
    <xf applyFont="1" borderId="0" fillId="0" fontId="6" numFmtId="0" xfId="0"/>
    <xf applyAlignment="1" applyFont="1" applyNumberFormat="1" borderId="0" fillId="0" fontId="6" numFmtId="1" xfId="0">
      <alignment horizontal="right"/>
    </xf>
    <xf applyBorder="1" applyFont="1" applyNumberFormat="1" borderId="1" fillId="0" fontId="0" numFmtId="3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ill="1" applyFont="1" applyNumberFormat="1" borderId="0" fillId="4" fontId="0" numFmtId="166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borderId="3" fillId="0" fontId="0" numFmtId="0" xfId="0"/>
    <xf applyBorder="1" applyFont="1" applyNumberFormat="1" borderId="3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Fill="1" applyFont="1" applyNumberFormat="1" borderId="0" fillId="5" fontId="6" numFmtId="166" xfId="0">
      <alignment horizontal="right"/>
    </xf>
    <xf applyAlignment="1" applyBorder="1" applyFill="1" applyFont="1" applyNumberFormat="1" borderId="1" fillId="5" fontId="6" numFmtId="166" xfId="0">
      <alignment horizontal="right"/>
    </xf>
    <xf applyAlignment="1" applyBorder="1" applyFont="1" applyNumberFormat="1" borderId="6" fillId="0" fontId="6" numFmtId="166" xfId="0">
      <alignment horizontal="right"/>
    </xf>
    <xf applyAlignment="1" applyBorder="1" applyFont="1" applyNumberFormat="1" borderId="0" fillId="0" fontId="6" numFmtId="166" xfId="0">
      <alignment horizontal="right"/>
    </xf>
    <xf applyAlignment="1" applyFill="1" applyFont="1" applyNumberFormat="1" borderId="0" fillId="3" fontId="6" numFmtId="166" xfId="0">
      <alignment horizontal="right"/>
    </xf>
    <xf applyAlignment="1" applyBorder="1" applyFill="1" applyFont="1" applyNumberFormat="1" borderId="1" fillId="3" fontId="6" numFmtId="166" xfId="0">
      <alignment horizontal="right"/>
    </xf>
    <xf applyBorder="1" applyFill="1" applyFont="1" borderId="7" fillId="6" fontId="5" numFmtId="0" xfId="0"/>
    <xf applyBorder="1" applyFill="1" applyFont="1" borderId="6" fillId="6" fontId="6" numFmtId="0" xfId="0"/>
    <xf applyBorder="1" applyFill="1" applyFont="1" borderId="8" fillId="6" fontId="6" numFmtId="0" xfId="0"/>
    <xf applyBorder="1" applyFill="1" applyFont="1" borderId="9" fillId="6" fontId="6" numFmtId="0" xfId="0"/>
    <xf applyBorder="1" applyFill="1" applyFont="1" borderId="0" fillId="6" fontId="6" numFmtId="0" xfId="0"/>
    <xf applyBorder="1" applyFill="1" applyFont="1" borderId="10" fillId="6" fontId="6" numFmtId="0" xfId="0"/>
    <xf applyBorder="1" applyFill="1" applyFont="1" borderId="11" fillId="6" fontId="6" numFmtId="0" xfId="0"/>
    <xf applyBorder="1" applyFill="1" applyFont="1" borderId="3" fillId="6" fontId="6" numFmtId="0" xfId="0"/>
    <xf applyBorder="1" applyFill="1" applyFont="1" borderId="12" fillId="6" fontId="6" numFmtId="0" xfId="0"/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ill="1" applyFont="1" applyNumberFormat="1" borderId="0" fillId="0" fontId="0" numFmtId="166" xfId="0"/>
    <xf applyAlignment="1" applyBorder="1" applyFill="1" applyFont="1" applyNumberFormat="1" borderId="0" fillId="7" fontId="0" numFmtId="171" xfId="0">
      <alignment horizontal="right"/>
    </xf>
    <xf applyFont="1" borderId="0" fillId="0" fontId="8" numFmtId="0" xfId="0"/>
    <xf applyBorder="1" applyFont="1" applyNumberFormat="1" borderId="0" fillId="0" fontId="0" numFmtId="169" xfId="8"/>
    <xf applyBorder="1" applyNumberFormat="1" borderId="6" fillId="0" fontId="0" numFmtId="3" xfId="0"/>
    <xf applyAlignment="1" applyBorder="1" borderId="3" fillId="0" fontId="0" numFmtId="0" xfId="0">
      <alignment horizontal="right"/>
    </xf>
    <xf applyBorder="1" applyFont="1" applyNumberFormat="1" borderId="4" fillId="0" fontId="0" numFmtId="169" xfId="8"/>
    <xf applyBorder="1" applyNumberFormat="1" borderId="4" fillId="0" fontId="0" numFmtId="3" xfId="0"/>
    <xf applyBorder="1" applyFont="1" applyNumberFormat="1" borderId="6" fillId="0" fontId="0" numFmtId="164" xfId="9"/>
    <xf applyBorder="1" applyFont="1" applyNumberFormat="1" borderId="0" fillId="0" fontId="0" numFmtId="164" xfId="9"/>
    <xf applyBorder="1" applyFont="1" applyNumberFormat="1" borderId="3" fillId="0" fontId="0" numFmtId="164" xfId="9"/>
    <xf applyBorder="1" applyFont="1" applyNumberFormat="1" borderId="1" fillId="0" fontId="0" numFmtId="164" xfId="9"/>
    <xf applyBorder="1" applyFill="1" applyFont="1" borderId="1" fillId="8" fontId="1" numFmtId="0" xfId="0"/>
    <xf applyBorder="1" applyFill="1" borderId="1" fillId="8" fontId="0" numFmtId="0" xfId="0"/>
    <xf applyAlignment="1" applyBorder="1" borderId="16" fillId="0" fontId="0" numFmtId="0" xfId="0"/>
    <xf applyNumberFormat="1" borderId="0" fillId="0" fontId="0" numFmtId="169" xfId="0"/>
    <xf applyFont="1" borderId="0" fillId="0" fontId="0" numFmtId="9" xfId="9"/>
    <xf applyAlignment="1" applyBorder="1" applyFont="1" borderId="18" fillId="0" fontId="9" numFmtId="0" xfId="0">
      <alignment horizontal="right"/>
    </xf>
    <xf applyBorder="1" applyFont="1" borderId="19" fillId="0" fontId="9" numFmtId="0" xfId="0"/>
    <xf applyAlignment="1" applyBorder="1" applyFont="1" borderId="7" fillId="0" fontId="9" numFmtId="0" xfId="0">
      <alignment horizontal="right"/>
    </xf>
    <xf applyAlignment="1" applyBorder="1" applyFont="1" borderId="6" fillId="0" fontId="9" numFmtId="0" xfId="0">
      <alignment horizontal="right"/>
    </xf>
    <xf applyAlignment="1" applyBorder="1" applyFont="1" borderId="19" fillId="0" fontId="9" numFmtId="0" xfId="0">
      <alignment horizontal="right"/>
    </xf>
    <xf applyAlignment="1" applyBorder="1" applyFill="1" applyFont="1" borderId="0" fillId="0" fontId="9" numFmtId="0" xfId="0">
      <alignment horizontal="right"/>
    </xf>
    <xf applyAlignment="1" applyBorder="1" applyFont="1" borderId="0" fillId="0" fontId="9" numFmtId="0" xfId="0">
      <alignment horizontal="right"/>
    </xf>
    <xf applyAlignment="1" applyBorder="1" applyFill="1" applyFont="1" borderId="0" fillId="0" fontId="5" numFmtId="0" xfId="0">
      <alignment horizontal="left"/>
    </xf>
    <xf applyBorder="1" applyFont="1" borderId="20" fillId="0" fontId="4" numFmtId="0" xfId="0"/>
    <xf applyAlignment="1" applyBorder="1" borderId="0" fillId="0" fontId="0" numFmtId="0" xfId="0">
      <alignment horizontal="left"/>
    </xf>
    <xf applyBorder="1" applyNumberFormat="1" borderId="7" fillId="0" fontId="0" numFmtId="169" xfId="0"/>
    <xf applyBorder="1" applyNumberFormat="1" borderId="6" fillId="0" fontId="0" numFmtId="169" xfId="0"/>
    <xf applyBorder="1" applyNumberFormat="1" borderId="8" fillId="0" fontId="0" numFmtId="169" xfId="0"/>
    <xf applyBorder="1" applyFont="1" borderId="0" fillId="0" fontId="0" numFmtId="9" xfId="9"/>
    <xf applyBorder="1" applyNumberFormat="1" borderId="9" fillId="0" fontId="0" numFmtId="164" xfId="0"/>
    <xf applyFont="1" applyNumberFormat="1" borderId="0" fillId="0" fontId="0" numFmtId="172" xfId="8"/>
    <xf applyFill="1" applyNumberFormat="1" borderId="0" fillId="0" fontId="0" numFmtId="172" xfId="0"/>
    <xf applyBorder="1" applyFill="1" applyNumberFormat="1" borderId="0" fillId="0" fontId="0" numFmtId="43" xfId="0"/>
    <xf applyBorder="1" applyFill="1" applyFont="1" applyNumberFormat="1" borderId="0" fillId="0" fontId="0" numFmtId="169" xfId="8"/>
    <xf applyBorder="1" applyFill="1" applyNumberFormat="1" borderId="0" fillId="0" fontId="0" numFmtId="164" xfId="0"/>
    <xf applyBorder="1" applyNumberFormat="1" borderId="0" fillId="0" fontId="0" numFmtId="164" xfId="0"/>
    <xf applyBorder="1" applyNumberFormat="1" borderId="0" fillId="0" fontId="0" numFmtId="173" xfId="0"/>
    <xf applyBorder="1" applyFill="1" borderId="20" fillId="9" fontId="0" numFmtId="0" xfId="0"/>
    <xf applyBorder="1" applyFont="1" applyNumberFormat="1" borderId="6" fillId="0" fontId="0" numFmtId="172" xfId="8"/>
    <xf applyBorder="1" applyNumberFormat="1" borderId="0" fillId="0" fontId="0" numFmtId="172" xfId="0"/>
    <xf applyBorder="1" applyFill="1" applyNumberFormat="1" borderId="0" fillId="10" fontId="0" numFmtId="172" xfId="0"/>
    <xf applyBorder="1" applyFill="1" borderId="21" fillId="7" fontId="0" numFmtId="0" xfId="0"/>
    <xf applyBorder="1" borderId="20" fillId="0" fontId="0" numFmtId="0" xfId="0"/>
    <xf applyBorder="1" applyNumberFormat="1" borderId="9" fillId="0" fontId="0" numFmtId="169" xfId="0"/>
    <xf applyBorder="1" applyNumberFormat="1" borderId="0" fillId="0" fontId="0" numFmtId="169" xfId="0"/>
    <xf applyBorder="1" applyNumberFormat="1" borderId="10" fillId="0" fontId="0" numFmtId="169" xfId="0"/>
    <xf applyBorder="1" applyFont="1" applyNumberFormat="1" borderId="0" fillId="0" fontId="0" numFmtId="172" xfId="8"/>
    <xf applyBorder="1" applyFont="1" borderId="22" fillId="0" fontId="1" numFmtId="0" xfId="0"/>
    <xf applyAlignment="1" applyBorder="1" applyFont="1" borderId="4" fillId="0" fontId="1" numFmtId="0" xfId="0">
      <alignment horizontal="left"/>
    </xf>
    <xf applyBorder="1" applyFont="1" borderId="4" fillId="0" fontId="1" numFmtId="9" xfId="9"/>
    <xf applyBorder="1" applyNumberFormat="1" borderId="0" fillId="0" fontId="0" numFmtId="9" xfId="0"/>
    <xf applyAlignment="1" applyFont="1" borderId="0" fillId="0" fontId="1" numFmtId="0" xfId="0">
      <alignment horizontal="right"/>
    </xf>
    <xf applyBorder="1" applyFill="1" borderId="23" fillId="9" fontId="0" numFmtId="0" xfId="0"/>
    <xf applyBorder="1" applyFont="1" applyNumberFormat="1" borderId="1" fillId="0" fontId="0" numFmtId="172" xfId="8"/>
    <xf applyBorder="1" applyNumberFormat="1" borderId="1" fillId="0" fontId="0" numFmtId="172" xfId="0"/>
    <xf applyBorder="1" applyFill="1" applyNumberFormat="1" borderId="1" fillId="10" fontId="0" numFmtId="172" xfId="0"/>
    <xf applyBorder="1" applyFill="1" borderId="24" fillId="7" fontId="0" numFmtId="0" xfId="0"/>
    <xf applyBorder="1" applyFont="1" borderId="0" fillId="0" fontId="1" numFmtId="0" xfId="0"/>
    <xf applyFont="1" applyNumberFormat="1" borderId="0" fillId="0" fontId="0" numFmtId="173" xfId="8"/>
    <xf applyBorder="1" borderId="13" fillId="0" fontId="0" numFmtId="0" xfId="0"/>
    <xf applyAlignment="1" applyBorder="1" borderId="17" fillId="0" fontId="0" numFmtId="0" xfId="0">
      <alignment horizontal="center"/>
    </xf>
    <xf applyBorder="1" applyNumberFormat="1" borderId="21" fillId="0" fontId="0" numFmtId="169" xfId="0"/>
    <xf applyBorder="1" borderId="25" fillId="0" fontId="0" numFmtId="0" xfId="0"/>
    <xf applyBorder="1" applyFont="1" applyNumberFormat="1" borderId="26" fillId="0" fontId="0" numFmtId="169" xfId="8"/>
    <xf applyBorder="1" applyFont="1" applyNumberFormat="1" borderId="21" fillId="0" fontId="0" numFmtId="164" xfId="9"/>
    <xf applyBorder="1" borderId="23" fillId="0" fontId="0" numFmtId="0" xfId="0"/>
    <xf applyBorder="1" applyFont="1" applyNumberFormat="1" borderId="24" fillId="0" fontId="0" numFmtId="164" xfId="9"/>
    <xf applyAlignment="1" borderId="0" fillId="0" fontId="0" numFmtId="0" xfId="0">
      <alignment horizontal="right"/>
    </xf>
    <xf applyBorder="1" applyFill="1" applyNumberFormat="1" borderId="1" fillId="0" fontId="0" numFmtId="43" xfId="0"/>
    <xf applyFont="1" applyNumberFormat="1" borderId="0" fillId="0" fontId="0" numFmtId="2" xfId="9"/>
    <xf applyBorder="1" applyNumberFormat="1" borderId="11" fillId="0" fontId="0" numFmtId="169" xfId="0"/>
    <xf applyBorder="1" applyNumberFormat="1" borderId="3" fillId="0" fontId="0" numFmtId="169" xfId="0"/>
    <xf applyBorder="1" applyNumberFormat="1" borderId="12" fillId="0" fontId="0" numFmtId="169" xfId="0"/>
    <xf applyAlignment="1" applyBorder="1" applyFont="1" borderId="8" fillId="0" fontId="9" numFmtId="0" xfId="0">
      <alignment horizontal="right"/>
    </xf>
    <xf applyAlignment="1" applyBorder="1" applyFill="1" applyFont="1" borderId="7" fillId="0" fontId="9" numFmtId="0" xfId="0">
      <alignment horizontal="right"/>
    </xf>
    <xf applyBorder="1" applyNumberFormat="1" borderId="7" fillId="0" fontId="0" numFmtId="164" xfId="0"/>
    <xf applyAlignment="1" applyFont="1" applyNumberFormat="1" borderId="0" fillId="0" fontId="0" numFmtId="169" xfId="0">
      <alignment horizontal="right"/>
    </xf>
    <xf applyFont="1" applyNumberFormat="1" borderId="0" fillId="0" fontId="3" numFmtId="169" xfId="8"/>
    <xf applyFont="1" applyNumberFormat="1" borderId="0" fillId="0" fontId="0" numFmtId="164" xfId="9"/>
    <xf applyBorder="1" applyFill="1" applyNumberFormat="1" borderId="9" fillId="8" fontId="0" numFmtId="9" xfId="0"/>
    <xf applyBorder="1" applyFill="1" applyNumberFormat="1" borderId="11" fillId="8" fontId="0" numFmtId="9" xfId="0"/>
    <xf applyBorder="1" applyNumberFormat="1" borderId="6" fillId="0" fontId="0" numFmtId="9" xfId="0"/>
    <xf applyBorder="1" applyFill="1" applyNumberFormat="1" borderId="0" fillId="8" fontId="0" numFmtId="9" xfId="0"/>
    <xf applyBorder="1" applyFill="1" applyNumberFormat="1" borderId="3" fillId="8" fontId="0" numFmtId="9" xfId="0"/>
    <xf applyBorder="1" applyFont="1" borderId="27" fillId="0" fontId="9" numFmtId="0" xfId="0"/>
    <xf applyBorder="1" applyFill="1" applyFont="1" borderId="28" fillId="8" fontId="0" numFmtId="43" xfId="8"/>
    <xf applyBorder="1" applyFill="1" applyFont="1" borderId="29" fillId="8" fontId="0" numFmtId="43" xfId="8"/>
    <xf applyBorder="1" applyFill="1" applyFont="1" borderId="30" fillId="8" fontId="0" numFmtId="43" xfId="8"/>
    <xf applyAlignment="1" applyBorder="1" applyFill="1" applyFont="1" borderId="13" fillId="0" fontId="9" numFmtId="0" xfId="0">
      <alignment horizontal="right"/>
    </xf>
    <xf applyAlignment="1" applyBorder="1" applyFont="1" borderId="2" fillId="0" fontId="9" numFmtId="0" xfId="0">
      <alignment horizontal="right"/>
    </xf>
    <xf applyAlignment="1" applyBorder="1" applyFill="1" applyFont="1" borderId="2" fillId="0" fontId="9" numFmtId="0" xfId="0">
      <alignment horizontal="right"/>
    </xf>
    <xf applyAlignment="1" applyBorder="1" applyFill="1" applyFont="1" borderId="17" fillId="0" fontId="9" numFmtId="0" xfId="0">
      <alignment horizontal="right"/>
    </xf>
    <xf applyBorder="1" applyFont="1" applyNumberFormat="1" borderId="4" fillId="0" fontId="1" numFmtId="169" xfId="0"/>
    <xf applyBorder="1" applyFont="1" applyNumberFormat="1" borderId="34" fillId="0" fontId="1" numFmtId="169" xfId="0"/>
    <xf applyBorder="1" applyFont="1" applyNumberFormat="1" borderId="35" fillId="0" fontId="1" numFmtId="169" xfId="0"/>
    <xf applyAlignment="1" applyBorder="1" applyFont="1" borderId="31" fillId="0" fontId="1" numFmtId="0" xfId="0">
      <alignment horizontal="center"/>
    </xf>
    <xf applyAlignment="1" applyBorder="1" applyFont="1" borderId="32" fillId="0" fontId="1" numFmtId="0" xfId="0">
      <alignment horizontal="center"/>
    </xf>
    <xf applyAlignment="1" applyBorder="1" applyFont="1" borderId="33" fillId="0" fontId="1" numFmtId="0" xfId="0">
      <alignment horizontal="center"/>
    </xf>
    <xf applyAlignment="1" applyBorder="1" applyFont="1" borderId="13" fillId="0" fontId="1" numFmtId="0" xfId="0">
      <alignment horizontal="center"/>
    </xf>
    <xf applyAlignment="1" applyBorder="1" applyFont="1" borderId="14" fillId="0" fontId="1" numFmtId="0" xfId="0">
      <alignment horizontal="center"/>
    </xf>
    <xf applyAlignment="1" applyBorder="1" applyFont="1" borderId="15" fillId="0" fontId="1" numFmtId="0" xfId="0">
      <alignment horizontal="center"/>
    </xf>
    <xf applyAlignment="1" applyBorder="1" applyFont="1" borderId="2" fillId="0" fontId="1" numFmtId="0" xfId="0">
      <alignment horizontal="center"/>
    </xf>
    <xf applyAlignment="1" applyBorder="1" applyFont="1" borderId="0" fillId="0" fontId="1" numFmtId="0" xfId="0">
      <alignment horizontal="center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theme/theme1.xml" Type="http://schemas.openxmlformats.org/officeDocument/2006/relationships/theme"/>
<Relationship Id="rId13" Target="styles.xml" Type="http://schemas.openxmlformats.org/officeDocument/2006/relationships/styles"/>
<Relationship Id="rId14" Target="sharedStrings.xml" Type="http://schemas.openxmlformats.org/officeDocument/2006/relationships/sharedStrings"/>
<Relationship Id="rId15" Target="calcChain.xml" Type="http://schemas.openxmlformats.org/officeDocument/2006/relationships/calcChain"/>
<Relationship Id="rId16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<Relationship Id="rId1" Target="style2.xml" Type="http://schemas.microsoft.com/office/2011/relationships/chartStyle"/>
<Relationship Id="rId2" Target="colors2.xml" Type="http://schemas.microsoft.com/office/2011/relationships/chartColorStyle"/>
</Relationships>

</file>

<file path=xl/charts/_rels/chart5.xml.rels><?xml version="1.0" encoding="UTF-8" standalone="no"?>
<Relationships xmlns="http://schemas.openxmlformats.org/package/2006/relationships">
<Relationship Id="rId1" Target="style3.xml" Type="http://schemas.microsoft.com/office/2011/relationships/chartStyle"/>
<Relationship Id="rId2" Target="colors3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Discretionary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7.8731097517563048E-2</c:v>
                </c:pt>
                <c:pt idx="1">
                  <c:v>0.15765567732132038</c:v>
                </c:pt>
                <c:pt idx="2">
                  <c:v>0.12702986165595404</c:v>
                </c:pt>
                <c:pt idx="3">
                  <c:v>0.12610505804253028</c:v>
                </c:pt>
                <c:pt idx="4">
                  <c:v>0.10091784854474251</c:v>
                </c:pt>
                <c:pt idx="5">
                  <c:v>6.7631084809284897E-2</c:v>
                </c:pt>
                <c:pt idx="6">
                  <c:v>7.3421733252779467E-2</c:v>
                </c:pt>
                <c:pt idx="7">
                  <c:v>2.7918774606761492E-2</c:v>
                </c:pt>
                <c:pt idx="8">
                  <c:v>4.503075405008055E-2</c:v>
                </c:pt>
                <c:pt idx="9">
                  <c:v>2.4719063134599147E-2</c:v>
                </c:pt>
                <c:pt idx="10">
                  <c:v>3.0567096580430435E-2</c:v>
                </c:pt>
                <c:pt idx="11">
                  <c:v>1.5685211817823643E-2</c:v>
                </c:pt>
                <c:pt idx="12">
                  <c:v>1.7454842888384909E-2</c:v>
                </c:pt>
                <c:pt idx="13">
                  <c:v>1.4965979914708848E-2</c:v>
                </c:pt>
                <c:pt idx="14">
                  <c:v>1.4125553354782347E-2</c:v>
                </c:pt>
                <c:pt idx="15">
                  <c:v>8.1409364016621407E-3</c:v>
                </c:pt>
                <c:pt idx="16">
                  <c:v>6.3212020136065982E-3</c:v>
                </c:pt>
                <c:pt idx="17">
                  <c:v>6.6629584294560888E-3</c:v>
                </c:pt>
                <c:pt idx="18">
                  <c:v>8.7290928279489845E-3</c:v>
                </c:pt>
                <c:pt idx="19">
                  <c:v>4.9406073524725907E-3</c:v>
                </c:pt>
                <c:pt idx="20">
                  <c:v>6.5491457607615962E-3</c:v>
                </c:pt>
                <c:pt idx="21">
                  <c:v>8.9280081995251118E-4</c:v>
                </c:pt>
                <c:pt idx="22">
                  <c:v>6.7460279660829844E-3</c:v>
                </c:pt>
                <c:pt idx="23">
                  <c:v>3.9810506569800804E-3</c:v>
                </c:pt>
                <c:pt idx="24">
                  <c:v>4.9541445865141564E-3</c:v>
                </c:pt>
                <c:pt idx="25">
                  <c:v>1.0005784572898473E-3</c:v>
                </c:pt>
                <c:pt idx="26">
                  <c:v>2.2811063752192391E-3</c:v>
                </c:pt>
                <c:pt idx="27">
                  <c:v>3.6972070209001647E-4</c:v>
                </c:pt>
                <c:pt idx="28">
                  <c:v>5.2031721890367845E-4</c:v>
                </c:pt>
                <c:pt idx="29">
                  <c:v>2.8313833307142544E-3</c:v>
                </c:pt>
                <c:pt idx="30">
                  <c:v>0</c:v>
                </c:pt>
                <c:pt idx="31">
                  <c:v>1.9139518965232169E-3</c:v>
                </c:pt>
                <c:pt idx="32">
                  <c:v>4.4385731697220389E-3</c:v>
                </c:pt>
                <c:pt idx="33">
                  <c:v>4.3073517374361071E-4</c:v>
                </c:pt>
                <c:pt idx="34">
                  <c:v>1.8192056520271384E-3</c:v>
                </c:pt>
                <c:pt idx="35">
                  <c:v>0</c:v>
                </c:pt>
                <c:pt idx="36">
                  <c:v>7.8019788023799062E-4</c:v>
                </c:pt>
                <c:pt idx="37">
                  <c:v>1.9994087930217861E-4</c:v>
                </c:pt>
                <c:pt idx="38">
                  <c:v>8.932813624049276E-5</c:v>
                </c:pt>
                <c:pt idx="39">
                  <c:v>0</c:v>
                </c:pt>
                <c:pt idx="40">
                  <c:v>0</c:v>
                </c:pt>
                <c:pt idx="41">
                  <c:v>2.6239854104666322E-3</c:v>
                </c:pt>
                <c:pt idx="42">
                  <c:v>3.586977080701818E-4</c:v>
                </c:pt>
                <c:pt idx="43">
                  <c:v>2.3737408300497808E-4</c:v>
                </c:pt>
                <c:pt idx="44">
                  <c:v>0</c:v>
                </c:pt>
                <c:pt idx="45">
                  <c:v>0</c:v>
                </c:pt>
                <c:pt idx="46">
                  <c:v>2.2729961926093751E-4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8.9812742207452834E-2</c:v>
                </c:pt>
                <c:pt idx="1">
                  <c:v>0.11479688265244073</c:v>
                </c:pt>
                <c:pt idx="2">
                  <c:v>0.13251685385872011</c:v>
                </c:pt>
                <c:pt idx="3">
                  <c:v>0.13418991365170774</c:v>
                </c:pt>
                <c:pt idx="4">
                  <c:v>0.10806191307320376</c:v>
                </c:pt>
                <c:pt idx="5">
                  <c:v>8.6275979265891603E-2</c:v>
                </c:pt>
                <c:pt idx="6">
                  <c:v>6.2968185568297988E-2</c:v>
                </c:pt>
                <c:pt idx="7">
                  <c:v>4.5409275127944702E-2</c:v>
                </c:pt>
                <c:pt idx="8">
                  <c:v>3.1216206000006574E-2</c:v>
                </c:pt>
                <c:pt idx="9">
                  <c:v>2.5523200967679377E-2</c:v>
                </c:pt>
                <c:pt idx="10">
                  <c:v>2.1789220761718815E-2</c:v>
                </c:pt>
                <c:pt idx="11">
                  <c:v>1.8656753212176195E-2</c:v>
                </c:pt>
                <c:pt idx="12">
                  <c:v>1.6819345698855809E-2</c:v>
                </c:pt>
                <c:pt idx="13">
                  <c:v>1.3506095656947142E-2</c:v>
                </c:pt>
                <c:pt idx="14">
                  <c:v>1.074176700094993E-2</c:v>
                </c:pt>
                <c:pt idx="15">
                  <c:v>9.5255938704874223E-3</c:v>
                </c:pt>
                <c:pt idx="16">
                  <c:v>7.9905861625793381E-3</c:v>
                </c:pt>
                <c:pt idx="17">
                  <c:v>6.3898393665381466E-3</c:v>
                </c:pt>
                <c:pt idx="18">
                  <c:v>5.814622345373447E-3</c:v>
                </c:pt>
                <c:pt idx="19">
                  <c:v>5.1802401448889498E-3</c:v>
                </c:pt>
                <c:pt idx="20">
                  <c:v>4.6641883030440487E-3</c:v>
                </c:pt>
                <c:pt idx="21">
                  <c:v>4.5557188076244199E-3</c:v>
                </c:pt>
                <c:pt idx="22">
                  <c:v>4.0330930569662067E-3</c:v>
                </c:pt>
                <c:pt idx="23">
                  <c:v>3.5038933974946835E-3</c:v>
                </c:pt>
                <c:pt idx="24">
                  <c:v>3.2968152698753914E-3</c:v>
                </c:pt>
                <c:pt idx="25">
                  <c:v>2.8760851058234971E-3</c:v>
                </c:pt>
                <c:pt idx="26">
                  <c:v>2.5539635739712653E-3</c:v>
                </c:pt>
                <c:pt idx="27">
                  <c:v>2.4224853977050484E-3</c:v>
                </c:pt>
                <c:pt idx="28">
                  <c:v>2.0379117321263638E-3</c:v>
                </c:pt>
                <c:pt idx="29">
                  <c:v>1.7256510634940984E-3</c:v>
                </c:pt>
                <c:pt idx="30">
                  <c:v>2.0280508689063973E-3</c:v>
                </c:pt>
                <c:pt idx="31">
                  <c:v>1.6138946136678139E-3</c:v>
                </c:pt>
                <c:pt idx="32">
                  <c:v>1.2391818113090954E-3</c:v>
                </c:pt>
                <c:pt idx="33">
                  <c:v>1.0912688630096011E-3</c:v>
                </c:pt>
                <c:pt idx="34">
                  <c:v>9.0719941623689741E-4</c:v>
                </c:pt>
                <c:pt idx="35">
                  <c:v>9.5650373233672873E-4</c:v>
                </c:pt>
                <c:pt idx="36">
                  <c:v>8.973385530169311E-4</c:v>
                </c:pt>
                <c:pt idx="37">
                  <c:v>6.4095610929780793E-4</c:v>
                </c:pt>
                <c:pt idx="38">
                  <c:v>7.4613865031078149E-4</c:v>
                </c:pt>
                <c:pt idx="39">
                  <c:v>7.1655606065088267E-4</c:v>
                </c:pt>
                <c:pt idx="40">
                  <c:v>7.4285169590412609E-4</c:v>
                </c:pt>
                <c:pt idx="41">
                  <c:v>1.0123819572498711E-3</c:v>
                </c:pt>
                <c:pt idx="42">
                  <c:v>5.982257020112874E-4</c:v>
                </c:pt>
                <c:pt idx="43">
                  <c:v>4.6674752574507041E-4</c:v>
                </c:pt>
                <c:pt idx="44">
                  <c:v>2.991128510056437E-4</c:v>
                </c:pt>
                <c:pt idx="45">
                  <c:v>2.9253894219233284E-4</c:v>
                </c:pt>
                <c:pt idx="46">
                  <c:v>2.3994767168584603E-4</c:v>
                </c:pt>
                <c:pt idx="47">
                  <c:v>4.2401711845854988E-4</c:v>
                </c:pt>
                <c:pt idx="48">
                  <c:v>1.807824923660484E-4</c:v>
                </c:pt>
                <c:pt idx="49">
                  <c:v>1.2161731304625073E-4</c:v>
                </c:pt>
                <c:pt idx="50">
                  <c:v>2.0050421880598093E-4</c:v>
                </c:pt>
                <c:pt idx="51">
                  <c:v>2.0707812761929179E-4</c:v>
                </c:pt>
                <c:pt idx="52">
                  <c:v>2.4652158049915692E-4</c:v>
                </c:pt>
                <c:pt idx="53">
                  <c:v>2.6624330693908943E-4</c:v>
                </c:pt>
                <c:pt idx="54">
                  <c:v>8.5460814573041057E-5</c:v>
                </c:pt>
                <c:pt idx="55">
                  <c:v>2.8925198778567744E-4</c:v>
                </c:pt>
                <c:pt idx="56">
                  <c:v>2.202259452459135E-4</c:v>
                </c:pt>
                <c:pt idx="57">
                  <c:v>1.1833035863959532E-4</c:v>
                </c:pt>
                <c:pt idx="58">
                  <c:v>1.1175644982628446E-4</c:v>
                </c:pt>
                <c:pt idx="59">
                  <c:v>4.2401711845854988E-4</c:v>
                </c:pt>
                <c:pt idx="60">
                  <c:v>1.1504340423293989E-4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1120"/>
        <c:axId val="388820352"/>
      </c:lineChart>
      <c:catAx>
        <c:axId val="16026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0352"/>
        <c:crosses val="autoZero"/>
        <c:auto val="1"/>
        <c:lblAlgn val="ctr"/>
        <c:lblOffset val="100"/>
        <c:tickLblSkip val="10"/>
        <c:noMultiLvlLbl val="0"/>
      </c:catAx>
      <c:valAx>
        <c:axId val="388820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026112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Discretionary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9.3208698546863311E-3</c:v>
                </c:pt>
                <c:pt idx="3">
                  <c:v>6.079648631324551E-2</c:v>
                </c:pt>
                <c:pt idx="4">
                  <c:v>6.1780066204089552E-2</c:v>
                </c:pt>
                <c:pt idx="5">
                  <c:v>7.2843403939150786E-2</c:v>
                </c:pt>
                <c:pt idx="6">
                  <c:v>4.8177278830213228E-2</c:v>
                </c:pt>
                <c:pt idx="7">
                  <c:v>7.2556913386740071E-2</c:v>
                </c:pt>
                <c:pt idx="8">
                  <c:v>7.0112006699574694E-2</c:v>
                </c:pt>
                <c:pt idx="9">
                  <c:v>8.7194445784415306E-2</c:v>
                </c:pt>
                <c:pt idx="10">
                  <c:v>4.3021454323488105E-2</c:v>
                </c:pt>
                <c:pt idx="11">
                  <c:v>5.457436088054099E-2</c:v>
                </c:pt>
                <c:pt idx="12">
                  <c:v>4.6613467835374595E-2</c:v>
                </c:pt>
                <c:pt idx="13">
                  <c:v>3.9413024016039189E-2</c:v>
                </c:pt>
                <c:pt idx="14">
                  <c:v>2.7354202116144758E-2</c:v>
                </c:pt>
                <c:pt idx="15">
                  <c:v>1.9381263144064655E-2</c:v>
                </c:pt>
                <c:pt idx="16">
                  <c:v>2.7479704240542777E-2</c:v>
                </c:pt>
                <c:pt idx="17">
                  <c:v>3.2112085384863237E-2</c:v>
                </c:pt>
                <c:pt idx="18">
                  <c:v>2.6195558055488427E-2</c:v>
                </c:pt>
                <c:pt idx="19">
                  <c:v>1.9446148781150443E-2</c:v>
                </c:pt>
                <c:pt idx="20">
                  <c:v>9.4432671327522484E-3</c:v>
                </c:pt>
                <c:pt idx="21">
                  <c:v>1.1946614804401024E-2</c:v>
                </c:pt>
                <c:pt idx="22">
                  <c:v>1.0004781510426638E-2</c:v>
                </c:pt>
                <c:pt idx="23">
                  <c:v>7.5107185981494861E-3</c:v>
                </c:pt>
                <c:pt idx="24">
                  <c:v>1.5759337944258846E-2</c:v>
                </c:pt>
                <c:pt idx="25">
                  <c:v>9.1078780502301237E-3</c:v>
                </c:pt>
                <c:pt idx="26">
                  <c:v>1.5022498707089653E-2</c:v>
                </c:pt>
                <c:pt idx="27">
                  <c:v>1.1894676359800392E-2</c:v>
                </c:pt>
                <c:pt idx="28">
                  <c:v>4.6005538964420398E-3</c:v>
                </c:pt>
                <c:pt idx="29">
                  <c:v>6.1812772881624988E-3</c:v>
                </c:pt>
                <c:pt idx="30">
                  <c:v>9.1193872119490049E-3</c:v>
                </c:pt>
                <c:pt idx="31">
                  <c:v>6.457643715636E-3</c:v>
                </c:pt>
                <c:pt idx="32">
                  <c:v>3.484934698120651E-3</c:v>
                </c:pt>
                <c:pt idx="33">
                  <c:v>8.1799981514193345E-3</c:v>
                </c:pt>
                <c:pt idx="34">
                  <c:v>2.8328244267569248E-3</c:v>
                </c:pt>
                <c:pt idx="35">
                  <c:v>2.1721121426827917E-3</c:v>
                </c:pt>
                <c:pt idx="36">
                  <c:v>4.6691616224933362E-3</c:v>
                </c:pt>
                <c:pt idx="37">
                  <c:v>1.768687556192305E-3</c:v>
                </c:pt>
                <c:pt idx="38">
                  <c:v>1.7390378026434941E-3</c:v>
                </c:pt>
                <c:pt idx="39">
                  <c:v>3.7987101600569697E-3</c:v>
                </c:pt>
                <c:pt idx="40">
                  <c:v>2.4203263211668947E-3</c:v>
                </c:pt>
                <c:pt idx="41">
                  <c:v>1.9180600914196048E-3</c:v>
                </c:pt>
                <c:pt idx="42">
                  <c:v>0</c:v>
                </c:pt>
                <c:pt idx="43">
                  <c:v>3.4957438547433082E-3</c:v>
                </c:pt>
                <c:pt idx="44">
                  <c:v>6.9000053192848538E-4</c:v>
                </c:pt>
                <c:pt idx="45">
                  <c:v>6.5413379964636453E-4</c:v>
                </c:pt>
                <c:pt idx="46">
                  <c:v>1.1828314062034713E-3</c:v>
                </c:pt>
                <c:pt idx="47">
                  <c:v>3.2827718686923362E-3</c:v>
                </c:pt>
                <c:pt idx="48">
                  <c:v>3.7941714480190181E-4</c:v>
                </c:pt>
                <c:pt idx="49">
                  <c:v>4.6509894601742272E-3</c:v>
                </c:pt>
                <c:pt idx="50">
                  <c:v>2.8859546954078641E-3</c:v>
                </c:pt>
                <c:pt idx="51">
                  <c:v>0</c:v>
                </c:pt>
                <c:pt idx="52">
                  <c:v>0</c:v>
                </c:pt>
                <c:pt idx="53">
                  <c:v>7.2631729880299415E-4</c:v>
                </c:pt>
                <c:pt idx="54">
                  <c:v>4.533351891286012E-4</c:v>
                </c:pt>
                <c:pt idx="55">
                  <c:v>0</c:v>
                </c:pt>
                <c:pt idx="56">
                  <c:v>1.3036099470994697E-3</c:v>
                </c:pt>
                <c:pt idx="57">
                  <c:v>0</c:v>
                </c:pt>
                <c:pt idx="58">
                  <c:v>2.2729961926093732E-4</c:v>
                </c:pt>
                <c:pt idx="59">
                  <c:v>2.8403932295376689E-3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3.0193963179536737E-2</c:v>
                </c:pt>
                <c:pt idx="1">
                  <c:v>1.4784720921136103E-2</c:v>
                </c:pt>
                <c:pt idx="2">
                  <c:v>1.2595609286303589E-2</c:v>
                </c:pt>
                <c:pt idx="3">
                  <c:v>1.9803900300098938E-2</c:v>
                </c:pt>
                <c:pt idx="4">
                  <c:v>3.2846535385707663E-2</c:v>
                </c:pt>
                <c:pt idx="5">
                  <c:v>4.5961483468262815E-2</c:v>
                </c:pt>
                <c:pt idx="6">
                  <c:v>5.802789309509488E-2</c:v>
                </c:pt>
                <c:pt idx="7">
                  <c:v>6.3997002297581124E-2</c:v>
                </c:pt>
                <c:pt idx="8">
                  <c:v>6.6899383038657875E-2</c:v>
                </c:pt>
                <c:pt idx="9">
                  <c:v>6.3487524364549533E-2</c:v>
                </c:pt>
                <c:pt idx="10">
                  <c:v>5.9543179076563028E-2</c:v>
                </c:pt>
                <c:pt idx="11">
                  <c:v>5.5878224913142233E-2</c:v>
                </c:pt>
                <c:pt idx="12">
                  <c:v>4.9974854798789083E-2</c:v>
                </c:pt>
                <c:pt idx="13">
                  <c:v>4.4350875809001655E-2</c:v>
                </c:pt>
                <c:pt idx="14">
                  <c:v>3.9111470484792903E-2</c:v>
                </c:pt>
                <c:pt idx="15">
                  <c:v>3.3139074327899996E-2</c:v>
                </c:pt>
                <c:pt idx="16">
                  <c:v>2.8225077489950137E-2</c:v>
                </c:pt>
                <c:pt idx="17">
                  <c:v>2.4316888700436835E-2</c:v>
                </c:pt>
                <c:pt idx="18">
                  <c:v>2.1562420907659589E-2</c:v>
                </c:pt>
                <c:pt idx="19">
                  <c:v>1.9389744044860355E-2</c:v>
                </c:pt>
                <c:pt idx="20">
                  <c:v>1.7272945406974261E-2</c:v>
                </c:pt>
                <c:pt idx="21">
                  <c:v>1.5484842209753708E-2</c:v>
                </c:pt>
                <c:pt idx="22">
                  <c:v>1.3295730574921196E-2</c:v>
                </c:pt>
                <c:pt idx="23">
                  <c:v>1.2713939644943184E-2</c:v>
                </c:pt>
                <c:pt idx="24">
                  <c:v>1.0653019231970233E-2</c:v>
                </c:pt>
                <c:pt idx="25">
                  <c:v>9.5913329586205312E-3</c:v>
                </c:pt>
                <c:pt idx="26">
                  <c:v>9.2593505635483325E-3</c:v>
                </c:pt>
                <c:pt idx="27">
                  <c:v>8.3652989649380567E-3</c:v>
                </c:pt>
                <c:pt idx="28">
                  <c:v>7.0702389287158199E-3</c:v>
                </c:pt>
                <c:pt idx="29">
                  <c:v>6.7908478041501085E-3</c:v>
                </c:pt>
                <c:pt idx="30">
                  <c:v>6.0545700170592937E-3</c:v>
                </c:pt>
                <c:pt idx="31">
                  <c:v>5.2919965947152347E-3</c:v>
                </c:pt>
                <c:pt idx="32">
                  <c:v>4.848257749816752E-3</c:v>
                </c:pt>
                <c:pt idx="33">
                  <c:v>4.3190580903452284E-3</c:v>
                </c:pt>
                <c:pt idx="34">
                  <c:v>4.2368842301788428E-3</c:v>
                </c:pt>
                <c:pt idx="35">
                  <c:v>4.0100843761196187E-3</c:v>
                </c:pt>
                <c:pt idx="36">
                  <c:v>3.6879628442673873E-3</c:v>
                </c:pt>
                <c:pt idx="37">
                  <c:v>3.4085717197016759E-3</c:v>
                </c:pt>
                <c:pt idx="38">
                  <c:v>3.2869544066554254E-3</c:v>
                </c:pt>
                <c:pt idx="39">
                  <c:v>3.2179283641156613E-3</c:v>
                </c:pt>
                <c:pt idx="40">
                  <c:v>2.8925198778567743E-3</c:v>
                </c:pt>
                <c:pt idx="41">
                  <c:v>2.5999809356644413E-3</c:v>
                </c:pt>
                <c:pt idx="42">
                  <c:v>2.5342418475313329E-3</c:v>
                </c:pt>
                <c:pt idx="43">
                  <c:v>2.4685027593982244E-3</c:v>
                </c:pt>
                <c:pt idx="44">
                  <c:v>2.1398073187326818E-3</c:v>
                </c:pt>
                <c:pt idx="45">
                  <c:v>2.2088333612724459E-3</c:v>
                </c:pt>
                <c:pt idx="46">
                  <c:v>1.824259695693761E-3</c:v>
                </c:pt>
                <c:pt idx="47">
                  <c:v>1.847268376540349E-3</c:v>
                </c:pt>
                <c:pt idx="48">
                  <c:v>1.6303293857010909E-3</c:v>
                </c:pt>
                <c:pt idx="49">
                  <c:v>1.4594077565550088E-3</c:v>
                </c:pt>
                <c:pt idx="50">
                  <c:v>1.3838078052019341E-3</c:v>
                </c:pt>
                <c:pt idx="51">
                  <c:v>1.475842528588286E-3</c:v>
                </c:pt>
                <c:pt idx="52">
                  <c:v>1.1701557687693314E-3</c:v>
                </c:pt>
                <c:pt idx="53">
                  <c:v>1.2227470392758182E-3</c:v>
                </c:pt>
                <c:pt idx="54">
                  <c:v>1.2260339936824736E-3</c:v>
                </c:pt>
                <c:pt idx="55">
                  <c:v>1.1833035863959532E-3</c:v>
                </c:pt>
                <c:pt idx="56">
                  <c:v>1.1077036350428783E-3</c:v>
                </c:pt>
                <c:pt idx="57">
                  <c:v>1.0485384557230807E-3</c:v>
                </c:pt>
                <c:pt idx="58">
                  <c:v>9.3020809708348532E-4</c:v>
                </c:pt>
                <c:pt idx="59">
                  <c:v>9.7951241318331665E-4</c:v>
                </c:pt>
                <c:pt idx="60">
                  <c:v>1.0682601821630133E-3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72096"/>
        <c:axId val="388822080"/>
      </c:lineChart>
      <c:catAx>
        <c:axId val="16237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2080"/>
        <c:crosses val="autoZero"/>
        <c:auto val="1"/>
        <c:lblAlgn val="ctr"/>
        <c:lblOffset val="100"/>
        <c:tickLblSkip val="10"/>
        <c:noMultiLvlLbl val="0"/>
      </c:catAx>
      <c:valAx>
        <c:axId val="3888220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2372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Non-Work</a:t>
            </a:r>
            <a:r>
              <a:rPr baseline="0" lang="en-US"/>
              <a:t> Trips by Destination</a:t>
            </a:r>
            <a:r>
              <a:rPr lang="en-US"/>
              <a:t>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Calibration_OD!$P$3</c:f>
              <c:strCache>
                <c:ptCount val="1"/>
                <c:pt idx="0">
                  <c:v>SCALED OD DATA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Calibration_OD!$C$4:$C$23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Calibration_OD!$P$4:$P$23</c:f>
              <c:numCache>
                <c:formatCode>0.0%</c:formatCode>
                <c:ptCount val="20"/>
                <c:pt idx="0">
                  <c:v>3.5062779373446207E-2</c:v>
                </c:pt>
                <c:pt idx="1">
                  <c:v>1.6495088516280523E-2</c:v>
                </c:pt>
                <c:pt idx="2">
                  <c:v>5.2487272644094168E-2</c:v>
                </c:pt>
                <c:pt idx="3">
                  <c:v>2.0318755685544598E-2</c:v>
                </c:pt>
                <c:pt idx="4">
                  <c:v>2.0442144770274336E-2</c:v>
                </c:pt>
                <c:pt idx="5">
                  <c:v>4.4270189412252622E-2</c:v>
                </c:pt>
                <c:pt idx="6">
                  <c:v>0.10295472494608905</c:v>
                </c:pt>
                <c:pt idx="7">
                  <c:v>4.0077279996637927E-3</c:v>
                </c:pt>
                <c:pt idx="8">
                  <c:v>8.0774245612601242E-2</c:v>
                </c:pt>
                <c:pt idx="9">
                  <c:v>3.3848242554496345E-2</c:v>
                </c:pt>
                <c:pt idx="10">
                  <c:v>7.73258734124532E-2</c:v>
                </c:pt>
                <c:pt idx="11">
                  <c:v>0.16297515259962714</c:v>
                </c:pt>
                <c:pt idx="12">
                  <c:v>0.12877901655832522</c:v>
                </c:pt>
                <c:pt idx="13">
                  <c:v>2.5744846066910489E-2</c:v>
                </c:pt>
                <c:pt idx="14">
                  <c:v>3.9326485981485221E-2</c:v>
                </c:pt>
                <c:pt idx="15">
                  <c:v>1.4727021497335867E-2</c:v>
                </c:pt>
                <c:pt idx="16">
                  <c:v>1.9030798664127262E-2</c:v>
                </c:pt>
                <c:pt idx="17">
                  <c:v>3.9844498342678836E-2</c:v>
                </c:pt>
                <c:pt idx="18">
                  <c:v>4.4955387568627873E-2</c:v>
                </c:pt>
                <c:pt idx="19">
                  <c:v>3.6629747793686114E-2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52-4BD7-B8C7-A86E9D22AAEC}"/>
            </c:ext>
          </c:extLst>
        </c:ser>
        <c:ser>
          <c:idx val="1"/>
          <c:order val="1"/>
          <c:tx>
            <c:strRef>
              <c:f>Calibration_OD!$Q$3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Calibration_OD!$C$4:$C$23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Calibration_OD!$Q$4:$Q$23</c:f>
              <c:numCache>
                <c:formatCode>0.0%</c:formatCode>
                <c:ptCount val="20"/>
                <c:pt idx="0">
                  <c:v>4.2466840370635334E-2</c:v>
                </c:pt>
                <c:pt idx="1">
                  <c:v>2.0600930164460823E-2</c:v>
                </c:pt>
                <c:pt idx="2">
                  <c:v>4.7277421522935952E-2</c:v>
                </c:pt>
                <c:pt idx="3">
                  <c:v>1.870155878874797E-2</c:v>
                </c:pt>
                <c:pt idx="4">
                  <c:v>1.8209401859183273E-2</c:v>
                </c:pt>
                <c:pt idx="5">
                  <c:v>4.7752960166567285E-2</c:v>
                </c:pt>
                <c:pt idx="6">
                  <c:v>9.9825088899738942E-2</c:v>
                </c:pt>
                <c:pt idx="7">
                  <c:v>3.9271906129047154E-3</c:v>
                </c:pt>
                <c:pt idx="8">
                  <c:v>7.8879705519442608E-2</c:v>
                </c:pt>
                <c:pt idx="9">
                  <c:v>3.1631993025692126E-2</c:v>
                </c:pt>
                <c:pt idx="10">
                  <c:v>7.8230119861693287E-2</c:v>
                </c:pt>
                <c:pt idx="11">
                  <c:v>0.16729675375133937</c:v>
                </c:pt>
                <c:pt idx="12">
                  <c:v>0.12245828818321433</c:v>
                </c:pt>
                <c:pt idx="13">
                  <c:v>2.6127651025186393E-2</c:v>
                </c:pt>
                <c:pt idx="14">
                  <c:v>3.8427092019704887E-2</c:v>
                </c:pt>
                <c:pt idx="15">
                  <c:v>1.3166439787419274E-2</c:v>
                </c:pt>
                <c:pt idx="16">
                  <c:v>1.9408119115213344E-2</c:v>
                </c:pt>
                <c:pt idx="17">
                  <c:v>4.0112173268236219E-2</c:v>
                </c:pt>
                <c:pt idx="18">
                  <c:v>4.7194540451318961E-2</c:v>
                </c:pt>
                <c:pt idx="19">
                  <c:v>3.8305731606364919E-2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52-4BD7-B8C7-A86E9D22A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240928"/>
        <c:axId val="146238016"/>
      </c:barChart>
      <c:catAx>
        <c:axId val="146240928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District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38016"/>
        <c:crosses val="autoZero"/>
        <c:auto val="1"/>
        <c:lblAlgn val="ctr"/>
        <c:lblOffset val="100"/>
        <c:noMultiLvlLbl val="0"/>
      </c:catAx>
      <c:valAx>
        <c:axId val="146238016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baseline="0" lang="en-US"/>
              <a:t>Non-Work Trips Distrct - </a:t>
            </a:r>
            <a:r>
              <a:rPr lang="en-US"/>
              <a:t>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Non-work Auto Trips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0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0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Calibration_OD!$CY$2:$CY$401</c:f>
              <c:numCache>
                <c:formatCode>_(* #,##0_);_(* \(#,##0\);_(* "-"??_);_(@_)</c:formatCode>
                <c:ptCount val="400"/>
                <c:pt idx="0">
                  <c:v>41542.024792183634</c:v>
                </c:pt>
                <c:pt idx="1">
                  <c:v>188.82318279856278</c:v>
                </c:pt>
                <c:pt idx="2">
                  <c:v>8248.4325047068451</c:v>
                </c:pt>
                <c:pt idx="3">
                  <c:v>3260.1931554238372</c:v>
                </c:pt>
                <c:pt idx="4">
                  <c:v>3301.817519325868</c:v>
                </c:pt>
                <c:pt idx="5">
                  <c:v>8488.9548401653683</c:v>
                </c:pt>
                <c:pt idx="6">
                  <c:v>2987.0850148988925</c:v>
                </c:pt>
                <c:pt idx="7">
                  <c:v>112.67515861702682</c:v>
                </c:pt>
                <c:pt idx="8">
                  <c:v>3487.2527694086102</c:v>
                </c:pt>
                <c:pt idx="9">
                  <c:v>1965.4941307857962</c:v>
                </c:pt>
                <c:pt idx="10">
                  <c:v>1354.3234014699869</c:v>
                </c:pt>
                <c:pt idx="11">
                  <c:v>409.19049416948081</c:v>
                </c:pt>
                <c:pt idx="12">
                  <c:v>899.04273601216403</c:v>
                </c:pt>
                <c:pt idx="13">
                  <c:v>0</c:v>
                </c:pt>
                <c:pt idx="14">
                  <c:v>308.96358599281479</c:v>
                </c:pt>
                <c:pt idx="15">
                  <c:v>539.38976946651985</c:v>
                </c:pt>
                <c:pt idx="16">
                  <c:v>0</c:v>
                </c:pt>
                <c:pt idx="17">
                  <c:v>85.325893401380071</c:v>
                </c:pt>
                <c:pt idx="18">
                  <c:v>445.77971341874093</c:v>
                </c:pt>
                <c:pt idx="19">
                  <c:v>0</c:v>
                </c:pt>
                <c:pt idx="20">
                  <c:v>274.68515097184246</c:v>
                </c:pt>
                <c:pt idx="21">
                  <c:v>21152.292348257193</c:v>
                </c:pt>
                <c:pt idx="22">
                  <c:v>3135.0392917901986</c:v>
                </c:pt>
                <c:pt idx="23">
                  <c:v>354.5716875828731</c:v>
                </c:pt>
                <c:pt idx="24">
                  <c:v>230.48961936838447</c:v>
                </c:pt>
                <c:pt idx="25">
                  <c:v>0</c:v>
                </c:pt>
                <c:pt idx="26">
                  <c:v>6020.554144397418</c:v>
                </c:pt>
                <c:pt idx="27">
                  <c:v>0</c:v>
                </c:pt>
                <c:pt idx="28">
                  <c:v>4356.4061690389563</c:v>
                </c:pt>
                <c:pt idx="29">
                  <c:v>58.216577494231707</c:v>
                </c:pt>
                <c:pt idx="30">
                  <c:v>659.39156889845583</c:v>
                </c:pt>
                <c:pt idx="31">
                  <c:v>0</c:v>
                </c:pt>
                <c:pt idx="32">
                  <c:v>36.28127881825143</c:v>
                </c:pt>
                <c:pt idx="33">
                  <c:v>0</c:v>
                </c:pt>
                <c:pt idx="34">
                  <c:v>73.14449173539397</c:v>
                </c:pt>
                <c:pt idx="35">
                  <c:v>108.21164133402742</c:v>
                </c:pt>
                <c:pt idx="36">
                  <c:v>0</c:v>
                </c:pt>
                <c:pt idx="37">
                  <c:v>0</c:v>
                </c:pt>
                <c:pt idx="38">
                  <c:v>228.65526912727506</c:v>
                </c:pt>
                <c:pt idx="39">
                  <c:v>0</c:v>
                </c:pt>
                <c:pt idx="40">
                  <c:v>8299.8618473478509</c:v>
                </c:pt>
                <c:pt idx="41">
                  <c:v>3221.6913248524661</c:v>
                </c:pt>
                <c:pt idx="42">
                  <c:v>63896.106215946238</c:v>
                </c:pt>
                <c:pt idx="43">
                  <c:v>5869.1199058411576</c:v>
                </c:pt>
                <c:pt idx="44">
                  <c:v>2484.2949293702754</c:v>
                </c:pt>
                <c:pt idx="45">
                  <c:v>4315.3407867855067</c:v>
                </c:pt>
                <c:pt idx="46">
                  <c:v>3069.3964998091096</c:v>
                </c:pt>
                <c:pt idx="47">
                  <c:v>1836.4753475845639</c:v>
                </c:pt>
                <c:pt idx="48">
                  <c:v>5654.5640316158369</c:v>
                </c:pt>
                <c:pt idx="49">
                  <c:v>1176.8297877276632</c:v>
                </c:pt>
                <c:pt idx="50">
                  <c:v>12151.302212223625</c:v>
                </c:pt>
                <c:pt idx="51">
                  <c:v>2131.0910924540785</c:v>
                </c:pt>
                <c:pt idx="52">
                  <c:v>673.6687886499833</c:v>
                </c:pt>
                <c:pt idx="53">
                  <c:v>0</c:v>
                </c:pt>
                <c:pt idx="54">
                  <c:v>280.35746568354409</c:v>
                </c:pt>
                <c:pt idx="55">
                  <c:v>100.63910499049766</c:v>
                </c:pt>
                <c:pt idx="56">
                  <c:v>0</c:v>
                </c:pt>
                <c:pt idx="57">
                  <c:v>127.29906692416974</c:v>
                </c:pt>
                <c:pt idx="58">
                  <c:v>778.34609196252393</c:v>
                </c:pt>
                <c:pt idx="59">
                  <c:v>0</c:v>
                </c:pt>
                <c:pt idx="60">
                  <c:v>3146.7827641848503</c:v>
                </c:pt>
                <c:pt idx="61">
                  <c:v>330.88144933934871</c:v>
                </c:pt>
                <c:pt idx="62">
                  <c:v>5752.2840371096718</c:v>
                </c:pt>
                <c:pt idx="63">
                  <c:v>19109.753808559275</c:v>
                </c:pt>
                <c:pt idx="64">
                  <c:v>5085.1631451837729</c:v>
                </c:pt>
                <c:pt idx="65">
                  <c:v>1657.8005935166384</c:v>
                </c:pt>
                <c:pt idx="66">
                  <c:v>1890.3477680668589</c:v>
                </c:pt>
                <c:pt idx="67">
                  <c:v>1530.5586506955285</c:v>
                </c:pt>
                <c:pt idx="68">
                  <c:v>1003.0332111874349</c:v>
                </c:pt>
                <c:pt idx="69">
                  <c:v>1447.9614150443399</c:v>
                </c:pt>
                <c:pt idx="70">
                  <c:v>2839.251649508421</c:v>
                </c:pt>
                <c:pt idx="71">
                  <c:v>0</c:v>
                </c:pt>
                <c:pt idx="72">
                  <c:v>396.04731075429368</c:v>
                </c:pt>
                <c:pt idx="73">
                  <c:v>0</c:v>
                </c:pt>
                <c:pt idx="74">
                  <c:v>93.070200489775729</c:v>
                </c:pt>
                <c:pt idx="75">
                  <c:v>176.63504284803491</c:v>
                </c:pt>
                <c:pt idx="76">
                  <c:v>0</c:v>
                </c:pt>
                <c:pt idx="77">
                  <c:v>0</c:v>
                </c:pt>
                <c:pt idx="78">
                  <c:v>258.02667495897441</c:v>
                </c:pt>
                <c:pt idx="79">
                  <c:v>0</c:v>
                </c:pt>
                <c:pt idx="80">
                  <c:v>3184.3751232602331</c:v>
                </c:pt>
                <c:pt idx="81">
                  <c:v>259.13488861445006</c:v>
                </c:pt>
                <c:pt idx="82">
                  <c:v>2466.3644175691275</c:v>
                </c:pt>
                <c:pt idx="83">
                  <c:v>5178.1129055585661</c:v>
                </c:pt>
                <c:pt idx="84">
                  <c:v>14288.157322716741</c:v>
                </c:pt>
                <c:pt idx="85">
                  <c:v>6542.6363053951973</c:v>
                </c:pt>
                <c:pt idx="86">
                  <c:v>1988.5406773717723</c:v>
                </c:pt>
                <c:pt idx="87">
                  <c:v>219.30785963805491</c:v>
                </c:pt>
                <c:pt idx="88">
                  <c:v>1006.3845725273683</c:v>
                </c:pt>
                <c:pt idx="89">
                  <c:v>5981.5422251780274</c:v>
                </c:pt>
                <c:pt idx="90">
                  <c:v>1469.9194027665199</c:v>
                </c:pt>
                <c:pt idx="91">
                  <c:v>954.66996894066369</c:v>
                </c:pt>
                <c:pt idx="92">
                  <c:v>452.72602389113132</c:v>
                </c:pt>
                <c:pt idx="93">
                  <c:v>204.25627389687534</c:v>
                </c:pt>
                <c:pt idx="94">
                  <c:v>60.973406216936134</c:v>
                </c:pt>
                <c:pt idx="95">
                  <c:v>594.42104244750703</c:v>
                </c:pt>
                <c:pt idx="96">
                  <c:v>38.376740286025836</c:v>
                </c:pt>
                <c:pt idx="97">
                  <c:v>47.698911732750283</c:v>
                </c:pt>
                <c:pt idx="98">
                  <c:v>174.90053081159058</c:v>
                </c:pt>
                <c:pt idx="99">
                  <c:v>0</c:v>
                </c:pt>
                <c:pt idx="100">
                  <c:v>8561.0372340079884</c:v>
                </c:pt>
                <c:pt idx="101">
                  <c:v>0</c:v>
                </c:pt>
                <c:pt idx="102">
                  <c:v>4265.5131432945018</c:v>
                </c:pt>
                <c:pt idx="103">
                  <c:v>1655.2840433229221</c:v>
                </c:pt>
                <c:pt idx="104">
                  <c:v>6474.6501608954159</c:v>
                </c:pt>
                <c:pt idx="105">
                  <c:v>49500.837281536544</c:v>
                </c:pt>
                <c:pt idx="106">
                  <c:v>4286.1254837167207</c:v>
                </c:pt>
                <c:pt idx="107">
                  <c:v>0</c:v>
                </c:pt>
                <c:pt idx="108">
                  <c:v>2672.7706350846393</c:v>
                </c:pt>
                <c:pt idx="109">
                  <c:v>6288.7334031205419</c:v>
                </c:pt>
                <c:pt idx="110">
                  <c:v>914.23077531413105</c:v>
                </c:pt>
                <c:pt idx="111">
                  <c:v>10223.101769197736</c:v>
                </c:pt>
                <c:pt idx="112">
                  <c:v>1399.3064741212513</c:v>
                </c:pt>
                <c:pt idx="113">
                  <c:v>0</c:v>
                </c:pt>
                <c:pt idx="114">
                  <c:v>0</c:v>
                </c:pt>
                <c:pt idx="115">
                  <c:v>1148.7207748300477</c:v>
                </c:pt>
                <c:pt idx="116">
                  <c:v>0</c:v>
                </c:pt>
                <c:pt idx="117">
                  <c:v>0</c:v>
                </c:pt>
                <c:pt idx="118">
                  <c:v>626.46015158386376</c:v>
                </c:pt>
                <c:pt idx="119">
                  <c:v>0</c:v>
                </c:pt>
                <c:pt idx="120">
                  <c:v>2938.4912456319039</c:v>
                </c:pt>
                <c:pt idx="121">
                  <c:v>5641.8665156433153</c:v>
                </c:pt>
                <c:pt idx="122">
                  <c:v>3011.9625191670239</c:v>
                </c:pt>
                <c:pt idx="123">
                  <c:v>1868.0965650881208</c:v>
                </c:pt>
                <c:pt idx="124">
                  <c:v>1913.9838963065001</c:v>
                </c:pt>
                <c:pt idx="125">
                  <c:v>4194.1309144914721</c:v>
                </c:pt>
                <c:pt idx="126">
                  <c:v>156283.2396141846</c:v>
                </c:pt>
                <c:pt idx="127">
                  <c:v>161.36279909985836</c:v>
                </c:pt>
                <c:pt idx="128">
                  <c:v>10444.427166310346</c:v>
                </c:pt>
                <c:pt idx="129">
                  <c:v>897.79671931533073</c:v>
                </c:pt>
                <c:pt idx="130">
                  <c:v>812.17128815106992</c:v>
                </c:pt>
                <c:pt idx="131">
                  <c:v>18407.414099823087</c:v>
                </c:pt>
                <c:pt idx="132">
                  <c:v>19146.943644207709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1169.0087039798814</c:v>
                </c:pt>
                <c:pt idx="138">
                  <c:v>0</c:v>
                </c:pt>
                <c:pt idx="139">
                  <c:v>0</c:v>
                </c:pt>
                <c:pt idx="140">
                  <c:v>93.53286881800463</c:v>
                </c:pt>
                <c:pt idx="141">
                  <c:v>5.8018585480811931</c:v>
                </c:pt>
                <c:pt idx="142">
                  <c:v>1802.15182314256</c:v>
                </c:pt>
                <c:pt idx="143">
                  <c:v>1537.9411620500116</c:v>
                </c:pt>
                <c:pt idx="144">
                  <c:v>191.45952569500162</c:v>
                </c:pt>
                <c:pt idx="145">
                  <c:v>0</c:v>
                </c:pt>
                <c:pt idx="146">
                  <c:v>157.68447002190823</c:v>
                </c:pt>
                <c:pt idx="147">
                  <c:v>1089.939118256666</c:v>
                </c:pt>
                <c:pt idx="148">
                  <c:v>163.43351202504223</c:v>
                </c:pt>
                <c:pt idx="149">
                  <c:v>0</c:v>
                </c:pt>
                <c:pt idx="150">
                  <c:v>2806.4380736300068</c:v>
                </c:pt>
                <c:pt idx="151">
                  <c:v>0</c:v>
                </c:pt>
                <c:pt idx="152">
                  <c:v>133.33886940070036</c:v>
                </c:pt>
                <c:pt idx="153">
                  <c:v>685.65360539659969</c:v>
                </c:pt>
                <c:pt idx="154">
                  <c:v>38.037148465850017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131.15183260195323</c:v>
                </c:pt>
                <c:pt idx="159">
                  <c:v>0</c:v>
                </c:pt>
                <c:pt idx="160">
                  <c:v>3347.4708335368227</c:v>
                </c:pt>
                <c:pt idx="161">
                  <c:v>4299.8847187288393</c:v>
                </c:pt>
                <c:pt idx="162">
                  <c:v>5484.6474958636045</c:v>
                </c:pt>
                <c:pt idx="163">
                  <c:v>1008.8853741920038</c:v>
                </c:pt>
                <c:pt idx="164">
                  <c:v>992.75379733949001</c:v>
                </c:pt>
                <c:pt idx="165">
                  <c:v>2617.0510308156577</c:v>
                </c:pt>
                <c:pt idx="166">
                  <c:v>10397.013459863723</c:v>
                </c:pt>
                <c:pt idx="167">
                  <c:v>167.99693361614067</c:v>
                </c:pt>
                <c:pt idx="168">
                  <c:v>126590.27378328187</c:v>
                </c:pt>
                <c:pt idx="169">
                  <c:v>796.04151230517311</c:v>
                </c:pt>
                <c:pt idx="170">
                  <c:v>8066.7476346838821</c:v>
                </c:pt>
                <c:pt idx="171">
                  <c:v>3445.4651235213396</c:v>
                </c:pt>
                <c:pt idx="172">
                  <c:v>809.8718922678114</c:v>
                </c:pt>
                <c:pt idx="173">
                  <c:v>0</c:v>
                </c:pt>
                <c:pt idx="174">
                  <c:v>9318.8861305164428</c:v>
                </c:pt>
                <c:pt idx="175">
                  <c:v>278.0057162193653</c:v>
                </c:pt>
                <c:pt idx="176">
                  <c:v>0</c:v>
                </c:pt>
                <c:pt idx="177">
                  <c:v>1.3954345044302709</c:v>
                </c:pt>
                <c:pt idx="178">
                  <c:v>595.33546303843377</c:v>
                </c:pt>
                <c:pt idx="179">
                  <c:v>0</c:v>
                </c:pt>
                <c:pt idx="180">
                  <c:v>2027.821768893305</c:v>
                </c:pt>
                <c:pt idx="181">
                  <c:v>18.390596659724693</c:v>
                </c:pt>
                <c:pt idx="182">
                  <c:v>1187.6983290149142</c:v>
                </c:pt>
                <c:pt idx="183">
                  <c:v>1425.5877397168385</c:v>
                </c:pt>
                <c:pt idx="184">
                  <c:v>6100.0648068858873</c:v>
                </c:pt>
                <c:pt idx="185">
                  <c:v>6288.6093680413951</c:v>
                </c:pt>
                <c:pt idx="186">
                  <c:v>936.98917777417478</c:v>
                </c:pt>
                <c:pt idx="187">
                  <c:v>0</c:v>
                </c:pt>
                <c:pt idx="188">
                  <c:v>807.9478990059348</c:v>
                </c:pt>
                <c:pt idx="189">
                  <c:v>38651.428432770583</c:v>
                </c:pt>
                <c:pt idx="190">
                  <c:v>575.852389331621</c:v>
                </c:pt>
                <c:pt idx="191">
                  <c:v>6951.8955236350575</c:v>
                </c:pt>
                <c:pt idx="192">
                  <c:v>367.04779787262981</c:v>
                </c:pt>
                <c:pt idx="193">
                  <c:v>148.3613361699984</c:v>
                </c:pt>
                <c:pt idx="194">
                  <c:v>118.42156598792317</c:v>
                </c:pt>
                <c:pt idx="195">
                  <c:v>9361.0213959108805</c:v>
                </c:pt>
                <c:pt idx="196">
                  <c:v>0</c:v>
                </c:pt>
                <c:pt idx="197">
                  <c:v>0</c:v>
                </c:pt>
                <c:pt idx="198">
                  <c:v>1.2750691753010786</c:v>
                </c:pt>
                <c:pt idx="199">
                  <c:v>0</c:v>
                </c:pt>
                <c:pt idx="200">
                  <c:v>1315.79819576201</c:v>
                </c:pt>
                <c:pt idx="201">
                  <c:v>624.84312460033914</c:v>
                </c:pt>
                <c:pt idx="202">
                  <c:v>12277.407855700798</c:v>
                </c:pt>
                <c:pt idx="203">
                  <c:v>2818.3669041744129</c:v>
                </c:pt>
                <c:pt idx="204">
                  <c:v>1459.8394976660286</c:v>
                </c:pt>
                <c:pt idx="205">
                  <c:v>917.16305337853396</c:v>
                </c:pt>
                <c:pt idx="206">
                  <c:v>759.15695460255745</c:v>
                </c:pt>
                <c:pt idx="207">
                  <c:v>2782.2725288787674</c:v>
                </c:pt>
                <c:pt idx="208">
                  <c:v>7970.3587640567239</c:v>
                </c:pt>
                <c:pt idx="209">
                  <c:v>555.40677681509362</c:v>
                </c:pt>
                <c:pt idx="210">
                  <c:v>118034.19635728835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94.385046932869599</c:v>
                </c:pt>
                <c:pt idx="216">
                  <c:v>5219.0492970661326</c:v>
                </c:pt>
                <c:pt idx="217">
                  <c:v>0</c:v>
                </c:pt>
                <c:pt idx="218">
                  <c:v>16278.043065089661</c:v>
                </c:pt>
                <c:pt idx="219">
                  <c:v>0</c:v>
                </c:pt>
                <c:pt idx="220">
                  <c:v>237.61962698596653</c:v>
                </c:pt>
                <c:pt idx="221">
                  <c:v>0</c:v>
                </c:pt>
                <c:pt idx="222">
                  <c:v>2128.9219138832109</c:v>
                </c:pt>
                <c:pt idx="223">
                  <c:v>0</c:v>
                </c:pt>
                <c:pt idx="224">
                  <c:v>1074.8024896380814</c:v>
                </c:pt>
                <c:pt idx="225">
                  <c:v>9766.5904539068379</c:v>
                </c:pt>
                <c:pt idx="226">
                  <c:v>18888.445629892227</c:v>
                </c:pt>
                <c:pt idx="227">
                  <c:v>0</c:v>
                </c:pt>
                <c:pt idx="228">
                  <c:v>3478.3879842853153</c:v>
                </c:pt>
                <c:pt idx="229">
                  <c:v>6947.1759725164457</c:v>
                </c:pt>
                <c:pt idx="230">
                  <c:v>0</c:v>
                </c:pt>
                <c:pt idx="231">
                  <c:v>297893.39063680155</c:v>
                </c:pt>
                <c:pt idx="232">
                  <c:v>46.923746860304483</c:v>
                </c:pt>
                <c:pt idx="233">
                  <c:v>0</c:v>
                </c:pt>
                <c:pt idx="234">
                  <c:v>0</c:v>
                </c:pt>
                <c:pt idx="235">
                  <c:v>4015.326549058093</c:v>
                </c:pt>
                <c:pt idx="236">
                  <c:v>0</c:v>
                </c:pt>
                <c:pt idx="237">
                  <c:v>15750.620284239265</c:v>
                </c:pt>
                <c:pt idx="238">
                  <c:v>73.41423502222851</c:v>
                </c:pt>
                <c:pt idx="239">
                  <c:v>0</c:v>
                </c:pt>
                <c:pt idx="240">
                  <c:v>902.5170455102126</c:v>
                </c:pt>
                <c:pt idx="241">
                  <c:v>20.108529593583086</c:v>
                </c:pt>
                <c:pt idx="242">
                  <c:v>677.24219675062182</c:v>
                </c:pt>
                <c:pt idx="243">
                  <c:v>380.02170621119058</c:v>
                </c:pt>
                <c:pt idx="244">
                  <c:v>447.24497024860921</c:v>
                </c:pt>
                <c:pt idx="245">
                  <c:v>1386.6112099068421</c:v>
                </c:pt>
                <c:pt idx="246">
                  <c:v>18836.349038516011</c:v>
                </c:pt>
                <c:pt idx="247">
                  <c:v>132.28896033190674</c:v>
                </c:pt>
                <c:pt idx="248">
                  <c:v>922.6574849128798</c:v>
                </c:pt>
                <c:pt idx="249">
                  <c:v>362.85445910963784</c:v>
                </c:pt>
                <c:pt idx="250">
                  <c:v>0</c:v>
                </c:pt>
                <c:pt idx="251">
                  <c:v>0</c:v>
                </c:pt>
                <c:pt idx="252">
                  <c:v>245034.39877904631</c:v>
                </c:pt>
                <c:pt idx="253">
                  <c:v>95.218306554091413</c:v>
                </c:pt>
                <c:pt idx="254">
                  <c:v>6580.459773953502</c:v>
                </c:pt>
                <c:pt idx="255">
                  <c:v>0</c:v>
                </c:pt>
                <c:pt idx="256">
                  <c:v>0</c:v>
                </c:pt>
                <c:pt idx="257">
                  <c:v>8584.3233209207465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193.36741632988782</c:v>
                </c:pt>
                <c:pt idx="265">
                  <c:v>0</c:v>
                </c:pt>
                <c:pt idx="266">
                  <c:v>0</c:v>
                </c:pt>
                <c:pt idx="267">
                  <c:v>655.39098708364099</c:v>
                </c:pt>
                <c:pt idx="268">
                  <c:v>0</c:v>
                </c:pt>
                <c:pt idx="269">
                  <c:v>153.140242440333</c:v>
                </c:pt>
                <c:pt idx="270">
                  <c:v>0</c:v>
                </c:pt>
                <c:pt idx="271">
                  <c:v>0</c:v>
                </c:pt>
                <c:pt idx="272">
                  <c:v>93.627004626314033</c:v>
                </c:pt>
                <c:pt idx="273">
                  <c:v>53696.734353672764</c:v>
                </c:pt>
                <c:pt idx="274">
                  <c:v>0</c:v>
                </c:pt>
                <c:pt idx="275">
                  <c:v>29.019918718980946</c:v>
                </c:pt>
                <c:pt idx="276">
                  <c:v>1982.3835005116418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287.47863774205643</c:v>
                </c:pt>
                <c:pt idx="281">
                  <c:v>51.555209459771163</c:v>
                </c:pt>
                <c:pt idx="282">
                  <c:v>289.28462140140806</c:v>
                </c:pt>
                <c:pt idx="283">
                  <c:v>83.259293856948361</c:v>
                </c:pt>
                <c:pt idx="284">
                  <c:v>54.44115836916891</c:v>
                </c:pt>
                <c:pt idx="285">
                  <c:v>0</c:v>
                </c:pt>
                <c:pt idx="286">
                  <c:v>0</c:v>
                </c:pt>
                <c:pt idx="287">
                  <c:v>24.212390782303572</c:v>
                </c:pt>
                <c:pt idx="288">
                  <c:v>8958.855059736723</c:v>
                </c:pt>
                <c:pt idx="289">
                  <c:v>117.54558833017852</c:v>
                </c:pt>
                <c:pt idx="290">
                  <c:v>0</c:v>
                </c:pt>
                <c:pt idx="291">
                  <c:v>0</c:v>
                </c:pt>
                <c:pt idx="292">
                  <c:v>6286.5920406839441</c:v>
                </c:pt>
                <c:pt idx="293">
                  <c:v>0</c:v>
                </c:pt>
                <c:pt idx="294">
                  <c:v>70213.482994787657</c:v>
                </c:pt>
                <c:pt idx="295">
                  <c:v>14.228676171406958</c:v>
                </c:pt>
                <c:pt idx="296">
                  <c:v>0</c:v>
                </c:pt>
                <c:pt idx="297">
                  <c:v>52.084159421023955</c:v>
                </c:pt>
                <c:pt idx="298">
                  <c:v>0</c:v>
                </c:pt>
                <c:pt idx="299">
                  <c:v>0</c:v>
                </c:pt>
                <c:pt idx="300">
                  <c:v>473.37172763810537</c:v>
                </c:pt>
                <c:pt idx="301">
                  <c:v>115.64014202084344</c:v>
                </c:pt>
                <c:pt idx="302">
                  <c:v>102.51586404583213</c:v>
                </c:pt>
                <c:pt idx="303">
                  <c:v>173.05666843561806</c:v>
                </c:pt>
                <c:pt idx="304">
                  <c:v>591.30615085961176</c:v>
                </c:pt>
                <c:pt idx="305">
                  <c:v>1137.5119127894993</c:v>
                </c:pt>
                <c:pt idx="306">
                  <c:v>0</c:v>
                </c:pt>
                <c:pt idx="307">
                  <c:v>0</c:v>
                </c:pt>
                <c:pt idx="308">
                  <c:v>271.87972505849024</c:v>
                </c:pt>
                <c:pt idx="309">
                  <c:v>9044.7365177430802</c:v>
                </c:pt>
                <c:pt idx="310">
                  <c:v>92.025242521195892</c:v>
                </c:pt>
                <c:pt idx="311">
                  <c:v>3761.1278366587458</c:v>
                </c:pt>
                <c:pt idx="312">
                  <c:v>0</c:v>
                </c:pt>
                <c:pt idx="313">
                  <c:v>29.588982144237225</c:v>
                </c:pt>
                <c:pt idx="314">
                  <c:v>14.517197608786478</c:v>
                </c:pt>
                <c:pt idx="315">
                  <c:v>16138.55151078607</c:v>
                </c:pt>
                <c:pt idx="316">
                  <c:v>0</c:v>
                </c:pt>
                <c:pt idx="317">
                  <c:v>232.43958763732527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34.174130013872919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4915.9912187417913</c:v>
                </c:pt>
                <c:pt idx="331">
                  <c:v>0</c:v>
                </c:pt>
                <c:pt idx="332">
                  <c:v>0</c:v>
                </c:pt>
                <c:pt idx="333">
                  <c:v>1980.5155443784624</c:v>
                </c:pt>
                <c:pt idx="334">
                  <c:v>0</c:v>
                </c:pt>
                <c:pt idx="335">
                  <c:v>0</c:v>
                </c:pt>
                <c:pt idx="336">
                  <c:v>31225.381148375323</c:v>
                </c:pt>
                <c:pt idx="337">
                  <c:v>0</c:v>
                </c:pt>
                <c:pt idx="338">
                  <c:v>3626.3820581669556</c:v>
                </c:pt>
                <c:pt idx="339">
                  <c:v>0</c:v>
                </c:pt>
                <c:pt idx="340">
                  <c:v>78.924798496323817</c:v>
                </c:pt>
                <c:pt idx="341">
                  <c:v>0</c:v>
                </c:pt>
                <c:pt idx="342">
                  <c:v>126.279323096765</c:v>
                </c:pt>
                <c:pt idx="343">
                  <c:v>0</c:v>
                </c:pt>
                <c:pt idx="344">
                  <c:v>43.503910764872536</c:v>
                </c:pt>
                <c:pt idx="345">
                  <c:v>0</c:v>
                </c:pt>
                <c:pt idx="346">
                  <c:v>1075.2914544115756</c:v>
                </c:pt>
                <c:pt idx="347">
                  <c:v>0</c:v>
                </c:pt>
                <c:pt idx="348">
                  <c:v>0</c:v>
                </c:pt>
                <c:pt idx="349">
                  <c:v>1.0314590921360949</c:v>
                </c:pt>
                <c:pt idx="350">
                  <c:v>0</c:v>
                </c:pt>
                <c:pt idx="351">
                  <c:v>14877.229131394453</c:v>
                </c:pt>
                <c:pt idx="352">
                  <c:v>8323.6866326829531</c:v>
                </c:pt>
                <c:pt idx="353">
                  <c:v>0</c:v>
                </c:pt>
                <c:pt idx="354">
                  <c:v>63.309193910396125</c:v>
                </c:pt>
                <c:pt idx="355">
                  <c:v>231.81788436179991</c:v>
                </c:pt>
                <c:pt idx="356">
                  <c:v>0</c:v>
                </c:pt>
                <c:pt idx="357">
                  <c:v>53751.881467584739</c:v>
                </c:pt>
                <c:pt idx="358">
                  <c:v>39.18462610018824</c:v>
                </c:pt>
                <c:pt idx="359">
                  <c:v>8827.5343688063967</c:v>
                </c:pt>
                <c:pt idx="360">
                  <c:v>439.04605068877754</c:v>
                </c:pt>
                <c:pt idx="361">
                  <c:v>194.46646367581585</c:v>
                </c:pt>
                <c:pt idx="362">
                  <c:v>773.30981330461475</c:v>
                </c:pt>
                <c:pt idx="363">
                  <c:v>252.06480144695055</c:v>
                </c:pt>
                <c:pt idx="364">
                  <c:v>162.56973014751006</c:v>
                </c:pt>
                <c:pt idx="365">
                  <c:v>589.33934370343547</c:v>
                </c:pt>
                <c:pt idx="366">
                  <c:v>0</c:v>
                </c:pt>
                <c:pt idx="367">
                  <c:v>142.03837565277641</c:v>
                </c:pt>
                <c:pt idx="368">
                  <c:v>550.7430171629353</c:v>
                </c:pt>
                <c:pt idx="369">
                  <c:v>0</c:v>
                </c:pt>
                <c:pt idx="370">
                  <c:v>15537.022607052979</c:v>
                </c:pt>
                <c:pt idx="371">
                  <c:v>55.6382084918584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3758.924126875509</c:v>
                </c:pt>
                <c:pt idx="377">
                  <c:v>37.315587431591595</c:v>
                </c:pt>
                <c:pt idx="378">
                  <c:v>76347.273145808664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8604.208460917007</c:v>
                </c:pt>
                <c:pt idx="398">
                  <c:v>0</c:v>
                </c:pt>
                <c:pt idx="399">
                  <c:v>72130.422014518277</c:v>
                </c:pt>
              </c:numCache>
            </c:numRef>
          </c:xVal>
          <c:yVal>
            <c:numRef>
              <c:f>Calibration_OD!$CZ$2:$CZ$401</c:f>
              <c:numCache>
                <c:formatCode>_(* #,##0_);_(* \(#,##0\);_(* "-"??_);_(@_)</c:formatCode>
                <c:ptCount val="400"/>
                <c:pt idx="0">
                  <c:v>19736.642857142899</c:v>
                </c:pt>
                <c:pt idx="1">
                  <c:v>6949.1428571428596</c:v>
                </c:pt>
                <c:pt idx="2">
                  <c:v>13171.5</c:v>
                </c:pt>
                <c:pt idx="3">
                  <c:v>5279.6428571428596</c:v>
                </c:pt>
                <c:pt idx="4">
                  <c:v>4747.6428571428596</c:v>
                </c:pt>
                <c:pt idx="5">
                  <c:v>13420.857142857099</c:v>
                </c:pt>
                <c:pt idx="6">
                  <c:v>4224.4285714285697</c:v>
                </c:pt>
                <c:pt idx="7">
                  <c:v>1050.57142857143</c:v>
                </c:pt>
                <c:pt idx="8">
                  <c:v>4966.8571428571404</c:v>
                </c:pt>
                <c:pt idx="9">
                  <c:v>3599</c:v>
                </c:pt>
                <c:pt idx="10">
                  <c:v>5239.3571428571404</c:v>
                </c:pt>
                <c:pt idx="11">
                  <c:v>6989.8571428571404</c:v>
                </c:pt>
                <c:pt idx="12">
                  <c:v>364.5</c:v>
                </c:pt>
                <c:pt idx="13">
                  <c:v>1645.7142857142901</c:v>
                </c:pt>
                <c:pt idx="14">
                  <c:v>778.21428571428601</c:v>
                </c:pt>
                <c:pt idx="15">
                  <c:v>1067.7142857142901</c:v>
                </c:pt>
                <c:pt idx="16">
                  <c:v>1111.42857142857</c:v>
                </c:pt>
                <c:pt idx="17">
                  <c:v>479.21428571428601</c:v>
                </c:pt>
                <c:pt idx="18">
                  <c:v>1363.8571428571399</c:v>
                </c:pt>
                <c:pt idx="19">
                  <c:v>203.71428571428601</c:v>
                </c:pt>
                <c:pt idx="20">
                  <c:v>6592.5714285714303</c:v>
                </c:pt>
                <c:pt idx="21">
                  <c:v>6921</c:v>
                </c:pt>
                <c:pt idx="22">
                  <c:v>3165.4285714285702</c:v>
                </c:pt>
                <c:pt idx="23">
                  <c:v>921.21428571428601</c:v>
                </c:pt>
                <c:pt idx="24">
                  <c:v>943.78571428571399</c:v>
                </c:pt>
                <c:pt idx="25">
                  <c:v>4626.1428571428596</c:v>
                </c:pt>
                <c:pt idx="26">
                  <c:v>5432.3571428571404</c:v>
                </c:pt>
                <c:pt idx="27">
                  <c:v>154.857142857143</c:v>
                </c:pt>
                <c:pt idx="28">
                  <c:v>7380.2857142857101</c:v>
                </c:pt>
                <c:pt idx="29">
                  <c:v>736.142857142857</c:v>
                </c:pt>
                <c:pt idx="30">
                  <c:v>1340.3571428571399</c:v>
                </c:pt>
                <c:pt idx="31">
                  <c:v>6553.5714285714303</c:v>
                </c:pt>
                <c:pt idx="32">
                  <c:v>367</c:v>
                </c:pt>
                <c:pt idx="33">
                  <c:v>250.28571428571399</c:v>
                </c:pt>
                <c:pt idx="34">
                  <c:v>462.142857142857</c:v>
                </c:pt>
                <c:pt idx="35">
                  <c:v>211.642857142857</c:v>
                </c:pt>
                <c:pt idx="36">
                  <c:v>183.857142857143</c:v>
                </c:pt>
                <c:pt idx="37">
                  <c:v>189.5</c:v>
                </c:pt>
                <c:pt idx="38">
                  <c:v>257.78571428571399</c:v>
                </c:pt>
                <c:pt idx="39">
                  <c:v>56.714285714285701</c:v>
                </c:pt>
                <c:pt idx="40">
                  <c:v>12425.5</c:v>
                </c:pt>
                <c:pt idx="41">
                  <c:v>2994.8571428571399</c:v>
                </c:pt>
                <c:pt idx="42">
                  <c:v>43191.428571428602</c:v>
                </c:pt>
                <c:pt idx="43">
                  <c:v>5729.6428571428596</c:v>
                </c:pt>
                <c:pt idx="44">
                  <c:v>2363.0714285714298</c:v>
                </c:pt>
                <c:pt idx="45">
                  <c:v>4903.7857142857101</c:v>
                </c:pt>
                <c:pt idx="46">
                  <c:v>2138.1428571428601</c:v>
                </c:pt>
                <c:pt idx="47">
                  <c:v>1786.2142857142901</c:v>
                </c:pt>
                <c:pt idx="48">
                  <c:v>4276.4285714285697</c:v>
                </c:pt>
                <c:pt idx="49">
                  <c:v>1083.6428571428601</c:v>
                </c:pt>
                <c:pt idx="50">
                  <c:v>14025.857142857099</c:v>
                </c:pt>
                <c:pt idx="51">
                  <c:v>2513.1428571428601</c:v>
                </c:pt>
                <c:pt idx="52">
                  <c:v>227.78571428571399</c:v>
                </c:pt>
                <c:pt idx="53">
                  <c:v>1853.7142857142901</c:v>
                </c:pt>
                <c:pt idx="54">
                  <c:v>522.57142857142901</c:v>
                </c:pt>
                <c:pt idx="55">
                  <c:v>353.71428571428601</c:v>
                </c:pt>
                <c:pt idx="56">
                  <c:v>1596.3571428571399</c:v>
                </c:pt>
                <c:pt idx="57">
                  <c:v>221</c:v>
                </c:pt>
                <c:pt idx="58">
                  <c:v>2003.8571428571399</c:v>
                </c:pt>
                <c:pt idx="59">
                  <c:v>99.785714285714306</c:v>
                </c:pt>
                <c:pt idx="60">
                  <c:v>5133.3571428571404</c:v>
                </c:pt>
                <c:pt idx="61">
                  <c:v>912.78571428571399</c:v>
                </c:pt>
                <c:pt idx="62">
                  <c:v>5688</c:v>
                </c:pt>
                <c:pt idx="63">
                  <c:v>10915.357142857099</c:v>
                </c:pt>
                <c:pt idx="64">
                  <c:v>3314.8571428571399</c:v>
                </c:pt>
                <c:pt idx="65">
                  <c:v>3579.2857142857101</c:v>
                </c:pt>
                <c:pt idx="66">
                  <c:v>721.28571428571399</c:v>
                </c:pt>
                <c:pt idx="67">
                  <c:v>1367.57142857143</c:v>
                </c:pt>
                <c:pt idx="68">
                  <c:v>896.78571428571399</c:v>
                </c:pt>
                <c:pt idx="69">
                  <c:v>1537.1428571428601</c:v>
                </c:pt>
                <c:pt idx="70">
                  <c:v>2514.6428571428601</c:v>
                </c:pt>
                <c:pt idx="71">
                  <c:v>1305.5</c:v>
                </c:pt>
                <c:pt idx="72">
                  <c:v>84.214285714285694</c:v>
                </c:pt>
                <c:pt idx="73">
                  <c:v>1311.07142857143</c:v>
                </c:pt>
                <c:pt idx="74">
                  <c:v>158.28571428571399</c:v>
                </c:pt>
                <c:pt idx="75">
                  <c:v>376.28571428571399</c:v>
                </c:pt>
                <c:pt idx="76">
                  <c:v>512.357142857143</c:v>
                </c:pt>
                <c:pt idx="77">
                  <c:v>101.428571428571</c:v>
                </c:pt>
                <c:pt idx="78">
                  <c:v>596.42857142857099</c:v>
                </c:pt>
                <c:pt idx="79">
                  <c:v>50.928571428571402</c:v>
                </c:pt>
                <c:pt idx="80">
                  <c:v>4672.0714285714303</c:v>
                </c:pt>
                <c:pt idx="81">
                  <c:v>1014.28571428571</c:v>
                </c:pt>
                <c:pt idx="82">
                  <c:v>2422.4285714285702</c:v>
                </c:pt>
                <c:pt idx="83">
                  <c:v>3347.7857142857101</c:v>
                </c:pt>
                <c:pt idx="84">
                  <c:v>7503.5</c:v>
                </c:pt>
                <c:pt idx="85">
                  <c:v>7453.8571428571404</c:v>
                </c:pt>
                <c:pt idx="86">
                  <c:v>918.42857142857099</c:v>
                </c:pt>
                <c:pt idx="87">
                  <c:v>389.78571428571399</c:v>
                </c:pt>
                <c:pt idx="88">
                  <c:v>998.07142857142901</c:v>
                </c:pt>
                <c:pt idx="89">
                  <c:v>5316.2857142857101</c:v>
                </c:pt>
                <c:pt idx="90">
                  <c:v>1228.6428571428601</c:v>
                </c:pt>
                <c:pt idx="91">
                  <c:v>2630.2142857142899</c:v>
                </c:pt>
                <c:pt idx="92">
                  <c:v>91.928571428571402</c:v>
                </c:pt>
                <c:pt idx="93">
                  <c:v>644.142857142857</c:v>
                </c:pt>
                <c:pt idx="94">
                  <c:v>171.92857142857099</c:v>
                </c:pt>
                <c:pt idx="95">
                  <c:v>911.21428571428601</c:v>
                </c:pt>
                <c:pt idx="96">
                  <c:v>301.857142857143</c:v>
                </c:pt>
                <c:pt idx="97">
                  <c:v>161.42857142857099</c:v>
                </c:pt>
                <c:pt idx="98">
                  <c:v>353.92857142857099</c:v>
                </c:pt>
                <c:pt idx="99">
                  <c:v>85.642857142857096</c:v>
                </c:pt>
                <c:pt idx="100">
                  <c:v>13171.5714285714</c:v>
                </c:pt>
                <c:pt idx="101">
                  <c:v>4766.5714285714303</c:v>
                </c:pt>
                <c:pt idx="102">
                  <c:v>5265.7857142857101</c:v>
                </c:pt>
                <c:pt idx="103">
                  <c:v>3901.2142857142899</c:v>
                </c:pt>
                <c:pt idx="104">
                  <c:v>7603.5</c:v>
                </c:pt>
                <c:pt idx="105">
                  <c:v>31855.571428571398</c:v>
                </c:pt>
                <c:pt idx="106">
                  <c:v>4578</c:v>
                </c:pt>
                <c:pt idx="107">
                  <c:v>543.857142857143</c:v>
                </c:pt>
                <c:pt idx="108">
                  <c:v>3857.4285714285702</c:v>
                </c:pt>
                <c:pt idx="109">
                  <c:v>7911.1428571428596</c:v>
                </c:pt>
                <c:pt idx="110">
                  <c:v>2749.2142857142899</c:v>
                </c:pt>
                <c:pt idx="111">
                  <c:v>15850.642857142901</c:v>
                </c:pt>
                <c:pt idx="112">
                  <c:v>413.357142857143</c:v>
                </c:pt>
                <c:pt idx="113">
                  <c:v>1051.1428571428601</c:v>
                </c:pt>
                <c:pt idx="114">
                  <c:v>533.57142857142901</c:v>
                </c:pt>
                <c:pt idx="115">
                  <c:v>1582.5</c:v>
                </c:pt>
                <c:pt idx="116">
                  <c:v>548.57142857142901</c:v>
                </c:pt>
                <c:pt idx="117">
                  <c:v>544.857142857143</c:v>
                </c:pt>
                <c:pt idx="118">
                  <c:v>771.78571428571399</c:v>
                </c:pt>
                <c:pt idx="119">
                  <c:v>266.57142857142901</c:v>
                </c:pt>
                <c:pt idx="120">
                  <c:v>3741.7857142857101</c:v>
                </c:pt>
                <c:pt idx="121">
                  <c:v>4855.6428571428596</c:v>
                </c:pt>
                <c:pt idx="122">
                  <c:v>1971</c:v>
                </c:pt>
                <c:pt idx="123">
                  <c:v>711.142857142857</c:v>
                </c:pt>
                <c:pt idx="124">
                  <c:v>877.57142857142901</c:v>
                </c:pt>
                <c:pt idx="125">
                  <c:v>4069.5714285714298</c:v>
                </c:pt>
                <c:pt idx="126">
                  <c:v>148127.35714285701</c:v>
                </c:pt>
                <c:pt idx="127">
                  <c:v>92.5</c:v>
                </c:pt>
                <c:pt idx="128">
                  <c:v>12824.214285714301</c:v>
                </c:pt>
                <c:pt idx="129">
                  <c:v>597.71428571428601</c:v>
                </c:pt>
                <c:pt idx="130">
                  <c:v>724</c:v>
                </c:pt>
                <c:pt idx="131">
                  <c:v>22245.357142857101</c:v>
                </c:pt>
                <c:pt idx="132">
                  <c:v>14430.285714285699</c:v>
                </c:pt>
                <c:pt idx="133">
                  <c:v>140</c:v>
                </c:pt>
                <c:pt idx="134">
                  <c:v>1819.5</c:v>
                </c:pt>
                <c:pt idx="135">
                  <c:v>166.21428571428601</c:v>
                </c:pt>
                <c:pt idx="136">
                  <c:v>113.571428571429</c:v>
                </c:pt>
                <c:pt idx="137">
                  <c:v>1406.6428571428601</c:v>
                </c:pt>
                <c:pt idx="138">
                  <c:v>248.642857142857</c:v>
                </c:pt>
                <c:pt idx="139">
                  <c:v>194.42857142857099</c:v>
                </c:pt>
                <c:pt idx="140">
                  <c:v>931.42857142857099</c:v>
                </c:pt>
                <c:pt idx="141">
                  <c:v>122.71428571428601</c:v>
                </c:pt>
                <c:pt idx="142">
                  <c:v>1735.5</c:v>
                </c:pt>
                <c:pt idx="143">
                  <c:v>1345.42857142857</c:v>
                </c:pt>
                <c:pt idx="144">
                  <c:v>386.642857142857</c:v>
                </c:pt>
                <c:pt idx="145">
                  <c:v>470.21428571428601</c:v>
                </c:pt>
                <c:pt idx="146">
                  <c:v>89.214285714285694</c:v>
                </c:pt>
                <c:pt idx="147">
                  <c:v>670.21428571428601</c:v>
                </c:pt>
                <c:pt idx="148">
                  <c:v>222.21428571428601</c:v>
                </c:pt>
                <c:pt idx="149">
                  <c:v>180.07142857142901</c:v>
                </c:pt>
                <c:pt idx="150">
                  <c:v>1458.6428571428601</c:v>
                </c:pt>
                <c:pt idx="151">
                  <c:v>161.5</c:v>
                </c:pt>
                <c:pt idx="152">
                  <c:v>14.3571428571429</c:v>
                </c:pt>
                <c:pt idx="153">
                  <c:v>494.07142857142901</c:v>
                </c:pt>
                <c:pt idx="154">
                  <c:v>15.214285714285699</c:v>
                </c:pt>
                <c:pt idx="155">
                  <c:v>30.714285714285701</c:v>
                </c:pt>
                <c:pt idx="156">
                  <c:v>88.428571428571402</c:v>
                </c:pt>
                <c:pt idx="157">
                  <c:v>8.5</c:v>
                </c:pt>
                <c:pt idx="158">
                  <c:v>96.071428571428598</c:v>
                </c:pt>
                <c:pt idx="159">
                  <c:v>2.28571428571429</c:v>
                </c:pt>
                <c:pt idx="160">
                  <c:v>4330.2142857142899</c:v>
                </c:pt>
                <c:pt idx="161">
                  <c:v>6576.2857142857101</c:v>
                </c:pt>
                <c:pt idx="162">
                  <c:v>4204.7857142857101</c:v>
                </c:pt>
                <c:pt idx="163">
                  <c:v>872.357142857143</c:v>
                </c:pt>
                <c:pt idx="164">
                  <c:v>908.92857142857099</c:v>
                </c:pt>
                <c:pt idx="165">
                  <c:v>3390.5714285714298</c:v>
                </c:pt>
                <c:pt idx="166">
                  <c:v>12620.642857142901</c:v>
                </c:pt>
                <c:pt idx="167">
                  <c:v>216.357142857143</c:v>
                </c:pt>
                <c:pt idx="168">
                  <c:v>115539.928571429</c:v>
                </c:pt>
                <c:pt idx="169">
                  <c:v>475.28571428571399</c:v>
                </c:pt>
                <c:pt idx="170">
                  <c:v>8265.8571428571395</c:v>
                </c:pt>
                <c:pt idx="171">
                  <c:v>3606.2857142857101</c:v>
                </c:pt>
                <c:pt idx="172">
                  <c:v>1268</c:v>
                </c:pt>
                <c:pt idx="173">
                  <c:v>457</c:v>
                </c:pt>
                <c:pt idx="174">
                  <c:v>7636.8571428571404</c:v>
                </c:pt>
                <c:pt idx="175">
                  <c:v>117.71428571428601</c:v>
                </c:pt>
                <c:pt idx="176">
                  <c:v>512.57142857142901</c:v>
                </c:pt>
                <c:pt idx="177">
                  <c:v>219.71428571428601</c:v>
                </c:pt>
                <c:pt idx="178">
                  <c:v>1665.8571428571399</c:v>
                </c:pt>
                <c:pt idx="179">
                  <c:v>59.928571428571402</c:v>
                </c:pt>
                <c:pt idx="180">
                  <c:v>3304.8571428571399</c:v>
                </c:pt>
                <c:pt idx="181">
                  <c:v>630.92857142857099</c:v>
                </c:pt>
                <c:pt idx="182">
                  <c:v>1105.07142857143</c:v>
                </c:pt>
                <c:pt idx="183">
                  <c:v>1576.6428571428601</c:v>
                </c:pt>
                <c:pt idx="184">
                  <c:v>5053.6428571428596</c:v>
                </c:pt>
                <c:pt idx="185">
                  <c:v>7247.3571428571404</c:v>
                </c:pt>
                <c:pt idx="186">
                  <c:v>616.07142857142901</c:v>
                </c:pt>
                <c:pt idx="187">
                  <c:v>184.57142857142901</c:v>
                </c:pt>
                <c:pt idx="188">
                  <c:v>510.857142857143</c:v>
                </c:pt>
                <c:pt idx="189">
                  <c:v>34400.928571428602</c:v>
                </c:pt>
                <c:pt idx="190">
                  <c:v>448.642857142857</c:v>
                </c:pt>
                <c:pt idx="191">
                  <c:v>6289.1428571428596</c:v>
                </c:pt>
                <c:pt idx="192">
                  <c:v>88.928571428571402</c:v>
                </c:pt>
                <c:pt idx="193">
                  <c:v>296.142857142857</c:v>
                </c:pt>
                <c:pt idx="194">
                  <c:v>85.5</c:v>
                </c:pt>
                <c:pt idx="195">
                  <c:v>6670.2857142857101</c:v>
                </c:pt>
                <c:pt idx="196">
                  <c:v>127.5</c:v>
                </c:pt>
                <c:pt idx="197">
                  <c:v>174.5</c:v>
                </c:pt>
                <c:pt idx="198">
                  <c:v>155.21428571428601</c:v>
                </c:pt>
                <c:pt idx="199">
                  <c:v>111.28571428571399</c:v>
                </c:pt>
                <c:pt idx="200">
                  <c:v>4654.0714285714303</c:v>
                </c:pt>
                <c:pt idx="201">
                  <c:v>1008.42857142857</c:v>
                </c:pt>
                <c:pt idx="202">
                  <c:v>13546.4285714286</c:v>
                </c:pt>
                <c:pt idx="203">
                  <c:v>2406.4285714285702</c:v>
                </c:pt>
                <c:pt idx="204">
                  <c:v>1146.1428571428601</c:v>
                </c:pt>
                <c:pt idx="205">
                  <c:v>2260.3571428571399</c:v>
                </c:pt>
                <c:pt idx="206">
                  <c:v>753.07142857142901</c:v>
                </c:pt>
                <c:pt idx="207">
                  <c:v>1453.2857142857099</c:v>
                </c:pt>
                <c:pt idx="208">
                  <c:v>8218.5</c:v>
                </c:pt>
                <c:pt idx="209">
                  <c:v>455.21428571428601</c:v>
                </c:pt>
                <c:pt idx="210">
                  <c:v>110682.928571429</c:v>
                </c:pt>
                <c:pt idx="211">
                  <c:v>1044.2142857142901</c:v>
                </c:pt>
                <c:pt idx="212">
                  <c:v>144.857142857143</c:v>
                </c:pt>
                <c:pt idx="213">
                  <c:v>2964.3571428571399</c:v>
                </c:pt>
                <c:pt idx="214">
                  <c:v>557.42857142857099</c:v>
                </c:pt>
                <c:pt idx="215">
                  <c:v>72</c:v>
                </c:pt>
                <c:pt idx="216">
                  <c:v>6077.0714285714303</c:v>
                </c:pt>
                <c:pt idx="217">
                  <c:v>42.5</c:v>
                </c:pt>
                <c:pt idx="218">
                  <c:v>14667</c:v>
                </c:pt>
                <c:pt idx="219">
                  <c:v>23.6428571428571</c:v>
                </c:pt>
                <c:pt idx="220">
                  <c:v>6160.4285714285697</c:v>
                </c:pt>
                <c:pt idx="221">
                  <c:v>5979.9285714285697</c:v>
                </c:pt>
                <c:pt idx="222">
                  <c:v>2470.7142857142899</c:v>
                </c:pt>
                <c:pt idx="223">
                  <c:v>1264.5</c:v>
                </c:pt>
                <c:pt idx="224">
                  <c:v>2389.6428571428601</c:v>
                </c:pt>
                <c:pt idx="225">
                  <c:v>14806</c:v>
                </c:pt>
                <c:pt idx="226">
                  <c:v>23094.785714285699</c:v>
                </c:pt>
                <c:pt idx="227">
                  <c:v>178.57142857142901</c:v>
                </c:pt>
                <c:pt idx="228">
                  <c:v>3809</c:v>
                </c:pt>
                <c:pt idx="229">
                  <c:v>6645.5</c:v>
                </c:pt>
                <c:pt idx="230">
                  <c:v>1089.1428571428601</c:v>
                </c:pt>
                <c:pt idx="231">
                  <c:v>277954.78571428597</c:v>
                </c:pt>
                <c:pt idx="232">
                  <c:v>2859.2857142857101</c:v>
                </c:pt>
                <c:pt idx="233">
                  <c:v>345</c:v>
                </c:pt>
                <c:pt idx="234">
                  <c:v>626.92857142857099</c:v>
                </c:pt>
                <c:pt idx="235">
                  <c:v>3468.2857142857101</c:v>
                </c:pt>
                <c:pt idx="236">
                  <c:v>239.642857142857</c:v>
                </c:pt>
                <c:pt idx="237">
                  <c:v>12373.5714285714</c:v>
                </c:pt>
                <c:pt idx="238">
                  <c:v>392</c:v>
                </c:pt>
                <c:pt idx="239">
                  <c:v>3679.7142857142899</c:v>
                </c:pt>
                <c:pt idx="240">
                  <c:v>285.78571428571399</c:v>
                </c:pt>
                <c:pt idx="241">
                  <c:v>264.78571428571399</c:v>
                </c:pt>
                <c:pt idx="242">
                  <c:v>197.5</c:v>
                </c:pt>
                <c:pt idx="243">
                  <c:v>62.428571428571402</c:v>
                </c:pt>
                <c:pt idx="244">
                  <c:v>100.5</c:v>
                </c:pt>
                <c:pt idx="245">
                  <c:v>349.71428571428601</c:v>
                </c:pt>
                <c:pt idx="246">
                  <c:v>14108.0714285714</c:v>
                </c:pt>
                <c:pt idx="247">
                  <c:v>14.0714285714286</c:v>
                </c:pt>
                <c:pt idx="248">
                  <c:v>1254.3571428571399</c:v>
                </c:pt>
                <c:pt idx="249">
                  <c:v>79.714285714285694</c:v>
                </c:pt>
                <c:pt idx="250">
                  <c:v>147</c:v>
                </c:pt>
                <c:pt idx="251">
                  <c:v>2534.1428571428601</c:v>
                </c:pt>
                <c:pt idx="252">
                  <c:v>232601.92857142899</c:v>
                </c:pt>
                <c:pt idx="253">
                  <c:v>18.6428571428571</c:v>
                </c:pt>
                <c:pt idx="254">
                  <c:v>7425.0714285714303</c:v>
                </c:pt>
                <c:pt idx="255">
                  <c:v>80.714285714285694</c:v>
                </c:pt>
                <c:pt idx="256">
                  <c:v>31.785714285714299</c:v>
                </c:pt>
                <c:pt idx="257">
                  <c:v>9965.0714285714294</c:v>
                </c:pt>
                <c:pt idx="258">
                  <c:v>206.78571428571399</c:v>
                </c:pt>
                <c:pt idx="259">
                  <c:v>469.07142857142901</c:v>
                </c:pt>
                <c:pt idx="260">
                  <c:v>1468.8571428571399</c:v>
                </c:pt>
                <c:pt idx="261">
                  <c:v>178.07142857142901</c:v>
                </c:pt>
                <c:pt idx="262">
                  <c:v>1771.5</c:v>
                </c:pt>
                <c:pt idx="263">
                  <c:v>1287.42857142857</c:v>
                </c:pt>
                <c:pt idx="264">
                  <c:v>575.857142857143</c:v>
                </c:pt>
                <c:pt idx="265">
                  <c:v>895.92857142857099</c:v>
                </c:pt>
                <c:pt idx="266">
                  <c:v>135.857142857143</c:v>
                </c:pt>
                <c:pt idx="267">
                  <c:v>486.92857142857099</c:v>
                </c:pt>
                <c:pt idx="268">
                  <c:v>452</c:v>
                </c:pt>
                <c:pt idx="269">
                  <c:v>283</c:v>
                </c:pt>
                <c:pt idx="270">
                  <c:v>2738.9285714285702</c:v>
                </c:pt>
                <c:pt idx="271">
                  <c:v>318</c:v>
                </c:pt>
                <c:pt idx="272">
                  <c:v>23.071428571428601</c:v>
                </c:pt>
                <c:pt idx="273">
                  <c:v>43735.357142857101</c:v>
                </c:pt>
                <c:pt idx="274">
                  <c:v>23.5</c:v>
                </c:pt>
                <c:pt idx="275">
                  <c:v>16.6428571428571</c:v>
                </c:pt>
                <c:pt idx="276">
                  <c:v>2456.4285714285702</c:v>
                </c:pt>
                <c:pt idx="277">
                  <c:v>5.71428571428571</c:v>
                </c:pt>
                <c:pt idx="278">
                  <c:v>431.28571428571399</c:v>
                </c:pt>
                <c:pt idx="279">
                  <c:v>0</c:v>
                </c:pt>
                <c:pt idx="280">
                  <c:v>697.28571428571399</c:v>
                </c:pt>
                <c:pt idx="281">
                  <c:v>361.57142857142901</c:v>
                </c:pt>
                <c:pt idx="282">
                  <c:v>475.21428571428601</c:v>
                </c:pt>
                <c:pt idx="283">
                  <c:v>159.857142857143</c:v>
                </c:pt>
                <c:pt idx="284">
                  <c:v>169.5</c:v>
                </c:pt>
                <c:pt idx="285">
                  <c:v>464.78571428571399</c:v>
                </c:pt>
                <c:pt idx="286">
                  <c:v>1711.2857142857099</c:v>
                </c:pt>
                <c:pt idx="287">
                  <c:v>16.285714285714299</c:v>
                </c:pt>
                <c:pt idx="288">
                  <c:v>7516.7142857142899</c:v>
                </c:pt>
                <c:pt idx="289">
                  <c:v>81.214285714285694</c:v>
                </c:pt>
                <c:pt idx="290">
                  <c:v>532.28571428571399</c:v>
                </c:pt>
                <c:pt idx="291">
                  <c:v>543.42857142857099</c:v>
                </c:pt>
                <c:pt idx="292">
                  <c:v>7142</c:v>
                </c:pt>
                <c:pt idx="293">
                  <c:v>24.1428571428571</c:v>
                </c:pt>
                <c:pt idx="294">
                  <c:v>62620.857142857101</c:v>
                </c:pt>
                <c:pt idx="295">
                  <c:v>13.8571428571429</c:v>
                </c:pt>
                <c:pt idx="296">
                  <c:v>47.714285714285701</c:v>
                </c:pt>
                <c:pt idx="297">
                  <c:v>93.642857142857096</c:v>
                </c:pt>
                <c:pt idx="298">
                  <c:v>1681.7142857142901</c:v>
                </c:pt>
                <c:pt idx="299">
                  <c:v>15.0714285714286</c:v>
                </c:pt>
                <c:pt idx="300">
                  <c:v>920.92857142857099</c:v>
                </c:pt>
                <c:pt idx="301">
                  <c:v>148</c:v>
                </c:pt>
                <c:pt idx="302">
                  <c:v>318.357142857143</c:v>
                </c:pt>
                <c:pt idx="303">
                  <c:v>369.07142857142901</c:v>
                </c:pt>
                <c:pt idx="304">
                  <c:v>794.57142857142901</c:v>
                </c:pt>
                <c:pt idx="305">
                  <c:v>1351.8571428571399</c:v>
                </c:pt>
                <c:pt idx="306">
                  <c:v>154.71428571428601</c:v>
                </c:pt>
                <c:pt idx="307">
                  <c:v>24.285714285714299</c:v>
                </c:pt>
                <c:pt idx="308">
                  <c:v>125.857142857143</c:v>
                </c:pt>
                <c:pt idx="309">
                  <c:v>6627.1428571428596</c:v>
                </c:pt>
                <c:pt idx="310">
                  <c:v>68.714285714285694</c:v>
                </c:pt>
                <c:pt idx="311">
                  <c:v>3084.2142857142899</c:v>
                </c:pt>
                <c:pt idx="312">
                  <c:v>80.214285714285694</c:v>
                </c:pt>
                <c:pt idx="313">
                  <c:v>17.285714285714299</c:v>
                </c:pt>
                <c:pt idx="314">
                  <c:v>11.0714285714286</c:v>
                </c:pt>
                <c:pt idx="315">
                  <c:v>13831.214285714301</c:v>
                </c:pt>
                <c:pt idx="316">
                  <c:v>6.5714285714285703</c:v>
                </c:pt>
                <c:pt idx="317">
                  <c:v>310.42857142857099</c:v>
                </c:pt>
                <c:pt idx="318">
                  <c:v>20.785714285714299</c:v>
                </c:pt>
                <c:pt idx="319">
                  <c:v>263.28571428571399</c:v>
                </c:pt>
                <c:pt idx="320">
                  <c:v>973.857142857143</c:v>
                </c:pt>
                <c:pt idx="321">
                  <c:v>120.428571428571</c:v>
                </c:pt>
                <c:pt idx="322">
                  <c:v>1471.5</c:v>
                </c:pt>
                <c:pt idx="323">
                  <c:v>530.78571428571399</c:v>
                </c:pt>
                <c:pt idx="324">
                  <c:v>300.357142857143</c:v>
                </c:pt>
                <c:pt idx="325">
                  <c:v>529.21428571428601</c:v>
                </c:pt>
                <c:pt idx="326">
                  <c:v>106.5</c:v>
                </c:pt>
                <c:pt idx="327">
                  <c:v>95.214285714285694</c:v>
                </c:pt>
                <c:pt idx="328">
                  <c:v>472.07142857142901</c:v>
                </c:pt>
                <c:pt idx="329">
                  <c:v>114.357142857143</c:v>
                </c:pt>
                <c:pt idx="330">
                  <c:v>5678.5714285714303</c:v>
                </c:pt>
                <c:pt idx="331">
                  <c:v>226.21428571428601</c:v>
                </c:pt>
                <c:pt idx="332">
                  <c:v>31.3571428571429</c:v>
                </c:pt>
                <c:pt idx="333">
                  <c:v>2369.5714285714298</c:v>
                </c:pt>
                <c:pt idx="334">
                  <c:v>51.357142857142897</c:v>
                </c:pt>
                <c:pt idx="335">
                  <c:v>6.1428571428571397</c:v>
                </c:pt>
                <c:pt idx="336">
                  <c:v>23316.142857142899</c:v>
                </c:pt>
                <c:pt idx="337">
                  <c:v>3.78571428571429</c:v>
                </c:pt>
                <c:pt idx="338">
                  <c:v>5983.6428571428596</c:v>
                </c:pt>
                <c:pt idx="339">
                  <c:v>0.5</c:v>
                </c:pt>
                <c:pt idx="340">
                  <c:v>413.357142857143</c:v>
                </c:pt>
                <c:pt idx="341">
                  <c:v>159.357142857143</c:v>
                </c:pt>
                <c:pt idx="342">
                  <c:v>208.78571428571399</c:v>
                </c:pt>
                <c:pt idx="343">
                  <c:v>109.357142857143</c:v>
                </c:pt>
                <c:pt idx="344">
                  <c:v>153.857142857143</c:v>
                </c:pt>
                <c:pt idx="345">
                  <c:v>477.92857142857099</c:v>
                </c:pt>
                <c:pt idx="346">
                  <c:v>1333.92857142857</c:v>
                </c:pt>
                <c:pt idx="347">
                  <c:v>4.8571428571428603</c:v>
                </c:pt>
                <c:pt idx="348">
                  <c:v>211.57142857142901</c:v>
                </c:pt>
                <c:pt idx="349">
                  <c:v>154.5</c:v>
                </c:pt>
                <c:pt idx="350">
                  <c:v>49.714285714285701</c:v>
                </c:pt>
                <c:pt idx="351">
                  <c:v>11128.214285714301</c:v>
                </c:pt>
                <c:pt idx="352">
                  <c:v>9470.6428571428605</c:v>
                </c:pt>
                <c:pt idx="353">
                  <c:v>5.5714285714285703</c:v>
                </c:pt>
                <c:pt idx="354">
                  <c:v>100.142857142857</c:v>
                </c:pt>
                <c:pt idx="355">
                  <c:v>331.57142857142901</c:v>
                </c:pt>
                <c:pt idx="356">
                  <c:v>3.5714285714285698</c:v>
                </c:pt>
                <c:pt idx="357">
                  <c:v>53916.071428571398</c:v>
                </c:pt>
                <c:pt idx="358">
                  <c:v>9.8571428571428594</c:v>
                </c:pt>
                <c:pt idx="359">
                  <c:v>9344.6428571428605</c:v>
                </c:pt>
                <c:pt idx="360">
                  <c:v>1255.3571428571399</c:v>
                </c:pt>
                <c:pt idx="361">
                  <c:v>179.642857142857</c:v>
                </c:pt>
                <c:pt idx="362">
                  <c:v>1921.2857142857099</c:v>
                </c:pt>
                <c:pt idx="363">
                  <c:v>626.42857142857099</c:v>
                </c:pt>
                <c:pt idx="364">
                  <c:v>351.42857142857099</c:v>
                </c:pt>
                <c:pt idx="365">
                  <c:v>621.71428571428601</c:v>
                </c:pt>
                <c:pt idx="366">
                  <c:v>244.21428571428601</c:v>
                </c:pt>
                <c:pt idx="367">
                  <c:v>80.642857142857096</c:v>
                </c:pt>
                <c:pt idx="368">
                  <c:v>1650.2142857142901</c:v>
                </c:pt>
                <c:pt idx="369">
                  <c:v>156.142857142857</c:v>
                </c:pt>
                <c:pt idx="370">
                  <c:v>14140.785714285699</c:v>
                </c:pt>
                <c:pt idx="371">
                  <c:v>344.78571428571399</c:v>
                </c:pt>
                <c:pt idx="372">
                  <c:v>201.21428571428601</c:v>
                </c:pt>
                <c:pt idx="373">
                  <c:v>425.21428571428601</c:v>
                </c:pt>
                <c:pt idx="374">
                  <c:v>1634.5</c:v>
                </c:pt>
                <c:pt idx="375">
                  <c:v>14.9285714285714</c:v>
                </c:pt>
                <c:pt idx="376">
                  <c:v>6014.6428571428596</c:v>
                </c:pt>
                <c:pt idx="377">
                  <c:v>8.4285714285714306</c:v>
                </c:pt>
                <c:pt idx="378">
                  <c:v>73774.5</c:v>
                </c:pt>
                <c:pt idx="379">
                  <c:v>0.5</c:v>
                </c:pt>
                <c:pt idx="380">
                  <c:v>199.142857142857</c:v>
                </c:pt>
                <c:pt idx="381">
                  <c:v>46.428571428571402</c:v>
                </c:pt>
                <c:pt idx="382">
                  <c:v>81.285714285714306</c:v>
                </c:pt>
                <c:pt idx="383">
                  <c:v>58.928571428571402</c:v>
                </c:pt>
                <c:pt idx="384">
                  <c:v>78.285714285714306</c:v>
                </c:pt>
                <c:pt idx="385">
                  <c:v>251.57142857142901</c:v>
                </c:pt>
                <c:pt idx="386">
                  <c:v>186.642857142857</c:v>
                </c:pt>
                <c:pt idx="387">
                  <c:v>1.5</c:v>
                </c:pt>
                <c:pt idx="388">
                  <c:v>65.642857142857096</c:v>
                </c:pt>
                <c:pt idx="389">
                  <c:v>119.071428571429</c:v>
                </c:pt>
                <c:pt idx="390">
                  <c:v>25.5</c:v>
                </c:pt>
                <c:pt idx="391">
                  <c:v>3337.7857142857101</c:v>
                </c:pt>
                <c:pt idx="392">
                  <c:v>458.5</c:v>
                </c:pt>
                <c:pt idx="393">
                  <c:v>1</c:v>
                </c:pt>
                <c:pt idx="394">
                  <c:v>23.428571428571399</c:v>
                </c:pt>
                <c:pt idx="395">
                  <c:v>267.92857142857099</c:v>
                </c:pt>
                <c:pt idx="396">
                  <c:v>0.5</c:v>
                </c:pt>
                <c:pt idx="397">
                  <c:v>9251.3571428571395</c:v>
                </c:pt>
                <c:pt idx="398">
                  <c:v>0.57142857142857095</c:v>
                </c:pt>
                <c:pt idx="399">
                  <c:v>69854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86-4978-B92C-F41201472C03}"/>
            </c:ext>
          </c:extLst>
        </c:ser>
        <c:ser>
          <c:idx val="1"/>
          <c:order val="1"/>
          <c:tx>
            <c:strRef>
              <c:f>Calibration_OD!$DF$1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Calibration_OD!$DF$2:$DF$66</c:f>
              <c:numCache>
                <c:formatCode>General</c:formatCode>
                <c:ptCount val="6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  <c:pt idx="40">
                  <c:v>205000</c:v>
                </c:pt>
                <c:pt idx="41">
                  <c:v>210000</c:v>
                </c:pt>
                <c:pt idx="42">
                  <c:v>215000</c:v>
                </c:pt>
                <c:pt idx="43">
                  <c:v>220000</c:v>
                </c:pt>
                <c:pt idx="44">
                  <c:v>225000</c:v>
                </c:pt>
                <c:pt idx="45">
                  <c:v>230000</c:v>
                </c:pt>
                <c:pt idx="46">
                  <c:v>235000</c:v>
                </c:pt>
                <c:pt idx="47">
                  <c:v>240000</c:v>
                </c:pt>
                <c:pt idx="48">
                  <c:v>245000</c:v>
                </c:pt>
                <c:pt idx="49">
                  <c:v>250000</c:v>
                </c:pt>
                <c:pt idx="50">
                  <c:v>255000</c:v>
                </c:pt>
                <c:pt idx="51">
                  <c:v>260000</c:v>
                </c:pt>
                <c:pt idx="52">
                  <c:v>265000</c:v>
                </c:pt>
                <c:pt idx="53">
                  <c:v>270000</c:v>
                </c:pt>
                <c:pt idx="54">
                  <c:v>275000</c:v>
                </c:pt>
                <c:pt idx="55">
                  <c:v>280000</c:v>
                </c:pt>
                <c:pt idx="56">
                  <c:v>285000</c:v>
                </c:pt>
                <c:pt idx="57">
                  <c:v>290000</c:v>
                </c:pt>
                <c:pt idx="58">
                  <c:v>295000</c:v>
                </c:pt>
                <c:pt idx="59">
                  <c:v>300000</c:v>
                </c:pt>
                <c:pt idx="60">
                  <c:v>305000</c:v>
                </c:pt>
                <c:pt idx="61">
                  <c:v>310000</c:v>
                </c:pt>
                <c:pt idx="62">
                  <c:v>315000</c:v>
                </c:pt>
                <c:pt idx="63">
                  <c:v>320000</c:v>
                </c:pt>
                <c:pt idx="64">
                  <c:v>325000</c:v>
                </c:pt>
              </c:numCache>
            </c:numRef>
          </c:xVal>
          <c:yVal>
            <c:numRef>
              <c:f>Calibration_OD!$DF$2:$DF$66</c:f>
              <c:numCache>
                <c:formatCode>General</c:formatCode>
                <c:ptCount val="6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  <c:pt idx="40">
                  <c:v>205000</c:v>
                </c:pt>
                <c:pt idx="41">
                  <c:v>210000</c:v>
                </c:pt>
                <c:pt idx="42">
                  <c:v>215000</c:v>
                </c:pt>
                <c:pt idx="43">
                  <c:v>220000</c:v>
                </c:pt>
                <c:pt idx="44">
                  <c:v>225000</c:v>
                </c:pt>
                <c:pt idx="45">
                  <c:v>230000</c:v>
                </c:pt>
                <c:pt idx="46">
                  <c:v>235000</c:v>
                </c:pt>
                <c:pt idx="47">
                  <c:v>240000</c:v>
                </c:pt>
                <c:pt idx="48">
                  <c:v>245000</c:v>
                </c:pt>
                <c:pt idx="49">
                  <c:v>250000</c:v>
                </c:pt>
                <c:pt idx="50">
                  <c:v>255000</c:v>
                </c:pt>
                <c:pt idx="51">
                  <c:v>260000</c:v>
                </c:pt>
                <c:pt idx="52">
                  <c:v>265000</c:v>
                </c:pt>
                <c:pt idx="53">
                  <c:v>270000</c:v>
                </c:pt>
                <c:pt idx="54">
                  <c:v>275000</c:v>
                </c:pt>
                <c:pt idx="55">
                  <c:v>280000</c:v>
                </c:pt>
                <c:pt idx="56">
                  <c:v>285000</c:v>
                </c:pt>
                <c:pt idx="57">
                  <c:v>290000</c:v>
                </c:pt>
                <c:pt idx="58">
                  <c:v>295000</c:v>
                </c:pt>
                <c:pt idx="59">
                  <c:v>300000</c:v>
                </c:pt>
                <c:pt idx="60">
                  <c:v>305000</c:v>
                </c:pt>
                <c:pt idx="61">
                  <c:v>310000</c:v>
                </c:pt>
                <c:pt idx="62">
                  <c:v>315000</c:v>
                </c:pt>
                <c:pt idx="63">
                  <c:v>320000</c:v>
                </c:pt>
                <c:pt idx="64">
                  <c:v>325000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86-4978-B92C-F41201472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logBase val="10"/>
          <c:orientation val="minMax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logBase val="10"/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Other</a:t>
            </a:r>
            <a:r>
              <a:rPr baseline="0" lang="en-US"/>
              <a:t> Purpose Trips Distrct - </a:t>
            </a:r>
            <a:r>
              <a:rPr lang="en-US"/>
              <a:t>District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Non-work Auto Trips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0"/>
            <c:trendlineLbl>
              <c:layout>
                <c:manualLayout>
                  <c:x val="-4.9103375076603242E-2"/>
                  <c:y val="-8.0373020523142793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Calibration_OD!$CY$2:$CY$401</c:f>
              <c:numCache>
                <c:formatCode>_(* #,##0_);_(* \(#,##0\);_(* "-"??_);_(@_)</c:formatCode>
                <c:ptCount val="400"/>
                <c:pt idx="0">
                  <c:v>41542.024792183634</c:v>
                </c:pt>
                <c:pt idx="1">
                  <c:v>188.82318279856278</c:v>
                </c:pt>
                <c:pt idx="2">
                  <c:v>8248.4325047068451</c:v>
                </c:pt>
                <c:pt idx="3">
                  <c:v>3260.1931554238372</c:v>
                </c:pt>
                <c:pt idx="4">
                  <c:v>3301.817519325868</c:v>
                </c:pt>
                <c:pt idx="5">
                  <c:v>8488.9548401653683</c:v>
                </c:pt>
                <c:pt idx="6">
                  <c:v>2987.0850148988925</c:v>
                </c:pt>
                <c:pt idx="7">
                  <c:v>112.67515861702682</c:v>
                </c:pt>
                <c:pt idx="8">
                  <c:v>3487.2527694086102</c:v>
                </c:pt>
                <c:pt idx="9">
                  <c:v>1965.4941307857962</c:v>
                </c:pt>
                <c:pt idx="10">
                  <c:v>1354.3234014699869</c:v>
                </c:pt>
                <c:pt idx="11">
                  <c:v>409.19049416948081</c:v>
                </c:pt>
                <c:pt idx="12">
                  <c:v>899.04273601216403</c:v>
                </c:pt>
                <c:pt idx="13">
                  <c:v>0</c:v>
                </c:pt>
                <c:pt idx="14">
                  <c:v>308.96358599281479</c:v>
                </c:pt>
                <c:pt idx="15">
                  <c:v>539.38976946651985</c:v>
                </c:pt>
                <c:pt idx="16">
                  <c:v>0</c:v>
                </c:pt>
                <c:pt idx="17">
                  <c:v>85.325893401380071</c:v>
                </c:pt>
                <c:pt idx="18">
                  <c:v>445.77971341874093</c:v>
                </c:pt>
                <c:pt idx="19">
                  <c:v>0</c:v>
                </c:pt>
                <c:pt idx="20">
                  <c:v>274.68515097184246</c:v>
                </c:pt>
                <c:pt idx="21">
                  <c:v>21152.292348257193</c:v>
                </c:pt>
                <c:pt idx="22">
                  <c:v>3135.0392917901986</c:v>
                </c:pt>
                <c:pt idx="23">
                  <c:v>354.5716875828731</c:v>
                </c:pt>
                <c:pt idx="24">
                  <c:v>230.48961936838447</c:v>
                </c:pt>
                <c:pt idx="25">
                  <c:v>0</c:v>
                </c:pt>
                <c:pt idx="26">
                  <c:v>6020.554144397418</c:v>
                </c:pt>
                <c:pt idx="27">
                  <c:v>0</c:v>
                </c:pt>
                <c:pt idx="28">
                  <c:v>4356.4061690389563</c:v>
                </c:pt>
                <c:pt idx="29">
                  <c:v>58.216577494231707</c:v>
                </c:pt>
                <c:pt idx="30">
                  <c:v>659.39156889845583</c:v>
                </c:pt>
                <c:pt idx="31">
                  <c:v>0</c:v>
                </c:pt>
                <c:pt idx="32">
                  <c:v>36.28127881825143</c:v>
                </c:pt>
                <c:pt idx="33">
                  <c:v>0</c:v>
                </c:pt>
                <c:pt idx="34">
                  <c:v>73.14449173539397</c:v>
                </c:pt>
                <c:pt idx="35">
                  <c:v>108.21164133402742</c:v>
                </c:pt>
                <c:pt idx="36">
                  <c:v>0</c:v>
                </c:pt>
                <c:pt idx="37">
                  <c:v>0</c:v>
                </c:pt>
                <c:pt idx="38">
                  <c:v>228.65526912727506</c:v>
                </c:pt>
                <c:pt idx="39">
                  <c:v>0</c:v>
                </c:pt>
                <c:pt idx="40">
                  <c:v>8299.8618473478509</c:v>
                </c:pt>
                <c:pt idx="41">
                  <c:v>3221.6913248524661</c:v>
                </c:pt>
                <c:pt idx="42">
                  <c:v>63896.106215946238</c:v>
                </c:pt>
                <c:pt idx="43">
                  <c:v>5869.1199058411576</c:v>
                </c:pt>
                <c:pt idx="44">
                  <c:v>2484.2949293702754</c:v>
                </c:pt>
                <c:pt idx="45">
                  <c:v>4315.3407867855067</c:v>
                </c:pt>
                <c:pt idx="46">
                  <c:v>3069.3964998091096</c:v>
                </c:pt>
                <c:pt idx="47">
                  <c:v>1836.4753475845639</c:v>
                </c:pt>
                <c:pt idx="48">
                  <c:v>5654.5640316158369</c:v>
                </c:pt>
                <c:pt idx="49">
                  <c:v>1176.8297877276632</c:v>
                </c:pt>
                <c:pt idx="50">
                  <c:v>12151.302212223625</c:v>
                </c:pt>
                <c:pt idx="51">
                  <c:v>2131.0910924540785</c:v>
                </c:pt>
                <c:pt idx="52">
                  <c:v>673.6687886499833</c:v>
                </c:pt>
                <c:pt idx="53">
                  <c:v>0</c:v>
                </c:pt>
                <c:pt idx="54">
                  <c:v>280.35746568354409</c:v>
                </c:pt>
                <c:pt idx="55">
                  <c:v>100.63910499049766</c:v>
                </c:pt>
                <c:pt idx="56">
                  <c:v>0</c:v>
                </c:pt>
                <c:pt idx="57">
                  <c:v>127.29906692416974</c:v>
                </c:pt>
                <c:pt idx="58">
                  <c:v>778.34609196252393</c:v>
                </c:pt>
                <c:pt idx="59">
                  <c:v>0</c:v>
                </c:pt>
                <c:pt idx="60">
                  <c:v>3146.7827641848503</c:v>
                </c:pt>
                <c:pt idx="61">
                  <c:v>330.88144933934871</c:v>
                </c:pt>
                <c:pt idx="62">
                  <c:v>5752.2840371096718</c:v>
                </c:pt>
                <c:pt idx="63">
                  <c:v>19109.753808559275</c:v>
                </c:pt>
                <c:pt idx="64">
                  <c:v>5085.1631451837729</c:v>
                </c:pt>
                <c:pt idx="65">
                  <c:v>1657.8005935166384</c:v>
                </c:pt>
                <c:pt idx="66">
                  <c:v>1890.3477680668589</c:v>
                </c:pt>
                <c:pt idx="67">
                  <c:v>1530.5586506955285</c:v>
                </c:pt>
                <c:pt idx="68">
                  <c:v>1003.0332111874349</c:v>
                </c:pt>
                <c:pt idx="69">
                  <c:v>1447.9614150443399</c:v>
                </c:pt>
                <c:pt idx="70">
                  <c:v>2839.251649508421</c:v>
                </c:pt>
                <c:pt idx="71">
                  <c:v>0</c:v>
                </c:pt>
                <c:pt idx="72">
                  <c:v>396.04731075429368</c:v>
                </c:pt>
                <c:pt idx="73">
                  <c:v>0</c:v>
                </c:pt>
                <c:pt idx="74">
                  <c:v>93.070200489775729</c:v>
                </c:pt>
                <c:pt idx="75">
                  <c:v>176.63504284803491</c:v>
                </c:pt>
                <c:pt idx="76">
                  <c:v>0</c:v>
                </c:pt>
                <c:pt idx="77">
                  <c:v>0</c:v>
                </c:pt>
                <c:pt idx="78">
                  <c:v>258.02667495897441</c:v>
                </c:pt>
                <c:pt idx="79">
                  <c:v>0</c:v>
                </c:pt>
                <c:pt idx="80">
                  <c:v>3184.3751232602331</c:v>
                </c:pt>
                <c:pt idx="81">
                  <c:v>259.13488861445006</c:v>
                </c:pt>
                <c:pt idx="82">
                  <c:v>2466.3644175691275</c:v>
                </c:pt>
                <c:pt idx="83">
                  <c:v>5178.1129055585661</c:v>
                </c:pt>
                <c:pt idx="84">
                  <c:v>14288.157322716741</c:v>
                </c:pt>
                <c:pt idx="85">
                  <c:v>6542.6363053951973</c:v>
                </c:pt>
                <c:pt idx="86">
                  <c:v>1988.5406773717723</c:v>
                </c:pt>
                <c:pt idx="87">
                  <c:v>219.30785963805491</c:v>
                </c:pt>
                <c:pt idx="88">
                  <c:v>1006.3845725273683</c:v>
                </c:pt>
                <c:pt idx="89">
                  <c:v>5981.5422251780274</c:v>
                </c:pt>
                <c:pt idx="90">
                  <c:v>1469.9194027665199</c:v>
                </c:pt>
                <c:pt idx="91">
                  <c:v>954.66996894066369</c:v>
                </c:pt>
                <c:pt idx="92">
                  <c:v>452.72602389113132</c:v>
                </c:pt>
                <c:pt idx="93">
                  <c:v>204.25627389687534</c:v>
                </c:pt>
                <c:pt idx="94">
                  <c:v>60.973406216936134</c:v>
                </c:pt>
                <c:pt idx="95">
                  <c:v>594.42104244750703</c:v>
                </c:pt>
                <c:pt idx="96">
                  <c:v>38.376740286025836</c:v>
                </c:pt>
                <c:pt idx="97">
                  <c:v>47.698911732750283</c:v>
                </c:pt>
                <c:pt idx="98">
                  <c:v>174.90053081159058</c:v>
                </c:pt>
                <c:pt idx="99">
                  <c:v>0</c:v>
                </c:pt>
                <c:pt idx="100">
                  <c:v>8561.0372340079884</c:v>
                </c:pt>
                <c:pt idx="101">
                  <c:v>0</c:v>
                </c:pt>
                <c:pt idx="102">
                  <c:v>4265.5131432945018</c:v>
                </c:pt>
                <c:pt idx="103">
                  <c:v>1655.2840433229221</c:v>
                </c:pt>
                <c:pt idx="104">
                  <c:v>6474.6501608954159</c:v>
                </c:pt>
                <c:pt idx="105">
                  <c:v>49500.837281536544</c:v>
                </c:pt>
                <c:pt idx="106">
                  <c:v>4286.1254837167207</c:v>
                </c:pt>
                <c:pt idx="107">
                  <c:v>0</c:v>
                </c:pt>
                <c:pt idx="108">
                  <c:v>2672.7706350846393</c:v>
                </c:pt>
                <c:pt idx="109">
                  <c:v>6288.7334031205419</c:v>
                </c:pt>
                <c:pt idx="110">
                  <c:v>914.23077531413105</c:v>
                </c:pt>
                <c:pt idx="111">
                  <c:v>10223.101769197736</c:v>
                </c:pt>
                <c:pt idx="112">
                  <c:v>1399.3064741212513</c:v>
                </c:pt>
                <c:pt idx="113">
                  <c:v>0</c:v>
                </c:pt>
                <c:pt idx="114">
                  <c:v>0</c:v>
                </c:pt>
                <c:pt idx="115">
                  <c:v>1148.7207748300477</c:v>
                </c:pt>
                <c:pt idx="116">
                  <c:v>0</c:v>
                </c:pt>
                <c:pt idx="117">
                  <c:v>0</c:v>
                </c:pt>
                <c:pt idx="118">
                  <c:v>626.46015158386376</c:v>
                </c:pt>
                <c:pt idx="119">
                  <c:v>0</c:v>
                </c:pt>
                <c:pt idx="120">
                  <c:v>2938.4912456319039</c:v>
                </c:pt>
                <c:pt idx="121">
                  <c:v>5641.8665156433153</c:v>
                </c:pt>
                <c:pt idx="122">
                  <c:v>3011.9625191670239</c:v>
                </c:pt>
                <c:pt idx="123">
                  <c:v>1868.0965650881208</c:v>
                </c:pt>
                <c:pt idx="124">
                  <c:v>1913.9838963065001</c:v>
                </c:pt>
                <c:pt idx="125">
                  <c:v>4194.1309144914721</c:v>
                </c:pt>
                <c:pt idx="126">
                  <c:v>156283.2396141846</c:v>
                </c:pt>
                <c:pt idx="127">
                  <c:v>161.36279909985836</c:v>
                </c:pt>
                <c:pt idx="128">
                  <c:v>10444.427166310346</c:v>
                </c:pt>
                <c:pt idx="129">
                  <c:v>897.79671931533073</c:v>
                </c:pt>
                <c:pt idx="130">
                  <c:v>812.17128815106992</c:v>
                </c:pt>
                <c:pt idx="131">
                  <c:v>18407.414099823087</c:v>
                </c:pt>
                <c:pt idx="132">
                  <c:v>19146.943644207709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1169.0087039798814</c:v>
                </c:pt>
                <c:pt idx="138">
                  <c:v>0</c:v>
                </c:pt>
                <c:pt idx="139">
                  <c:v>0</c:v>
                </c:pt>
                <c:pt idx="140">
                  <c:v>93.53286881800463</c:v>
                </c:pt>
                <c:pt idx="141">
                  <c:v>5.8018585480811931</c:v>
                </c:pt>
                <c:pt idx="142">
                  <c:v>1802.15182314256</c:v>
                </c:pt>
                <c:pt idx="143">
                  <c:v>1537.9411620500116</c:v>
                </c:pt>
                <c:pt idx="144">
                  <c:v>191.45952569500162</c:v>
                </c:pt>
                <c:pt idx="145">
                  <c:v>0</c:v>
                </c:pt>
                <c:pt idx="146">
                  <c:v>157.68447002190823</c:v>
                </c:pt>
                <c:pt idx="147">
                  <c:v>1089.939118256666</c:v>
                </c:pt>
                <c:pt idx="148">
                  <c:v>163.43351202504223</c:v>
                </c:pt>
                <c:pt idx="149">
                  <c:v>0</c:v>
                </c:pt>
                <c:pt idx="150">
                  <c:v>2806.4380736300068</c:v>
                </c:pt>
                <c:pt idx="151">
                  <c:v>0</c:v>
                </c:pt>
                <c:pt idx="152">
                  <c:v>133.33886940070036</c:v>
                </c:pt>
                <c:pt idx="153">
                  <c:v>685.65360539659969</c:v>
                </c:pt>
                <c:pt idx="154">
                  <c:v>38.037148465850017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131.15183260195323</c:v>
                </c:pt>
                <c:pt idx="159">
                  <c:v>0</c:v>
                </c:pt>
                <c:pt idx="160">
                  <c:v>3347.4708335368227</c:v>
                </c:pt>
                <c:pt idx="161">
                  <c:v>4299.8847187288393</c:v>
                </c:pt>
                <c:pt idx="162">
                  <c:v>5484.6474958636045</c:v>
                </c:pt>
                <c:pt idx="163">
                  <c:v>1008.8853741920038</c:v>
                </c:pt>
                <c:pt idx="164">
                  <c:v>992.75379733949001</c:v>
                </c:pt>
                <c:pt idx="165">
                  <c:v>2617.0510308156577</c:v>
                </c:pt>
                <c:pt idx="166">
                  <c:v>10397.013459863723</c:v>
                </c:pt>
                <c:pt idx="167">
                  <c:v>167.99693361614067</c:v>
                </c:pt>
                <c:pt idx="168">
                  <c:v>126590.27378328187</c:v>
                </c:pt>
                <c:pt idx="169">
                  <c:v>796.04151230517311</c:v>
                </c:pt>
                <c:pt idx="170">
                  <c:v>8066.7476346838821</c:v>
                </c:pt>
                <c:pt idx="171">
                  <c:v>3445.4651235213396</c:v>
                </c:pt>
                <c:pt idx="172">
                  <c:v>809.8718922678114</c:v>
                </c:pt>
                <c:pt idx="173">
                  <c:v>0</c:v>
                </c:pt>
                <c:pt idx="174">
                  <c:v>9318.8861305164428</c:v>
                </c:pt>
                <c:pt idx="175">
                  <c:v>278.0057162193653</c:v>
                </c:pt>
                <c:pt idx="176">
                  <c:v>0</c:v>
                </c:pt>
                <c:pt idx="177">
                  <c:v>1.3954345044302709</c:v>
                </c:pt>
                <c:pt idx="178">
                  <c:v>595.33546303843377</c:v>
                </c:pt>
                <c:pt idx="179">
                  <c:v>0</c:v>
                </c:pt>
                <c:pt idx="180">
                  <c:v>2027.821768893305</c:v>
                </c:pt>
                <c:pt idx="181">
                  <c:v>18.390596659724693</c:v>
                </c:pt>
                <c:pt idx="182">
                  <c:v>1187.6983290149142</c:v>
                </c:pt>
                <c:pt idx="183">
                  <c:v>1425.5877397168385</c:v>
                </c:pt>
                <c:pt idx="184">
                  <c:v>6100.0648068858873</c:v>
                </c:pt>
                <c:pt idx="185">
                  <c:v>6288.6093680413951</c:v>
                </c:pt>
                <c:pt idx="186">
                  <c:v>936.98917777417478</c:v>
                </c:pt>
                <c:pt idx="187">
                  <c:v>0</c:v>
                </c:pt>
                <c:pt idx="188">
                  <c:v>807.9478990059348</c:v>
                </c:pt>
                <c:pt idx="189">
                  <c:v>38651.428432770583</c:v>
                </c:pt>
                <c:pt idx="190">
                  <c:v>575.852389331621</c:v>
                </c:pt>
                <c:pt idx="191">
                  <c:v>6951.8955236350575</c:v>
                </c:pt>
                <c:pt idx="192">
                  <c:v>367.04779787262981</c:v>
                </c:pt>
                <c:pt idx="193">
                  <c:v>148.3613361699984</c:v>
                </c:pt>
                <c:pt idx="194">
                  <c:v>118.42156598792317</c:v>
                </c:pt>
                <c:pt idx="195">
                  <c:v>9361.0213959108805</c:v>
                </c:pt>
                <c:pt idx="196">
                  <c:v>0</c:v>
                </c:pt>
                <c:pt idx="197">
                  <c:v>0</c:v>
                </c:pt>
                <c:pt idx="198">
                  <c:v>1.2750691753010786</c:v>
                </c:pt>
                <c:pt idx="199">
                  <c:v>0</c:v>
                </c:pt>
                <c:pt idx="200">
                  <c:v>1315.79819576201</c:v>
                </c:pt>
                <c:pt idx="201">
                  <c:v>624.84312460033914</c:v>
                </c:pt>
                <c:pt idx="202">
                  <c:v>12277.407855700798</c:v>
                </c:pt>
                <c:pt idx="203">
                  <c:v>2818.3669041744129</c:v>
                </c:pt>
                <c:pt idx="204">
                  <c:v>1459.8394976660286</c:v>
                </c:pt>
                <c:pt idx="205">
                  <c:v>917.16305337853396</c:v>
                </c:pt>
                <c:pt idx="206">
                  <c:v>759.15695460255745</c:v>
                </c:pt>
                <c:pt idx="207">
                  <c:v>2782.2725288787674</c:v>
                </c:pt>
                <c:pt idx="208">
                  <c:v>7970.3587640567239</c:v>
                </c:pt>
                <c:pt idx="209">
                  <c:v>555.40677681509362</c:v>
                </c:pt>
                <c:pt idx="210">
                  <c:v>118034.19635728835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94.385046932869599</c:v>
                </c:pt>
                <c:pt idx="216">
                  <c:v>5219.0492970661326</c:v>
                </c:pt>
                <c:pt idx="217">
                  <c:v>0</c:v>
                </c:pt>
                <c:pt idx="218">
                  <c:v>16278.043065089661</c:v>
                </c:pt>
                <c:pt idx="219">
                  <c:v>0</c:v>
                </c:pt>
                <c:pt idx="220">
                  <c:v>237.61962698596653</c:v>
                </c:pt>
                <c:pt idx="221">
                  <c:v>0</c:v>
                </c:pt>
                <c:pt idx="222">
                  <c:v>2128.9219138832109</c:v>
                </c:pt>
                <c:pt idx="223">
                  <c:v>0</c:v>
                </c:pt>
                <c:pt idx="224">
                  <c:v>1074.8024896380814</c:v>
                </c:pt>
                <c:pt idx="225">
                  <c:v>9766.5904539068379</c:v>
                </c:pt>
                <c:pt idx="226">
                  <c:v>18888.445629892227</c:v>
                </c:pt>
                <c:pt idx="227">
                  <c:v>0</c:v>
                </c:pt>
                <c:pt idx="228">
                  <c:v>3478.3879842853153</c:v>
                </c:pt>
                <c:pt idx="229">
                  <c:v>6947.1759725164457</c:v>
                </c:pt>
                <c:pt idx="230">
                  <c:v>0</c:v>
                </c:pt>
                <c:pt idx="231">
                  <c:v>297893.39063680155</c:v>
                </c:pt>
                <c:pt idx="232">
                  <c:v>46.923746860304483</c:v>
                </c:pt>
                <c:pt idx="233">
                  <c:v>0</c:v>
                </c:pt>
                <c:pt idx="234">
                  <c:v>0</c:v>
                </c:pt>
                <c:pt idx="235">
                  <c:v>4015.326549058093</c:v>
                </c:pt>
                <c:pt idx="236">
                  <c:v>0</c:v>
                </c:pt>
                <c:pt idx="237">
                  <c:v>15750.620284239265</c:v>
                </c:pt>
                <c:pt idx="238">
                  <c:v>73.41423502222851</c:v>
                </c:pt>
                <c:pt idx="239">
                  <c:v>0</c:v>
                </c:pt>
                <c:pt idx="240">
                  <c:v>902.5170455102126</c:v>
                </c:pt>
                <c:pt idx="241">
                  <c:v>20.108529593583086</c:v>
                </c:pt>
                <c:pt idx="242">
                  <c:v>677.24219675062182</c:v>
                </c:pt>
                <c:pt idx="243">
                  <c:v>380.02170621119058</c:v>
                </c:pt>
                <c:pt idx="244">
                  <c:v>447.24497024860921</c:v>
                </c:pt>
                <c:pt idx="245">
                  <c:v>1386.6112099068421</c:v>
                </c:pt>
                <c:pt idx="246">
                  <c:v>18836.349038516011</c:v>
                </c:pt>
                <c:pt idx="247">
                  <c:v>132.28896033190674</c:v>
                </c:pt>
                <c:pt idx="248">
                  <c:v>922.6574849128798</c:v>
                </c:pt>
                <c:pt idx="249">
                  <c:v>362.85445910963784</c:v>
                </c:pt>
                <c:pt idx="250">
                  <c:v>0</c:v>
                </c:pt>
                <c:pt idx="251">
                  <c:v>0</c:v>
                </c:pt>
                <c:pt idx="252">
                  <c:v>245034.39877904631</c:v>
                </c:pt>
                <c:pt idx="253">
                  <c:v>95.218306554091413</c:v>
                </c:pt>
                <c:pt idx="254">
                  <c:v>6580.459773953502</c:v>
                </c:pt>
                <c:pt idx="255">
                  <c:v>0</c:v>
                </c:pt>
                <c:pt idx="256">
                  <c:v>0</c:v>
                </c:pt>
                <c:pt idx="257">
                  <c:v>8584.3233209207465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193.36741632988782</c:v>
                </c:pt>
                <c:pt idx="265">
                  <c:v>0</c:v>
                </c:pt>
                <c:pt idx="266">
                  <c:v>0</c:v>
                </c:pt>
                <c:pt idx="267">
                  <c:v>655.39098708364099</c:v>
                </c:pt>
                <c:pt idx="268">
                  <c:v>0</c:v>
                </c:pt>
                <c:pt idx="269">
                  <c:v>153.140242440333</c:v>
                </c:pt>
                <c:pt idx="270">
                  <c:v>0</c:v>
                </c:pt>
                <c:pt idx="271">
                  <c:v>0</c:v>
                </c:pt>
                <c:pt idx="272">
                  <c:v>93.627004626314033</c:v>
                </c:pt>
                <c:pt idx="273">
                  <c:v>53696.734353672764</c:v>
                </c:pt>
                <c:pt idx="274">
                  <c:v>0</c:v>
                </c:pt>
                <c:pt idx="275">
                  <c:v>29.019918718980946</c:v>
                </c:pt>
                <c:pt idx="276">
                  <c:v>1982.3835005116418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287.47863774205643</c:v>
                </c:pt>
                <c:pt idx="281">
                  <c:v>51.555209459771163</c:v>
                </c:pt>
                <c:pt idx="282">
                  <c:v>289.28462140140806</c:v>
                </c:pt>
                <c:pt idx="283">
                  <c:v>83.259293856948361</c:v>
                </c:pt>
                <c:pt idx="284">
                  <c:v>54.44115836916891</c:v>
                </c:pt>
                <c:pt idx="285">
                  <c:v>0</c:v>
                </c:pt>
                <c:pt idx="286">
                  <c:v>0</c:v>
                </c:pt>
                <c:pt idx="287">
                  <c:v>24.212390782303572</c:v>
                </c:pt>
                <c:pt idx="288">
                  <c:v>8958.855059736723</c:v>
                </c:pt>
                <c:pt idx="289">
                  <c:v>117.54558833017852</c:v>
                </c:pt>
                <c:pt idx="290">
                  <c:v>0</c:v>
                </c:pt>
                <c:pt idx="291">
                  <c:v>0</c:v>
                </c:pt>
                <c:pt idx="292">
                  <c:v>6286.5920406839441</c:v>
                </c:pt>
                <c:pt idx="293">
                  <c:v>0</c:v>
                </c:pt>
                <c:pt idx="294">
                  <c:v>70213.482994787657</c:v>
                </c:pt>
                <c:pt idx="295">
                  <c:v>14.228676171406958</c:v>
                </c:pt>
                <c:pt idx="296">
                  <c:v>0</c:v>
                </c:pt>
                <c:pt idx="297">
                  <c:v>52.084159421023955</c:v>
                </c:pt>
                <c:pt idx="298">
                  <c:v>0</c:v>
                </c:pt>
                <c:pt idx="299">
                  <c:v>0</c:v>
                </c:pt>
                <c:pt idx="300">
                  <c:v>473.37172763810537</c:v>
                </c:pt>
                <c:pt idx="301">
                  <c:v>115.64014202084344</c:v>
                </c:pt>
                <c:pt idx="302">
                  <c:v>102.51586404583213</c:v>
                </c:pt>
                <c:pt idx="303">
                  <c:v>173.05666843561806</c:v>
                </c:pt>
                <c:pt idx="304">
                  <c:v>591.30615085961176</c:v>
                </c:pt>
                <c:pt idx="305">
                  <c:v>1137.5119127894993</c:v>
                </c:pt>
                <c:pt idx="306">
                  <c:v>0</c:v>
                </c:pt>
                <c:pt idx="307">
                  <c:v>0</c:v>
                </c:pt>
                <c:pt idx="308">
                  <c:v>271.87972505849024</c:v>
                </c:pt>
                <c:pt idx="309">
                  <c:v>9044.7365177430802</c:v>
                </c:pt>
                <c:pt idx="310">
                  <c:v>92.025242521195892</c:v>
                </c:pt>
                <c:pt idx="311">
                  <c:v>3761.1278366587458</c:v>
                </c:pt>
                <c:pt idx="312">
                  <c:v>0</c:v>
                </c:pt>
                <c:pt idx="313">
                  <c:v>29.588982144237225</c:v>
                </c:pt>
                <c:pt idx="314">
                  <c:v>14.517197608786478</c:v>
                </c:pt>
                <c:pt idx="315">
                  <c:v>16138.55151078607</c:v>
                </c:pt>
                <c:pt idx="316">
                  <c:v>0</c:v>
                </c:pt>
                <c:pt idx="317">
                  <c:v>232.43958763732527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34.174130013872919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4915.9912187417913</c:v>
                </c:pt>
                <c:pt idx="331">
                  <c:v>0</c:v>
                </c:pt>
                <c:pt idx="332">
                  <c:v>0</c:v>
                </c:pt>
                <c:pt idx="333">
                  <c:v>1980.5155443784624</c:v>
                </c:pt>
                <c:pt idx="334">
                  <c:v>0</c:v>
                </c:pt>
                <c:pt idx="335">
                  <c:v>0</c:v>
                </c:pt>
                <c:pt idx="336">
                  <c:v>31225.381148375323</c:v>
                </c:pt>
                <c:pt idx="337">
                  <c:v>0</c:v>
                </c:pt>
                <c:pt idx="338">
                  <c:v>3626.3820581669556</c:v>
                </c:pt>
                <c:pt idx="339">
                  <c:v>0</c:v>
                </c:pt>
                <c:pt idx="340">
                  <c:v>78.924798496323817</c:v>
                </c:pt>
                <c:pt idx="341">
                  <c:v>0</c:v>
                </c:pt>
                <c:pt idx="342">
                  <c:v>126.279323096765</c:v>
                </c:pt>
                <c:pt idx="343">
                  <c:v>0</c:v>
                </c:pt>
                <c:pt idx="344">
                  <c:v>43.503910764872536</c:v>
                </c:pt>
                <c:pt idx="345">
                  <c:v>0</c:v>
                </c:pt>
                <c:pt idx="346">
                  <c:v>1075.2914544115756</c:v>
                </c:pt>
                <c:pt idx="347">
                  <c:v>0</c:v>
                </c:pt>
                <c:pt idx="348">
                  <c:v>0</c:v>
                </c:pt>
                <c:pt idx="349">
                  <c:v>1.0314590921360949</c:v>
                </c:pt>
                <c:pt idx="350">
                  <c:v>0</c:v>
                </c:pt>
                <c:pt idx="351">
                  <c:v>14877.229131394453</c:v>
                </c:pt>
                <c:pt idx="352">
                  <c:v>8323.6866326829531</c:v>
                </c:pt>
                <c:pt idx="353">
                  <c:v>0</c:v>
                </c:pt>
                <c:pt idx="354">
                  <c:v>63.309193910396125</c:v>
                </c:pt>
                <c:pt idx="355">
                  <c:v>231.81788436179991</c:v>
                </c:pt>
                <c:pt idx="356">
                  <c:v>0</c:v>
                </c:pt>
                <c:pt idx="357">
                  <c:v>53751.881467584739</c:v>
                </c:pt>
                <c:pt idx="358">
                  <c:v>39.18462610018824</c:v>
                </c:pt>
                <c:pt idx="359">
                  <c:v>8827.5343688063967</c:v>
                </c:pt>
                <c:pt idx="360">
                  <c:v>439.04605068877754</c:v>
                </c:pt>
                <c:pt idx="361">
                  <c:v>194.46646367581585</c:v>
                </c:pt>
                <c:pt idx="362">
                  <c:v>773.30981330461475</c:v>
                </c:pt>
                <c:pt idx="363">
                  <c:v>252.06480144695055</c:v>
                </c:pt>
                <c:pt idx="364">
                  <c:v>162.56973014751006</c:v>
                </c:pt>
                <c:pt idx="365">
                  <c:v>589.33934370343547</c:v>
                </c:pt>
                <c:pt idx="366">
                  <c:v>0</c:v>
                </c:pt>
                <c:pt idx="367">
                  <c:v>142.03837565277641</c:v>
                </c:pt>
                <c:pt idx="368">
                  <c:v>550.7430171629353</c:v>
                </c:pt>
                <c:pt idx="369">
                  <c:v>0</c:v>
                </c:pt>
                <c:pt idx="370">
                  <c:v>15537.022607052979</c:v>
                </c:pt>
                <c:pt idx="371">
                  <c:v>55.6382084918584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3758.924126875509</c:v>
                </c:pt>
                <c:pt idx="377">
                  <c:v>37.315587431591595</c:v>
                </c:pt>
                <c:pt idx="378">
                  <c:v>76347.273145808664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8604.208460917007</c:v>
                </c:pt>
                <c:pt idx="398">
                  <c:v>0</c:v>
                </c:pt>
                <c:pt idx="399">
                  <c:v>72130.422014518277</c:v>
                </c:pt>
              </c:numCache>
            </c:numRef>
          </c:xVal>
          <c:yVal>
            <c:numRef>
              <c:f>Calibration_OD!$CZ$2:$CZ$401</c:f>
              <c:numCache>
                <c:formatCode>_(* #,##0_);_(* \(#,##0\);_(* "-"??_);_(@_)</c:formatCode>
                <c:ptCount val="400"/>
                <c:pt idx="0">
                  <c:v>19736.642857142899</c:v>
                </c:pt>
                <c:pt idx="1">
                  <c:v>6949.1428571428596</c:v>
                </c:pt>
                <c:pt idx="2">
                  <c:v>13171.5</c:v>
                </c:pt>
                <c:pt idx="3">
                  <c:v>5279.6428571428596</c:v>
                </c:pt>
                <c:pt idx="4">
                  <c:v>4747.6428571428596</c:v>
                </c:pt>
                <c:pt idx="5">
                  <c:v>13420.857142857099</c:v>
                </c:pt>
                <c:pt idx="6">
                  <c:v>4224.4285714285697</c:v>
                </c:pt>
                <c:pt idx="7">
                  <c:v>1050.57142857143</c:v>
                </c:pt>
                <c:pt idx="8">
                  <c:v>4966.8571428571404</c:v>
                </c:pt>
                <c:pt idx="9">
                  <c:v>3599</c:v>
                </c:pt>
                <c:pt idx="10">
                  <c:v>5239.3571428571404</c:v>
                </c:pt>
                <c:pt idx="11">
                  <c:v>6989.8571428571404</c:v>
                </c:pt>
                <c:pt idx="12">
                  <c:v>364.5</c:v>
                </c:pt>
                <c:pt idx="13">
                  <c:v>1645.7142857142901</c:v>
                </c:pt>
                <c:pt idx="14">
                  <c:v>778.21428571428601</c:v>
                </c:pt>
                <c:pt idx="15">
                  <c:v>1067.7142857142901</c:v>
                </c:pt>
                <c:pt idx="16">
                  <c:v>1111.42857142857</c:v>
                </c:pt>
                <c:pt idx="17">
                  <c:v>479.21428571428601</c:v>
                </c:pt>
                <c:pt idx="18">
                  <c:v>1363.8571428571399</c:v>
                </c:pt>
                <c:pt idx="19">
                  <c:v>203.71428571428601</c:v>
                </c:pt>
                <c:pt idx="20">
                  <c:v>6592.5714285714303</c:v>
                </c:pt>
                <c:pt idx="21">
                  <c:v>6921</c:v>
                </c:pt>
                <c:pt idx="22">
                  <c:v>3165.4285714285702</c:v>
                </c:pt>
                <c:pt idx="23">
                  <c:v>921.21428571428601</c:v>
                </c:pt>
                <c:pt idx="24">
                  <c:v>943.78571428571399</c:v>
                </c:pt>
                <c:pt idx="25">
                  <c:v>4626.1428571428596</c:v>
                </c:pt>
                <c:pt idx="26">
                  <c:v>5432.3571428571404</c:v>
                </c:pt>
                <c:pt idx="27">
                  <c:v>154.857142857143</c:v>
                </c:pt>
                <c:pt idx="28">
                  <c:v>7380.2857142857101</c:v>
                </c:pt>
                <c:pt idx="29">
                  <c:v>736.142857142857</c:v>
                </c:pt>
                <c:pt idx="30">
                  <c:v>1340.3571428571399</c:v>
                </c:pt>
                <c:pt idx="31">
                  <c:v>6553.5714285714303</c:v>
                </c:pt>
                <c:pt idx="32">
                  <c:v>367</c:v>
                </c:pt>
                <c:pt idx="33">
                  <c:v>250.28571428571399</c:v>
                </c:pt>
                <c:pt idx="34">
                  <c:v>462.142857142857</c:v>
                </c:pt>
                <c:pt idx="35">
                  <c:v>211.642857142857</c:v>
                </c:pt>
                <c:pt idx="36">
                  <c:v>183.857142857143</c:v>
                </c:pt>
                <c:pt idx="37">
                  <c:v>189.5</c:v>
                </c:pt>
                <c:pt idx="38">
                  <c:v>257.78571428571399</c:v>
                </c:pt>
                <c:pt idx="39">
                  <c:v>56.714285714285701</c:v>
                </c:pt>
                <c:pt idx="40">
                  <c:v>12425.5</c:v>
                </c:pt>
                <c:pt idx="41">
                  <c:v>2994.8571428571399</c:v>
                </c:pt>
                <c:pt idx="42">
                  <c:v>43191.428571428602</c:v>
                </c:pt>
                <c:pt idx="43">
                  <c:v>5729.6428571428596</c:v>
                </c:pt>
                <c:pt idx="44">
                  <c:v>2363.0714285714298</c:v>
                </c:pt>
                <c:pt idx="45">
                  <c:v>4903.7857142857101</c:v>
                </c:pt>
                <c:pt idx="46">
                  <c:v>2138.1428571428601</c:v>
                </c:pt>
                <c:pt idx="47">
                  <c:v>1786.2142857142901</c:v>
                </c:pt>
                <c:pt idx="48">
                  <c:v>4276.4285714285697</c:v>
                </c:pt>
                <c:pt idx="49">
                  <c:v>1083.6428571428601</c:v>
                </c:pt>
                <c:pt idx="50">
                  <c:v>14025.857142857099</c:v>
                </c:pt>
                <c:pt idx="51">
                  <c:v>2513.1428571428601</c:v>
                </c:pt>
                <c:pt idx="52">
                  <c:v>227.78571428571399</c:v>
                </c:pt>
                <c:pt idx="53">
                  <c:v>1853.7142857142901</c:v>
                </c:pt>
                <c:pt idx="54">
                  <c:v>522.57142857142901</c:v>
                </c:pt>
                <c:pt idx="55">
                  <c:v>353.71428571428601</c:v>
                </c:pt>
                <c:pt idx="56">
                  <c:v>1596.3571428571399</c:v>
                </c:pt>
                <c:pt idx="57">
                  <c:v>221</c:v>
                </c:pt>
                <c:pt idx="58">
                  <c:v>2003.8571428571399</c:v>
                </c:pt>
                <c:pt idx="59">
                  <c:v>99.785714285714306</c:v>
                </c:pt>
                <c:pt idx="60">
                  <c:v>5133.3571428571404</c:v>
                </c:pt>
                <c:pt idx="61">
                  <c:v>912.78571428571399</c:v>
                </c:pt>
                <c:pt idx="62">
                  <c:v>5688</c:v>
                </c:pt>
                <c:pt idx="63">
                  <c:v>10915.357142857099</c:v>
                </c:pt>
                <c:pt idx="64">
                  <c:v>3314.8571428571399</c:v>
                </c:pt>
                <c:pt idx="65">
                  <c:v>3579.2857142857101</c:v>
                </c:pt>
                <c:pt idx="66">
                  <c:v>721.28571428571399</c:v>
                </c:pt>
                <c:pt idx="67">
                  <c:v>1367.57142857143</c:v>
                </c:pt>
                <c:pt idx="68">
                  <c:v>896.78571428571399</c:v>
                </c:pt>
                <c:pt idx="69">
                  <c:v>1537.1428571428601</c:v>
                </c:pt>
                <c:pt idx="70">
                  <c:v>2514.6428571428601</c:v>
                </c:pt>
                <c:pt idx="71">
                  <c:v>1305.5</c:v>
                </c:pt>
                <c:pt idx="72">
                  <c:v>84.214285714285694</c:v>
                </c:pt>
                <c:pt idx="73">
                  <c:v>1311.07142857143</c:v>
                </c:pt>
                <c:pt idx="74">
                  <c:v>158.28571428571399</c:v>
                </c:pt>
                <c:pt idx="75">
                  <c:v>376.28571428571399</c:v>
                </c:pt>
                <c:pt idx="76">
                  <c:v>512.357142857143</c:v>
                </c:pt>
                <c:pt idx="77">
                  <c:v>101.428571428571</c:v>
                </c:pt>
                <c:pt idx="78">
                  <c:v>596.42857142857099</c:v>
                </c:pt>
                <c:pt idx="79">
                  <c:v>50.928571428571402</c:v>
                </c:pt>
                <c:pt idx="80">
                  <c:v>4672.0714285714303</c:v>
                </c:pt>
                <c:pt idx="81">
                  <c:v>1014.28571428571</c:v>
                </c:pt>
                <c:pt idx="82">
                  <c:v>2422.4285714285702</c:v>
                </c:pt>
                <c:pt idx="83">
                  <c:v>3347.7857142857101</c:v>
                </c:pt>
                <c:pt idx="84">
                  <c:v>7503.5</c:v>
                </c:pt>
                <c:pt idx="85">
                  <c:v>7453.8571428571404</c:v>
                </c:pt>
                <c:pt idx="86">
                  <c:v>918.42857142857099</c:v>
                </c:pt>
                <c:pt idx="87">
                  <c:v>389.78571428571399</c:v>
                </c:pt>
                <c:pt idx="88">
                  <c:v>998.07142857142901</c:v>
                </c:pt>
                <c:pt idx="89">
                  <c:v>5316.2857142857101</c:v>
                </c:pt>
                <c:pt idx="90">
                  <c:v>1228.6428571428601</c:v>
                </c:pt>
                <c:pt idx="91">
                  <c:v>2630.2142857142899</c:v>
                </c:pt>
                <c:pt idx="92">
                  <c:v>91.928571428571402</c:v>
                </c:pt>
                <c:pt idx="93">
                  <c:v>644.142857142857</c:v>
                </c:pt>
                <c:pt idx="94">
                  <c:v>171.92857142857099</c:v>
                </c:pt>
                <c:pt idx="95">
                  <c:v>911.21428571428601</c:v>
                </c:pt>
                <c:pt idx="96">
                  <c:v>301.857142857143</c:v>
                </c:pt>
                <c:pt idx="97">
                  <c:v>161.42857142857099</c:v>
                </c:pt>
                <c:pt idx="98">
                  <c:v>353.92857142857099</c:v>
                </c:pt>
                <c:pt idx="99">
                  <c:v>85.642857142857096</c:v>
                </c:pt>
                <c:pt idx="100">
                  <c:v>13171.5714285714</c:v>
                </c:pt>
                <c:pt idx="101">
                  <c:v>4766.5714285714303</c:v>
                </c:pt>
                <c:pt idx="102">
                  <c:v>5265.7857142857101</c:v>
                </c:pt>
                <c:pt idx="103">
                  <c:v>3901.2142857142899</c:v>
                </c:pt>
                <c:pt idx="104">
                  <c:v>7603.5</c:v>
                </c:pt>
                <c:pt idx="105">
                  <c:v>31855.571428571398</c:v>
                </c:pt>
                <c:pt idx="106">
                  <c:v>4578</c:v>
                </c:pt>
                <c:pt idx="107">
                  <c:v>543.857142857143</c:v>
                </c:pt>
                <c:pt idx="108">
                  <c:v>3857.4285714285702</c:v>
                </c:pt>
                <c:pt idx="109">
                  <c:v>7911.1428571428596</c:v>
                </c:pt>
                <c:pt idx="110">
                  <c:v>2749.2142857142899</c:v>
                </c:pt>
                <c:pt idx="111">
                  <c:v>15850.642857142901</c:v>
                </c:pt>
                <c:pt idx="112">
                  <c:v>413.357142857143</c:v>
                </c:pt>
                <c:pt idx="113">
                  <c:v>1051.1428571428601</c:v>
                </c:pt>
                <c:pt idx="114">
                  <c:v>533.57142857142901</c:v>
                </c:pt>
                <c:pt idx="115">
                  <c:v>1582.5</c:v>
                </c:pt>
                <c:pt idx="116">
                  <c:v>548.57142857142901</c:v>
                </c:pt>
                <c:pt idx="117">
                  <c:v>544.857142857143</c:v>
                </c:pt>
                <c:pt idx="118">
                  <c:v>771.78571428571399</c:v>
                </c:pt>
                <c:pt idx="119">
                  <c:v>266.57142857142901</c:v>
                </c:pt>
                <c:pt idx="120">
                  <c:v>3741.7857142857101</c:v>
                </c:pt>
                <c:pt idx="121">
                  <c:v>4855.6428571428596</c:v>
                </c:pt>
                <c:pt idx="122">
                  <c:v>1971</c:v>
                </c:pt>
                <c:pt idx="123">
                  <c:v>711.142857142857</c:v>
                </c:pt>
                <c:pt idx="124">
                  <c:v>877.57142857142901</c:v>
                </c:pt>
                <c:pt idx="125">
                  <c:v>4069.5714285714298</c:v>
                </c:pt>
                <c:pt idx="126">
                  <c:v>148127.35714285701</c:v>
                </c:pt>
                <c:pt idx="127">
                  <c:v>92.5</c:v>
                </c:pt>
                <c:pt idx="128">
                  <c:v>12824.214285714301</c:v>
                </c:pt>
                <c:pt idx="129">
                  <c:v>597.71428571428601</c:v>
                </c:pt>
                <c:pt idx="130">
                  <c:v>724</c:v>
                </c:pt>
                <c:pt idx="131">
                  <c:v>22245.357142857101</c:v>
                </c:pt>
                <c:pt idx="132">
                  <c:v>14430.285714285699</c:v>
                </c:pt>
                <c:pt idx="133">
                  <c:v>140</c:v>
                </c:pt>
                <c:pt idx="134">
                  <c:v>1819.5</c:v>
                </c:pt>
                <c:pt idx="135">
                  <c:v>166.21428571428601</c:v>
                </c:pt>
                <c:pt idx="136">
                  <c:v>113.571428571429</c:v>
                </c:pt>
                <c:pt idx="137">
                  <c:v>1406.6428571428601</c:v>
                </c:pt>
                <c:pt idx="138">
                  <c:v>248.642857142857</c:v>
                </c:pt>
                <c:pt idx="139">
                  <c:v>194.42857142857099</c:v>
                </c:pt>
                <c:pt idx="140">
                  <c:v>931.42857142857099</c:v>
                </c:pt>
                <c:pt idx="141">
                  <c:v>122.71428571428601</c:v>
                </c:pt>
                <c:pt idx="142">
                  <c:v>1735.5</c:v>
                </c:pt>
                <c:pt idx="143">
                  <c:v>1345.42857142857</c:v>
                </c:pt>
                <c:pt idx="144">
                  <c:v>386.642857142857</c:v>
                </c:pt>
                <c:pt idx="145">
                  <c:v>470.21428571428601</c:v>
                </c:pt>
                <c:pt idx="146">
                  <c:v>89.214285714285694</c:v>
                </c:pt>
                <c:pt idx="147">
                  <c:v>670.21428571428601</c:v>
                </c:pt>
                <c:pt idx="148">
                  <c:v>222.21428571428601</c:v>
                </c:pt>
                <c:pt idx="149">
                  <c:v>180.07142857142901</c:v>
                </c:pt>
                <c:pt idx="150">
                  <c:v>1458.6428571428601</c:v>
                </c:pt>
                <c:pt idx="151">
                  <c:v>161.5</c:v>
                </c:pt>
                <c:pt idx="152">
                  <c:v>14.3571428571429</c:v>
                </c:pt>
                <c:pt idx="153">
                  <c:v>494.07142857142901</c:v>
                </c:pt>
                <c:pt idx="154">
                  <c:v>15.214285714285699</c:v>
                </c:pt>
                <c:pt idx="155">
                  <c:v>30.714285714285701</c:v>
                </c:pt>
                <c:pt idx="156">
                  <c:v>88.428571428571402</c:v>
                </c:pt>
                <c:pt idx="157">
                  <c:v>8.5</c:v>
                </c:pt>
                <c:pt idx="158">
                  <c:v>96.071428571428598</c:v>
                </c:pt>
                <c:pt idx="159">
                  <c:v>2.28571428571429</c:v>
                </c:pt>
                <c:pt idx="160">
                  <c:v>4330.2142857142899</c:v>
                </c:pt>
                <c:pt idx="161">
                  <c:v>6576.2857142857101</c:v>
                </c:pt>
                <c:pt idx="162">
                  <c:v>4204.7857142857101</c:v>
                </c:pt>
                <c:pt idx="163">
                  <c:v>872.357142857143</c:v>
                </c:pt>
                <c:pt idx="164">
                  <c:v>908.92857142857099</c:v>
                </c:pt>
                <c:pt idx="165">
                  <c:v>3390.5714285714298</c:v>
                </c:pt>
                <c:pt idx="166">
                  <c:v>12620.642857142901</c:v>
                </c:pt>
                <c:pt idx="167">
                  <c:v>216.357142857143</c:v>
                </c:pt>
                <c:pt idx="168">
                  <c:v>115539.928571429</c:v>
                </c:pt>
                <c:pt idx="169">
                  <c:v>475.28571428571399</c:v>
                </c:pt>
                <c:pt idx="170">
                  <c:v>8265.8571428571395</c:v>
                </c:pt>
                <c:pt idx="171">
                  <c:v>3606.2857142857101</c:v>
                </c:pt>
                <c:pt idx="172">
                  <c:v>1268</c:v>
                </c:pt>
                <c:pt idx="173">
                  <c:v>457</c:v>
                </c:pt>
                <c:pt idx="174">
                  <c:v>7636.8571428571404</c:v>
                </c:pt>
                <c:pt idx="175">
                  <c:v>117.71428571428601</c:v>
                </c:pt>
                <c:pt idx="176">
                  <c:v>512.57142857142901</c:v>
                </c:pt>
                <c:pt idx="177">
                  <c:v>219.71428571428601</c:v>
                </c:pt>
                <c:pt idx="178">
                  <c:v>1665.8571428571399</c:v>
                </c:pt>
                <c:pt idx="179">
                  <c:v>59.928571428571402</c:v>
                </c:pt>
                <c:pt idx="180">
                  <c:v>3304.8571428571399</c:v>
                </c:pt>
                <c:pt idx="181">
                  <c:v>630.92857142857099</c:v>
                </c:pt>
                <c:pt idx="182">
                  <c:v>1105.07142857143</c:v>
                </c:pt>
                <c:pt idx="183">
                  <c:v>1576.6428571428601</c:v>
                </c:pt>
                <c:pt idx="184">
                  <c:v>5053.6428571428596</c:v>
                </c:pt>
                <c:pt idx="185">
                  <c:v>7247.3571428571404</c:v>
                </c:pt>
                <c:pt idx="186">
                  <c:v>616.07142857142901</c:v>
                </c:pt>
                <c:pt idx="187">
                  <c:v>184.57142857142901</c:v>
                </c:pt>
                <c:pt idx="188">
                  <c:v>510.857142857143</c:v>
                </c:pt>
                <c:pt idx="189">
                  <c:v>34400.928571428602</c:v>
                </c:pt>
                <c:pt idx="190">
                  <c:v>448.642857142857</c:v>
                </c:pt>
                <c:pt idx="191">
                  <c:v>6289.1428571428596</c:v>
                </c:pt>
                <c:pt idx="192">
                  <c:v>88.928571428571402</c:v>
                </c:pt>
                <c:pt idx="193">
                  <c:v>296.142857142857</c:v>
                </c:pt>
                <c:pt idx="194">
                  <c:v>85.5</c:v>
                </c:pt>
                <c:pt idx="195">
                  <c:v>6670.2857142857101</c:v>
                </c:pt>
                <c:pt idx="196">
                  <c:v>127.5</c:v>
                </c:pt>
                <c:pt idx="197">
                  <c:v>174.5</c:v>
                </c:pt>
                <c:pt idx="198">
                  <c:v>155.21428571428601</c:v>
                </c:pt>
                <c:pt idx="199">
                  <c:v>111.28571428571399</c:v>
                </c:pt>
                <c:pt idx="200">
                  <c:v>4654.0714285714303</c:v>
                </c:pt>
                <c:pt idx="201">
                  <c:v>1008.42857142857</c:v>
                </c:pt>
                <c:pt idx="202">
                  <c:v>13546.4285714286</c:v>
                </c:pt>
                <c:pt idx="203">
                  <c:v>2406.4285714285702</c:v>
                </c:pt>
                <c:pt idx="204">
                  <c:v>1146.1428571428601</c:v>
                </c:pt>
                <c:pt idx="205">
                  <c:v>2260.3571428571399</c:v>
                </c:pt>
                <c:pt idx="206">
                  <c:v>753.07142857142901</c:v>
                </c:pt>
                <c:pt idx="207">
                  <c:v>1453.2857142857099</c:v>
                </c:pt>
                <c:pt idx="208">
                  <c:v>8218.5</c:v>
                </c:pt>
                <c:pt idx="209">
                  <c:v>455.21428571428601</c:v>
                </c:pt>
                <c:pt idx="210">
                  <c:v>110682.928571429</c:v>
                </c:pt>
                <c:pt idx="211">
                  <c:v>1044.2142857142901</c:v>
                </c:pt>
                <c:pt idx="212">
                  <c:v>144.857142857143</c:v>
                </c:pt>
                <c:pt idx="213">
                  <c:v>2964.3571428571399</c:v>
                </c:pt>
                <c:pt idx="214">
                  <c:v>557.42857142857099</c:v>
                </c:pt>
                <c:pt idx="215">
                  <c:v>72</c:v>
                </c:pt>
                <c:pt idx="216">
                  <c:v>6077.0714285714303</c:v>
                </c:pt>
                <c:pt idx="217">
                  <c:v>42.5</c:v>
                </c:pt>
                <c:pt idx="218">
                  <c:v>14667</c:v>
                </c:pt>
                <c:pt idx="219">
                  <c:v>23.6428571428571</c:v>
                </c:pt>
                <c:pt idx="220">
                  <c:v>6160.4285714285697</c:v>
                </c:pt>
                <c:pt idx="221">
                  <c:v>5979.9285714285697</c:v>
                </c:pt>
                <c:pt idx="222">
                  <c:v>2470.7142857142899</c:v>
                </c:pt>
                <c:pt idx="223">
                  <c:v>1264.5</c:v>
                </c:pt>
                <c:pt idx="224">
                  <c:v>2389.6428571428601</c:v>
                </c:pt>
                <c:pt idx="225">
                  <c:v>14806</c:v>
                </c:pt>
                <c:pt idx="226">
                  <c:v>23094.785714285699</c:v>
                </c:pt>
                <c:pt idx="227">
                  <c:v>178.57142857142901</c:v>
                </c:pt>
                <c:pt idx="228">
                  <c:v>3809</c:v>
                </c:pt>
                <c:pt idx="229">
                  <c:v>6645.5</c:v>
                </c:pt>
                <c:pt idx="230">
                  <c:v>1089.1428571428601</c:v>
                </c:pt>
                <c:pt idx="231">
                  <c:v>277954.78571428597</c:v>
                </c:pt>
                <c:pt idx="232">
                  <c:v>2859.2857142857101</c:v>
                </c:pt>
                <c:pt idx="233">
                  <c:v>345</c:v>
                </c:pt>
                <c:pt idx="234">
                  <c:v>626.92857142857099</c:v>
                </c:pt>
                <c:pt idx="235">
                  <c:v>3468.2857142857101</c:v>
                </c:pt>
                <c:pt idx="236">
                  <c:v>239.642857142857</c:v>
                </c:pt>
                <c:pt idx="237">
                  <c:v>12373.5714285714</c:v>
                </c:pt>
                <c:pt idx="238">
                  <c:v>392</c:v>
                </c:pt>
                <c:pt idx="239">
                  <c:v>3679.7142857142899</c:v>
                </c:pt>
                <c:pt idx="240">
                  <c:v>285.78571428571399</c:v>
                </c:pt>
                <c:pt idx="241">
                  <c:v>264.78571428571399</c:v>
                </c:pt>
                <c:pt idx="242">
                  <c:v>197.5</c:v>
                </c:pt>
                <c:pt idx="243">
                  <c:v>62.428571428571402</c:v>
                </c:pt>
                <c:pt idx="244">
                  <c:v>100.5</c:v>
                </c:pt>
                <c:pt idx="245">
                  <c:v>349.71428571428601</c:v>
                </c:pt>
                <c:pt idx="246">
                  <c:v>14108.0714285714</c:v>
                </c:pt>
                <c:pt idx="247">
                  <c:v>14.0714285714286</c:v>
                </c:pt>
                <c:pt idx="248">
                  <c:v>1254.3571428571399</c:v>
                </c:pt>
                <c:pt idx="249">
                  <c:v>79.714285714285694</c:v>
                </c:pt>
                <c:pt idx="250">
                  <c:v>147</c:v>
                </c:pt>
                <c:pt idx="251">
                  <c:v>2534.1428571428601</c:v>
                </c:pt>
                <c:pt idx="252">
                  <c:v>232601.92857142899</c:v>
                </c:pt>
                <c:pt idx="253">
                  <c:v>18.6428571428571</c:v>
                </c:pt>
                <c:pt idx="254">
                  <c:v>7425.0714285714303</c:v>
                </c:pt>
                <c:pt idx="255">
                  <c:v>80.714285714285694</c:v>
                </c:pt>
                <c:pt idx="256">
                  <c:v>31.785714285714299</c:v>
                </c:pt>
                <c:pt idx="257">
                  <c:v>9965.0714285714294</c:v>
                </c:pt>
                <c:pt idx="258">
                  <c:v>206.78571428571399</c:v>
                </c:pt>
                <c:pt idx="259">
                  <c:v>469.07142857142901</c:v>
                </c:pt>
                <c:pt idx="260">
                  <c:v>1468.8571428571399</c:v>
                </c:pt>
                <c:pt idx="261">
                  <c:v>178.07142857142901</c:v>
                </c:pt>
                <c:pt idx="262">
                  <c:v>1771.5</c:v>
                </c:pt>
                <c:pt idx="263">
                  <c:v>1287.42857142857</c:v>
                </c:pt>
                <c:pt idx="264">
                  <c:v>575.857142857143</c:v>
                </c:pt>
                <c:pt idx="265">
                  <c:v>895.92857142857099</c:v>
                </c:pt>
                <c:pt idx="266">
                  <c:v>135.857142857143</c:v>
                </c:pt>
                <c:pt idx="267">
                  <c:v>486.92857142857099</c:v>
                </c:pt>
                <c:pt idx="268">
                  <c:v>452</c:v>
                </c:pt>
                <c:pt idx="269">
                  <c:v>283</c:v>
                </c:pt>
                <c:pt idx="270">
                  <c:v>2738.9285714285702</c:v>
                </c:pt>
                <c:pt idx="271">
                  <c:v>318</c:v>
                </c:pt>
                <c:pt idx="272">
                  <c:v>23.071428571428601</c:v>
                </c:pt>
                <c:pt idx="273">
                  <c:v>43735.357142857101</c:v>
                </c:pt>
                <c:pt idx="274">
                  <c:v>23.5</c:v>
                </c:pt>
                <c:pt idx="275">
                  <c:v>16.6428571428571</c:v>
                </c:pt>
                <c:pt idx="276">
                  <c:v>2456.4285714285702</c:v>
                </c:pt>
                <c:pt idx="277">
                  <c:v>5.71428571428571</c:v>
                </c:pt>
                <c:pt idx="278">
                  <c:v>431.28571428571399</c:v>
                </c:pt>
                <c:pt idx="279">
                  <c:v>0</c:v>
                </c:pt>
                <c:pt idx="280">
                  <c:v>697.28571428571399</c:v>
                </c:pt>
                <c:pt idx="281">
                  <c:v>361.57142857142901</c:v>
                </c:pt>
                <c:pt idx="282">
                  <c:v>475.21428571428601</c:v>
                </c:pt>
                <c:pt idx="283">
                  <c:v>159.857142857143</c:v>
                </c:pt>
                <c:pt idx="284">
                  <c:v>169.5</c:v>
                </c:pt>
                <c:pt idx="285">
                  <c:v>464.78571428571399</c:v>
                </c:pt>
                <c:pt idx="286">
                  <c:v>1711.2857142857099</c:v>
                </c:pt>
                <c:pt idx="287">
                  <c:v>16.285714285714299</c:v>
                </c:pt>
                <c:pt idx="288">
                  <c:v>7516.7142857142899</c:v>
                </c:pt>
                <c:pt idx="289">
                  <c:v>81.214285714285694</c:v>
                </c:pt>
                <c:pt idx="290">
                  <c:v>532.28571428571399</c:v>
                </c:pt>
                <c:pt idx="291">
                  <c:v>543.42857142857099</c:v>
                </c:pt>
                <c:pt idx="292">
                  <c:v>7142</c:v>
                </c:pt>
                <c:pt idx="293">
                  <c:v>24.1428571428571</c:v>
                </c:pt>
                <c:pt idx="294">
                  <c:v>62620.857142857101</c:v>
                </c:pt>
                <c:pt idx="295">
                  <c:v>13.8571428571429</c:v>
                </c:pt>
                <c:pt idx="296">
                  <c:v>47.714285714285701</c:v>
                </c:pt>
                <c:pt idx="297">
                  <c:v>93.642857142857096</c:v>
                </c:pt>
                <c:pt idx="298">
                  <c:v>1681.7142857142901</c:v>
                </c:pt>
                <c:pt idx="299">
                  <c:v>15.0714285714286</c:v>
                </c:pt>
                <c:pt idx="300">
                  <c:v>920.92857142857099</c:v>
                </c:pt>
                <c:pt idx="301">
                  <c:v>148</c:v>
                </c:pt>
                <c:pt idx="302">
                  <c:v>318.357142857143</c:v>
                </c:pt>
                <c:pt idx="303">
                  <c:v>369.07142857142901</c:v>
                </c:pt>
                <c:pt idx="304">
                  <c:v>794.57142857142901</c:v>
                </c:pt>
                <c:pt idx="305">
                  <c:v>1351.8571428571399</c:v>
                </c:pt>
                <c:pt idx="306">
                  <c:v>154.71428571428601</c:v>
                </c:pt>
                <c:pt idx="307">
                  <c:v>24.285714285714299</c:v>
                </c:pt>
                <c:pt idx="308">
                  <c:v>125.857142857143</c:v>
                </c:pt>
                <c:pt idx="309">
                  <c:v>6627.1428571428596</c:v>
                </c:pt>
                <c:pt idx="310">
                  <c:v>68.714285714285694</c:v>
                </c:pt>
                <c:pt idx="311">
                  <c:v>3084.2142857142899</c:v>
                </c:pt>
                <c:pt idx="312">
                  <c:v>80.214285714285694</c:v>
                </c:pt>
                <c:pt idx="313">
                  <c:v>17.285714285714299</c:v>
                </c:pt>
                <c:pt idx="314">
                  <c:v>11.0714285714286</c:v>
                </c:pt>
                <c:pt idx="315">
                  <c:v>13831.214285714301</c:v>
                </c:pt>
                <c:pt idx="316">
                  <c:v>6.5714285714285703</c:v>
                </c:pt>
                <c:pt idx="317">
                  <c:v>310.42857142857099</c:v>
                </c:pt>
                <c:pt idx="318">
                  <c:v>20.785714285714299</c:v>
                </c:pt>
                <c:pt idx="319">
                  <c:v>263.28571428571399</c:v>
                </c:pt>
                <c:pt idx="320">
                  <c:v>973.857142857143</c:v>
                </c:pt>
                <c:pt idx="321">
                  <c:v>120.428571428571</c:v>
                </c:pt>
                <c:pt idx="322">
                  <c:v>1471.5</c:v>
                </c:pt>
                <c:pt idx="323">
                  <c:v>530.78571428571399</c:v>
                </c:pt>
                <c:pt idx="324">
                  <c:v>300.357142857143</c:v>
                </c:pt>
                <c:pt idx="325">
                  <c:v>529.21428571428601</c:v>
                </c:pt>
                <c:pt idx="326">
                  <c:v>106.5</c:v>
                </c:pt>
                <c:pt idx="327">
                  <c:v>95.214285714285694</c:v>
                </c:pt>
                <c:pt idx="328">
                  <c:v>472.07142857142901</c:v>
                </c:pt>
                <c:pt idx="329">
                  <c:v>114.357142857143</c:v>
                </c:pt>
                <c:pt idx="330">
                  <c:v>5678.5714285714303</c:v>
                </c:pt>
                <c:pt idx="331">
                  <c:v>226.21428571428601</c:v>
                </c:pt>
                <c:pt idx="332">
                  <c:v>31.3571428571429</c:v>
                </c:pt>
                <c:pt idx="333">
                  <c:v>2369.5714285714298</c:v>
                </c:pt>
                <c:pt idx="334">
                  <c:v>51.357142857142897</c:v>
                </c:pt>
                <c:pt idx="335">
                  <c:v>6.1428571428571397</c:v>
                </c:pt>
                <c:pt idx="336">
                  <c:v>23316.142857142899</c:v>
                </c:pt>
                <c:pt idx="337">
                  <c:v>3.78571428571429</c:v>
                </c:pt>
                <c:pt idx="338">
                  <c:v>5983.6428571428596</c:v>
                </c:pt>
                <c:pt idx="339">
                  <c:v>0.5</c:v>
                </c:pt>
                <c:pt idx="340">
                  <c:v>413.357142857143</c:v>
                </c:pt>
                <c:pt idx="341">
                  <c:v>159.357142857143</c:v>
                </c:pt>
                <c:pt idx="342">
                  <c:v>208.78571428571399</c:v>
                </c:pt>
                <c:pt idx="343">
                  <c:v>109.357142857143</c:v>
                </c:pt>
                <c:pt idx="344">
                  <c:v>153.857142857143</c:v>
                </c:pt>
                <c:pt idx="345">
                  <c:v>477.92857142857099</c:v>
                </c:pt>
                <c:pt idx="346">
                  <c:v>1333.92857142857</c:v>
                </c:pt>
                <c:pt idx="347">
                  <c:v>4.8571428571428603</c:v>
                </c:pt>
                <c:pt idx="348">
                  <c:v>211.57142857142901</c:v>
                </c:pt>
                <c:pt idx="349">
                  <c:v>154.5</c:v>
                </c:pt>
                <c:pt idx="350">
                  <c:v>49.714285714285701</c:v>
                </c:pt>
                <c:pt idx="351">
                  <c:v>11128.214285714301</c:v>
                </c:pt>
                <c:pt idx="352">
                  <c:v>9470.6428571428605</c:v>
                </c:pt>
                <c:pt idx="353">
                  <c:v>5.5714285714285703</c:v>
                </c:pt>
                <c:pt idx="354">
                  <c:v>100.142857142857</c:v>
                </c:pt>
                <c:pt idx="355">
                  <c:v>331.57142857142901</c:v>
                </c:pt>
                <c:pt idx="356">
                  <c:v>3.5714285714285698</c:v>
                </c:pt>
                <c:pt idx="357">
                  <c:v>53916.071428571398</c:v>
                </c:pt>
                <c:pt idx="358">
                  <c:v>9.8571428571428594</c:v>
                </c:pt>
                <c:pt idx="359">
                  <c:v>9344.6428571428605</c:v>
                </c:pt>
                <c:pt idx="360">
                  <c:v>1255.3571428571399</c:v>
                </c:pt>
                <c:pt idx="361">
                  <c:v>179.642857142857</c:v>
                </c:pt>
                <c:pt idx="362">
                  <c:v>1921.2857142857099</c:v>
                </c:pt>
                <c:pt idx="363">
                  <c:v>626.42857142857099</c:v>
                </c:pt>
                <c:pt idx="364">
                  <c:v>351.42857142857099</c:v>
                </c:pt>
                <c:pt idx="365">
                  <c:v>621.71428571428601</c:v>
                </c:pt>
                <c:pt idx="366">
                  <c:v>244.21428571428601</c:v>
                </c:pt>
                <c:pt idx="367">
                  <c:v>80.642857142857096</c:v>
                </c:pt>
                <c:pt idx="368">
                  <c:v>1650.2142857142901</c:v>
                </c:pt>
                <c:pt idx="369">
                  <c:v>156.142857142857</c:v>
                </c:pt>
                <c:pt idx="370">
                  <c:v>14140.785714285699</c:v>
                </c:pt>
                <c:pt idx="371">
                  <c:v>344.78571428571399</c:v>
                </c:pt>
                <c:pt idx="372">
                  <c:v>201.21428571428601</c:v>
                </c:pt>
                <c:pt idx="373">
                  <c:v>425.21428571428601</c:v>
                </c:pt>
                <c:pt idx="374">
                  <c:v>1634.5</c:v>
                </c:pt>
                <c:pt idx="375">
                  <c:v>14.9285714285714</c:v>
                </c:pt>
                <c:pt idx="376">
                  <c:v>6014.6428571428596</c:v>
                </c:pt>
                <c:pt idx="377">
                  <c:v>8.4285714285714306</c:v>
                </c:pt>
                <c:pt idx="378">
                  <c:v>73774.5</c:v>
                </c:pt>
                <c:pt idx="379">
                  <c:v>0.5</c:v>
                </c:pt>
                <c:pt idx="380">
                  <c:v>199.142857142857</c:v>
                </c:pt>
                <c:pt idx="381">
                  <c:v>46.428571428571402</c:v>
                </c:pt>
                <c:pt idx="382">
                  <c:v>81.285714285714306</c:v>
                </c:pt>
                <c:pt idx="383">
                  <c:v>58.928571428571402</c:v>
                </c:pt>
                <c:pt idx="384">
                  <c:v>78.285714285714306</c:v>
                </c:pt>
                <c:pt idx="385">
                  <c:v>251.57142857142901</c:v>
                </c:pt>
                <c:pt idx="386">
                  <c:v>186.642857142857</c:v>
                </c:pt>
                <c:pt idx="387">
                  <c:v>1.5</c:v>
                </c:pt>
                <c:pt idx="388">
                  <c:v>65.642857142857096</c:v>
                </c:pt>
                <c:pt idx="389">
                  <c:v>119.071428571429</c:v>
                </c:pt>
                <c:pt idx="390">
                  <c:v>25.5</c:v>
                </c:pt>
                <c:pt idx="391">
                  <c:v>3337.7857142857101</c:v>
                </c:pt>
                <c:pt idx="392">
                  <c:v>458.5</c:v>
                </c:pt>
                <c:pt idx="393">
                  <c:v>1</c:v>
                </c:pt>
                <c:pt idx="394">
                  <c:v>23.428571428571399</c:v>
                </c:pt>
                <c:pt idx="395">
                  <c:v>267.92857142857099</c:v>
                </c:pt>
                <c:pt idx="396">
                  <c:v>0.5</c:v>
                </c:pt>
                <c:pt idx="397">
                  <c:v>9251.3571428571395</c:v>
                </c:pt>
                <c:pt idx="398">
                  <c:v>0.57142857142857095</c:v>
                </c:pt>
                <c:pt idx="399">
                  <c:v>69854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F5-43D9-88FA-09F2C541FDE0}"/>
            </c:ext>
          </c:extLst>
        </c:ser>
        <c:ser>
          <c:idx val="1"/>
          <c:order val="1"/>
          <c:tx>
            <c:strRef>
              <c:f>Calibration_OD!$DF$1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Calibration_OD!$DF$2:$DF$66</c:f>
              <c:numCache>
                <c:formatCode>General</c:formatCode>
                <c:ptCount val="6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  <c:pt idx="40">
                  <c:v>205000</c:v>
                </c:pt>
                <c:pt idx="41">
                  <c:v>210000</c:v>
                </c:pt>
                <c:pt idx="42">
                  <c:v>215000</c:v>
                </c:pt>
                <c:pt idx="43">
                  <c:v>220000</c:v>
                </c:pt>
                <c:pt idx="44">
                  <c:v>225000</c:v>
                </c:pt>
                <c:pt idx="45">
                  <c:v>230000</c:v>
                </c:pt>
                <c:pt idx="46">
                  <c:v>235000</c:v>
                </c:pt>
                <c:pt idx="47">
                  <c:v>240000</c:v>
                </c:pt>
                <c:pt idx="48">
                  <c:v>245000</c:v>
                </c:pt>
                <c:pt idx="49">
                  <c:v>250000</c:v>
                </c:pt>
                <c:pt idx="50">
                  <c:v>255000</c:v>
                </c:pt>
                <c:pt idx="51">
                  <c:v>260000</c:v>
                </c:pt>
                <c:pt idx="52">
                  <c:v>265000</c:v>
                </c:pt>
                <c:pt idx="53">
                  <c:v>270000</c:v>
                </c:pt>
                <c:pt idx="54">
                  <c:v>275000</c:v>
                </c:pt>
                <c:pt idx="55">
                  <c:v>280000</c:v>
                </c:pt>
                <c:pt idx="56">
                  <c:v>285000</c:v>
                </c:pt>
                <c:pt idx="57">
                  <c:v>290000</c:v>
                </c:pt>
                <c:pt idx="58">
                  <c:v>295000</c:v>
                </c:pt>
                <c:pt idx="59">
                  <c:v>300000</c:v>
                </c:pt>
                <c:pt idx="60">
                  <c:v>305000</c:v>
                </c:pt>
                <c:pt idx="61">
                  <c:v>310000</c:v>
                </c:pt>
                <c:pt idx="62">
                  <c:v>315000</c:v>
                </c:pt>
                <c:pt idx="63">
                  <c:v>320000</c:v>
                </c:pt>
                <c:pt idx="64">
                  <c:v>325000</c:v>
                </c:pt>
              </c:numCache>
            </c:numRef>
          </c:xVal>
          <c:yVal>
            <c:numRef>
              <c:f>Calibration_OD!$DF$2:$DF$66</c:f>
              <c:numCache>
                <c:formatCode>General</c:formatCode>
                <c:ptCount val="6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  <c:pt idx="40">
                  <c:v>205000</c:v>
                </c:pt>
                <c:pt idx="41">
                  <c:v>210000</c:v>
                </c:pt>
                <c:pt idx="42">
                  <c:v>215000</c:v>
                </c:pt>
                <c:pt idx="43">
                  <c:v>220000</c:v>
                </c:pt>
                <c:pt idx="44">
                  <c:v>225000</c:v>
                </c:pt>
                <c:pt idx="45">
                  <c:v>230000</c:v>
                </c:pt>
                <c:pt idx="46">
                  <c:v>235000</c:v>
                </c:pt>
                <c:pt idx="47">
                  <c:v>240000</c:v>
                </c:pt>
                <c:pt idx="48">
                  <c:v>245000</c:v>
                </c:pt>
                <c:pt idx="49">
                  <c:v>250000</c:v>
                </c:pt>
                <c:pt idx="50">
                  <c:v>255000</c:v>
                </c:pt>
                <c:pt idx="51">
                  <c:v>260000</c:v>
                </c:pt>
                <c:pt idx="52">
                  <c:v>265000</c:v>
                </c:pt>
                <c:pt idx="53">
                  <c:v>270000</c:v>
                </c:pt>
                <c:pt idx="54">
                  <c:v>275000</c:v>
                </c:pt>
                <c:pt idx="55">
                  <c:v>280000</c:v>
                </c:pt>
                <c:pt idx="56">
                  <c:v>285000</c:v>
                </c:pt>
                <c:pt idx="57">
                  <c:v>290000</c:v>
                </c:pt>
                <c:pt idx="58">
                  <c:v>295000</c:v>
                </c:pt>
                <c:pt idx="59">
                  <c:v>300000</c:v>
                </c:pt>
                <c:pt idx="60">
                  <c:v>305000</c:v>
                </c:pt>
                <c:pt idx="61">
                  <c:v>310000</c:v>
                </c:pt>
                <c:pt idx="62">
                  <c:v>315000</c:v>
                </c:pt>
                <c:pt idx="63">
                  <c:v>320000</c:v>
                </c:pt>
                <c:pt idx="64">
                  <c:v>325000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F5-43D9-88FA-09F2C541F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orientation val="minMax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Relationship Id="rId2" Target="../charts/chart4.xml" Type="http://schemas.openxmlformats.org/officeDocument/2006/relationships/chart"/>
<Relationship Id="rId3" Target="../charts/chart5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276225</xdr:colOff>
      <xdr:row>13</xdr:row>
      <xdr:rowOff>0</xdr:rowOff>
    </xdr:from>
    <xdr:to>
      <xdr:col>17</xdr:col>
      <xdr:colOff>123825</xdr:colOff>
      <xdr:row>27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285749</xdr:colOff>
      <xdr:row>1</xdr:row>
      <xdr:rowOff>38100</xdr:rowOff>
    </xdr:from>
    <xdr:to>
      <xdr:col>28</xdr:col>
      <xdr:colOff>533399</xdr:colOff>
      <xdr:row>20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276225</xdr:colOff>
      <xdr:row>0</xdr:row>
      <xdr:rowOff>161925</xdr:rowOff>
    </xdr:from>
    <xdr:to>
      <xdr:col>49</xdr:col>
      <xdr:colOff>171451</xdr:colOff>
      <xdr:row>24</xdr:row>
      <xdr:rowOff>38101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50</xdr:col>
      <xdr:colOff>76200</xdr:colOff>
      <xdr:row>0</xdr:row>
      <xdr:rowOff>190500</xdr:rowOff>
    </xdr:from>
    <xdr:to>
      <xdr:col>57</xdr:col>
      <xdr:colOff>552451</xdr:colOff>
      <xdr:row>24</xdr:row>
      <xdr:rowOff>66676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U17" sqref="U17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5" max="5" customWidth="true" width="12.7109375" collapsed="true"/>
    <col min="6" max="6" bestFit="true" customWidth="true" width="10.5703125" collapsed="true"/>
    <col min="12" max="12" customWidth="true" width="10.28515625" collapsed="true"/>
  </cols>
  <sheetData>
    <row r="1" spans="1:12" x14ac:dyDescent="0.25">
      <c r="A1" t="s">
        <v>1</v>
      </c>
    </row>
    <row r="2" spans="1:12" x14ac:dyDescent="0.25">
      <c r="A2" t="s">
        <v>238</v>
      </c>
    </row>
    <row r="3" spans="1:12" x14ac:dyDescent="0.25">
      <c r="A3" t="s">
        <v>239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33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34</v>
      </c>
      <c r="C10" s="5" t="s">
        <v>34</v>
      </c>
      <c r="E10" s="2" t="s">
        <v>3</v>
      </c>
      <c r="F10" s="5" t="s">
        <v>16</v>
      </c>
      <c r="G10" s="5" t="s">
        <v>16</v>
      </c>
      <c r="J10" s="2"/>
      <c r="K10" s="5" t="s">
        <v>34</v>
      </c>
      <c r="L10" s="5" t="s">
        <v>16</v>
      </c>
    </row>
    <row r="11" spans="1:12" x14ac:dyDescent="0.25">
      <c r="A11">
        <v>0</v>
      </c>
      <c r="B11" s="246" t="n">
        <v>21189.983208</v>
      </c>
      <c r="C11" s="10">
        <f>B11/B$102</f>
        <v>7.8731097517563048E-2</v>
      </c>
      <c r="E11" s="18">
        <v>0</v>
      </c>
      <c r="F11" s="248" t="n">
        <v>27715.0</v>
      </c>
      <c r="G11" s="10">
        <f>F11/F$102</f>
        <v>8.9812742207452834E-2</v>
      </c>
      <c r="K11" s="8" t="n">
        <v>6.053953413072825</v>
      </c>
      <c r="L11" s="8" t="n">
        <v>6.578917114776912</v>
      </c>
    </row>
    <row r="12" spans="1:12" x14ac:dyDescent="0.25">
      <c r="A12">
        <v>1</v>
      </c>
      <c r="B12" s="246" t="n">
        <v>42432.040965</v>
      </c>
      <c r="C12" s="10">
        <f>B12/B$102</f>
        <v>0.15765567732132038</v>
      </c>
      <c r="E12" s="19">
        <v>1</v>
      </c>
      <c r="F12" s="248" t="n">
        <v>35090.0</v>
      </c>
      <c r="G12" s="10">
        <f>F12/F$102</f>
        <v>0.11479688265244073</v>
      </c>
      <c r="K12" s="8"/>
      <c r="L12" s="198"/>
    </row>
    <row r="13" spans="1:12" x14ac:dyDescent="0.25">
      <c r="A13">
        <v>2</v>
      </c>
      <c r="B13" s="246" t="n">
        <v>34189.293942</v>
      </c>
      <c r="C13" s="10">
        <f ref="C13:C76" si="0" t="shared">B13/B$102</f>
        <v>0.12702986165595404</v>
      </c>
      <c r="E13" s="20">
        <v>2</v>
      </c>
      <c r="F13" s="248" t="n">
        <v>40327.0</v>
      </c>
      <c r="G13" s="10">
        <f ref="G13:G76" si="1" t="shared">F13/F$102</f>
        <v>0.13251685385872011</v>
      </c>
    </row>
    <row r="14" spans="1:12" x14ac:dyDescent="0.25">
      <c r="A14">
        <v>3</v>
      </c>
      <c r="B14" s="246" t="n">
        <v>33940.388825</v>
      </c>
      <c r="C14" s="10">
        <f si="0" t="shared"/>
        <v>0.12610505804253028</v>
      </c>
      <c r="E14" s="21">
        <v>3</v>
      </c>
      <c r="F14" s="248" t="n">
        <v>40534.0</v>
      </c>
      <c r="G14" s="10">
        <f si="1" t="shared"/>
        <v>0.13418991365170774</v>
      </c>
    </row>
    <row r="15" spans="1:12" x14ac:dyDescent="0.25">
      <c r="A15">
        <v>4</v>
      </c>
      <c r="B15" s="246" t="n">
        <v>27161.408687</v>
      </c>
      <c r="C15" s="10">
        <f si="0" t="shared"/>
        <v>0.10091784854474251</v>
      </c>
      <c r="E15" s="22">
        <v>4</v>
      </c>
      <c r="F15" s="248" t="n">
        <v>32839.0</v>
      </c>
      <c r="G15" s="10">
        <f si="1" t="shared"/>
        <v>0.10806191307320376</v>
      </c>
    </row>
    <row r="16" spans="1:12" x14ac:dyDescent="0.25">
      <c r="A16">
        <v>5</v>
      </c>
      <c r="B16" s="246" t="n">
        <v>18202.484109</v>
      </c>
      <c r="C16" s="10">
        <f si="0" t="shared"/>
        <v>6.7631084809284897E-2</v>
      </c>
      <c r="E16" s="23">
        <v>5</v>
      </c>
      <c r="F16" s="248" t="n">
        <v>26222.0</v>
      </c>
      <c r="G16" s="10">
        <f si="1" t="shared"/>
        <v>8.6275979265891603E-2</v>
      </c>
    </row>
    <row r="17" spans="1:7" x14ac:dyDescent="0.25">
      <c r="A17">
        <v>6</v>
      </c>
      <c r="B17" s="246" t="n">
        <v>19761.000974</v>
      </c>
      <c r="C17" s="10">
        <f si="0" t="shared"/>
        <v>7.3421733252779467E-2</v>
      </c>
      <c r="E17" s="24">
        <v>6</v>
      </c>
      <c r="F17" s="248" t="n">
        <v>19321.0</v>
      </c>
      <c r="G17" s="10">
        <f si="1" t="shared"/>
        <v>6.2968185568297988E-2</v>
      </c>
    </row>
    <row r="18" spans="1:7" x14ac:dyDescent="0.25">
      <c r="A18">
        <v>7</v>
      </c>
      <c r="B18" s="246" t="n">
        <v>7514.163828</v>
      </c>
      <c r="C18" s="10">
        <f si="0" t="shared"/>
        <v>2.7918774606761492E-2</v>
      </c>
      <c r="E18" s="25">
        <v>7</v>
      </c>
      <c r="F18" s="248" t="n">
        <v>13853.0</v>
      </c>
      <c r="G18" s="10">
        <f si="1" t="shared"/>
        <v>4.5409275127944702E-2</v>
      </c>
    </row>
    <row r="19" spans="1:7" x14ac:dyDescent="0.25">
      <c r="A19">
        <v>8</v>
      </c>
      <c r="B19" s="246" t="n">
        <v>12119.746228</v>
      </c>
      <c r="C19" s="10">
        <f si="0" t="shared"/>
        <v>4.503075405008055E-2</v>
      </c>
      <c r="E19" s="26">
        <v>8</v>
      </c>
      <c r="F19" s="248" t="n">
        <v>9608.0</v>
      </c>
      <c r="G19" s="10">
        <f si="1" t="shared"/>
        <v>3.1216206000006574E-2</v>
      </c>
    </row>
    <row r="20" spans="1:7" x14ac:dyDescent="0.25">
      <c r="A20">
        <v>9</v>
      </c>
      <c r="B20" s="246" t="n">
        <v>6652.981468</v>
      </c>
      <c r="C20" s="10">
        <f si="0" t="shared"/>
        <v>2.4719063134599147E-2</v>
      </c>
      <c r="E20" s="27">
        <v>9</v>
      </c>
      <c r="F20" s="248" t="n">
        <v>7399.0</v>
      </c>
      <c r="G20" s="10">
        <f si="1" t="shared"/>
        <v>2.5523200967679377E-2</v>
      </c>
    </row>
    <row r="21" spans="1:7" x14ac:dyDescent="0.25">
      <c r="A21">
        <v>10</v>
      </c>
      <c r="B21" s="246" t="n">
        <v>8226.943148</v>
      </c>
      <c r="C21" s="10">
        <f si="0" t="shared"/>
        <v>3.0567096580430435E-2</v>
      </c>
      <c r="E21" s="28">
        <v>10</v>
      </c>
      <c r="F21" s="248" t="n">
        <v>6383.0</v>
      </c>
      <c r="G21" s="10">
        <f si="1" t="shared"/>
        <v>2.1789220761718815E-2</v>
      </c>
    </row>
    <row r="22" spans="1:7" x14ac:dyDescent="0.25">
      <c r="A22">
        <v>11</v>
      </c>
      <c r="B22" s="246" t="n">
        <v>4221.576804</v>
      </c>
      <c r="C22" s="10">
        <f si="0" t="shared"/>
        <v>1.5685211817823643E-2</v>
      </c>
      <c r="E22" s="29">
        <v>11</v>
      </c>
      <c r="F22" s="248" t="n">
        <v>5583.0</v>
      </c>
      <c r="G22" s="10">
        <f si="1" t="shared"/>
        <v>1.8656753212176195E-2</v>
      </c>
    </row>
    <row r="23" spans="1:7" x14ac:dyDescent="0.25">
      <c r="A23">
        <v>12</v>
      </c>
      <c r="B23" s="246" t="n">
        <v>4697.861955</v>
      </c>
      <c r="C23" s="10">
        <f si="0" t="shared"/>
        <v>1.7454842888384909E-2</v>
      </c>
      <c r="E23" s="30">
        <v>12</v>
      </c>
      <c r="F23" s="248" t="n">
        <v>5016.0</v>
      </c>
      <c r="G23" s="10">
        <f si="1" t="shared"/>
        <v>1.6819345698855809E-2</v>
      </c>
    </row>
    <row r="24" spans="1:7" x14ac:dyDescent="0.25">
      <c r="A24">
        <v>13</v>
      </c>
      <c r="B24" s="246" t="n">
        <v>4028.000029</v>
      </c>
      <c r="C24" s="10">
        <f si="0" t="shared"/>
        <v>1.4965979914708848E-2</v>
      </c>
      <c r="E24" s="31">
        <v>13</v>
      </c>
      <c r="F24" s="248" t="n">
        <v>4108.0</v>
      </c>
      <c r="G24" s="10">
        <f si="1" t="shared"/>
        <v>1.3506095656947142E-2</v>
      </c>
    </row>
    <row r="25" spans="1:7" x14ac:dyDescent="0.25">
      <c r="A25">
        <v>14</v>
      </c>
      <c r="B25" s="246" t="n">
        <v>3801.804469</v>
      </c>
      <c r="C25" s="10">
        <f si="0" t="shared"/>
        <v>1.4125553354782347E-2</v>
      </c>
      <c r="E25" s="32">
        <v>14</v>
      </c>
      <c r="F25" s="248" t="n">
        <v>3251.0</v>
      </c>
      <c r="G25" s="10">
        <f si="1" t="shared"/>
        <v>1.074176700094993E-2</v>
      </c>
    </row>
    <row r="26" spans="1:7" x14ac:dyDescent="0.25">
      <c r="A26">
        <v>15</v>
      </c>
      <c r="B26" s="246" t="n">
        <v>2191.082191</v>
      </c>
      <c r="C26" s="10">
        <f si="0" t="shared"/>
        <v>8.1409364016621407E-3</v>
      </c>
      <c r="E26" s="33">
        <v>15</v>
      </c>
      <c r="F26" s="248" t="n">
        <v>2899.0</v>
      </c>
      <c r="G26" s="10">
        <f si="1" t="shared"/>
        <v>9.5255938704874223E-3</v>
      </c>
    </row>
    <row r="27" spans="1:7" x14ac:dyDescent="0.25">
      <c r="A27">
        <v>16</v>
      </c>
      <c r="B27" s="246" t="n">
        <v>1701.312045</v>
      </c>
      <c r="C27" s="10">
        <f si="0" t="shared"/>
        <v>6.3212020136065982E-3</v>
      </c>
      <c r="E27" s="34">
        <v>16</v>
      </c>
      <c r="F27" s="248" t="n">
        <v>2520.0</v>
      </c>
      <c r="G27" s="10">
        <f si="1" t="shared"/>
        <v>7.9905861625793381E-3</v>
      </c>
    </row>
    <row r="28" spans="1:7" x14ac:dyDescent="0.25">
      <c r="A28">
        <v>17</v>
      </c>
      <c r="B28" s="246" t="n">
        <v>1793.29365</v>
      </c>
      <c r="C28" s="10">
        <f si="0" t="shared"/>
        <v>6.6629584294560888E-3</v>
      </c>
      <c r="E28" s="35">
        <v>17</v>
      </c>
      <c r="F28" s="248" t="n">
        <v>2066.0</v>
      </c>
      <c r="G28" s="10">
        <f si="1" t="shared"/>
        <v>6.3898393665381466E-3</v>
      </c>
    </row>
    <row r="29" spans="1:7" x14ac:dyDescent="0.25">
      <c r="A29">
        <v>18</v>
      </c>
      <c r="B29" s="246" t="n">
        <v>2349.38082</v>
      </c>
      <c r="C29" s="10">
        <f si="0" t="shared"/>
        <v>8.7290928279489845E-3</v>
      </c>
      <c r="E29" s="36">
        <v>18</v>
      </c>
      <c r="F29" s="248" t="n">
        <v>1772.0</v>
      </c>
      <c r="G29" s="10">
        <f si="1" t="shared"/>
        <v>5.814622345373447E-3</v>
      </c>
    </row>
    <row r="30" spans="1:7" x14ac:dyDescent="0.25">
      <c r="A30">
        <v>19</v>
      </c>
      <c r="B30" s="246" t="n">
        <v>1329.733614</v>
      </c>
      <c r="C30" s="10">
        <f si="0" t="shared"/>
        <v>4.9406073524725907E-3</v>
      </c>
      <c r="E30" s="37">
        <v>19</v>
      </c>
      <c r="F30" s="248" t="n">
        <v>1596.0</v>
      </c>
      <c r="G30" s="10">
        <f si="1" t="shared"/>
        <v>5.1802401448889498E-3</v>
      </c>
    </row>
    <row r="31" spans="1:7" x14ac:dyDescent="0.25">
      <c r="A31">
        <v>20</v>
      </c>
      <c r="B31" s="246" t="n">
        <v>1762.661681</v>
      </c>
      <c r="C31" s="10">
        <f si="0" t="shared"/>
        <v>6.5491457607615962E-3</v>
      </c>
      <c r="E31" s="38">
        <v>20</v>
      </c>
      <c r="F31" s="248" t="n">
        <v>1482.0</v>
      </c>
      <c r="G31" s="10">
        <f si="1" t="shared"/>
        <v>4.6641883030440487E-3</v>
      </c>
    </row>
    <row r="32" spans="1:7" x14ac:dyDescent="0.25">
      <c r="A32">
        <v>21</v>
      </c>
      <c r="B32" s="246" t="n">
        <v>240.291765</v>
      </c>
      <c r="C32" s="10">
        <f si="0" t="shared"/>
        <v>8.9280081995251118E-4</v>
      </c>
      <c r="E32" s="39">
        <v>21</v>
      </c>
      <c r="F32" s="248" t="n">
        <v>1416.0</v>
      </c>
      <c r="G32" s="10">
        <f si="1" t="shared"/>
        <v>4.5557188076244199E-3</v>
      </c>
    </row>
    <row r="33" spans="1:7" x14ac:dyDescent="0.25">
      <c r="A33">
        <v>22</v>
      </c>
      <c r="B33" s="246" t="n">
        <v>1815.651297</v>
      </c>
      <c r="C33" s="10">
        <f si="0" t="shared"/>
        <v>6.7460279660829844E-3</v>
      </c>
      <c r="E33" s="40">
        <v>22</v>
      </c>
      <c r="F33" s="248" t="n">
        <v>1229.0</v>
      </c>
      <c r="G33" s="10">
        <f si="1" t="shared"/>
        <v>4.0330930569662067E-3</v>
      </c>
    </row>
    <row r="34" spans="1:7" x14ac:dyDescent="0.25">
      <c r="A34">
        <v>23</v>
      </c>
      <c r="B34" s="246" t="n">
        <v>1071.474922</v>
      </c>
      <c r="C34" s="10">
        <f si="0" t="shared"/>
        <v>3.9810506569800804E-3</v>
      </c>
      <c r="E34" s="41">
        <v>23</v>
      </c>
      <c r="F34" s="248" t="n">
        <v>1176.0</v>
      </c>
      <c r="G34" s="10">
        <f si="1" t="shared"/>
        <v>3.5038933974946835E-3</v>
      </c>
    </row>
    <row r="35" spans="1:7" x14ac:dyDescent="0.25">
      <c r="A35">
        <v>24</v>
      </c>
      <c r="B35" s="246" t="n">
        <v>1333.377076</v>
      </c>
      <c r="C35" s="10">
        <f si="0" t="shared"/>
        <v>4.9541445865141564E-3</v>
      </c>
      <c r="E35" s="42">
        <v>24</v>
      </c>
      <c r="F35" s="248" t="n">
        <v>966.0</v>
      </c>
      <c r="G35" s="10">
        <f si="1" t="shared"/>
        <v>3.2968152698753914E-3</v>
      </c>
    </row>
    <row r="36" spans="1:7" x14ac:dyDescent="0.25">
      <c r="A36">
        <v>25</v>
      </c>
      <c r="B36" s="246" t="n">
        <v>269.299443</v>
      </c>
      <c r="C36" s="10">
        <f si="0" t="shared"/>
        <v>1.0005784572898473E-3</v>
      </c>
      <c r="E36" s="43">
        <v>25</v>
      </c>
      <c r="F36" s="248" t="n">
        <v>886.0</v>
      </c>
      <c r="G36" s="10">
        <f si="1" t="shared"/>
        <v>2.8760851058234971E-3</v>
      </c>
    </row>
    <row r="37" spans="1:7" x14ac:dyDescent="0.25">
      <c r="A37">
        <v>26</v>
      </c>
      <c r="B37" s="246" t="n">
        <v>613.9455350000001</v>
      </c>
      <c r="C37" s="10">
        <f si="0" t="shared"/>
        <v>2.2811063752192391E-3</v>
      </c>
      <c r="E37" s="44">
        <v>26</v>
      </c>
      <c r="F37" s="248" t="n">
        <v>863.0</v>
      </c>
      <c r="G37" s="10">
        <f si="1" t="shared"/>
        <v>2.5539635739712653E-3</v>
      </c>
    </row>
    <row r="38" spans="1:7" x14ac:dyDescent="0.25">
      <c r="A38">
        <v>27</v>
      </c>
      <c r="B38" s="246" t="n">
        <v>99.508018</v>
      </c>
      <c r="C38" s="10">
        <f si="0" t="shared"/>
        <v>3.6972070209001647E-4</v>
      </c>
      <c r="E38" s="45">
        <v>27</v>
      </c>
      <c r="F38" s="248" t="n">
        <v>729.0</v>
      </c>
      <c r="G38" s="10">
        <f si="1" t="shared"/>
        <v>2.4224853977050484E-3</v>
      </c>
    </row>
    <row r="39" spans="1:7" x14ac:dyDescent="0.25">
      <c r="A39">
        <v>28</v>
      </c>
      <c r="B39" s="246" t="n">
        <v>140.04013</v>
      </c>
      <c r="C39" s="10">
        <f si="0" t="shared"/>
        <v>5.2031721890367845E-4</v>
      </c>
      <c r="E39" s="46">
        <v>28</v>
      </c>
      <c r="F39" s="248" t="n">
        <v>634.0</v>
      </c>
      <c r="G39" s="10">
        <f si="1" t="shared"/>
        <v>2.0379117321263638E-3</v>
      </c>
    </row>
    <row r="40" spans="1:7" x14ac:dyDescent="0.25">
      <c r="A40">
        <v>29</v>
      </c>
      <c r="B40" s="246" t="n">
        <v>762.0491410000001</v>
      </c>
      <c r="C40" s="10">
        <f si="0" t="shared"/>
        <v>2.8313833307142544E-3</v>
      </c>
      <c r="E40" s="47">
        <v>29</v>
      </c>
      <c r="F40" s="248" t="n">
        <v>530.0</v>
      </c>
      <c r="G40" s="10">
        <f si="1" t="shared"/>
        <v>1.7256510634940984E-3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48">
        <v>30</v>
      </c>
      <c r="F41" s="248" t="n">
        <v>604.0</v>
      </c>
      <c r="G41" s="10">
        <f si="1" t="shared"/>
        <v>2.0280508689063973E-3</v>
      </c>
    </row>
    <row r="42" spans="1:7" x14ac:dyDescent="0.25">
      <c r="A42">
        <v>31</v>
      </c>
      <c r="B42" s="246" t="n">
        <v>515.1282</v>
      </c>
      <c r="C42" s="10">
        <f si="0" t="shared"/>
        <v>1.9139518965232169E-3</v>
      </c>
      <c r="E42" s="49">
        <v>31</v>
      </c>
      <c r="F42" s="248" t="n">
        <v>454.0</v>
      </c>
      <c r="G42" s="10">
        <f si="1" t="shared"/>
        <v>1.6138946136678139E-3</v>
      </c>
    </row>
    <row r="43" spans="1:7" x14ac:dyDescent="0.25">
      <c r="A43">
        <v>32</v>
      </c>
      <c r="B43" s="246" t="n">
        <v>1194.614249</v>
      </c>
      <c r="C43" s="10">
        <f si="0" t="shared"/>
        <v>4.4385731697220389E-3</v>
      </c>
      <c r="E43" s="50">
        <v>32</v>
      </c>
      <c r="F43" s="248" t="n">
        <v>414.0</v>
      </c>
      <c r="G43" s="10">
        <f si="1" t="shared"/>
        <v>1.2391818113090954E-3</v>
      </c>
    </row>
    <row r="44" spans="1:7" x14ac:dyDescent="0.25">
      <c r="A44">
        <v>33</v>
      </c>
      <c r="B44" s="246" t="n">
        <v>115.929682</v>
      </c>
      <c r="C44" s="10">
        <f si="0" t="shared"/>
        <v>4.3073517374361071E-4</v>
      </c>
      <c r="E44" s="51">
        <v>33</v>
      </c>
      <c r="F44" s="248" t="n">
        <v>350.0</v>
      </c>
      <c r="G44" s="10">
        <f si="1" t="shared"/>
        <v>1.0912688630096011E-3</v>
      </c>
    </row>
    <row r="45" spans="1:7" x14ac:dyDescent="0.25">
      <c r="A45">
        <v>34</v>
      </c>
      <c r="B45" s="246" t="n">
        <v>489.62784</v>
      </c>
      <c r="C45" s="10">
        <f si="0" t="shared"/>
        <v>1.8192056520271384E-3</v>
      </c>
      <c r="E45" s="52">
        <v>34</v>
      </c>
      <c r="F45" s="248" t="n">
        <v>274.0</v>
      </c>
      <c r="G45" s="10">
        <f si="1" t="shared"/>
        <v>9.0719941623689741E-4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53">
        <v>35</v>
      </c>
      <c r="F46" s="248" t="n">
        <v>283.0</v>
      </c>
      <c r="G46" s="10">
        <f si="1" t="shared"/>
        <v>9.5650373233672873E-4</v>
      </c>
    </row>
    <row r="47" spans="1:7" x14ac:dyDescent="0.25">
      <c r="A47">
        <v>36</v>
      </c>
      <c r="B47" s="246" t="n">
        <v>209.985387</v>
      </c>
      <c r="C47" s="10">
        <f si="0" t="shared"/>
        <v>7.8019788023799062E-4</v>
      </c>
      <c r="E47" s="54">
        <v>36</v>
      </c>
      <c r="F47" s="248" t="n">
        <v>257.0</v>
      </c>
      <c r="G47" s="10">
        <f si="1" t="shared"/>
        <v>8.973385530169311E-4</v>
      </c>
    </row>
    <row r="48" spans="1:7" x14ac:dyDescent="0.25">
      <c r="A48">
        <v>37</v>
      </c>
      <c r="B48" s="246" t="n">
        <v>53.812839</v>
      </c>
      <c r="C48" s="10">
        <f si="0" t="shared"/>
        <v>1.9994087930217861E-4</v>
      </c>
      <c r="E48" s="55">
        <v>37</v>
      </c>
      <c r="F48" s="248" t="n">
        <v>196.0</v>
      </c>
      <c r="G48" s="10">
        <f si="1" t="shared"/>
        <v>6.4095610929780793E-4</v>
      </c>
    </row>
    <row r="49" spans="1:7" x14ac:dyDescent="0.25">
      <c r="A49">
        <v>38</v>
      </c>
      <c r="B49" s="246" t="n">
        <v>24.04211</v>
      </c>
      <c r="C49" s="10">
        <f si="0" t="shared"/>
        <v>8.932813624049276E-5</v>
      </c>
      <c r="E49" s="56">
        <v>38</v>
      </c>
      <c r="F49" s="248" t="n">
        <v>241.0</v>
      </c>
      <c r="G49" s="10">
        <f si="1" t="shared"/>
        <v>7.4613865031078149E-4</v>
      </c>
    </row>
    <row r="50" spans="1:7" x14ac:dyDescent="0.25">
      <c r="A50">
        <v>39</v>
      </c>
      <c r="B50" s="246" t="n">
        <v>0.0</v>
      </c>
      <c r="C50" s="10">
        <f si="0" t="shared"/>
        <v>0</v>
      </c>
      <c r="E50" s="57">
        <v>39</v>
      </c>
      <c r="F50" s="248" t="n">
        <v>227.0</v>
      </c>
      <c r="G50" s="10">
        <f si="1" t="shared"/>
        <v>7.1655606065088267E-4</v>
      </c>
    </row>
    <row r="51" spans="1:7" x14ac:dyDescent="0.25">
      <c r="A51">
        <v>40</v>
      </c>
      <c r="B51" s="246" t="n">
        <v>0.0</v>
      </c>
      <c r="C51" s="10">
        <f si="0" t="shared"/>
        <v>0</v>
      </c>
      <c r="E51" s="58">
        <v>40</v>
      </c>
      <c r="F51" s="248" t="n">
        <v>213.0</v>
      </c>
      <c r="G51" s="10">
        <f si="1" t="shared"/>
        <v>7.4285169590412609E-4</v>
      </c>
    </row>
    <row r="52" spans="1:7" x14ac:dyDescent="0.25">
      <c r="A52">
        <v>41</v>
      </c>
      <c r="B52" s="246" t="n">
        <v>706.229286</v>
      </c>
      <c r="C52" s="10">
        <f si="0" t="shared"/>
        <v>2.6239854104666322E-3</v>
      </c>
      <c r="E52" s="59">
        <v>41</v>
      </c>
      <c r="F52" s="248" t="n">
        <v>325.0</v>
      </c>
      <c r="G52" s="10">
        <f si="1" t="shared"/>
        <v>1.0123819572498711E-3</v>
      </c>
    </row>
    <row r="53" spans="1:7" x14ac:dyDescent="0.25">
      <c r="A53">
        <v>42</v>
      </c>
      <c r="B53" s="246" t="n">
        <v>96.541248</v>
      </c>
      <c r="C53" s="10">
        <f si="0" t="shared"/>
        <v>3.586977080701818E-4</v>
      </c>
      <c r="E53" s="60">
        <v>42</v>
      </c>
      <c r="F53" s="248" t="n">
        <v>163.0</v>
      </c>
      <c r="G53" s="10">
        <f si="1" t="shared"/>
        <v>5.982257020112874E-4</v>
      </c>
    </row>
    <row r="54" spans="1:7" x14ac:dyDescent="0.25">
      <c r="A54">
        <v>43</v>
      </c>
      <c r="B54" s="246" t="n">
        <v>63.887752</v>
      </c>
      <c r="C54" s="10">
        <f si="0" t="shared"/>
        <v>2.3737408300497808E-4</v>
      </c>
      <c r="E54" s="61">
        <v>43</v>
      </c>
      <c r="F54" s="248" t="n">
        <v>150.0</v>
      </c>
      <c r="G54" s="10">
        <f si="1" t="shared"/>
        <v>4.6674752574507041E-4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62">
        <v>44</v>
      </c>
      <c r="F55" s="248" t="n">
        <v>109.0</v>
      </c>
      <c r="G55" s="10">
        <f si="1" t="shared"/>
        <v>2.991128510056437E-4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63">
        <v>45</v>
      </c>
      <c r="F56" s="248" t="n">
        <v>74.0</v>
      </c>
      <c r="G56" s="10">
        <f si="1" t="shared"/>
        <v>2.9253894219233284E-4</v>
      </c>
    </row>
    <row r="57" spans="1:7" x14ac:dyDescent="0.25">
      <c r="A57">
        <v>46</v>
      </c>
      <c r="B57" s="246" t="n">
        <v>61.176273</v>
      </c>
      <c r="C57" s="10">
        <f si="0" t="shared"/>
        <v>2.2729961926093751E-4</v>
      </c>
      <c r="E57" s="64">
        <v>46</v>
      </c>
      <c r="F57" s="248" t="n">
        <v>65.0</v>
      </c>
      <c r="G57" s="10">
        <f si="1" t="shared"/>
        <v>2.3994767168584603E-4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65">
        <v>47</v>
      </c>
      <c r="F58" s="248" t="n">
        <v>121.0</v>
      </c>
      <c r="G58" s="10">
        <f si="1" t="shared"/>
        <v>4.2401711845854988E-4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66">
        <v>48</v>
      </c>
      <c r="F59" s="248" t="n">
        <v>63.0</v>
      </c>
      <c r="G59" s="10">
        <f si="1" t="shared"/>
        <v>1.807824923660484E-4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67">
        <v>49</v>
      </c>
      <c r="F60" s="248" t="n">
        <v>33.0</v>
      </c>
      <c r="G60" s="10">
        <f si="1" t="shared"/>
        <v>1.2161731304625073E-4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68">
        <v>50</v>
      </c>
      <c r="F61" s="248" t="n">
        <v>67.0</v>
      </c>
      <c r="G61" s="10">
        <f si="1" t="shared"/>
        <v>2.0050421880598093E-4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69">
        <v>51</v>
      </c>
      <c r="F62" s="248" t="n">
        <v>53.0</v>
      </c>
      <c r="G62" s="10">
        <f si="1" t="shared"/>
        <v>2.0707812761929179E-4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70">
        <v>52</v>
      </c>
      <c r="F63" s="248" t="n">
        <v>75.0</v>
      </c>
      <c r="G63" s="10">
        <f si="1" t="shared"/>
        <v>2.4652158049915692E-4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71">
        <v>53</v>
      </c>
      <c r="F64" s="248" t="n">
        <v>54.0</v>
      </c>
      <c r="G64" s="10">
        <f si="1" t="shared"/>
        <v>2.6624330693908943E-4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72">
        <v>54</v>
      </c>
      <c r="F65" s="248" t="n">
        <v>29.0</v>
      </c>
      <c r="G65" s="10">
        <f si="1" t="shared"/>
        <v>8.5460814573041057E-5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73">
        <v>55</v>
      </c>
      <c r="F66" s="248" t="n">
        <v>92.0</v>
      </c>
      <c r="G66" s="10">
        <f si="1" t="shared"/>
        <v>2.8925198778567744E-4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74">
        <v>56</v>
      </c>
      <c r="F67" s="248" t="n">
        <v>62.0</v>
      </c>
      <c r="G67" s="10">
        <f si="1" t="shared"/>
        <v>2.202259452459135E-4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75">
        <v>57</v>
      </c>
      <c r="F68" s="248" t="n">
        <v>29.0</v>
      </c>
      <c r="G68" s="10">
        <f si="1" t="shared"/>
        <v>1.1833035863959532E-4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76">
        <v>58</v>
      </c>
      <c r="F69" s="248" t="n">
        <v>34.0</v>
      </c>
      <c r="G69" s="10">
        <f si="1" t="shared"/>
        <v>1.1175644982628446E-4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77">
        <v>59</v>
      </c>
      <c r="F70" s="248" t="n">
        <v>148.0</v>
      </c>
      <c r="G70" s="10">
        <f si="1" t="shared"/>
        <v>4.2401711845854988E-4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78">
        <v>60</v>
      </c>
      <c r="F71" s="248" t="n">
        <v>27.0</v>
      </c>
      <c r="G71" s="10">
        <f si="1" t="shared"/>
        <v>1.1504340423293989E-4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79">
        <v>61</v>
      </c>
      <c r="F72" s="248" t="n">
        <v>33.0</v>
      </c>
      <c r="G72" s="10">
        <f si="1" t="shared"/>
        <v>1.1504340423293989E-4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80">
        <v>62</v>
      </c>
      <c r="F73" s="248" t="n">
        <v>35.0</v>
      </c>
      <c r="G73" s="10">
        <f si="1" t="shared"/>
        <v>1.0846949541962903E-4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81">
        <v>63</v>
      </c>
      <c r="F74" s="248" t="n">
        <v>27.0</v>
      </c>
      <c r="G74" s="10">
        <f si="1" t="shared"/>
        <v>5.5878224913142231E-5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82">
        <v>64</v>
      </c>
      <c r="F75" s="248" t="n">
        <v>69.0</v>
      </c>
      <c r="G75" s="10">
        <f si="1" t="shared"/>
        <v>2.6953026134574488E-4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83">
        <v>65</v>
      </c>
      <c r="F76" s="248" t="n">
        <v>39.0</v>
      </c>
      <c r="G76" s="10">
        <f si="1" t="shared"/>
        <v>1.3147817626621701E-4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84">
        <v>66</v>
      </c>
      <c r="F77" s="248" t="n">
        <v>33.0</v>
      </c>
      <c r="G77" s="10">
        <f ref="G77:G102" si="3" t="shared">F77/F$102</f>
        <v>8.8747768979696484E-5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85">
        <v>67</v>
      </c>
      <c r="F78" s="248" t="n">
        <v>120.0</v>
      </c>
      <c r="G78" s="10">
        <f si="3" t="shared"/>
        <v>3.0897371422560995E-4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86">
        <v>68</v>
      </c>
      <c r="F79" s="248" t="n">
        <v>22.0</v>
      </c>
      <c r="G79" s="10">
        <f si="3" t="shared"/>
        <v>8.5460814573041057E-5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87">
        <v>69</v>
      </c>
      <c r="F80" s="248" t="n">
        <v>17.0</v>
      </c>
      <c r="G80" s="10">
        <f si="3" t="shared"/>
        <v>5.5878224913142231E-5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88">
        <v>70</v>
      </c>
      <c r="F81" s="248" t="n">
        <v>37.0</v>
      </c>
      <c r="G81" s="10">
        <f si="3" t="shared"/>
        <v>9.5321677793007339E-5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89">
        <v>71</v>
      </c>
      <c r="F82" s="248" t="n">
        <v>3.0</v>
      </c>
      <c r="G82" s="10">
        <f si="3" t="shared"/>
        <v>2.3008680846587978E-5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90">
        <v>72</v>
      </c>
      <c r="F83" s="248" t="n">
        <v>12.0</v>
      </c>
      <c r="G83" s="10">
        <f si="3" t="shared"/>
        <v>4.2730407286520528E-5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91">
        <v>73</v>
      </c>
      <c r="F84" s="248" t="n">
        <v>16.0</v>
      </c>
      <c r="G84" s="10">
        <f si="3" t="shared"/>
        <v>6.5739088133108506E-5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92">
        <v>74</v>
      </c>
      <c r="F85" s="248" t="n">
        <v>43.0</v>
      </c>
      <c r="G85" s="10">
        <f si="3" t="shared"/>
        <v>1.3147817626621701E-4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93">
        <v>75</v>
      </c>
      <c r="F86" s="248" t="n">
        <v>20.0</v>
      </c>
      <c r="G86" s="10">
        <f si="3" t="shared"/>
        <v>8.8747768979696484E-5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94">
        <v>76</v>
      </c>
      <c r="F87" s="248" t="n">
        <v>21.0</v>
      </c>
      <c r="G87" s="10">
        <f si="3" t="shared"/>
        <v>8.2173860166385629E-5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95">
        <v>77</v>
      </c>
      <c r="F88" s="248" t="n">
        <v>9.0</v>
      </c>
      <c r="G88" s="10">
        <f si="3" t="shared"/>
        <v>3.9443452879865101E-5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96">
        <v>78</v>
      </c>
      <c r="F89" s="248" t="n">
        <v>27.0</v>
      </c>
      <c r="G89" s="10">
        <f si="3" t="shared"/>
        <v>7.5599951353074775E-5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97">
        <v>79</v>
      </c>
      <c r="F90" s="248" t="n">
        <v>25.0</v>
      </c>
      <c r="G90" s="10">
        <f si="3" t="shared"/>
        <v>5.2591270506486804E-5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98">
        <v>80</v>
      </c>
      <c r="F91" s="248" t="n">
        <v>14.0</v>
      </c>
      <c r="G91" s="10">
        <f si="3" t="shared"/>
        <v>4.6017361693175956E-5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99">
        <v>81</v>
      </c>
      <c r="F92" s="248" t="n">
        <v>16.0</v>
      </c>
      <c r="G92" s="10">
        <f si="3" t="shared"/>
        <v>4.9304316099831376E-5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00">
        <v>82</v>
      </c>
      <c r="F93" s="248" t="n">
        <v>9.0</v>
      </c>
      <c r="G93" s="10">
        <f si="3" t="shared"/>
        <v>1.6434772033277127E-5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01">
        <v>83</v>
      </c>
      <c r="F94" s="248" t="n">
        <v>25.0</v>
      </c>
      <c r="G94" s="10">
        <f si="3" t="shared"/>
        <v>1.0518254101297361E-4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02">
        <v>84</v>
      </c>
      <c r="F95" s="248" t="n">
        <v>7.0</v>
      </c>
      <c r="G95" s="10">
        <f si="3" t="shared"/>
        <v>1.9721726439932551E-5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03">
        <v>85</v>
      </c>
      <c r="F96" s="248" t="n">
        <v>21.0</v>
      </c>
      <c r="G96" s="10">
        <f si="3" t="shared"/>
        <v>6.2452133726453079E-5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04">
        <v>86</v>
      </c>
      <c r="F97" s="248" t="n">
        <v>21.0</v>
      </c>
      <c r="G97" s="10">
        <f si="3" t="shared"/>
        <v>7.2312996946419361E-5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05">
        <v>87</v>
      </c>
      <c r="F98" s="248" t="n">
        <v>12.0</v>
      </c>
      <c r="G98" s="10">
        <f si="3" t="shared"/>
        <v>6.2452133726453079E-5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06">
        <v>88</v>
      </c>
      <c r="F99" s="248" t="n">
        <v>41.0</v>
      </c>
      <c r="G99" s="10">
        <f si="3" t="shared"/>
        <v>1.1175644982628446E-4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07">
        <v>89</v>
      </c>
      <c r="F100" s="248" t="n">
        <v>15.0</v>
      </c>
      <c r="G100" s="10">
        <f si="3" t="shared"/>
        <v>2.9582589659898829E-5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345.0</v>
      </c>
      <c r="G101" s="10">
        <f si="3" t="shared"/>
        <v>1.1537209967360544E-3</v>
      </c>
    </row>
    <row r="102" spans="1:7" x14ac:dyDescent="0.25">
      <c r="B102" s="246">
        <f>SUM(B11:B101)</f>
        <v>269143.75483299996</v>
      </c>
      <c r="C102" s="10">
        <f si="2" t="shared"/>
        <v>1</v>
      </c>
      <c r="F102" s="246">
        <f>SUM(F11:F101)</f>
        <v>304233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S15" sqref="S15"/>
    </sheetView>
  </sheetViews>
  <sheetFormatPr defaultRowHeight="15" x14ac:dyDescent="0.25"/>
  <cols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0</v>
      </c>
    </row>
    <row r="2" spans="1:12" x14ac:dyDescent="0.25">
      <c r="A2" t="s">
        <v>240</v>
      </c>
    </row>
    <row r="3" spans="1:12" x14ac:dyDescent="0.25">
      <c r="A3" t="s">
        <v>241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34</v>
      </c>
      <c r="E10" s="2" t="s">
        <v>15</v>
      </c>
      <c r="F10" s="5" t="s">
        <v>4</v>
      </c>
      <c r="G10" s="5" t="s">
        <v>16</v>
      </c>
      <c r="J10" s="2"/>
      <c r="K10" s="5" t="s">
        <v>34</v>
      </c>
      <c r="L10" s="5" t="s">
        <v>16</v>
      </c>
    </row>
    <row r="11" spans="1:12" x14ac:dyDescent="0.25">
      <c r="A11">
        <v>0</v>
      </c>
      <c r="B11" s="246" t="n">
        <v>0.0</v>
      </c>
      <c r="C11" s="10">
        <f>B11/B$102</f>
        <v>0</v>
      </c>
      <c r="E11" s="108">
        <v>0</v>
      </c>
      <c r="F11" s="248" t="n">
        <v>9307.0</v>
      </c>
      <c r="G11" s="10">
        <f>F11/F$102</f>
        <v>3.0193963179536737E-2</v>
      </c>
      <c r="K11" s="8" t="n">
        <v>13.921960359032111</v>
      </c>
      <c r="L11" s="8" t="n">
        <v>16.555147080334343</v>
      </c>
    </row>
    <row r="12" spans="1:12" x14ac:dyDescent="0.25">
      <c r="A12">
        <v>1</v>
      </c>
      <c r="B12" s="246" t="n">
        <v>0.0</v>
      </c>
      <c r="C12" s="10">
        <f>B12/B$102</f>
        <v>0</v>
      </c>
      <c r="E12" s="109">
        <v>1</v>
      </c>
      <c r="F12" s="248" t="n">
        <v>4403.0</v>
      </c>
      <c r="G12" s="10">
        <f>F12/F$102</f>
        <v>1.4784720921136103E-2</v>
      </c>
      <c r="K12" s="8"/>
      <c r="L12" s="199"/>
    </row>
    <row r="13" spans="1:12" x14ac:dyDescent="0.25">
      <c r="A13">
        <v>2</v>
      </c>
      <c r="B13" s="246" t="n">
        <v>2508.653911</v>
      </c>
      <c r="C13" s="10">
        <f ref="C13:C76" si="0" t="shared">B13/B$102</f>
        <v>9.3208698546863311E-3</v>
      </c>
      <c r="E13" s="110">
        <v>2</v>
      </c>
      <c r="F13" s="248" t="n">
        <v>3874.0</v>
      </c>
      <c r="G13" s="10">
        <f ref="G13:G76" si="1" t="shared">F13/F$102</f>
        <v>1.2595609286303589E-2</v>
      </c>
    </row>
    <row r="14" spans="1:12" x14ac:dyDescent="0.25">
      <c r="A14">
        <v>3</v>
      </c>
      <c r="B14" s="246" t="n">
        <v>16362.994607</v>
      </c>
      <c r="C14" s="10">
        <f si="0" t="shared"/>
        <v>6.079648631324551E-2</v>
      </c>
      <c r="E14" s="111">
        <v>3</v>
      </c>
      <c r="F14" s="248" t="n">
        <v>6214.0</v>
      </c>
      <c r="G14" s="10">
        <f si="1" t="shared"/>
        <v>1.9803900300098938E-2</v>
      </c>
    </row>
    <row r="15" spans="1:12" x14ac:dyDescent="0.25">
      <c r="A15">
        <v>4</v>
      </c>
      <c r="B15" s="246" t="n">
        <v>16627.718992</v>
      </c>
      <c r="C15" s="10">
        <f si="0" t="shared"/>
        <v>6.1780066204089552E-2</v>
      </c>
      <c r="E15" s="112">
        <v>4</v>
      </c>
      <c r="F15" s="248" t="n">
        <v>9977.0</v>
      </c>
      <c r="G15" s="10">
        <f si="1" t="shared"/>
        <v>3.2846535385707663E-2</v>
      </c>
    </row>
    <row r="16" spans="1:12" x14ac:dyDescent="0.25">
      <c r="A16">
        <v>5</v>
      </c>
      <c r="B16" s="246" t="n">
        <v>19605.347251</v>
      </c>
      <c r="C16" s="10">
        <f si="0" t="shared"/>
        <v>7.2843403939150786E-2</v>
      </c>
      <c r="E16" s="113">
        <v>5</v>
      </c>
      <c r="F16" s="248" t="n">
        <v>14283.0</v>
      </c>
      <c r="G16" s="10">
        <f si="1" t="shared"/>
        <v>4.5961483468262815E-2</v>
      </c>
    </row>
    <row r="17" spans="1:7" x14ac:dyDescent="0.25">
      <c r="A17">
        <v>6</v>
      </c>
      <c r="B17" s="246" t="n">
        <v>12966.613722</v>
      </c>
      <c r="C17" s="10">
        <f si="0" t="shared"/>
        <v>4.8177278830213228E-2</v>
      </c>
      <c r="E17" s="114">
        <v>6</v>
      </c>
      <c r="F17" s="248" t="n">
        <v>17958.0</v>
      </c>
      <c r="G17" s="10">
        <f si="1" t="shared"/>
        <v>5.802789309509488E-2</v>
      </c>
    </row>
    <row r="18" spans="1:7" x14ac:dyDescent="0.25">
      <c r="A18">
        <v>7</v>
      </c>
      <c r="B18" s="246" t="n">
        <v>19528.240107999998</v>
      </c>
      <c r="C18" s="10">
        <f si="0" t="shared"/>
        <v>7.2556913386740071E-2</v>
      </c>
      <c r="E18" s="115">
        <v>7</v>
      </c>
      <c r="F18" s="248" t="n">
        <v>19646.0</v>
      </c>
      <c r="G18" s="10">
        <f si="1" t="shared"/>
        <v>6.3997002297581124E-2</v>
      </c>
    </row>
    <row r="19" spans="1:7" x14ac:dyDescent="0.25">
      <c r="A19">
        <v>8</v>
      </c>
      <c r="B19" s="246" t="n">
        <v>18870.208742</v>
      </c>
      <c r="C19" s="10">
        <f si="0" t="shared"/>
        <v>7.0112006699574694E-2</v>
      </c>
      <c r="E19" s="116">
        <v>8</v>
      </c>
      <c r="F19" s="248" t="n">
        <v>20427.0</v>
      </c>
      <c r="G19" s="10">
        <f si="1" t="shared"/>
        <v>6.6899383038657875E-2</v>
      </c>
    </row>
    <row r="20" spans="1:7" x14ac:dyDescent="0.25">
      <c r="A20">
        <v>9</v>
      </c>
      <c r="B20" s="246" t="n">
        <v>23467.840539</v>
      </c>
      <c r="C20" s="10">
        <f si="0" t="shared"/>
        <v>8.7194445784415306E-2</v>
      </c>
      <c r="E20" s="117">
        <v>9</v>
      </c>
      <c r="F20" s="248" t="n">
        <v>19459.0</v>
      </c>
      <c r="G20" s="10">
        <f si="1" t="shared"/>
        <v>6.3487524364549533E-2</v>
      </c>
    </row>
    <row r="21" spans="1:7" x14ac:dyDescent="0.25">
      <c r="A21">
        <v>10</v>
      </c>
      <c r="B21" s="246" t="n">
        <v>11578.955754999999</v>
      </c>
      <c r="C21" s="10">
        <f si="0" t="shared"/>
        <v>4.3021454323488105E-2</v>
      </c>
      <c r="E21" s="118">
        <v>10</v>
      </c>
      <c r="F21" s="248" t="n">
        <v>18165.0</v>
      </c>
      <c r="G21" s="10">
        <f si="1" t="shared"/>
        <v>5.9543179076563028E-2</v>
      </c>
    </row>
    <row r="22" spans="1:7" x14ac:dyDescent="0.25">
      <c r="A22">
        <v>11</v>
      </c>
      <c r="B22" s="246" t="n">
        <v>14688.348405</v>
      </c>
      <c r="C22" s="10">
        <f si="0" t="shared"/>
        <v>5.457436088054099E-2</v>
      </c>
      <c r="E22" s="119">
        <v>11</v>
      </c>
      <c r="F22" s="248" t="n">
        <v>16783.0</v>
      </c>
      <c r="G22" s="10">
        <f si="1" t="shared"/>
        <v>5.5878224913142233E-2</v>
      </c>
    </row>
    <row r="23" spans="1:7" x14ac:dyDescent="0.25">
      <c r="A23">
        <v>12</v>
      </c>
      <c r="B23" s="246" t="n">
        <v>12545.723759</v>
      </c>
      <c r="C23" s="10">
        <f si="0" t="shared"/>
        <v>4.6613467835374595E-2</v>
      </c>
      <c r="E23" s="120">
        <v>12</v>
      </c>
      <c r="F23" s="248" t="n">
        <v>14968.0</v>
      </c>
      <c r="G23" s="10">
        <f si="1" t="shared"/>
        <v>4.9974854798789083E-2</v>
      </c>
    </row>
    <row r="24" spans="1:7" x14ac:dyDescent="0.25">
      <c r="A24">
        <v>13</v>
      </c>
      <c r="B24" s="246" t="n">
        <v>10607.769273</v>
      </c>
      <c r="C24" s="10">
        <f si="0" t="shared"/>
        <v>3.9413024016039189E-2</v>
      </c>
      <c r="E24" s="121">
        <v>13</v>
      </c>
      <c r="F24" s="248" t="n">
        <v>13646.0</v>
      </c>
      <c r="G24" s="10">
        <f si="1" t="shared"/>
        <v>4.4350875809001655E-2</v>
      </c>
    </row>
    <row r="25" spans="1:7" x14ac:dyDescent="0.25">
      <c r="A25">
        <v>14</v>
      </c>
      <c r="B25" s="246" t="n">
        <v>7362.212668</v>
      </c>
      <c r="C25" s="10">
        <f si="0" t="shared"/>
        <v>2.7354202116144758E-2</v>
      </c>
      <c r="E25" s="122">
        <v>14</v>
      </c>
      <c r="F25" s="248" t="n">
        <v>11811.0</v>
      </c>
      <c r="G25" s="10">
        <f si="1" t="shared"/>
        <v>3.9111470484792903E-2</v>
      </c>
    </row>
    <row r="26" spans="1:7" x14ac:dyDescent="0.25">
      <c r="A26">
        <v>15</v>
      </c>
      <c r="B26" s="246" t="n">
        <v>5216.345936</v>
      </c>
      <c r="C26" s="10">
        <f si="0" t="shared"/>
        <v>1.9381263144064655E-2</v>
      </c>
      <c r="E26" s="123">
        <v>15</v>
      </c>
      <c r="F26" s="248" t="n">
        <v>10151.0</v>
      </c>
      <c r="G26" s="10">
        <f si="1" t="shared"/>
        <v>3.3139074327899996E-2</v>
      </c>
    </row>
    <row r="27" spans="1:7" x14ac:dyDescent="0.25">
      <c r="A27">
        <v>16</v>
      </c>
      <c r="B27" s="246" t="n">
        <v>7395.990781</v>
      </c>
      <c r="C27" s="10">
        <f si="0" t="shared"/>
        <v>2.7479704240542777E-2</v>
      </c>
      <c r="E27" s="124">
        <v>16</v>
      </c>
      <c r="F27" s="248" t="n">
        <v>8396.0</v>
      </c>
      <c r="G27" s="10">
        <f si="1" t="shared"/>
        <v>2.8225077489950137E-2</v>
      </c>
    </row>
    <row r="28" spans="1:7" x14ac:dyDescent="0.25">
      <c r="A28">
        <v>17</v>
      </c>
      <c r="B28" s="246" t="n">
        <v>8642.767236</v>
      </c>
      <c r="C28" s="10">
        <f si="0" t="shared"/>
        <v>3.2112085384863237E-2</v>
      </c>
      <c r="E28" s="125">
        <v>17</v>
      </c>
      <c r="F28" s="248" t="n">
        <v>7374.0</v>
      </c>
      <c r="G28" s="10">
        <f si="1" t="shared"/>
        <v>2.4316888700436835E-2</v>
      </c>
    </row>
    <row r="29" spans="1:7" x14ac:dyDescent="0.25">
      <c r="A29">
        <v>18</v>
      </c>
      <c r="B29" s="246" t="n">
        <v>7050.370855</v>
      </c>
      <c r="C29" s="10">
        <f si="0" t="shared"/>
        <v>2.6195558055488427E-2</v>
      </c>
      <c r="E29" s="126">
        <v>18</v>
      </c>
      <c r="F29" s="248" t="n">
        <v>6494.0</v>
      </c>
      <c r="G29" s="10">
        <f si="1" t="shared"/>
        <v>2.1562420907659589E-2</v>
      </c>
    </row>
    <row r="30" spans="1:7" x14ac:dyDescent="0.25">
      <c r="A30">
        <v>19</v>
      </c>
      <c r="B30" s="246" t="n">
        <v>5233.8095</v>
      </c>
      <c r="C30" s="10">
        <f si="0" t="shared"/>
        <v>1.9446148781150443E-2</v>
      </c>
      <c r="E30" s="127">
        <v>19</v>
      </c>
      <c r="F30" s="248" t="n">
        <v>5759.0</v>
      </c>
      <c r="G30" s="10">
        <f si="1" t="shared"/>
        <v>1.9389744044860355E-2</v>
      </c>
    </row>
    <row r="31" spans="1:7" x14ac:dyDescent="0.25">
      <c r="A31">
        <v>20</v>
      </c>
      <c r="B31" s="246" t="n">
        <v>2541.5963739999997</v>
      </c>
      <c r="C31" s="10">
        <f si="0" t="shared"/>
        <v>9.4432671327522484E-3</v>
      </c>
      <c r="E31" s="128">
        <v>20</v>
      </c>
      <c r="F31" s="248" t="n">
        <v>5058.0</v>
      </c>
      <c r="G31" s="10">
        <f si="1" t="shared"/>
        <v>1.7272945406974261E-2</v>
      </c>
    </row>
    <row r="32" spans="1:7" x14ac:dyDescent="0.25">
      <c r="A32">
        <v>21</v>
      </c>
      <c r="B32" s="246" t="n">
        <v>3215.356766</v>
      </c>
      <c r="C32" s="10">
        <f si="0" t="shared"/>
        <v>1.1946614804401024E-2</v>
      </c>
      <c r="E32" s="129">
        <v>21</v>
      </c>
      <c r="F32" s="248" t="n">
        <v>4573.0</v>
      </c>
      <c r="G32" s="10">
        <f si="1" t="shared"/>
        <v>1.5484842209753708E-2</v>
      </c>
    </row>
    <row r="33" spans="1:7" x14ac:dyDescent="0.25">
      <c r="A33">
        <v>22</v>
      </c>
      <c r="B33" s="246" t="n">
        <v>2692.724462</v>
      </c>
      <c r="C33" s="10">
        <f si="0" t="shared"/>
        <v>1.0004781510426638E-2</v>
      </c>
      <c r="E33" s="130">
        <v>22</v>
      </c>
      <c r="F33" s="248" t="n">
        <v>4059.0</v>
      </c>
      <c r="G33" s="10">
        <f si="1" t="shared"/>
        <v>1.3295730574921196E-2</v>
      </c>
    </row>
    <row r="34" spans="1:7" x14ac:dyDescent="0.25">
      <c r="A34">
        <v>23</v>
      </c>
      <c r="B34" s="246" t="n">
        <v>2021.463005</v>
      </c>
      <c r="C34" s="10">
        <f si="0" t="shared"/>
        <v>7.5107185981494861E-3</v>
      </c>
      <c r="E34" s="131">
        <v>23</v>
      </c>
      <c r="F34" s="248" t="n">
        <v>3650.0</v>
      </c>
      <c r="G34" s="10">
        <f si="1" t="shared"/>
        <v>1.2713939644943184E-2</v>
      </c>
    </row>
    <row r="35" spans="1:7" x14ac:dyDescent="0.25">
      <c r="A35">
        <v>24</v>
      </c>
      <c r="B35" s="246" t="n">
        <v>4241.527388</v>
      </c>
      <c r="C35" s="10">
        <f si="0" t="shared"/>
        <v>1.5759337944258846E-2</v>
      </c>
      <c r="E35" s="132">
        <v>24</v>
      </c>
      <c r="F35" s="248" t="n">
        <v>3313.0</v>
      </c>
      <c r="G35" s="10">
        <f si="1" t="shared"/>
        <v>1.0653019231970233E-2</v>
      </c>
    </row>
    <row r="36" spans="1:7" x14ac:dyDescent="0.25">
      <c r="A36">
        <v>25</v>
      </c>
      <c r="B36" s="246" t="n">
        <v>2451.328497</v>
      </c>
      <c r="C36" s="10">
        <f si="0" t="shared"/>
        <v>9.1078780502301237E-3</v>
      </c>
      <c r="E36" s="133">
        <v>25</v>
      </c>
      <c r="F36" s="248" t="n">
        <v>2910.0</v>
      </c>
      <c r="G36" s="10">
        <f si="1" t="shared"/>
        <v>9.5913329586205312E-3</v>
      </c>
    </row>
    <row r="37" spans="1:7" x14ac:dyDescent="0.25">
      <c r="A37">
        <v>26</v>
      </c>
      <c r="B37" s="246" t="n">
        <v>4043.2117089999997</v>
      </c>
      <c r="C37" s="10">
        <f si="0" t="shared"/>
        <v>1.5022498707089653E-2</v>
      </c>
      <c r="E37" s="134">
        <v>26</v>
      </c>
      <c r="F37" s="248" t="n">
        <v>2828.0</v>
      </c>
      <c r="G37" s="10">
        <f si="1" t="shared"/>
        <v>9.2593505635483325E-3</v>
      </c>
    </row>
    <row r="38" spans="1:7" x14ac:dyDescent="0.25">
      <c r="A38">
        <v>27</v>
      </c>
      <c r="B38" s="246" t="n">
        <v>3201.377858</v>
      </c>
      <c r="C38" s="10">
        <f si="0" t="shared"/>
        <v>1.1894676359800392E-2</v>
      </c>
      <c r="E38" s="135">
        <v>27</v>
      </c>
      <c r="F38" s="248" t="n">
        <v>2514.0</v>
      </c>
      <c r="G38" s="10">
        <f si="1" t="shared"/>
        <v>8.3652989649380567E-3</v>
      </c>
    </row>
    <row r="39" spans="1:7" x14ac:dyDescent="0.25">
      <c r="A39">
        <v>28</v>
      </c>
      <c r="B39" s="246" t="n">
        <v>1238.21035</v>
      </c>
      <c r="C39" s="10">
        <f si="0" t="shared"/>
        <v>4.6005538964420398E-3</v>
      </c>
      <c r="E39" s="136">
        <v>28</v>
      </c>
      <c r="F39" s="248" t="n">
        <v>2255.0</v>
      </c>
      <c r="G39" s="10">
        <f si="1" t="shared"/>
        <v>7.0702389287158199E-3</v>
      </c>
    </row>
    <row r="40" spans="1:7" x14ac:dyDescent="0.25">
      <c r="A40">
        <v>29</v>
      </c>
      <c r="B40" s="246" t="n">
        <v>1663.652179</v>
      </c>
      <c r="C40" s="10">
        <f si="0" t="shared"/>
        <v>6.1812772881624988E-3</v>
      </c>
      <c r="E40" s="137">
        <v>29</v>
      </c>
      <c r="F40" s="248" t="n">
        <v>2020.0</v>
      </c>
      <c r="G40" s="10">
        <f si="1" t="shared"/>
        <v>6.7908478041501085E-3</v>
      </c>
    </row>
    <row r="41" spans="1:7" x14ac:dyDescent="0.25">
      <c r="A41">
        <v>30</v>
      </c>
      <c r="B41" s="246" t="n">
        <v>2454.426116</v>
      </c>
      <c r="C41" s="10">
        <f si="0" t="shared"/>
        <v>9.1193872119490049E-3</v>
      </c>
      <c r="E41" s="138">
        <v>30</v>
      </c>
      <c r="F41" s="248" t="n">
        <v>1824.0</v>
      </c>
      <c r="G41" s="10">
        <f si="1" t="shared"/>
        <v>6.0545700170592937E-3</v>
      </c>
    </row>
    <row r="42" spans="1:7" x14ac:dyDescent="0.25">
      <c r="A42">
        <v>31</v>
      </c>
      <c r="B42" s="246" t="n">
        <v>1738.034477</v>
      </c>
      <c r="C42" s="10">
        <f si="0" t="shared"/>
        <v>6.457643715636E-3</v>
      </c>
      <c r="E42" s="139">
        <v>31</v>
      </c>
      <c r="F42" s="248" t="n">
        <v>1621.0</v>
      </c>
      <c r="G42" s="10">
        <f si="1" t="shared"/>
        <v>5.2919965947152347E-3</v>
      </c>
    </row>
    <row r="43" spans="1:7" x14ac:dyDescent="0.25">
      <c r="A43">
        <v>32</v>
      </c>
      <c r="B43" s="246" t="n">
        <v>937.94841</v>
      </c>
      <c r="C43" s="10">
        <f si="0" t="shared"/>
        <v>3.484934698120651E-3</v>
      </c>
      <c r="E43" s="140">
        <v>32</v>
      </c>
      <c r="F43" s="248" t="n">
        <v>1411.0</v>
      </c>
      <c r="G43" s="10">
        <f si="1" t="shared"/>
        <v>4.848257749816752E-3</v>
      </c>
    </row>
    <row r="44" spans="1:7" x14ac:dyDescent="0.25">
      <c r="A44">
        <v>33</v>
      </c>
      <c r="B44" s="246" t="n">
        <v>2201.595417</v>
      </c>
      <c r="C44" s="10">
        <f si="0" t="shared"/>
        <v>8.1799981514193345E-3</v>
      </c>
      <c r="E44" s="141">
        <v>33</v>
      </c>
      <c r="F44" s="248" t="n">
        <v>1355.0</v>
      </c>
      <c r="G44" s="10">
        <f si="1" t="shared"/>
        <v>4.3190580903452284E-3</v>
      </c>
    </row>
    <row r="45" spans="1:7" x14ac:dyDescent="0.25">
      <c r="A45">
        <v>34</v>
      </c>
      <c r="B45" s="246" t="n">
        <v>762.437003</v>
      </c>
      <c r="C45" s="10">
        <f si="0" t="shared"/>
        <v>2.8328244267569248E-3</v>
      </c>
      <c r="E45" s="142">
        <v>34</v>
      </c>
      <c r="F45" s="248" t="n">
        <v>1379.0</v>
      </c>
      <c r="G45" s="10">
        <f si="1" t="shared"/>
        <v>4.2368842301788428E-3</v>
      </c>
    </row>
    <row r="46" spans="1:7" x14ac:dyDescent="0.25">
      <c r="A46">
        <v>35</v>
      </c>
      <c r="B46" s="246" t="n">
        <v>584.610418</v>
      </c>
      <c r="C46" s="10">
        <f si="0" t="shared"/>
        <v>2.1721121426827917E-3</v>
      </c>
      <c r="E46" s="143">
        <v>35</v>
      </c>
      <c r="F46" s="248" t="n">
        <v>1186.0</v>
      </c>
      <c r="G46" s="10">
        <f si="1" t="shared"/>
        <v>4.0100843761196187E-3</v>
      </c>
    </row>
    <row r="47" spans="1:7" x14ac:dyDescent="0.25">
      <c r="A47">
        <v>36</v>
      </c>
      <c r="B47" s="246" t="n">
        <v>1256.675691</v>
      </c>
      <c r="C47" s="10">
        <f si="0" t="shared"/>
        <v>4.6691616224933362E-3</v>
      </c>
      <c r="E47" s="144">
        <v>36</v>
      </c>
      <c r="F47" s="248" t="n">
        <v>1077.0</v>
      </c>
      <c r="G47" s="10">
        <f si="1" t="shared"/>
        <v>3.6879628442673873E-3</v>
      </c>
    </row>
    <row r="48" spans="1:7" x14ac:dyDescent="0.25">
      <c r="A48">
        <v>37</v>
      </c>
      <c r="B48" s="246" t="n">
        <v>476.03121</v>
      </c>
      <c r="C48" s="10">
        <f si="0" t="shared"/>
        <v>1.768687556192305E-3</v>
      </c>
      <c r="E48" s="145">
        <v>37</v>
      </c>
      <c r="F48" s="248" t="n">
        <v>1063.0</v>
      </c>
      <c r="G48" s="10">
        <f si="1" t="shared"/>
        <v>3.4085717197016759E-3</v>
      </c>
    </row>
    <row r="49" spans="1:7" x14ac:dyDescent="0.25">
      <c r="A49">
        <v>38</v>
      </c>
      <c r="B49" s="246" t="n">
        <v>468.05116399999997</v>
      </c>
      <c r="C49" s="10">
        <f si="0" t="shared"/>
        <v>1.7390378026434941E-3</v>
      </c>
      <c r="E49" s="146">
        <v>38</v>
      </c>
      <c r="F49" s="248" t="n">
        <v>964.0</v>
      </c>
      <c r="G49" s="10">
        <f si="1" t="shared"/>
        <v>3.2869544066554254E-3</v>
      </c>
    </row>
    <row r="50" spans="1:7" x14ac:dyDescent="0.25">
      <c r="A50">
        <v>39</v>
      </c>
      <c r="B50" s="246" t="n">
        <v>1022.3991159999999</v>
      </c>
      <c r="C50" s="10">
        <f si="0" t="shared"/>
        <v>3.7987101600569697E-3</v>
      </c>
      <c r="E50" s="147">
        <v>39</v>
      </c>
      <c r="F50" s="248" t="n">
        <v>948.0</v>
      </c>
      <c r="G50" s="10">
        <f si="1" t="shared"/>
        <v>3.2179283641156613E-3</v>
      </c>
    </row>
    <row r="51" spans="1:7" x14ac:dyDescent="0.25">
      <c r="A51">
        <v>40</v>
      </c>
      <c r="B51" s="246" t="n">
        <v>651.415714</v>
      </c>
      <c r="C51" s="10">
        <f si="0" t="shared"/>
        <v>2.4203263211668947E-3</v>
      </c>
      <c r="E51" s="148">
        <v>40</v>
      </c>
      <c r="F51" s="248" t="n">
        <v>872.0</v>
      </c>
      <c r="G51" s="10">
        <f si="1" t="shared"/>
        <v>2.8925198778567743E-3</v>
      </c>
    </row>
    <row r="52" spans="1:7" x14ac:dyDescent="0.25">
      <c r="A52">
        <v>41</v>
      </c>
      <c r="B52" s="246" t="n">
        <v>516.2338950000001</v>
      </c>
      <c r="C52" s="10">
        <f si="0" t="shared"/>
        <v>1.9180600914196048E-3</v>
      </c>
      <c r="E52" s="149">
        <v>41</v>
      </c>
      <c r="F52" s="248" t="n">
        <v>822.0</v>
      </c>
      <c r="G52" s="10">
        <f si="1" t="shared"/>
        <v>2.5999809356644413E-3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150">
        <v>42</v>
      </c>
      <c r="F53" s="248" t="n">
        <v>753.0</v>
      </c>
      <c r="G53" s="10">
        <f si="1" t="shared"/>
        <v>2.5342418475313329E-3</v>
      </c>
    </row>
    <row r="54" spans="1:7" x14ac:dyDescent="0.25">
      <c r="A54">
        <v>43</v>
      </c>
      <c r="B54" s="246" t="n">
        <v>940.857627</v>
      </c>
      <c r="C54" s="10">
        <f si="0" t="shared"/>
        <v>3.4957438547433082E-3</v>
      </c>
      <c r="E54" s="151">
        <v>43</v>
      </c>
      <c r="F54" s="248" t="n">
        <v>722.0</v>
      </c>
      <c r="G54" s="10">
        <f si="1" t="shared"/>
        <v>2.4685027593982244E-3</v>
      </c>
    </row>
    <row r="55" spans="1:7" x14ac:dyDescent="0.25">
      <c r="A55">
        <v>44</v>
      </c>
      <c r="B55" s="246" t="n">
        <v>185.70933399999998</v>
      </c>
      <c r="C55" s="10">
        <f si="0" t="shared"/>
        <v>6.9000053192848538E-4</v>
      </c>
      <c r="E55" s="152">
        <v>44</v>
      </c>
      <c r="F55" s="248" t="n">
        <v>615.0</v>
      </c>
      <c r="G55" s="10">
        <f si="1" t="shared"/>
        <v>2.1398073187326818E-3</v>
      </c>
    </row>
    <row r="56" spans="1:7" x14ac:dyDescent="0.25">
      <c r="A56">
        <v>45</v>
      </c>
      <c r="B56" s="246" t="n">
        <v>176.056027</v>
      </c>
      <c r="C56" s="10">
        <f si="0" t="shared"/>
        <v>6.5413379964636453E-4</v>
      </c>
      <c r="E56" s="153">
        <v>45</v>
      </c>
      <c r="F56" s="248" t="n">
        <v>631.0</v>
      </c>
      <c r="G56" s="10">
        <f si="1" t="shared"/>
        <v>2.2088333612724459E-3</v>
      </c>
    </row>
    <row r="57" spans="1:7" x14ac:dyDescent="0.25">
      <c r="A57">
        <v>46</v>
      </c>
      <c r="B57" s="246" t="n">
        <v>318.351686</v>
      </c>
      <c r="C57" s="10">
        <f si="0" t="shared"/>
        <v>1.1828314062034713E-3</v>
      </c>
      <c r="E57" s="154">
        <v>46</v>
      </c>
      <c r="F57" s="248" t="n">
        <v>545.0</v>
      </c>
      <c r="G57" s="10">
        <f si="1" t="shared"/>
        <v>1.824259695693761E-3</v>
      </c>
    </row>
    <row r="58" spans="1:7" x14ac:dyDescent="0.25">
      <c r="A58">
        <v>47</v>
      </c>
      <c r="B58" s="246" t="n">
        <v>883.537547</v>
      </c>
      <c r="C58" s="10">
        <f si="0" t="shared"/>
        <v>3.2827718686923362E-3</v>
      </c>
      <c r="E58" s="155">
        <v>47</v>
      </c>
      <c r="F58" s="248" t="n">
        <v>535.0</v>
      </c>
      <c r="G58" s="10">
        <f si="1" t="shared"/>
        <v>1.847268376540349E-3</v>
      </c>
    </row>
    <row r="59" spans="1:7" x14ac:dyDescent="0.25">
      <c r="A59">
        <v>48</v>
      </c>
      <c r="B59" s="246" t="n">
        <v>102.11775499999999</v>
      </c>
      <c r="C59" s="10">
        <f si="0" t="shared"/>
        <v>3.7941714480190181E-4</v>
      </c>
      <c r="E59" s="156">
        <v>48</v>
      </c>
      <c r="F59" s="248" t="n">
        <v>499.0</v>
      </c>
      <c r="G59" s="10">
        <f si="1" t="shared"/>
        <v>1.6303293857010909E-3</v>
      </c>
    </row>
    <row r="60" spans="1:7" x14ac:dyDescent="0.25">
      <c r="A60">
        <v>49</v>
      </c>
      <c r="B60" s="246" t="n">
        <v>1251.784767</v>
      </c>
      <c r="C60" s="10">
        <f si="0" t="shared"/>
        <v>4.6509894601742272E-3</v>
      </c>
      <c r="E60" s="157">
        <v>49</v>
      </c>
      <c r="F60" s="248" t="n">
        <v>474.0</v>
      </c>
      <c r="G60" s="10">
        <f si="1" t="shared"/>
        <v>1.4594077565550088E-3</v>
      </c>
    </row>
    <row r="61" spans="1:7" x14ac:dyDescent="0.25">
      <c r="A61">
        <v>50</v>
      </c>
      <c r="B61" s="246" t="n">
        <v>776.736683</v>
      </c>
      <c r="C61" s="10">
        <f si="0" t="shared"/>
        <v>2.8859546954078641E-3</v>
      </c>
      <c r="E61" s="158">
        <v>50</v>
      </c>
      <c r="F61" s="248" t="n">
        <v>481.0</v>
      </c>
      <c r="G61" s="10">
        <f si="1" t="shared"/>
        <v>1.3838078052019341E-3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159">
        <v>51</v>
      </c>
      <c r="F62" s="248" t="n">
        <v>439.0</v>
      </c>
      <c r="G62" s="10">
        <f si="1" t="shared"/>
        <v>1.475842528588286E-3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160">
        <v>52</v>
      </c>
      <c r="F63" s="248" t="n">
        <v>406.0</v>
      </c>
      <c r="G63" s="10">
        <f si="1" t="shared"/>
        <v>1.1701557687693314E-3</v>
      </c>
    </row>
    <row r="64" spans="1:7" x14ac:dyDescent="0.25">
      <c r="A64">
        <v>53</v>
      </c>
      <c r="B64" s="246" t="n">
        <v>195.483765</v>
      </c>
      <c r="C64" s="10">
        <f si="0" t="shared"/>
        <v>7.2631729880299415E-4</v>
      </c>
      <c r="E64" s="161">
        <v>53</v>
      </c>
      <c r="F64" s="248" t="n">
        <v>413.0</v>
      </c>
      <c r="G64" s="10">
        <f si="1" t="shared"/>
        <v>1.2227470392758182E-3</v>
      </c>
    </row>
    <row r="65" spans="1:7" x14ac:dyDescent="0.25">
      <c r="A65">
        <v>54</v>
      </c>
      <c r="B65" s="246" t="n">
        <v>122.01233500000001</v>
      </c>
      <c r="C65" s="10">
        <f si="0" t="shared"/>
        <v>4.533351891286012E-4</v>
      </c>
      <c r="E65" s="162">
        <v>54</v>
      </c>
      <c r="F65" s="248" t="n">
        <v>391.0</v>
      </c>
      <c r="G65" s="10">
        <f si="1" t="shared"/>
        <v>1.2260339936824736E-3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163">
        <v>55</v>
      </c>
      <c r="F66" s="248" t="n">
        <v>353.0</v>
      </c>
      <c r="G66" s="10">
        <f si="1" t="shared"/>
        <v>1.1833035863959532E-3</v>
      </c>
    </row>
    <row r="67" spans="1:7" x14ac:dyDescent="0.25">
      <c r="A67">
        <v>56</v>
      </c>
      <c r="B67" s="246" t="n">
        <v>350.858476</v>
      </c>
      <c r="C67" s="10">
        <f si="0" t="shared"/>
        <v>1.3036099470994697E-3</v>
      </c>
      <c r="E67" s="164">
        <v>56</v>
      </c>
      <c r="F67" s="248" t="n">
        <v>354.0</v>
      </c>
      <c r="G67" s="10">
        <f si="1" t="shared"/>
        <v>1.1077036350428783E-3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165">
        <v>57</v>
      </c>
      <c r="F68" s="248" t="n">
        <v>278.0</v>
      </c>
      <c r="G68" s="10">
        <f si="1" t="shared"/>
        <v>1.0485384557230807E-3</v>
      </c>
    </row>
    <row r="69" spans="1:7" x14ac:dyDescent="0.25">
      <c r="A69">
        <v>58</v>
      </c>
      <c r="B69" s="246" t="n">
        <v>61.176273</v>
      </c>
      <c r="C69" s="10">
        <f si="0" t="shared"/>
        <v>2.2729961926093732E-4</v>
      </c>
      <c r="E69" s="166">
        <v>58</v>
      </c>
      <c r="F69" s="248" t="n">
        <v>321.0</v>
      </c>
      <c r="G69" s="10">
        <f si="1" t="shared"/>
        <v>9.3020809708348532E-4</v>
      </c>
    </row>
    <row r="70" spans="1:7" x14ac:dyDescent="0.25">
      <c r="A70">
        <v>59</v>
      </c>
      <c r="B70" s="246" t="n">
        <v>764.474099</v>
      </c>
      <c r="C70" s="10">
        <f si="0" t="shared"/>
        <v>2.8403932295376689E-3</v>
      </c>
      <c r="E70" s="167">
        <v>59</v>
      </c>
      <c r="F70" s="248" t="n">
        <v>284.0</v>
      </c>
      <c r="G70" s="10">
        <f si="1" t="shared"/>
        <v>9.7951241318331665E-4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168">
        <v>60</v>
      </c>
      <c r="F71" s="248" t="n">
        <v>310.0</v>
      </c>
      <c r="G71" s="10">
        <f si="1" t="shared"/>
        <v>1.0682601821630133E-3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169">
        <v>61</v>
      </c>
      <c r="F72" s="248" t="n">
        <v>271.0</v>
      </c>
      <c r="G72" s="10">
        <f si="1" t="shared"/>
        <v>8.5132119132375517E-4</v>
      </c>
    </row>
    <row r="73" spans="1:7" x14ac:dyDescent="0.25">
      <c r="A73">
        <v>62</v>
      </c>
      <c r="B73" s="246" t="n">
        <v>54.563678</v>
      </c>
      <c r="C73" s="10">
        <f si="0" t="shared"/>
        <v>2.0273061150482936E-4</v>
      </c>
      <c r="E73" s="170">
        <v>62</v>
      </c>
      <c r="F73" s="248" t="n">
        <v>284.0</v>
      </c>
      <c r="G73" s="10">
        <f si="1" t="shared"/>
        <v>7.4285169590412609E-4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171">
        <v>63</v>
      </c>
      <c r="F74" s="248" t="n">
        <v>247.0</v>
      </c>
      <c r="G74" s="10">
        <f si="1" t="shared"/>
        <v>7.7243428556402491E-4</v>
      </c>
    </row>
    <row r="75" spans="1:7" x14ac:dyDescent="0.25">
      <c r="A75">
        <v>64</v>
      </c>
      <c r="B75" s="246" t="n">
        <v>359.173598</v>
      </c>
      <c r="C75" s="10">
        <f si="0" t="shared"/>
        <v>1.3345046710181406E-3</v>
      </c>
      <c r="E75" s="172">
        <v>64</v>
      </c>
      <c r="F75" s="248" t="n">
        <v>209.0</v>
      </c>
      <c r="G75" s="10">
        <f si="1" t="shared"/>
        <v>7.2641692387084898E-4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173">
        <v>65</v>
      </c>
      <c r="F76" s="248" t="n">
        <v>228.0</v>
      </c>
      <c r="G76" s="10">
        <f si="1" t="shared"/>
        <v>6.6067783573774044E-4</v>
      </c>
    </row>
    <row r="77" spans="1:7" x14ac:dyDescent="0.25">
      <c r="A77">
        <v>66</v>
      </c>
      <c r="B77" s="246" t="n">
        <v>61.041281</v>
      </c>
      <c r="C77" s="10">
        <f ref="C77:C102" si="2" t="shared">B77/B$102</f>
        <v>2.2679805830113067E-4</v>
      </c>
      <c r="E77" s="174">
        <v>66</v>
      </c>
      <c r="F77" s="248" t="n">
        <v>180.0</v>
      </c>
      <c r="G77" s="10">
        <f ref="G77:G102" si="3" t="shared">F77/F$102</f>
        <v>5.916517931979766E-4</v>
      </c>
    </row>
    <row r="78" spans="1:7" x14ac:dyDescent="0.25">
      <c r="A78">
        <v>67</v>
      </c>
      <c r="B78" s="246" t="n">
        <v>288.353613</v>
      </c>
      <c r="C78" s="10">
        <f si="2" t="shared"/>
        <v>1.0713739695684904E-3</v>
      </c>
      <c r="E78" s="175">
        <v>67</v>
      </c>
      <c r="F78" s="248" t="n">
        <v>175.0</v>
      </c>
      <c r="G78" s="10">
        <f si="3" t="shared"/>
        <v>6.6067783573774044E-4</v>
      </c>
    </row>
    <row r="79" spans="1:7" x14ac:dyDescent="0.25">
      <c r="A79">
        <v>68</v>
      </c>
      <c r="B79" s="246" t="n">
        <v>61.176273</v>
      </c>
      <c r="C79" s="10">
        <f si="2" t="shared"/>
        <v>2.2729961926093732E-4</v>
      </c>
      <c r="E79" s="176">
        <v>68</v>
      </c>
      <c r="F79" s="248" t="n">
        <v>168.0</v>
      </c>
      <c r="G79" s="10">
        <f si="3" t="shared"/>
        <v>4.6674752574507041E-4</v>
      </c>
    </row>
    <row r="80" spans="1:7" x14ac:dyDescent="0.25">
      <c r="A80">
        <v>69</v>
      </c>
      <c r="B80" s="246" t="n">
        <v>513.66995</v>
      </c>
      <c r="C80" s="10">
        <f si="2" t="shared"/>
        <v>1.9085337882676296E-3</v>
      </c>
      <c r="E80" s="177">
        <v>69</v>
      </c>
      <c r="F80" s="248" t="n">
        <v>183.0</v>
      </c>
      <c r="G80" s="10">
        <f si="3" t="shared"/>
        <v>5.94938747604632E-4</v>
      </c>
    </row>
    <row r="81" spans="1:7" x14ac:dyDescent="0.25">
      <c r="A81">
        <v>70</v>
      </c>
      <c r="B81" s="246" t="n">
        <v>63.887752</v>
      </c>
      <c r="C81" s="10">
        <f si="2" t="shared"/>
        <v>2.3737408300497786E-4</v>
      </c>
      <c r="E81" s="178">
        <v>70</v>
      </c>
      <c r="F81" s="248" t="n">
        <v>148.0</v>
      </c>
      <c r="G81" s="10">
        <f si="3" t="shared"/>
        <v>5.4892138591145607E-4</v>
      </c>
    </row>
    <row r="82" spans="1:7" x14ac:dyDescent="0.25">
      <c r="A82">
        <v>71</v>
      </c>
      <c r="B82" s="246" t="n">
        <v>78.567796</v>
      </c>
      <c r="C82" s="10">
        <f si="2" t="shared"/>
        <v>2.9191758898046953E-4</v>
      </c>
      <c r="E82" s="179">
        <v>71</v>
      </c>
      <c r="F82" s="248" t="n">
        <v>162.0</v>
      </c>
      <c r="G82" s="10">
        <f si="3" t="shared"/>
        <v>4.4045189049182699E-4</v>
      </c>
    </row>
    <row r="83" spans="1:7" x14ac:dyDescent="0.25">
      <c r="A83">
        <v>72</v>
      </c>
      <c r="B83" s="246" t="n">
        <v>53.812839</v>
      </c>
      <c r="C83" s="10">
        <f si="2" t="shared"/>
        <v>1.9994087930217845E-4</v>
      </c>
      <c r="E83" s="180">
        <v>72</v>
      </c>
      <c r="F83" s="248" t="n">
        <v>135.0</v>
      </c>
      <c r="G83" s="10">
        <f si="3" t="shared"/>
        <v>4.8318229777834752E-4</v>
      </c>
    </row>
    <row r="84" spans="1:7" x14ac:dyDescent="0.25">
      <c r="A84">
        <v>73</v>
      </c>
      <c r="B84" s="246" t="n">
        <v>37.361886</v>
      </c>
      <c r="C84" s="10">
        <f si="2" t="shared"/>
        <v>1.3881758476314083E-4</v>
      </c>
      <c r="E84" s="181">
        <v>73</v>
      </c>
      <c r="F84" s="248" t="n">
        <v>127.0</v>
      </c>
      <c r="G84" s="10">
        <f si="3" t="shared"/>
        <v>4.9633011540496923E-4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182">
        <v>74</v>
      </c>
      <c r="F85" s="248" t="n">
        <v>132.0</v>
      </c>
      <c r="G85" s="10">
        <f si="3" t="shared"/>
        <v>3.747128023587185E-4</v>
      </c>
    </row>
    <row r="86" spans="1:7" x14ac:dyDescent="0.25">
      <c r="A86">
        <v>75</v>
      </c>
      <c r="B86" s="246" t="n">
        <v>314.725454</v>
      </c>
      <c r="C86" s="10">
        <f si="2" t="shared"/>
        <v>1.1693581899950925E-3</v>
      </c>
      <c r="E86" s="183">
        <v>75</v>
      </c>
      <c r="F86" s="248" t="n">
        <v>115.0</v>
      </c>
      <c r="G86" s="10">
        <f si="3" t="shared"/>
        <v>4.3716493608517154E-4</v>
      </c>
    </row>
    <row r="87" spans="1:7" x14ac:dyDescent="0.25">
      <c r="A87">
        <v>76</v>
      </c>
      <c r="B87" s="246" t="n">
        <v>193.55729300000002</v>
      </c>
      <c r="C87" s="10">
        <f si="2" t="shared"/>
        <v>7.1915951800590545E-4</v>
      </c>
      <c r="E87" s="184">
        <v>76</v>
      </c>
      <c r="F87" s="248" t="n">
        <v>112.0</v>
      </c>
      <c r="G87" s="10">
        <f si="3" t="shared"/>
        <v>4.0429539201861732E-4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185">
        <v>77</v>
      </c>
      <c r="F88" s="248" t="n">
        <v>130.0</v>
      </c>
      <c r="G88" s="10">
        <f si="3" t="shared"/>
        <v>3.8786061998534021E-4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186">
        <v>78</v>
      </c>
      <c r="F89" s="248" t="n">
        <v>86.0</v>
      </c>
      <c r="G89" s="10">
        <f si="3" t="shared"/>
        <v>2.3994767168584603E-4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187">
        <v>79</v>
      </c>
      <c r="F90" s="248" t="n">
        <v>79.0</v>
      </c>
      <c r="G90" s="10">
        <f si="3" t="shared"/>
        <v>2.5309548931246777E-4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188">
        <v>80</v>
      </c>
      <c r="F91" s="248" t="n">
        <v>97.0</v>
      </c>
      <c r="G91" s="10">
        <f si="3" t="shared"/>
        <v>3.2212153185223166E-4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189">
        <v>81</v>
      </c>
      <c r="F92" s="248" t="n">
        <v>113.0</v>
      </c>
      <c r="G92" s="10">
        <f si="3" t="shared"/>
        <v>3.6485193913875219E-4</v>
      </c>
    </row>
    <row r="93" spans="1:7" x14ac:dyDescent="0.25">
      <c r="A93">
        <v>82</v>
      </c>
      <c r="B93" s="246" t="n">
        <v>294.487787</v>
      </c>
      <c r="C93" s="10">
        <f si="2" t="shared"/>
        <v>1.0941654105358137E-3</v>
      </c>
      <c r="E93" s="190">
        <v>82</v>
      </c>
      <c r="F93" s="248" t="n">
        <v>97.0</v>
      </c>
      <c r="G93" s="10">
        <f si="3" t="shared"/>
        <v>2.8925198778567744E-4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91">
        <v>83</v>
      </c>
      <c r="F94" s="248" t="n">
        <v>90.0</v>
      </c>
      <c r="G94" s="10">
        <f si="3" t="shared"/>
        <v>3.5499107591878594E-4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92">
        <v>84</v>
      </c>
      <c r="F95" s="248" t="n">
        <v>117.0</v>
      </c>
      <c r="G95" s="10">
        <f si="3" t="shared"/>
        <v>3.2212153185223166E-4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93">
        <v>85</v>
      </c>
      <c r="F96" s="248" t="n">
        <v>90.0</v>
      </c>
      <c r="G96" s="10">
        <f si="3" t="shared"/>
        <v>2.2679985405922435E-4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94">
        <v>86</v>
      </c>
      <c r="F97" s="248" t="n">
        <v>85.0</v>
      </c>
      <c r="G97" s="10">
        <f si="3" t="shared"/>
        <v>2.958258965989883E-4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95">
        <v>87</v>
      </c>
      <c r="F98" s="248" t="n">
        <v>87.0</v>
      </c>
      <c r="G98" s="10">
        <f si="3" t="shared"/>
        <v>2.7610417015905573E-4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96">
        <v>88</v>
      </c>
      <c r="F99" s="248" t="n">
        <v>64.0</v>
      </c>
      <c r="G99" s="10">
        <f si="3" t="shared"/>
        <v>2.6295635253243403E-4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97">
        <v>89</v>
      </c>
      <c r="F100" s="248" t="n">
        <v>56.0</v>
      </c>
      <c r="G100" s="10">
        <f si="3" t="shared"/>
        <v>2.1036508202594721E-4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4765.0</v>
      </c>
      <c r="G101" s="10">
        <f si="3" t="shared"/>
        <v>1.5590024750766682E-2</v>
      </c>
    </row>
    <row r="102" spans="1:7" x14ac:dyDescent="0.25">
      <c r="B102" s="246">
        <f>SUM(B11:B101)</f>
        <v>269143.75483300019</v>
      </c>
      <c r="C102" s="10">
        <f si="2" t="shared"/>
        <v>1</v>
      </c>
      <c r="F102" s="246">
        <f>SUM(F11:F101)</f>
        <v>304233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G13" workbookViewId="0">
      <selection activeCell="AE15" sqref="AE15"/>
    </sheetView>
  </sheetViews>
  <sheetFormatPr defaultRowHeight="15" x14ac:dyDescent="0.25"/>
  <cols>
    <col min="1" max="1" customWidth="true" width="12.140625" collapsed="true"/>
    <col min="4" max="4" bestFit="true" customWidth="true" width="12.28515625" collapsed="true"/>
    <col min="5" max="5" customWidth="true" width="11.0" collapsed="true"/>
    <col min="7" max="8" customWidth="true" width="11.42578125" collapsed="true"/>
    <col min="12" max="12" customWidth="true" width="11.5703125" collapsed="true"/>
    <col min="13" max="13" bestFit="true" customWidth="true" width="10.5703125" collapsed="true"/>
    <col min="14" max="14" bestFit="true" customWidth="true" width="9.5703125" collapsed="true"/>
    <col min="15" max="15" bestFit="true" customWidth="true" width="12.42578125" collapsed="true"/>
    <col min="16" max="16" customWidth="true" width="11.5703125" collapsed="true"/>
    <col min="17" max="18" bestFit="true" customWidth="true" width="10.5703125" collapsed="true"/>
    <col min="19" max="19" customWidth="true" width="10.5703125" collapsed="true"/>
    <col min="21" max="21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238</v>
      </c>
    </row>
    <row r="3" spans="1:21" x14ac:dyDescent="0.25">
      <c r="A3" t="s">
        <v>14</v>
      </c>
    </row>
    <row ht="15.75" r="5" spans="1:21" thickBot="1" x14ac:dyDescent="0.3">
      <c r="A5" s="4" t="s">
        <v>270</v>
      </c>
      <c r="B5" s="1"/>
      <c r="C5" s="1"/>
      <c r="D5" s="1"/>
      <c r="E5" s="1"/>
      <c r="F5" s="1"/>
      <c r="G5" s="1"/>
      <c r="H5" s="1"/>
      <c r="I5" s="1"/>
      <c r="J5" s="1"/>
      <c r="L5" s="4" t="s">
        <v>271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02">
        <v>1</v>
      </c>
      <c r="B7" s="11" t="n">
        <v>94778.446515</v>
      </c>
      <c r="C7" s="11" t="n">
        <v>96.541248</v>
      </c>
      <c r="D7" s="11" t="n">
        <v>0.0</v>
      </c>
      <c r="E7" s="11" t="n">
        <v>1053.208649</v>
      </c>
      <c r="F7" s="11" t="n">
        <v>3434.028618</v>
      </c>
      <c r="G7" s="11" t="n">
        <v>5400.963329</v>
      </c>
      <c r="H7" s="11" t="n">
        <v>1875.295548</v>
      </c>
      <c r="I7" s="11"/>
      <c r="J7" s="11">
        <f ref="J7:J14" si="0" t="shared">SUM(B7:I7)</f>
        <v>106638.48390699999</v>
      </c>
      <c r="K7" s="11"/>
      <c r="L7">
        <f>$A$7</f>
        <v>1</v>
      </c>
      <c r="M7" s="248" t="n">
        <v>113545.0</v>
      </c>
      <c r="N7" s="248" t="n">
        <v>0.0</v>
      </c>
      <c r="O7" s="248" t="n">
        <v>33.0</v>
      </c>
      <c r="P7" s="248" t="n">
        <v>1906.0</v>
      </c>
      <c r="Q7" s="248" t="n">
        <v>447.0</v>
      </c>
      <c r="R7" s="248" t="n">
        <v>5535.0</v>
      </c>
      <c r="S7" s="248" t="n">
        <v>1243.0</v>
      </c>
      <c r="T7" s="248"/>
      <c r="U7" s="246">
        <f ref="U7:U14" si="1" t="shared">SUM(M7:T7)</f>
        <v>122674</v>
      </c>
    </row>
    <row r="8" spans="1:21" x14ac:dyDescent="0.25">
      <c r="A8">
        <v>2</v>
      </c>
      <c r="B8" s="11" t="n">
        <v>787.6091</v>
      </c>
      <c r="C8" s="11" t="n">
        <v>9700.700177</v>
      </c>
      <c r="D8" s="11" t="n">
        <v>0.0</v>
      </c>
      <c r="E8" s="11" t="n">
        <v>0.0</v>
      </c>
      <c r="F8" s="11" t="n">
        <v>0.0</v>
      </c>
      <c r="G8" s="11" t="n">
        <v>2401.048704</v>
      </c>
      <c r="H8" s="11" t="n">
        <v>0.0</v>
      </c>
      <c r="I8" s="11"/>
      <c r="J8" s="11">
        <f si="0" t="shared"/>
        <v>12889.357981000001</v>
      </c>
      <c r="K8" s="11"/>
      <c r="L8">
        <f>$A$8</f>
        <v>2</v>
      </c>
      <c r="M8" s="248" t="n">
        <v>319.0</v>
      </c>
      <c r="N8" s="248" t="n">
        <v>13911.0</v>
      </c>
      <c r="O8" s="248" t="n">
        <v>0.0</v>
      </c>
      <c r="P8" s="248" t="n">
        <v>143.0</v>
      </c>
      <c r="Q8" s="248" t="n">
        <v>0.0</v>
      </c>
      <c r="R8" s="248" t="n">
        <v>2482.0</v>
      </c>
      <c r="S8" s="248" t="n">
        <v>3.0</v>
      </c>
      <c r="T8" s="248"/>
      <c r="U8" s="246">
        <f si="1" t="shared"/>
        <v>16852</v>
      </c>
    </row>
    <row r="9" spans="1:21" x14ac:dyDescent="0.25">
      <c r="A9">
        <v>3</v>
      </c>
      <c r="B9" s="11" t="n">
        <v>706.023848</v>
      </c>
      <c r="C9" s="11" t="n">
        <v>0.0</v>
      </c>
      <c r="D9" s="11" t="n">
        <v>6774.352806</v>
      </c>
      <c r="E9" s="11" t="n">
        <v>0.0</v>
      </c>
      <c r="F9" s="11" t="n">
        <v>318.901676</v>
      </c>
      <c r="G9" s="11" t="n">
        <v>97.016045</v>
      </c>
      <c r="H9" s="11" t="n">
        <v>184.125331</v>
      </c>
      <c r="I9" s="11"/>
      <c r="J9" s="11">
        <f si="0" t="shared"/>
        <v>8080.4197060000006</v>
      </c>
      <c r="K9" s="12"/>
      <c r="L9">
        <f>$A$9</f>
        <v>3</v>
      </c>
      <c r="M9" s="248" t="n">
        <v>3200.0</v>
      </c>
      <c r="N9" s="248" t="n">
        <v>0.0</v>
      </c>
      <c r="O9" s="248" t="n">
        <v>8824.0</v>
      </c>
      <c r="P9" s="248" t="n">
        <v>14.0</v>
      </c>
      <c r="Q9" s="248" t="n">
        <v>721.0</v>
      </c>
      <c r="R9" s="248" t="n">
        <v>39.0</v>
      </c>
      <c r="S9" s="248" t="n">
        <v>16.0</v>
      </c>
      <c r="T9" s="248"/>
      <c r="U9" s="246">
        <f si="1" t="shared"/>
        <v>12934</v>
      </c>
    </row>
    <row r="10" spans="1:21" x14ac:dyDescent="0.25">
      <c r="A10">
        <v>4</v>
      </c>
      <c r="B10" s="11" t="n">
        <v>1022.699713</v>
      </c>
      <c r="C10" s="11" t="n">
        <v>0.0</v>
      </c>
      <c r="D10" s="11" t="n">
        <v>0.0</v>
      </c>
      <c r="E10" s="11" t="n">
        <v>43874.156192</v>
      </c>
      <c r="F10" s="11" t="n">
        <v>37.361886</v>
      </c>
      <c r="G10" s="11" t="n">
        <v>634.54264</v>
      </c>
      <c r="H10" s="11" t="n">
        <v>565.563235</v>
      </c>
      <c r="I10" s="11"/>
      <c r="J10" s="11">
        <f si="0" t="shared"/>
        <v>46134.323666000004</v>
      </c>
      <c r="K10" s="12"/>
      <c r="L10">
        <f>$A$10</f>
        <v>4</v>
      </c>
      <c r="M10" s="248" t="n">
        <v>2226.0</v>
      </c>
      <c r="N10" s="248" t="n">
        <v>2.0</v>
      </c>
      <c r="O10" s="248" t="n">
        <v>0.0</v>
      </c>
      <c r="P10" s="248" t="n">
        <v>50880.0</v>
      </c>
      <c r="Q10" s="248" t="n">
        <v>0.0</v>
      </c>
      <c r="R10" s="248" t="n">
        <v>344.0</v>
      </c>
      <c r="S10" s="248" t="n">
        <v>152.0</v>
      </c>
      <c r="T10" s="248"/>
      <c r="U10" s="246">
        <f si="1" t="shared"/>
        <v>53641</v>
      </c>
    </row>
    <row r="11" spans="1:21" x14ac:dyDescent="0.25">
      <c r="A11">
        <v>5</v>
      </c>
      <c r="B11" s="11" t="n">
        <v>4835.688561</v>
      </c>
      <c r="C11" s="11" t="n">
        <v>0.0</v>
      </c>
      <c r="D11" s="11" t="n">
        <v>1847.130163</v>
      </c>
      <c r="E11" s="11" t="n">
        <v>0.0</v>
      </c>
      <c r="F11" s="11" t="n">
        <v>29234.889226</v>
      </c>
      <c r="G11" s="11" t="n">
        <v>143.838658</v>
      </c>
      <c r="H11" s="11" t="n">
        <v>422.43066600000003</v>
      </c>
      <c r="I11" s="11"/>
      <c r="J11" s="11">
        <f si="0" t="shared"/>
        <v>36483.977273999997</v>
      </c>
      <c r="K11" s="12"/>
      <c r="L11">
        <f>$A$11</f>
        <v>5</v>
      </c>
      <c r="M11" s="248" t="n">
        <v>7094.0</v>
      </c>
      <c r="N11" s="248" t="n">
        <v>0.0</v>
      </c>
      <c r="O11" s="248" t="n">
        <v>995.0</v>
      </c>
      <c r="P11" s="248" t="n">
        <v>43.0</v>
      </c>
      <c r="Q11" s="248" t="n">
        <v>23600.0</v>
      </c>
      <c r="R11" s="248" t="n">
        <v>56.0</v>
      </c>
      <c r="S11" s="248" t="n">
        <v>415.0</v>
      </c>
      <c r="T11" s="248"/>
      <c r="U11" s="246">
        <f si="1" t="shared"/>
        <v>32262</v>
      </c>
    </row>
    <row r="12" spans="1:21" x14ac:dyDescent="0.25">
      <c r="A12">
        <v>6</v>
      </c>
      <c r="B12" s="11" t="n">
        <v>7845.325442</v>
      </c>
      <c r="C12" s="11" t="n">
        <v>692.489104</v>
      </c>
      <c r="D12" s="11" t="n">
        <v>0.0</v>
      </c>
      <c r="E12" s="11" t="n">
        <v>106.764339</v>
      </c>
      <c r="F12" s="11" t="n">
        <v>314.725454</v>
      </c>
      <c r="G12" s="11" t="n">
        <v>29462.219175</v>
      </c>
      <c r="H12" s="11" t="n">
        <v>0.0</v>
      </c>
      <c r="I12" s="11"/>
      <c r="J12" s="11">
        <f si="0" t="shared"/>
        <v>38421.523514</v>
      </c>
      <c r="K12" s="12"/>
      <c r="L12">
        <f>$A$12</f>
        <v>6</v>
      </c>
      <c r="M12" s="248" t="n">
        <v>4146.0</v>
      </c>
      <c r="N12" s="248" t="n">
        <v>1697.0</v>
      </c>
      <c r="O12" s="248" t="n">
        <v>0.0</v>
      </c>
      <c r="P12" s="248" t="n">
        <v>874.0</v>
      </c>
      <c r="Q12" s="248" t="n">
        <v>3.0</v>
      </c>
      <c r="R12" s="248" t="n">
        <v>35750.0</v>
      </c>
      <c r="S12" s="248" t="n">
        <v>5.0</v>
      </c>
      <c r="T12" s="248"/>
      <c r="U12" s="246">
        <f si="1" t="shared"/>
        <v>42282</v>
      </c>
    </row>
    <row r="13" spans="1:21" x14ac:dyDescent="0.25">
      <c r="A13">
        <v>7</v>
      </c>
      <c r="B13" s="11" t="n">
        <v>4247.6367</v>
      </c>
      <c r="C13" s="11" t="n">
        <v>0.0</v>
      </c>
      <c r="D13" s="11" t="n">
        <v>0.0</v>
      </c>
      <c r="E13" s="11" t="n">
        <v>366.382782</v>
      </c>
      <c r="F13" s="11" t="n">
        <v>321.147938</v>
      </c>
      <c r="G13" s="11" t="n">
        <v>611.980386</v>
      </c>
      <c r="H13" s="11" t="n">
        <v>14948.520979</v>
      </c>
      <c r="I13" s="11"/>
      <c r="J13" s="11">
        <f si="0" t="shared"/>
        <v>20495.668785000002</v>
      </c>
      <c r="K13" s="12"/>
      <c r="L13">
        <v>7</v>
      </c>
      <c r="M13" s="248" t="n">
        <v>4877.0</v>
      </c>
      <c r="N13" s="248" t="n">
        <v>0.0</v>
      </c>
      <c r="O13" s="248" t="n">
        <v>0.0</v>
      </c>
      <c r="P13" s="248" t="n">
        <v>1105.0</v>
      </c>
      <c r="Q13" s="248" t="n">
        <v>147.0</v>
      </c>
      <c r="R13" s="248" t="n">
        <v>73.0</v>
      </c>
      <c r="S13" s="248" t="n">
        <v>17568.0</v>
      </c>
      <c r="T13" s="248"/>
      <c r="U13" s="246">
        <f si="1" t="shared"/>
        <v>23588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si="0" t="shared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>
        <f si="1" t="shared"/>
        <v>0</v>
      </c>
    </row>
    <row ht="15.75" r="15" spans="1:21" thickBot="1" x14ac:dyDescent="0.3">
      <c r="A15" s="1" t="s">
        <v>4</v>
      </c>
      <c r="B15" s="14">
        <f ref="B15:J15" si="2" t="shared">SUM(B7:B14)</f>
        <v>114223.429879</v>
      </c>
      <c r="C15" s="14">
        <f si="2" t="shared"/>
        <v>10489.730529</v>
      </c>
      <c r="D15" s="14">
        <f si="2" t="shared"/>
        <v>8621.4829690000006</v>
      </c>
      <c r="E15" s="14">
        <f si="2" t="shared"/>
        <v>45400.511962000004</v>
      </c>
      <c r="F15" s="14">
        <f si="2" t="shared"/>
        <v>33661.054797999997</v>
      </c>
      <c r="G15" s="14">
        <f si="2" t="shared"/>
        <v>38751.608937000005</v>
      </c>
      <c r="H15" s="14">
        <f si="2" t="shared"/>
        <v>17995.935759</v>
      </c>
      <c r="I15" s="14">
        <f si="2" t="shared"/>
        <v>0</v>
      </c>
      <c r="J15" s="14">
        <f si="2" t="shared"/>
        <v>269143.75483300001</v>
      </c>
      <c r="K15" s="11"/>
      <c r="L15" s="14" t="s">
        <v>4</v>
      </c>
      <c r="M15" s="14">
        <f ref="M15:U15" si="3" t="shared">SUM(M7:M14)</f>
        <v>134763</v>
      </c>
      <c r="N15" s="14">
        <f si="3" t="shared"/>
        <v>15648</v>
      </c>
      <c r="O15" s="14">
        <f si="3" t="shared"/>
        <v>10045</v>
      </c>
      <c r="P15" s="14">
        <f si="3" t="shared"/>
        <v>54663</v>
      </c>
      <c r="Q15" s="14">
        <f si="3" t="shared"/>
        <v>25489</v>
      </c>
      <c r="R15" s="14">
        <f si="3" t="shared"/>
        <v>44312</v>
      </c>
      <c r="S15" s="14">
        <f si="3" t="shared"/>
        <v>19313</v>
      </c>
      <c r="T15" s="14">
        <f si="3" t="shared"/>
        <v>0</v>
      </c>
      <c r="U15" s="14">
        <f si="3" t="shared"/>
        <v>304233</v>
      </c>
    </row>
    <row ht="15.75" r="18" spans="1:32" thickBot="1" x14ac:dyDescent="0.3">
      <c r="A18" s="4" t="s">
        <v>272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271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1">
        <f ref="B20:I20" si="4" t="shared">IFERROR((($U7/$J7)*B7),0)</f>
        <v>109030.53683622276</v>
      </c>
      <c r="C20" s="11">
        <f si="4" t="shared"/>
        <v>111.05841552924208</v>
      </c>
      <c r="D20" s="11">
        <f si="4" t="shared"/>
        <v>0</v>
      </c>
      <c r="E20" s="11">
        <f si="4" t="shared"/>
        <v>1211.5824707345162</v>
      </c>
      <c r="F20" s="11">
        <f si="4" t="shared"/>
        <v>3950.4127520410025</v>
      </c>
      <c r="G20" s="11">
        <f si="4" t="shared"/>
        <v>6213.1207341579084</v>
      </c>
      <c r="H20" s="11">
        <f si="4" t="shared"/>
        <v>2157.2887913145864</v>
      </c>
      <c r="I20" s="11">
        <f si="4" t="shared"/>
        <v>0</v>
      </c>
      <c r="J20" s="11">
        <f ref="J20:J27" si="5" t="shared">SUM(B20:I20)</f>
        <v>122674.00000000001</v>
      </c>
      <c r="K20" s="11"/>
      <c r="L20">
        <f>$A$7</f>
        <v>1</v>
      </c>
      <c r="M20" s="11">
        <f ref="M20:U20" si="6" t="shared">M7</f>
        <v>113457</v>
      </c>
      <c r="N20" s="11">
        <f si="6" t="shared"/>
        <v>4</v>
      </c>
      <c r="O20" s="11">
        <f si="6" t="shared"/>
        <v>50</v>
      </c>
      <c r="P20" s="11">
        <f si="6" t="shared"/>
        <v>1763</v>
      </c>
      <c r="Q20" s="11">
        <f si="6" t="shared"/>
        <v>479</v>
      </c>
      <c r="R20" s="11">
        <f si="6" t="shared"/>
        <v>5676</v>
      </c>
      <c r="S20" s="11">
        <f si="6" t="shared"/>
        <v>1245</v>
      </c>
      <c r="T20" s="11">
        <f si="6" t="shared"/>
        <v>0</v>
      </c>
      <c r="U20" s="11">
        <f si="6" t="shared"/>
        <v>122674</v>
      </c>
    </row>
    <row r="21" spans="1:32" x14ac:dyDescent="0.25">
      <c r="A21">
        <f>$A$8</f>
        <v>2</v>
      </c>
      <c r="B21" s="11">
        <f ref="B21:G25" si="7" t="shared">IFERROR((($U8/$J8)*B8),0)</f>
        <v>1029.7478410301901</v>
      </c>
      <c r="C21" s="11">
        <f si="7" t="shared"/>
        <v>12683.036627874071</v>
      </c>
      <c r="D21" s="11">
        <f si="7" t="shared"/>
        <v>0</v>
      </c>
      <c r="E21" s="11">
        <f si="7" t="shared"/>
        <v>0</v>
      </c>
      <c r="F21" s="11">
        <f si="7" t="shared"/>
        <v>0</v>
      </c>
      <c r="G21" s="11">
        <f si="7" t="shared"/>
        <v>3139.2155310957369</v>
      </c>
      <c r="H21" s="11">
        <f ref="H21:H25" si="8" t="shared">IFERROR((($U8/$J8)*H8),0)</f>
        <v>0</v>
      </c>
      <c r="I21" s="11">
        <f>IFERROR((($U8/$J8)*I8),0)</f>
        <v>0</v>
      </c>
      <c r="J21" s="11">
        <f si="5" t="shared"/>
        <v>16852</v>
      </c>
      <c r="K21" s="11"/>
      <c r="L21">
        <f>$A$8</f>
        <v>2</v>
      </c>
      <c r="M21" s="11">
        <f ref="M21:R25" si="9" t="shared">M8</f>
        <v>305</v>
      </c>
      <c r="N21" s="11">
        <f si="9" t="shared"/>
        <v>13940</v>
      </c>
      <c r="O21" s="11">
        <f si="9" t="shared"/>
        <v>0</v>
      </c>
      <c r="P21" s="11">
        <f si="9" t="shared"/>
        <v>122</v>
      </c>
      <c r="Q21" s="11">
        <f si="9" t="shared"/>
        <v>0</v>
      </c>
      <c r="R21" s="11">
        <f si="9" t="shared"/>
        <v>2480</v>
      </c>
      <c r="S21" s="11">
        <f ref="S21:S25" si="10" t="shared">S8</f>
        <v>5</v>
      </c>
      <c r="T21" s="11">
        <f ref="T21" si="11" t="shared">T8</f>
        <v>0</v>
      </c>
      <c r="U21" s="11">
        <f>U8</f>
        <v>16852</v>
      </c>
    </row>
    <row r="22" spans="1:32" x14ac:dyDescent="0.25">
      <c r="A22">
        <f>$A$9</f>
        <v>3</v>
      </c>
      <c r="B22" s="11">
        <f si="7" t="shared"/>
        <v>1130.1037300390942</v>
      </c>
      <c r="C22" s="11">
        <f si="7" t="shared"/>
        <v>0</v>
      </c>
      <c r="D22" s="11">
        <f si="7" t="shared"/>
        <v>10843.431700428062</v>
      </c>
      <c r="E22" s="11">
        <f si="7" t="shared"/>
        <v>0</v>
      </c>
      <c r="F22" s="11">
        <f si="7" t="shared"/>
        <v>510.45297490194503</v>
      </c>
      <c r="G22" s="11">
        <f si="7" t="shared"/>
        <v>155.28964728134878</v>
      </c>
      <c r="H22" s="11">
        <f si="8" t="shared"/>
        <v>294.72194734955019</v>
      </c>
      <c r="I22" s="11">
        <f>IFERROR((($U9/$J9)*I9),0)</f>
        <v>0</v>
      </c>
      <c r="J22" s="11">
        <f si="5" t="shared"/>
        <v>12934</v>
      </c>
      <c r="K22" s="12"/>
      <c r="L22">
        <f>$A$9</f>
        <v>3</v>
      </c>
      <c r="M22" s="11">
        <f si="9" t="shared"/>
        <v>3035</v>
      </c>
      <c r="N22" s="11">
        <f si="9" t="shared"/>
        <v>0</v>
      </c>
      <c r="O22" s="11">
        <f si="9" t="shared"/>
        <v>9073</v>
      </c>
      <c r="P22" s="11">
        <f si="9" t="shared"/>
        <v>10</v>
      </c>
      <c r="Q22" s="11">
        <f si="9" t="shared"/>
        <v>754</v>
      </c>
      <c r="R22" s="11">
        <f si="9" t="shared"/>
        <v>38</v>
      </c>
      <c r="S22" s="11">
        <f si="10" t="shared"/>
        <v>24</v>
      </c>
      <c r="T22" s="11">
        <f ref="T22" si="12" t="shared">T9</f>
        <v>0</v>
      </c>
      <c r="U22" s="11">
        <f>U9</f>
        <v>12934</v>
      </c>
    </row>
    <row r="23" spans="1:32" x14ac:dyDescent="0.25">
      <c r="A23">
        <f>$A$10</f>
        <v>4</v>
      </c>
      <c r="B23" s="11">
        <f si="7" t="shared"/>
        <v>1189.1067419172468</v>
      </c>
      <c r="C23" s="11">
        <f si="7" t="shared"/>
        <v>0</v>
      </c>
      <c r="D23" s="11">
        <f si="7" t="shared"/>
        <v>0</v>
      </c>
      <c r="E23" s="11">
        <f si="7" t="shared"/>
        <v>51013.072811762417</v>
      </c>
      <c r="F23" s="11">
        <f si="7" t="shared"/>
        <v>43.441168476541456</v>
      </c>
      <c r="G23" s="11">
        <f si="7" t="shared"/>
        <v>737.79128092702274</v>
      </c>
      <c r="H23" s="11">
        <f si="8" t="shared"/>
        <v>657.58799691677257</v>
      </c>
      <c r="I23" s="11">
        <f>IFERROR((($U10/$J10)*I10),0)</f>
        <v>0</v>
      </c>
      <c r="J23" s="11">
        <f si="5" t="shared"/>
        <v>53641</v>
      </c>
      <c r="K23" s="12"/>
      <c r="L23">
        <f>$A$10</f>
        <v>4</v>
      </c>
      <c r="M23" s="11">
        <f si="9" t="shared"/>
        <v>2238</v>
      </c>
      <c r="N23" s="11">
        <f si="9" t="shared"/>
        <v>2</v>
      </c>
      <c r="O23" s="11">
        <f si="9" t="shared"/>
        <v>1</v>
      </c>
      <c r="P23" s="11">
        <f si="9" t="shared"/>
        <v>50874</v>
      </c>
      <c r="Q23" s="11">
        <f si="9" t="shared"/>
        <v>2</v>
      </c>
      <c r="R23" s="11">
        <f si="9" t="shared"/>
        <v>354</v>
      </c>
      <c r="S23" s="11">
        <f si="10" t="shared"/>
        <v>170</v>
      </c>
      <c r="T23" s="11">
        <f ref="T23" si="13" t="shared">T10</f>
        <v>0</v>
      </c>
      <c r="U23" s="11">
        <f>U10</f>
        <v>53641</v>
      </c>
    </row>
    <row r="24" spans="1:32" x14ac:dyDescent="0.25">
      <c r="A24">
        <f>$A$11</f>
        <v>5</v>
      </c>
      <c r="B24" s="11">
        <f si="7" t="shared"/>
        <v>4276.0958648595724</v>
      </c>
      <c r="C24" s="11">
        <f si="7" t="shared"/>
        <v>0</v>
      </c>
      <c r="D24" s="11">
        <f si="7" t="shared"/>
        <v>1633.3776570235345</v>
      </c>
      <c r="E24" s="11">
        <f si="7" t="shared"/>
        <v>0</v>
      </c>
      <c r="F24" s="11">
        <f si="7" t="shared"/>
        <v>25851.786638441925</v>
      </c>
      <c r="G24" s="11">
        <f si="7" t="shared"/>
        <v>127.19344575688655</v>
      </c>
      <c r="H24" s="11">
        <f si="8" t="shared"/>
        <v>373.54639391808325</v>
      </c>
      <c r="I24" s="11">
        <f>IFERROR((($U11/$J11)*I11),0)</f>
        <v>0</v>
      </c>
      <c r="J24" s="11">
        <f si="5" t="shared"/>
        <v>32262</v>
      </c>
      <c r="K24" s="12"/>
      <c r="L24">
        <f>$A$11</f>
        <v>5</v>
      </c>
      <c r="M24" s="11">
        <f si="9" t="shared"/>
        <v>6744</v>
      </c>
      <c r="N24" s="11">
        <f si="9" t="shared"/>
        <v>0</v>
      </c>
      <c r="O24" s="11">
        <f si="9" t="shared"/>
        <v>921</v>
      </c>
      <c r="P24" s="11">
        <f si="9" t="shared"/>
        <v>39</v>
      </c>
      <c r="Q24" s="11">
        <f si="9" t="shared"/>
        <v>24113</v>
      </c>
      <c r="R24" s="11">
        <f si="9" t="shared"/>
        <v>61</v>
      </c>
      <c r="S24" s="11">
        <f si="10" t="shared"/>
        <v>384</v>
      </c>
      <c r="T24" s="11">
        <f ref="T24" si="14" t="shared">T11</f>
        <v>0</v>
      </c>
      <c r="U24" s="11">
        <f>U11</f>
        <v>32262</v>
      </c>
    </row>
    <row r="25" spans="1:32" x14ac:dyDescent="0.25">
      <c r="A25">
        <f>$A$12</f>
        <v>6</v>
      </c>
      <c r="B25" s="11">
        <f si="7" t="shared"/>
        <v>8633.5996077243944</v>
      </c>
      <c r="C25" s="11">
        <f si="7" t="shared"/>
        <v>762.06827885570556</v>
      </c>
      <c r="D25" s="11">
        <f si="7" t="shared"/>
        <v>0</v>
      </c>
      <c r="E25" s="11">
        <f si="7" t="shared"/>
        <v>117.49169134204469</v>
      </c>
      <c r="F25" s="11">
        <f si="7" t="shared"/>
        <v>346.3480994234684</v>
      </c>
      <c r="G25" s="11">
        <f si="7" t="shared"/>
        <v>32422.492322654383</v>
      </c>
      <c r="H25" s="11">
        <f si="8" t="shared"/>
        <v>0</v>
      </c>
      <c r="I25" s="11">
        <f>IFERROR((($U12/$J12)*I12),0)</f>
        <v>0</v>
      </c>
      <c r="J25" s="11">
        <f si="5" t="shared"/>
        <v>42282</v>
      </c>
      <c r="K25" s="12"/>
      <c r="L25">
        <f>$A$12</f>
        <v>6</v>
      </c>
      <c r="M25" s="11">
        <f si="9" t="shared"/>
        <v>4116</v>
      </c>
      <c r="N25" s="11">
        <f si="9" t="shared"/>
        <v>1702</v>
      </c>
      <c r="O25" s="11">
        <f si="9" t="shared"/>
        <v>0</v>
      </c>
      <c r="P25" s="11">
        <f si="9" t="shared"/>
        <v>795</v>
      </c>
      <c r="Q25" s="11">
        <f si="9" t="shared"/>
        <v>2</v>
      </c>
      <c r="R25" s="11">
        <f si="9" t="shared"/>
        <v>35654</v>
      </c>
      <c r="S25" s="11">
        <f si="10" t="shared"/>
        <v>13</v>
      </c>
      <c r="T25" s="11">
        <f ref="T25:U26" si="15" t="shared">T12</f>
        <v>0</v>
      </c>
      <c r="U25" s="11">
        <f>U12</f>
        <v>42282</v>
      </c>
    </row>
    <row r="26" spans="1:32" x14ac:dyDescent="0.25">
      <c r="A26">
        <v>7</v>
      </c>
      <c r="B26" s="11">
        <f>IFERROR((($U13/$J13)*B13),0)</f>
        <v>4888.5086664226164</v>
      </c>
      <c r="C26" s="11">
        <f ref="C26:J26" si="16" t="shared">IFERROR((($U13/$J13)*C13),0)</f>
        <v>0</v>
      </c>
      <c r="D26" s="11">
        <f si="16" t="shared"/>
        <v>0</v>
      </c>
      <c r="E26" s="11">
        <f si="16" t="shared"/>
        <v>421.66162775527113</v>
      </c>
      <c r="F26" s="11">
        <f si="16" t="shared"/>
        <v>369.60187252284385</v>
      </c>
      <c r="G26" s="11">
        <f si="16" t="shared"/>
        <v>704.31433569675528</v>
      </c>
      <c r="H26" s="11">
        <f si="16" t="shared"/>
        <v>17203.913497602513</v>
      </c>
      <c r="I26" s="11">
        <f si="16" t="shared"/>
        <v>0</v>
      </c>
      <c r="J26" s="11">
        <f si="16" t="shared"/>
        <v>23588</v>
      </c>
      <c r="K26" s="12"/>
      <c r="L26">
        <v>7</v>
      </c>
      <c r="M26" s="11">
        <f>M13</f>
        <v>4868</v>
      </c>
      <c r="N26" s="11">
        <f ref="N26:S26" si="17" t="shared">N13</f>
        <v>0</v>
      </c>
      <c r="O26" s="11">
        <f si="17" t="shared"/>
        <v>0</v>
      </c>
      <c r="P26" s="11">
        <f si="17" t="shared"/>
        <v>1060</v>
      </c>
      <c r="Q26" s="11">
        <f si="17" t="shared"/>
        <v>139</v>
      </c>
      <c r="R26" s="11">
        <f si="17" t="shared"/>
        <v>49</v>
      </c>
      <c r="S26" s="11">
        <f si="17" t="shared"/>
        <v>17472</v>
      </c>
      <c r="T26" s="11">
        <f si="15" t="shared"/>
        <v>0</v>
      </c>
      <c r="U26" s="11">
        <f si="15" t="shared"/>
        <v>23588</v>
      </c>
    </row>
    <row r="27" spans="1:32" x14ac:dyDescent="0.25">
      <c r="A27" s="7" t="s">
        <v>13</v>
      </c>
      <c r="B27" s="13">
        <f>IFERROR((($U14/$J14)*B14),0)</f>
        <v>0</v>
      </c>
      <c r="C27" s="13">
        <f ref="C27:H27" si="18" t="shared">IFERROR((($U14/$J14)*C14),0)</f>
        <v>0</v>
      </c>
      <c r="D27" s="13">
        <f si="18" t="shared"/>
        <v>0</v>
      </c>
      <c r="E27" s="13">
        <f si="18" t="shared"/>
        <v>0</v>
      </c>
      <c r="F27" s="13">
        <f si="18" t="shared"/>
        <v>0</v>
      </c>
      <c r="G27" s="13">
        <f si="18" t="shared"/>
        <v>0</v>
      </c>
      <c r="H27" s="13">
        <f si="18" t="shared"/>
        <v>0</v>
      </c>
      <c r="I27" s="13">
        <f ref="I27" si="19" t="shared">IFERROR((($U14/$J14)*I14),0)</f>
        <v>0</v>
      </c>
      <c r="J27" s="13">
        <f si="5" t="shared"/>
        <v>0</v>
      </c>
      <c r="K27" s="11"/>
      <c r="L27" s="201" t="s">
        <v>13</v>
      </c>
      <c r="M27" s="13">
        <f ref="M27:T27" si="20" t="shared">M14</f>
        <v>0</v>
      </c>
      <c r="N27" s="13">
        <f si="20" t="shared"/>
        <v>0</v>
      </c>
      <c r="O27" s="13">
        <f si="20" t="shared"/>
        <v>0</v>
      </c>
      <c r="P27" s="13">
        <f si="20" t="shared"/>
        <v>0</v>
      </c>
      <c r="Q27" s="13">
        <f si="20" t="shared"/>
        <v>0</v>
      </c>
      <c r="R27" s="13">
        <f si="20" t="shared"/>
        <v>0</v>
      </c>
      <c r="S27" s="13">
        <f si="20" t="shared"/>
        <v>0</v>
      </c>
      <c r="T27" s="13">
        <f si="20" t="shared"/>
        <v>0</v>
      </c>
      <c r="U27" s="13">
        <f ref="U27" si="21" t="shared">U14</f>
        <v>0</v>
      </c>
    </row>
    <row ht="15.75" r="28" spans="1:32" thickBot="1" x14ac:dyDescent="0.3">
      <c r="A28" s="1" t="s">
        <v>4</v>
      </c>
      <c r="B28" s="14">
        <f ref="B28:J28" si="22" t="shared">SUM(B20:B27)</f>
        <v>130177.69928821585</v>
      </c>
      <c r="C28" s="14">
        <f si="22" t="shared"/>
        <v>13556.163322259019</v>
      </c>
      <c r="D28" s="14">
        <f si="22" t="shared"/>
        <v>12476.809357451597</v>
      </c>
      <c r="E28" s="14">
        <f si="22" t="shared"/>
        <v>52763.808601594246</v>
      </c>
      <c r="F28" s="14">
        <f si="22" t="shared"/>
        <v>31072.043505807724</v>
      </c>
      <c r="G28" s="14">
        <f si="22" t="shared"/>
        <v>43499.417297570042</v>
      </c>
      <c r="H28" s="14">
        <f si="22" t="shared"/>
        <v>20687.058627101505</v>
      </c>
      <c r="I28" s="14">
        <f si="22" t="shared"/>
        <v>0</v>
      </c>
      <c r="J28" s="14">
        <f si="22" t="shared"/>
        <v>304233</v>
      </c>
      <c r="K28" s="11"/>
      <c r="L28" s="14" t="s">
        <v>4</v>
      </c>
      <c r="M28" s="14">
        <f ref="M28:T28" si="23" t="shared">M15</f>
        <v>134763</v>
      </c>
      <c r="N28" s="14">
        <f si="23" t="shared"/>
        <v>15648</v>
      </c>
      <c r="O28" s="14">
        <f si="23" t="shared"/>
        <v>10045</v>
      </c>
      <c r="P28" s="14">
        <f si="23" t="shared"/>
        <v>54663</v>
      </c>
      <c r="Q28" s="14">
        <f si="23" t="shared"/>
        <v>25489</v>
      </c>
      <c r="R28" s="14">
        <f si="23" t="shared"/>
        <v>44312</v>
      </c>
      <c r="S28" s="14">
        <f si="23" t="shared"/>
        <v>19313</v>
      </c>
      <c r="T28" s="14">
        <f si="23" t="shared"/>
        <v>0</v>
      </c>
      <c r="U28" s="14">
        <f>U15</f>
        <v>304233</v>
      </c>
    </row>
    <row ht="15.75" r="31" spans="1:32" thickBot="1" x14ac:dyDescent="0.3">
      <c r="A31" s="4" t="s">
        <v>272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271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271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5">
        <f ref="B33:I33" si="24" t="shared">IFERROR(B20/$J$28,0)</f>
        <v>0.35837840351382905</v>
      </c>
      <c r="C33" s="15">
        <f si="24" t="shared"/>
        <v>3.6504394832001156E-4</v>
      </c>
      <c r="D33" s="15">
        <f si="24" t="shared"/>
        <v>0</v>
      </c>
      <c r="E33" s="15">
        <f si="24" t="shared"/>
        <v>3.9824163412072854E-3</v>
      </c>
      <c r="F33" s="15">
        <f si="24" t="shared"/>
        <v>1.2984826603428959E-2</v>
      </c>
      <c r="G33" s="15">
        <f si="24" t="shared"/>
        <v>2.0422244576222527E-2</v>
      </c>
      <c r="H33" s="15">
        <f si="24" t="shared"/>
        <v>7.0909098990398359E-3</v>
      </c>
      <c r="I33" s="15">
        <f si="24" t="shared"/>
        <v>0</v>
      </c>
      <c r="J33" s="15">
        <f ref="J33:J38" si="25" t="shared">J20/$J$28</f>
        <v>0.40322384488204771</v>
      </c>
      <c r="K33" s="11"/>
      <c r="L33">
        <f>$A$7</f>
        <v>1</v>
      </c>
      <c r="M33" s="15">
        <f ref="M33:S33" si="26" t="shared">IFERROR(M20/$U$28,0)</f>
        <v>0.37292798611590461</v>
      </c>
      <c r="N33" s="15">
        <f si="26" t="shared"/>
        <v>1.3147817626621701E-5</v>
      </c>
      <c r="O33" s="15">
        <f si="26" t="shared"/>
        <v>1.6434772033277126E-4</v>
      </c>
      <c r="P33" s="15">
        <f si="26" t="shared"/>
        <v>5.7949006189335151E-3</v>
      </c>
      <c r="Q33" s="15">
        <f si="26" t="shared"/>
        <v>1.5744511607879486E-3</v>
      </c>
      <c r="R33" s="15">
        <f si="26" t="shared"/>
        <v>1.8656753212176195E-2</v>
      </c>
      <c r="S33" s="15">
        <f si="26" t="shared"/>
        <v>4.0922582362860043E-3</v>
      </c>
      <c r="T33" s="15">
        <f ref="T33" si="27" t="shared">IFERROR(T20/$U$28,0)</f>
        <v>0</v>
      </c>
      <c r="U33" s="15">
        <f ref="U33:U38" si="28" t="shared">U20/$U$28</f>
        <v>0.40322384488204766</v>
      </c>
      <c r="W33">
        <f>$A$7</f>
        <v>1</v>
      </c>
      <c r="X33" s="15">
        <f ref="X33:AF33" si="29" t="shared">M33-B33</f>
        <v>1.4549582602075561E-2</v>
      </c>
      <c r="Y33" s="15">
        <f si="29" t="shared"/>
        <v>-3.5189613069338985E-4</v>
      </c>
      <c r="Z33" s="15">
        <f si="29" t="shared"/>
        <v>1.6434772033277126E-4</v>
      </c>
      <c r="AA33" s="15">
        <f si="29" t="shared"/>
        <v>1.8124842777262297E-3</v>
      </c>
      <c r="AB33" s="15">
        <f si="29" t="shared"/>
        <v>-1.1410375442641011E-2</v>
      </c>
      <c r="AC33" s="15">
        <f si="29" t="shared"/>
        <v>-1.7654913640463323E-3</v>
      </c>
      <c r="AD33" s="15">
        <f si="29" t="shared"/>
        <v>-2.9986516627538316E-3</v>
      </c>
      <c r="AE33" s="15">
        <f si="29" t="shared"/>
        <v>0</v>
      </c>
      <c r="AF33" s="15">
        <f si="29" t="shared"/>
        <v>0</v>
      </c>
    </row>
    <row r="34" spans="1:32" x14ac:dyDescent="0.25">
      <c r="A34">
        <f>$A$8</f>
        <v>2</v>
      </c>
      <c r="B34" s="15">
        <f ref="B34:G38" si="30" t="shared">IFERROR(B21/$J$28,0)</f>
        <v>3.3847342038180938E-3</v>
      </c>
      <c r="C34" s="15">
        <f si="30" t="shared"/>
        <v>4.1688563133762846E-2</v>
      </c>
      <c r="D34" s="15">
        <f si="30" t="shared"/>
        <v>0</v>
      </c>
      <c r="E34" s="15">
        <f si="30" t="shared"/>
        <v>0</v>
      </c>
      <c r="F34" s="15">
        <f si="30" t="shared"/>
        <v>0</v>
      </c>
      <c r="G34" s="15">
        <f si="30" t="shared"/>
        <v>1.0318458323376283E-2</v>
      </c>
      <c r="H34" s="15">
        <f ref="H34:H38" si="31" t="shared">IFERROR(H21/$J$28,0)</f>
        <v>0</v>
      </c>
      <c r="I34" s="15">
        <f>IFERROR(I21/$J$28,0)</f>
        <v>0</v>
      </c>
      <c r="J34" s="15">
        <f si="25" t="shared"/>
        <v>5.5391755660957227E-2</v>
      </c>
      <c r="K34" s="11"/>
      <c r="L34">
        <f>$A$8</f>
        <v>2</v>
      </c>
      <c r="M34" s="15">
        <f ref="M34:R38" si="32" t="shared">IFERROR(M21/$U$28,0)</f>
        <v>1.0025210940299047E-3</v>
      </c>
      <c r="N34" s="15">
        <f si="32" t="shared"/>
        <v>4.5820144428776625E-2</v>
      </c>
      <c r="O34" s="15">
        <f si="32" t="shared"/>
        <v>0</v>
      </c>
      <c r="P34" s="15">
        <f si="32" t="shared"/>
        <v>4.0100843761196187E-4</v>
      </c>
      <c r="Q34" s="15">
        <f si="32" t="shared"/>
        <v>0</v>
      </c>
      <c r="R34" s="15">
        <f si="32" t="shared"/>
        <v>8.1516469285054551E-3</v>
      </c>
      <c r="S34" s="15">
        <f ref="S34:S38" si="33" t="shared">IFERROR(S21/$U$28,0)</f>
        <v>1.6434772033277127E-5</v>
      </c>
      <c r="T34" s="15">
        <f ref="T34" si="34" t="shared">IFERROR(T21/$U$28,0)</f>
        <v>0</v>
      </c>
      <c r="U34" s="15">
        <f si="28" t="shared"/>
        <v>5.5391755660957227E-2</v>
      </c>
      <c r="W34">
        <f>$A$8</f>
        <v>2</v>
      </c>
      <c r="X34" s="15">
        <f ref="X34:AB37" si="35" t="shared">M34-B34</f>
        <v>-2.3822131097881892E-3</v>
      </c>
      <c r="Y34" s="15">
        <f si="35" t="shared"/>
        <v>4.1315812950137795E-3</v>
      </c>
      <c r="Z34" s="15">
        <f si="35" t="shared"/>
        <v>0</v>
      </c>
      <c r="AA34" s="15">
        <f si="35" t="shared"/>
        <v>4.0100843761196187E-4</v>
      </c>
      <c r="AB34" s="15">
        <f si="35" t="shared"/>
        <v>0</v>
      </c>
      <c r="AC34" s="15">
        <f ref="AC34:AC38" si="36" t="shared">R34-G34</f>
        <v>-2.1668113948708281E-3</v>
      </c>
      <c r="AD34" s="15">
        <f ref="AD34:AD38" si="37" t="shared">S34-H34</f>
        <v>1.6434772033277127E-5</v>
      </c>
      <c r="AE34" s="15">
        <f ref="AE34:AF37" si="38" t="shared">T34-I34</f>
        <v>0</v>
      </c>
      <c r="AF34" s="15">
        <f si="38" t="shared"/>
        <v>0</v>
      </c>
    </row>
    <row r="35" spans="1:32" x14ac:dyDescent="0.25">
      <c r="A35">
        <f>$A$9</f>
        <v>3</v>
      </c>
      <c r="B35" s="15">
        <f si="30" t="shared"/>
        <v>3.7145994354297338E-3</v>
      </c>
      <c r="C35" s="15">
        <f si="30" t="shared"/>
        <v>0</v>
      </c>
      <c r="D35" s="15">
        <f si="30" t="shared"/>
        <v>3.564186561098915E-2</v>
      </c>
      <c r="E35" s="15">
        <f si="30" t="shared"/>
        <v>0</v>
      </c>
      <c r="F35" s="15">
        <f si="30" t="shared"/>
        <v>1.6778356552443194E-3</v>
      </c>
      <c r="G35" s="15">
        <f si="30" t="shared"/>
        <v>5.1042999043939604E-4</v>
      </c>
      <c r="H35" s="15">
        <f si="31" t="shared"/>
        <v>9.6873760357867229E-4</v>
      </c>
      <c r="I35" s="15">
        <f>IFERROR(I22/$J$28,0)</f>
        <v>0</v>
      </c>
      <c r="J35" s="15">
        <f si="25" t="shared"/>
        <v>4.251346829568127E-2</v>
      </c>
      <c r="K35" s="12"/>
      <c r="L35">
        <f>$A$9</f>
        <v>3</v>
      </c>
      <c r="M35" s="15">
        <f si="32" t="shared"/>
        <v>9.9759066241992163E-3</v>
      </c>
      <c r="N35" s="15">
        <f si="32" t="shared"/>
        <v>0</v>
      </c>
      <c r="O35" s="15">
        <f si="32" t="shared"/>
        <v>2.9822537331584673E-2</v>
      </c>
      <c r="P35" s="15">
        <f si="32" t="shared"/>
        <v>3.2869544066554253E-5</v>
      </c>
      <c r="Q35" s="15">
        <f si="32" t="shared"/>
        <v>2.4783636226181909E-3</v>
      </c>
      <c r="R35" s="15">
        <f si="32" t="shared"/>
        <v>1.2490426745290616E-4</v>
      </c>
      <c r="S35" s="15">
        <f si="33" t="shared"/>
        <v>7.8886905759730202E-5</v>
      </c>
      <c r="T35" s="15">
        <f ref="T35" si="39" t="shared">IFERROR(T22/$U$28,0)</f>
        <v>0</v>
      </c>
      <c r="U35" s="15">
        <f si="28" t="shared"/>
        <v>4.251346829568127E-2</v>
      </c>
      <c r="W35">
        <f>$A$9</f>
        <v>3</v>
      </c>
      <c r="X35" s="15">
        <f si="35" t="shared"/>
        <v>6.2613071887694825E-3</v>
      </c>
      <c r="Y35" s="15">
        <f si="35" t="shared"/>
        <v>0</v>
      </c>
      <c r="Z35" s="15">
        <f si="35" t="shared"/>
        <v>-5.8193282794044773E-3</v>
      </c>
      <c r="AA35" s="15">
        <f si="35" t="shared"/>
        <v>3.2869544066554253E-5</v>
      </c>
      <c r="AB35" s="15">
        <f si="35" t="shared"/>
        <v>8.0052796737387143E-4</v>
      </c>
      <c r="AC35" s="15">
        <f si="36" t="shared"/>
        <v>-3.8552572298648986E-4</v>
      </c>
      <c r="AD35" s="15">
        <f si="37" t="shared"/>
        <v>-8.8985069781894214E-4</v>
      </c>
      <c r="AE35" s="15">
        <f si="38" t="shared"/>
        <v>0</v>
      </c>
      <c r="AF35" s="15">
        <f si="38" t="shared"/>
        <v>0</v>
      </c>
    </row>
    <row r="36" spans="1:32" x14ac:dyDescent="0.25">
      <c r="A36">
        <f>$A$10</f>
        <v>4</v>
      </c>
      <c r="B36" s="15">
        <f si="30" t="shared"/>
        <v>3.90853964532857E-3</v>
      </c>
      <c r="C36" s="15">
        <f si="30" t="shared"/>
        <v>0</v>
      </c>
      <c r="D36" s="15">
        <f si="30" t="shared"/>
        <v>0</v>
      </c>
      <c r="E36" s="15">
        <f si="30" t="shared"/>
        <v>0.16767764447565653</v>
      </c>
      <c r="F36" s="15">
        <f si="30" t="shared"/>
        <v>1.4278914015422868E-4</v>
      </c>
      <c r="G36" s="15">
        <f si="30" t="shared"/>
        <v>2.4250863020350284E-3</v>
      </c>
      <c r="H36" s="15">
        <f si="31" t="shared"/>
        <v>2.1614617642293E-3</v>
      </c>
      <c r="I36" s="15">
        <f>IFERROR(I23/$J$28,0)</f>
        <v>0</v>
      </c>
      <c r="J36" s="15">
        <f si="25" t="shared"/>
        <v>0.17631552132740366</v>
      </c>
      <c r="K36" s="12"/>
      <c r="L36">
        <f>$A$10</f>
        <v>4</v>
      </c>
      <c r="M36" s="15">
        <f si="32" t="shared"/>
        <v>7.3562039620948417E-3</v>
      </c>
      <c r="N36" s="15">
        <f si="32" t="shared"/>
        <v>6.5739088133108505E-6</v>
      </c>
      <c r="O36" s="15">
        <f si="32" t="shared"/>
        <v>3.2869544066554252E-6</v>
      </c>
      <c r="P36" s="15">
        <f si="32" t="shared"/>
        <v>0.16722051848418812</v>
      </c>
      <c r="Q36" s="15">
        <f si="32" t="shared"/>
        <v>6.5739088133108505E-6</v>
      </c>
      <c r="R36" s="15">
        <f si="32" t="shared"/>
        <v>1.1635818599560206E-3</v>
      </c>
      <c r="S36" s="15">
        <f si="33" t="shared"/>
        <v>5.5878224913142227E-4</v>
      </c>
      <c r="T36" s="15">
        <f ref="T36" si="40" t="shared">IFERROR(T23/$U$28,0)</f>
        <v>0</v>
      </c>
      <c r="U36" s="15">
        <f si="28" t="shared"/>
        <v>0.17631552132740366</v>
      </c>
      <c r="W36">
        <f>$A$10</f>
        <v>4</v>
      </c>
      <c r="X36" s="15">
        <f si="35" t="shared"/>
        <v>3.4476643167662717E-3</v>
      </c>
      <c r="Y36" s="15">
        <f si="35" t="shared"/>
        <v>6.5739088133108505E-6</v>
      </c>
      <c r="Z36" s="15">
        <f si="35" t="shared"/>
        <v>3.2869544066554252E-6</v>
      </c>
      <c r="AA36" s="15">
        <f si="35" t="shared"/>
        <v>-4.5712599146841004E-4</v>
      </c>
      <c r="AB36" s="15">
        <f si="35" t="shared"/>
        <v>-1.3621523134091783E-4</v>
      </c>
      <c r="AC36" s="15">
        <f si="36" t="shared"/>
        <v>-1.2615044420790078E-3</v>
      </c>
      <c r="AD36" s="15">
        <f si="37" t="shared"/>
        <v>-1.6026795150978776E-3</v>
      </c>
      <c r="AE36" s="15">
        <f si="38" t="shared"/>
        <v>0</v>
      </c>
      <c r="AF36" s="15">
        <f si="38" t="shared"/>
        <v>0</v>
      </c>
    </row>
    <row r="37" spans="1:32" x14ac:dyDescent="0.25">
      <c r="A37">
        <f>$A$11</f>
        <v>5</v>
      </c>
      <c r="B37" s="15">
        <f si="30" t="shared"/>
        <v>1.4055332146281213E-2</v>
      </c>
      <c r="C37" s="15">
        <f si="30" t="shared"/>
        <v>0</v>
      </c>
      <c r="D37" s="15">
        <f si="30" t="shared"/>
        <v>5.3688378874860209E-3</v>
      </c>
      <c r="E37" s="15">
        <f si="30" t="shared"/>
        <v>0</v>
      </c>
      <c r="F37" s="15">
        <f si="30" t="shared"/>
        <v>8.4973644011142532E-2</v>
      </c>
      <c r="G37" s="15">
        <f si="30" t="shared"/>
        <v>4.1807905702828603E-4</v>
      </c>
      <c r="H37" s="15">
        <f si="31" t="shared"/>
        <v>1.227829965579287E-3</v>
      </c>
      <c r="I37" s="15">
        <f>IFERROR(I24/$J$28,0)</f>
        <v>0</v>
      </c>
      <c r="J37" s="15">
        <f si="25" t="shared"/>
        <v>0.10604372306751733</v>
      </c>
      <c r="K37" s="12"/>
      <c r="L37">
        <f>$A$11</f>
        <v>5</v>
      </c>
      <c r="M37" s="15">
        <f si="32" t="shared"/>
        <v>2.2167220518484188E-2</v>
      </c>
      <c r="N37" s="15">
        <f si="32" t="shared"/>
        <v>0</v>
      </c>
      <c r="O37" s="15">
        <f si="32" t="shared"/>
        <v>3.0272850085296468E-3</v>
      </c>
      <c r="P37" s="15">
        <f si="32" t="shared"/>
        <v>1.2819122185956159E-4</v>
      </c>
      <c r="Q37" s="15">
        <f si="32" t="shared"/>
        <v>7.9258331607682267E-2</v>
      </c>
      <c r="R37" s="15">
        <f si="32" t="shared"/>
        <v>2.0050421880598093E-4</v>
      </c>
      <c r="S37" s="15">
        <f si="33" t="shared"/>
        <v>1.2621904921556832E-3</v>
      </c>
      <c r="T37" s="15">
        <f ref="T37" si="41" t="shared">IFERROR(T24/$U$28,0)</f>
        <v>0</v>
      </c>
      <c r="U37" s="15">
        <f si="28" t="shared"/>
        <v>0.10604372306751733</v>
      </c>
      <c r="W37">
        <f>$A$11</f>
        <v>5</v>
      </c>
      <c r="X37" s="15">
        <f si="35" t="shared"/>
        <v>8.1118883722029744E-3</v>
      </c>
      <c r="Y37" s="15">
        <f si="35" t="shared"/>
        <v>0</v>
      </c>
      <c r="Z37" s="15">
        <f si="35" t="shared"/>
        <v>-2.341552878956374E-3</v>
      </c>
      <c r="AA37" s="15">
        <f si="35" t="shared"/>
        <v>1.2819122185956159E-4</v>
      </c>
      <c r="AB37" s="15">
        <f si="35" t="shared"/>
        <v>-5.7153124034602654E-3</v>
      </c>
      <c r="AC37" s="15">
        <f si="36" t="shared"/>
        <v>-2.175748382223051E-4</v>
      </c>
      <c r="AD37" s="15">
        <f si="37" t="shared"/>
        <v>3.4360526576396192E-5</v>
      </c>
      <c r="AE37" s="15">
        <f si="38" t="shared"/>
        <v>0</v>
      </c>
      <c r="AF37" s="15">
        <f si="38" t="shared"/>
        <v>0</v>
      </c>
    </row>
    <row r="38" spans="1:32" x14ac:dyDescent="0.25">
      <c r="A38">
        <f>$A$12</f>
        <v>6</v>
      </c>
      <c r="B38" s="15">
        <f si="30" t="shared"/>
        <v>2.8378248275908249E-2</v>
      </c>
      <c r="C38" s="15">
        <f si="30" t="shared"/>
        <v>2.5048836873570769E-3</v>
      </c>
      <c r="D38" s="15">
        <f si="30" t="shared"/>
        <v>0</v>
      </c>
      <c r="E38" s="15">
        <f si="30" t="shared"/>
        <v>3.8618983260213285E-4</v>
      </c>
      <c r="F38" s="15">
        <f si="30" t="shared"/>
        <v>1.1384304116367008E-3</v>
      </c>
      <c r="G38" s="15">
        <f si="30" t="shared"/>
        <v>0.10657125401470052</v>
      </c>
      <c r="H38" s="15">
        <f si="31" t="shared"/>
        <v>0</v>
      </c>
      <c r="I38" s="15">
        <f>IFERROR(I25/$J$28,0)</f>
        <v>0</v>
      </c>
      <c r="J38" s="15">
        <f si="25" t="shared"/>
        <v>0.13897900622220469</v>
      </c>
      <c r="K38" s="12"/>
      <c r="L38">
        <f>$A$12</f>
        <v>6</v>
      </c>
      <c r="M38" s="15">
        <f si="32" t="shared"/>
        <v>1.3529104337793731E-2</v>
      </c>
      <c r="N38" s="15">
        <f si="32" t="shared"/>
        <v>5.5943964001275341E-3</v>
      </c>
      <c r="O38" s="15">
        <f si="32" t="shared"/>
        <v>0</v>
      </c>
      <c r="P38" s="15">
        <f si="32" t="shared"/>
        <v>2.6131287532910629E-3</v>
      </c>
      <c r="Q38" s="15">
        <f si="32" t="shared"/>
        <v>6.5739088133108505E-6</v>
      </c>
      <c r="R38" s="15">
        <f si="32" t="shared"/>
        <v>0.11719307241489253</v>
      </c>
      <c r="S38" s="15">
        <f si="33" t="shared"/>
        <v>4.2730407286520528E-5</v>
      </c>
      <c r="T38" s="15">
        <f>IFERROR(T25/$U$28,0)</f>
        <v>0</v>
      </c>
      <c r="U38" s="15">
        <f si="28" t="shared"/>
        <v>0.13897900622220469</v>
      </c>
      <c r="W38">
        <f>$A$12</f>
        <v>6</v>
      </c>
      <c r="X38" s="15">
        <f>M38-B38</f>
        <v>-1.4849143938114519E-2</v>
      </c>
      <c r="Y38" s="15">
        <f ref="Y38:AF39" si="42" t="shared">N38-C38</f>
        <v>3.0895127127704572E-3</v>
      </c>
      <c r="Z38" s="15">
        <f si="42" t="shared"/>
        <v>0</v>
      </c>
      <c r="AA38" s="15">
        <f si="42" t="shared"/>
        <v>2.22693892068893E-3</v>
      </c>
      <c r="AB38" s="15">
        <f si="42" t="shared"/>
        <v>-1.13185650282339E-3</v>
      </c>
      <c r="AC38" s="15">
        <f si="36" t="shared"/>
        <v>1.062181840019201E-2</v>
      </c>
      <c r="AD38" s="15">
        <f si="37" t="shared"/>
        <v>4.2730407286520528E-5</v>
      </c>
      <c r="AE38" s="15">
        <f si="42" t="shared"/>
        <v>0</v>
      </c>
      <c r="AF38" s="15">
        <f si="42" t="shared"/>
        <v>0</v>
      </c>
    </row>
    <row r="39" spans="1:32" x14ac:dyDescent="0.25">
      <c r="A39">
        <v>7</v>
      </c>
      <c r="B39" s="15">
        <f>IFERROR(B26/$J$28,0)</f>
        <v>1.6068305103071057E-2</v>
      </c>
      <c r="C39" s="15">
        <f ref="C39:J39" si="43" t="shared">IFERROR(C26/$J$28,0)</f>
        <v>0</v>
      </c>
      <c r="D39" s="15">
        <f si="43" t="shared"/>
        <v>0</v>
      </c>
      <c r="E39" s="15">
        <f si="43" t="shared"/>
        <v>1.385982545467688E-3</v>
      </c>
      <c r="F39" s="15">
        <f si="43" t="shared"/>
        <v>1.2148645035970583E-3</v>
      </c>
      <c r="G39" s="15">
        <f si="43" t="shared"/>
        <v>2.3150491093890382E-3</v>
      </c>
      <c r="H39" s="15">
        <f si="43" t="shared"/>
        <v>5.6548479282663329E-2</v>
      </c>
      <c r="I39" s="15">
        <f si="43" t="shared"/>
        <v>0</v>
      </c>
      <c r="J39" s="15">
        <f si="43" t="shared"/>
        <v>7.7532680544188173E-2</v>
      </c>
      <c r="K39" s="12"/>
      <c r="L39">
        <v>7</v>
      </c>
      <c r="M39" s="15">
        <f>IFERROR(M26/$U$28,0)</f>
        <v>1.6000894051598609E-2</v>
      </c>
      <c r="N39" s="15">
        <f ref="N39:U39" si="44" t="shared">IFERROR(N26/$U$28,0)</f>
        <v>0</v>
      </c>
      <c r="O39" s="15">
        <f si="44" t="shared"/>
        <v>0</v>
      </c>
      <c r="P39" s="15">
        <f si="44" t="shared"/>
        <v>3.4841716710547507E-3</v>
      </c>
      <c r="Q39" s="15">
        <f si="44" t="shared"/>
        <v>4.568866625251041E-4</v>
      </c>
      <c r="R39" s="15">
        <f si="44" t="shared"/>
        <v>1.6106076592611583E-4</v>
      </c>
      <c r="S39" s="15">
        <f si="44" t="shared"/>
        <v>5.742966739308359E-2</v>
      </c>
      <c r="T39" s="15">
        <f si="44" t="shared"/>
        <v>0</v>
      </c>
      <c r="U39" s="15">
        <f si="44" t="shared"/>
        <v>7.7532680544188173E-2</v>
      </c>
      <c r="W39">
        <v>7</v>
      </c>
      <c r="X39" s="15">
        <f>M39-B39</f>
        <v>-6.7411051472447692E-5</v>
      </c>
      <c r="Y39" s="15">
        <f si="42" t="shared"/>
        <v>0</v>
      </c>
      <c r="Z39" s="15">
        <f si="42" t="shared"/>
        <v>0</v>
      </c>
      <c r="AA39" s="15">
        <f si="42" t="shared"/>
        <v>2.0981891255870628E-3</v>
      </c>
      <c r="AB39" s="15">
        <f si="42" t="shared"/>
        <v>-7.5797784107195423E-4</v>
      </c>
      <c r="AC39" s="15">
        <f si="42" t="shared"/>
        <v>-2.1539883434629225E-3</v>
      </c>
      <c r="AD39" s="15">
        <f si="42" t="shared"/>
        <v>8.8118811042026124E-4</v>
      </c>
      <c r="AE39" s="15">
        <f si="42" t="shared"/>
        <v>0</v>
      </c>
      <c r="AF39" s="15">
        <f si="42" t="shared"/>
        <v>0</v>
      </c>
    </row>
    <row r="40" spans="1:32" x14ac:dyDescent="0.25">
      <c r="A40" s="7" t="s">
        <v>13</v>
      </c>
      <c r="B40" s="16">
        <f>IFERROR(B27/$J$28,0)</f>
        <v>0</v>
      </c>
      <c r="C40" s="16">
        <f ref="C40:I40" si="45" t="shared">IFERROR(C27/$J$28,0)</f>
        <v>0</v>
      </c>
      <c r="D40" s="16">
        <f si="45" t="shared"/>
        <v>0</v>
      </c>
      <c r="E40" s="16">
        <f si="45" t="shared"/>
        <v>0</v>
      </c>
      <c r="F40" s="16">
        <f si="45" t="shared"/>
        <v>0</v>
      </c>
      <c r="G40" s="16">
        <f si="45" t="shared"/>
        <v>0</v>
      </c>
      <c r="H40" s="16">
        <f si="45" t="shared"/>
        <v>0</v>
      </c>
      <c r="I40" s="16">
        <f si="45" t="shared"/>
        <v>0</v>
      </c>
      <c r="J40" s="16">
        <f>J27/$J$28</f>
        <v>0</v>
      </c>
      <c r="K40" s="11"/>
      <c r="L40" s="201" t="s">
        <v>13</v>
      </c>
      <c r="M40" s="16">
        <f>IFERROR(M27/$U$28,0)</f>
        <v>0</v>
      </c>
      <c r="N40" s="16">
        <f ref="N40:T40" si="46" t="shared">IFERROR(N27/$U$28,0)</f>
        <v>0</v>
      </c>
      <c r="O40" s="16">
        <f si="46" t="shared"/>
        <v>0</v>
      </c>
      <c r="P40" s="16">
        <f si="46" t="shared"/>
        <v>0</v>
      </c>
      <c r="Q40" s="16">
        <f si="46" t="shared"/>
        <v>0</v>
      </c>
      <c r="R40" s="16">
        <f si="46" t="shared"/>
        <v>0</v>
      </c>
      <c r="S40" s="16">
        <f si="46" t="shared"/>
        <v>0</v>
      </c>
      <c r="T40" s="16">
        <f si="46" t="shared"/>
        <v>0</v>
      </c>
      <c r="U40" s="16">
        <f>U27/$U$28</f>
        <v>0</v>
      </c>
      <c r="W40" s="201" t="s">
        <v>13</v>
      </c>
      <c r="X40" s="16">
        <f ref="X40" si="47" t="shared">M40-B40</f>
        <v>0</v>
      </c>
      <c r="Y40" s="16">
        <f ref="Y40" si="48" t="shared">N40-C40</f>
        <v>0</v>
      </c>
      <c r="Z40" s="16">
        <f ref="Z40" si="49" t="shared">O40-D40</f>
        <v>0</v>
      </c>
      <c r="AA40" s="16">
        <f ref="AA40" si="50" t="shared">P40-E40</f>
        <v>0</v>
      </c>
      <c r="AB40" s="16">
        <f ref="AB40" si="51" t="shared">Q40-F40</f>
        <v>0</v>
      </c>
      <c r="AC40" s="16">
        <f ref="AC40:AD40" si="52" t="shared">R40-G40</f>
        <v>0</v>
      </c>
      <c r="AD40" s="16">
        <f si="52" t="shared"/>
        <v>0</v>
      </c>
      <c r="AE40" s="16">
        <f ref="AE40" si="53" t="shared">T40-I40</f>
        <v>0</v>
      </c>
      <c r="AF40" s="16">
        <f ref="AF40" si="54" t="shared">U40-J40</f>
        <v>0</v>
      </c>
    </row>
    <row ht="15.75" r="41" spans="1:32" thickBot="1" x14ac:dyDescent="0.3">
      <c r="A41" s="1" t="s">
        <v>4</v>
      </c>
      <c r="B41" s="17">
        <f ref="B41:I41" si="55" t="shared">B28/$J$28</f>
        <v>0.42788816232366589</v>
      </c>
      <c r="C41" s="17">
        <f si="55" t="shared"/>
        <v>4.4558490769439935E-2</v>
      </c>
      <c r="D41" s="17">
        <f si="55" t="shared"/>
        <v>4.1010703498475173E-2</v>
      </c>
      <c r="E41" s="17">
        <f si="55" t="shared"/>
        <v>0.17343223319493364</v>
      </c>
      <c r="F41" s="17">
        <f si="55" t="shared"/>
        <v>0.10213239032520378</v>
      </c>
      <c r="G41" s="17">
        <f si="55" t="shared"/>
        <v>0.14298060137319107</v>
      </c>
      <c r="H41" s="17">
        <f si="55" t="shared"/>
        <v>6.7997418515090419E-2</v>
      </c>
      <c r="I41" s="17">
        <f si="55" t="shared"/>
        <v>0</v>
      </c>
      <c r="J41" s="17">
        <f>J28/$J$28</f>
        <v>1</v>
      </c>
      <c r="K41" s="11"/>
      <c r="L41" s="14" t="s">
        <v>4</v>
      </c>
      <c r="M41" s="17">
        <f ref="M41:T41" si="56" t="shared">M28/$U$28</f>
        <v>0.4429598367041051</v>
      </c>
      <c r="N41" s="17">
        <f si="56" t="shared"/>
        <v>5.1434262555344092E-2</v>
      </c>
      <c r="O41" s="17">
        <f si="56" t="shared"/>
        <v>3.301745701485375E-2</v>
      </c>
      <c r="P41" s="17">
        <f si="56" t="shared"/>
        <v>0.17967478873100551</v>
      </c>
      <c r="Q41" s="17">
        <f si="56" t="shared"/>
        <v>8.3781180871240132E-2</v>
      </c>
      <c r="R41" s="17">
        <f si="56" t="shared"/>
        <v>0.14565152366771519</v>
      </c>
      <c r="S41" s="17">
        <f si="56" t="shared"/>
        <v>6.3480950455736235E-2</v>
      </c>
      <c r="T41" s="17">
        <f si="56" t="shared"/>
        <v>0</v>
      </c>
      <c r="U41" s="17">
        <f>U28/$U$28</f>
        <v>1</v>
      </c>
      <c r="W41" s="14" t="s">
        <v>4</v>
      </c>
      <c r="X41" s="17">
        <f ref="X41:AF41" si="57" t="shared">M41-B41</f>
        <v>1.5071674380439215E-2</v>
      </c>
      <c r="Y41" s="17">
        <f si="57" t="shared"/>
        <v>6.875771785904157E-3</v>
      </c>
      <c r="Z41" s="17">
        <f si="57" t="shared"/>
        <v>-7.9932464836214231E-3</v>
      </c>
      <c r="AA41" s="17">
        <f si="57" t="shared"/>
        <v>6.2425555360718643E-3</v>
      </c>
      <c r="AB41" s="17">
        <f si="57" t="shared"/>
        <v>-1.8351209453963652E-2</v>
      </c>
      <c r="AC41" s="17">
        <f si="57" t="shared"/>
        <v>2.6709222945241196E-3</v>
      </c>
      <c r="AD41" s="17">
        <f si="57" t="shared"/>
        <v>-4.5164680593541839E-3</v>
      </c>
      <c r="AE41" s="17">
        <f si="57" t="shared"/>
        <v>0</v>
      </c>
      <c r="AF41" s="17">
        <f si="57" t="shared"/>
        <v>0</v>
      </c>
    </row>
  </sheetData>
  <pageMargins bottom="0.75" footer="0.3" header="0.3" left="0.7" right="0.7" top="0.75"/>
  <pageSetup orientation="portrait" r:id="rId1"/>
  <ignoredErrors>
    <ignoredError formulaRange="1" sqref="J7:J12 B15:G15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242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topLeftCell="A70" workbookViewId="0">
      <selection activeCell="J17" sqref="J17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03" t="s">
        <v>273</v>
      </c>
    </row>
    <row r="2" spans="1:4" x14ac:dyDescent="0.25">
      <c r="A2" t="s">
        <v>247</v>
      </c>
      <c r="B2" t="s">
        <v>248</v>
      </c>
      <c r="C2" t="s">
        <v>219</v>
      </c>
      <c r="D2" t="s">
        <v>249</v>
      </c>
    </row>
    <row r="3" spans="1:4" x14ac:dyDescent="0.25">
      <c r="A3">
        <v>1</v>
      </c>
      <c r="B3" t="s">
        <v>36</v>
      </c>
      <c r="C3" t="s">
        <v>250</v>
      </c>
      <c r="D3" t="s">
        <v>142</v>
      </c>
    </row>
    <row r="4" spans="1:4" x14ac:dyDescent="0.25">
      <c r="A4">
        <v>2</v>
      </c>
      <c r="B4" t="s">
        <v>37</v>
      </c>
      <c r="C4" t="s">
        <v>250</v>
      </c>
      <c r="D4" t="s">
        <v>143</v>
      </c>
    </row>
    <row r="5" spans="1:4" x14ac:dyDescent="0.25">
      <c r="A5">
        <v>3</v>
      </c>
      <c r="B5" t="s">
        <v>38</v>
      </c>
      <c r="C5" t="s">
        <v>250</v>
      </c>
      <c r="D5" t="s">
        <v>144</v>
      </c>
    </row>
    <row r="6" spans="1:4" x14ac:dyDescent="0.25">
      <c r="A6">
        <v>4</v>
      </c>
      <c r="B6" t="s">
        <v>39</v>
      </c>
      <c r="C6" t="s">
        <v>250</v>
      </c>
      <c r="D6" t="s">
        <v>145</v>
      </c>
    </row>
    <row r="7" spans="1:4" x14ac:dyDescent="0.25">
      <c r="A7">
        <v>5</v>
      </c>
      <c r="B7" t="s">
        <v>40</v>
      </c>
      <c r="C7" t="s">
        <v>250</v>
      </c>
      <c r="D7" t="s">
        <v>146</v>
      </c>
    </row>
    <row r="8" spans="1:4" x14ac:dyDescent="0.25">
      <c r="A8">
        <v>6</v>
      </c>
      <c r="B8" t="s">
        <v>41</v>
      </c>
      <c r="C8" t="s">
        <v>250</v>
      </c>
      <c r="D8" t="s">
        <v>147</v>
      </c>
    </row>
    <row r="9" spans="1:4" x14ac:dyDescent="0.25">
      <c r="A9">
        <v>7</v>
      </c>
      <c r="B9" t="s">
        <v>42</v>
      </c>
      <c r="C9" t="s">
        <v>250</v>
      </c>
      <c r="D9" t="s">
        <v>148</v>
      </c>
    </row>
    <row r="10" spans="1:4" x14ac:dyDescent="0.25">
      <c r="A10">
        <v>8</v>
      </c>
      <c r="B10" t="s">
        <v>43</v>
      </c>
      <c r="C10" t="s">
        <v>250</v>
      </c>
      <c r="D10" t="s">
        <v>149</v>
      </c>
    </row>
    <row r="11" spans="1:4" x14ac:dyDescent="0.25">
      <c r="A11">
        <v>9</v>
      </c>
      <c r="B11" t="s">
        <v>44</v>
      </c>
      <c r="C11" t="s">
        <v>250</v>
      </c>
      <c r="D11" t="s">
        <v>150</v>
      </c>
    </row>
    <row r="12" spans="1:4" x14ac:dyDescent="0.25">
      <c r="A12">
        <v>10</v>
      </c>
      <c r="B12" t="s">
        <v>45</v>
      </c>
      <c r="C12" t="s">
        <v>250</v>
      </c>
      <c r="D12" t="s">
        <v>151</v>
      </c>
    </row>
    <row r="13" spans="1:4" x14ac:dyDescent="0.25">
      <c r="A13">
        <v>11</v>
      </c>
      <c r="B13" t="s">
        <v>46</v>
      </c>
      <c r="C13" t="s">
        <v>250</v>
      </c>
      <c r="D13" t="s">
        <v>152</v>
      </c>
    </row>
    <row r="14" spans="1:4" x14ac:dyDescent="0.25">
      <c r="A14">
        <v>12</v>
      </c>
      <c r="B14" t="s">
        <v>47</v>
      </c>
      <c r="C14" t="s">
        <v>250</v>
      </c>
      <c r="D14" t="s">
        <v>153</v>
      </c>
    </row>
    <row r="15" spans="1:4" x14ac:dyDescent="0.25">
      <c r="A15">
        <v>13</v>
      </c>
      <c r="B15" t="s">
        <v>48</v>
      </c>
      <c r="C15" t="s">
        <v>250</v>
      </c>
      <c r="D15" t="s">
        <v>154</v>
      </c>
    </row>
    <row r="16" spans="1:4" x14ac:dyDescent="0.25">
      <c r="A16">
        <v>14</v>
      </c>
      <c r="B16" t="s">
        <v>49</v>
      </c>
      <c r="C16" t="s">
        <v>250</v>
      </c>
      <c r="D16" t="s">
        <v>155</v>
      </c>
    </row>
    <row r="17" spans="1:4" x14ac:dyDescent="0.25">
      <c r="A17">
        <v>15</v>
      </c>
      <c r="B17" t="s">
        <v>50</v>
      </c>
      <c r="C17" t="s">
        <v>250</v>
      </c>
      <c r="D17" t="s">
        <v>156</v>
      </c>
    </row>
    <row r="18" spans="1:4" x14ac:dyDescent="0.25">
      <c r="A18">
        <v>16</v>
      </c>
      <c r="B18" t="s">
        <v>51</v>
      </c>
      <c r="C18" t="s">
        <v>250</v>
      </c>
      <c r="D18" t="s">
        <v>157</v>
      </c>
    </row>
    <row r="19" spans="1:4" x14ac:dyDescent="0.25">
      <c r="A19">
        <v>17</v>
      </c>
      <c r="B19" t="s">
        <v>52</v>
      </c>
      <c r="C19" t="s">
        <v>250</v>
      </c>
      <c r="D19" t="s">
        <v>158</v>
      </c>
    </row>
    <row r="20" spans="1:4" x14ac:dyDescent="0.25">
      <c r="A20">
        <v>18</v>
      </c>
      <c r="B20" t="s">
        <v>53</v>
      </c>
      <c r="C20" t="s">
        <v>250</v>
      </c>
      <c r="D20" t="s">
        <v>159</v>
      </c>
    </row>
    <row r="21" spans="1:4" x14ac:dyDescent="0.25">
      <c r="A21">
        <v>19</v>
      </c>
      <c r="B21" t="s">
        <v>54</v>
      </c>
      <c r="C21" t="s">
        <v>250</v>
      </c>
      <c r="D21" t="s">
        <v>160</v>
      </c>
    </row>
    <row r="22" spans="1:4" x14ac:dyDescent="0.25">
      <c r="A22">
        <v>20</v>
      </c>
      <c r="B22" t="s">
        <v>55</v>
      </c>
      <c r="C22" t="s">
        <v>137</v>
      </c>
      <c r="D22" t="s">
        <v>161</v>
      </c>
    </row>
    <row r="23" spans="1:4" x14ac:dyDescent="0.25">
      <c r="A23">
        <v>21</v>
      </c>
      <c r="B23" t="s">
        <v>56</v>
      </c>
      <c r="C23" t="s">
        <v>137</v>
      </c>
      <c r="D23" t="s">
        <v>162</v>
      </c>
    </row>
    <row r="24" spans="1:4" x14ac:dyDescent="0.25">
      <c r="A24">
        <v>22</v>
      </c>
      <c r="B24" t="s">
        <v>57</v>
      </c>
      <c r="C24" t="s">
        <v>137</v>
      </c>
      <c r="D24" t="s">
        <v>163</v>
      </c>
    </row>
    <row r="25" spans="1:4" x14ac:dyDescent="0.25">
      <c r="A25">
        <v>23</v>
      </c>
      <c r="B25" t="s">
        <v>58</v>
      </c>
      <c r="C25" t="s">
        <v>137</v>
      </c>
      <c r="D25" t="s">
        <v>164</v>
      </c>
    </row>
    <row r="26" spans="1:4" x14ac:dyDescent="0.25">
      <c r="A26">
        <v>24</v>
      </c>
      <c r="B26" t="s">
        <v>59</v>
      </c>
      <c r="C26" t="s">
        <v>137</v>
      </c>
      <c r="D26" t="s">
        <v>165</v>
      </c>
    </row>
    <row r="27" spans="1:4" x14ac:dyDescent="0.25">
      <c r="A27">
        <v>25</v>
      </c>
      <c r="B27" t="s">
        <v>60</v>
      </c>
      <c r="C27" t="s">
        <v>137</v>
      </c>
      <c r="D27" t="s">
        <v>166</v>
      </c>
    </row>
    <row r="28" spans="1:4" x14ac:dyDescent="0.25">
      <c r="A28">
        <v>26</v>
      </c>
      <c r="B28" t="s">
        <v>61</v>
      </c>
      <c r="C28" t="s">
        <v>138</v>
      </c>
      <c r="D28" t="s">
        <v>161</v>
      </c>
    </row>
    <row r="29" spans="1:4" x14ac:dyDescent="0.25">
      <c r="A29">
        <v>27</v>
      </c>
      <c r="B29" t="s">
        <v>62</v>
      </c>
      <c r="C29" t="s">
        <v>138</v>
      </c>
      <c r="D29" t="s">
        <v>162</v>
      </c>
    </row>
    <row r="30" spans="1:4" x14ac:dyDescent="0.25">
      <c r="A30">
        <v>28</v>
      </c>
      <c r="B30" t="s">
        <v>63</v>
      </c>
      <c r="C30" t="s">
        <v>138</v>
      </c>
      <c r="D30" t="s">
        <v>163</v>
      </c>
    </row>
    <row r="31" spans="1:4" x14ac:dyDescent="0.25">
      <c r="A31">
        <v>29</v>
      </c>
      <c r="B31" t="s">
        <v>64</v>
      </c>
      <c r="C31" t="s">
        <v>138</v>
      </c>
      <c r="D31" t="s">
        <v>164</v>
      </c>
    </row>
    <row r="32" spans="1:4" x14ac:dyDescent="0.25">
      <c r="A32">
        <v>30</v>
      </c>
      <c r="B32" t="s">
        <v>65</v>
      </c>
      <c r="C32" t="s">
        <v>138</v>
      </c>
      <c r="D32" t="s">
        <v>184</v>
      </c>
    </row>
    <row r="33" spans="1:4" x14ac:dyDescent="0.25">
      <c r="A33">
        <v>31</v>
      </c>
      <c r="B33" t="s">
        <v>66</v>
      </c>
      <c r="C33" t="s">
        <v>138</v>
      </c>
      <c r="D33" t="s">
        <v>185</v>
      </c>
    </row>
    <row r="34" spans="1:4" x14ac:dyDescent="0.25">
      <c r="A34">
        <v>32</v>
      </c>
      <c r="B34" t="s">
        <v>67</v>
      </c>
      <c r="C34" t="s">
        <v>138</v>
      </c>
      <c r="D34" t="s">
        <v>186</v>
      </c>
    </row>
    <row r="35" spans="1:4" x14ac:dyDescent="0.25">
      <c r="A35">
        <v>33</v>
      </c>
      <c r="B35" t="s">
        <v>68</v>
      </c>
      <c r="C35" t="s">
        <v>138</v>
      </c>
      <c r="D35" t="s">
        <v>187</v>
      </c>
    </row>
    <row r="36" spans="1:4" x14ac:dyDescent="0.25">
      <c r="A36">
        <v>34</v>
      </c>
      <c r="B36" t="s">
        <v>69</v>
      </c>
      <c r="C36" t="s">
        <v>138</v>
      </c>
      <c r="D36" t="s">
        <v>188</v>
      </c>
    </row>
    <row r="37" spans="1:4" x14ac:dyDescent="0.25">
      <c r="A37">
        <v>35</v>
      </c>
      <c r="B37" t="s">
        <v>70</v>
      </c>
      <c r="C37" t="s">
        <v>138</v>
      </c>
      <c r="D37" t="s">
        <v>189</v>
      </c>
    </row>
    <row r="38" spans="1:4" x14ac:dyDescent="0.25">
      <c r="A38">
        <v>36</v>
      </c>
      <c r="B38" t="s">
        <v>71</v>
      </c>
      <c r="C38" t="s">
        <v>139</v>
      </c>
      <c r="D38" t="s">
        <v>161</v>
      </c>
    </row>
    <row r="39" spans="1:4" x14ac:dyDescent="0.25">
      <c r="A39">
        <v>37</v>
      </c>
      <c r="B39" t="s">
        <v>72</v>
      </c>
      <c r="C39" t="s">
        <v>139</v>
      </c>
      <c r="D39" t="s">
        <v>162</v>
      </c>
    </row>
    <row r="40" spans="1:4" x14ac:dyDescent="0.25">
      <c r="A40">
        <v>38</v>
      </c>
      <c r="B40" t="s">
        <v>73</v>
      </c>
      <c r="C40" t="s">
        <v>139</v>
      </c>
      <c r="D40" t="s">
        <v>163</v>
      </c>
    </row>
    <row r="41" spans="1:4" x14ac:dyDescent="0.25">
      <c r="A41">
        <v>39</v>
      </c>
      <c r="B41" t="s">
        <v>74</v>
      </c>
      <c r="C41" t="s">
        <v>139</v>
      </c>
      <c r="D41" t="s">
        <v>164</v>
      </c>
    </row>
    <row r="42" spans="1:4" x14ac:dyDescent="0.25">
      <c r="A42">
        <v>40</v>
      </c>
      <c r="B42" t="s">
        <v>75</v>
      </c>
      <c r="C42" t="s">
        <v>139</v>
      </c>
      <c r="D42" t="s">
        <v>184</v>
      </c>
    </row>
    <row r="43" spans="1:4" x14ac:dyDescent="0.25">
      <c r="A43">
        <v>41</v>
      </c>
      <c r="B43" t="s">
        <v>76</v>
      </c>
      <c r="C43" t="s">
        <v>139</v>
      </c>
      <c r="D43" t="s">
        <v>185</v>
      </c>
    </row>
    <row r="44" spans="1:4" x14ac:dyDescent="0.25">
      <c r="A44">
        <v>42</v>
      </c>
      <c r="B44" t="s">
        <v>77</v>
      </c>
      <c r="C44" t="s">
        <v>139</v>
      </c>
      <c r="D44" t="s">
        <v>199</v>
      </c>
    </row>
    <row r="45" spans="1:4" x14ac:dyDescent="0.25">
      <c r="A45">
        <v>43</v>
      </c>
      <c r="B45" t="s">
        <v>78</v>
      </c>
      <c r="C45" t="s">
        <v>140</v>
      </c>
      <c r="D45" t="s">
        <v>161</v>
      </c>
    </row>
    <row r="46" spans="1:4" x14ac:dyDescent="0.25">
      <c r="A46">
        <v>44</v>
      </c>
      <c r="B46" t="s">
        <v>79</v>
      </c>
      <c r="C46" t="s">
        <v>140</v>
      </c>
      <c r="D46" t="s">
        <v>204</v>
      </c>
    </row>
    <row r="47" spans="1:4" x14ac:dyDescent="0.25">
      <c r="A47">
        <v>45</v>
      </c>
      <c r="B47" t="s">
        <v>80</v>
      </c>
      <c r="C47" t="s">
        <v>140</v>
      </c>
      <c r="D47" t="s">
        <v>206</v>
      </c>
    </row>
    <row r="48" spans="1:4" x14ac:dyDescent="0.25">
      <c r="A48">
        <v>46</v>
      </c>
      <c r="B48" t="s">
        <v>81</v>
      </c>
      <c r="C48" t="s">
        <v>140</v>
      </c>
      <c r="D48" t="s">
        <v>207</v>
      </c>
    </row>
    <row r="49" spans="1:4" x14ac:dyDescent="0.25">
      <c r="A49">
        <v>47</v>
      </c>
      <c r="B49" t="s">
        <v>82</v>
      </c>
      <c r="C49" t="s">
        <v>140</v>
      </c>
      <c r="D49" t="s">
        <v>205</v>
      </c>
    </row>
    <row r="50" spans="1:4" x14ac:dyDescent="0.25">
      <c r="A50">
        <v>48</v>
      </c>
      <c r="B50" t="s">
        <v>83</v>
      </c>
      <c r="C50" t="s">
        <v>140</v>
      </c>
      <c r="D50" t="s">
        <v>200</v>
      </c>
    </row>
    <row r="51" spans="1:4" x14ac:dyDescent="0.25">
      <c r="A51">
        <v>49</v>
      </c>
      <c r="B51" t="s">
        <v>84</v>
      </c>
      <c r="C51" t="s">
        <v>141</v>
      </c>
      <c r="D51" t="s">
        <v>161</v>
      </c>
    </row>
    <row r="52" spans="1:4" x14ac:dyDescent="0.25">
      <c r="A52">
        <v>50</v>
      </c>
      <c r="B52" t="s">
        <v>85</v>
      </c>
      <c r="C52" t="s">
        <v>141</v>
      </c>
      <c r="D52" t="s">
        <v>162</v>
      </c>
    </row>
    <row r="53" spans="1:4" x14ac:dyDescent="0.25">
      <c r="A53">
        <v>51</v>
      </c>
      <c r="B53" t="s">
        <v>86</v>
      </c>
      <c r="C53" t="s">
        <v>141</v>
      </c>
      <c r="D53" t="s">
        <v>163</v>
      </c>
    </row>
    <row r="54" spans="1:4" x14ac:dyDescent="0.25">
      <c r="A54">
        <v>52</v>
      </c>
      <c r="B54" t="s">
        <v>87</v>
      </c>
      <c r="C54" t="s">
        <v>141</v>
      </c>
      <c r="D54" t="s">
        <v>164</v>
      </c>
    </row>
    <row r="55" spans="1:4" x14ac:dyDescent="0.25">
      <c r="A55">
        <v>53</v>
      </c>
      <c r="B55" t="s">
        <v>88</v>
      </c>
      <c r="C55" t="s">
        <v>141</v>
      </c>
      <c r="D55" t="s">
        <v>184</v>
      </c>
    </row>
    <row r="56" spans="1:4" x14ac:dyDescent="0.25">
      <c r="A56">
        <v>54</v>
      </c>
      <c r="B56" t="s">
        <v>89</v>
      </c>
      <c r="C56" t="s">
        <v>141</v>
      </c>
      <c r="D56" t="s">
        <v>201</v>
      </c>
    </row>
    <row r="57" spans="1:4" x14ac:dyDescent="0.25">
      <c r="A57">
        <v>55</v>
      </c>
      <c r="B57" t="s">
        <v>90</v>
      </c>
      <c r="C57" t="s">
        <v>141</v>
      </c>
      <c r="D57" t="s">
        <v>186</v>
      </c>
    </row>
    <row r="58" spans="1:4" x14ac:dyDescent="0.25">
      <c r="A58">
        <v>56</v>
      </c>
      <c r="B58" t="s">
        <v>91</v>
      </c>
      <c r="C58" t="s">
        <v>141</v>
      </c>
      <c r="D58" t="s">
        <v>188</v>
      </c>
    </row>
    <row r="59" spans="1:4" x14ac:dyDescent="0.25">
      <c r="A59">
        <v>57</v>
      </c>
      <c r="B59" t="s">
        <v>92</v>
      </c>
      <c r="C59" t="s">
        <v>141</v>
      </c>
      <c r="D59" t="s">
        <v>189</v>
      </c>
    </row>
    <row r="60" spans="1:4" x14ac:dyDescent="0.25">
      <c r="A60">
        <v>118</v>
      </c>
      <c r="B60" t="s">
        <v>251</v>
      </c>
    </row>
    <row r="61" spans="1:4" x14ac:dyDescent="0.25">
      <c r="A61">
        <v>70</v>
      </c>
      <c r="B61" t="s">
        <v>93</v>
      </c>
      <c r="C61" t="s">
        <v>137</v>
      </c>
    </row>
    <row r="62" spans="1:4" x14ac:dyDescent="0.25">
      <c r="A62">
        <v>71</v>
      </c>
      <c r="B62" t="s">
        <v>94</v>
      </c>
      <c r="C62" t="s">
        <v>137</v>
      </c>
      <c r="D62" t="s">
        <v>167</v>
      </c>
    </row>
    <row r="63" spans="1:4" x14ac:dyDescent="0.25">
      <c r="A63">
        <v>72</v>
      </c>
      <c r="B63" t="s">
        <v>95</v>
      </c>
      <c r="C63" t="s">
        <v>137</v>
      </c>
      <c r="D63" t="s">
        <v>168</v>
      </c>
    </row>
    <row r="64" spans="1:4" x14ac:dyDescent="0.25">
      <c r="A64">
        <v>73</v>
      </c>
      <c r="B64" t="s">
        <v>96</v>
      </c>
      <c r="C64" t="s">
        <v>137</v>
      </c>
      <c r="D64" t="s">
        <v>169</v>
      </c>
    </row>
    <row r="65" spans="1:4" x14ac:dyDescent="0.25">
      <c r="A65">
        <v>74</v>
      </c>
      <c r="B65" t="s">
        <v>97</v>
      </c>
      <c r="C65" t="s">
        <v>137</v>
      </c>
      <c r="D65" t="s">
        <v>170</v>
      </c>
    </row>
    <row r="66" spans="1:4" x14ac:dyDescent="0.25">
      <c r="A66">
        <v>75</v>
      </c>
      <c r="B66" t="s">
        <v>98</v>
      </c>
      <c r="C66" t="s">
        <v>137</v>
      </c>
      <c r="D66" t="s">
        <v>171</v>
      </c>
    </row>
    <row r="67" spans="1:4" x14ac:dyDescent="0.25">
      <c r="A67">
        <v>76</v>
      </c>
      <c r="B67" t="s">
        <v>99</v>
      </c>
      <c r="C67" t="s">
        <v>137</v>
      </c>
      <c r="D67" t="s">
        <v>172</v>
      </c>
    </row>
    <row r="68" spans="1:4" x14ac:dyDescent="0.25">
      <c r="A68">
        <v>77</v>
      </c>
      <c r="B68" t="s">
        <v>100</v>
      </c>
      <c r="C68" t="s">
        <v>137</v>
      </c>
      <c r="D68" t="s">
        <v>173</v>
      </c>
    </row>
    <row r="69" spans="1:4" x14ac:dyDescent="0.25">
      <c r="A69">
        <v>78</v>
      </c>
      <c r="B69" t="s">
        <v>101</v>
      </c>
      <c r="C69" t="s">
        <v>137</v>
      </c>
      <c r="D69" t="s">
        <v>174</v>
      </c>
    </row>
    <row r="70" spans="1:4" x14ac:dyDescent="0.25">
      <c r="A70">
        <v>79</v>
      </c>
      <c r="B70" t="s">
        <v>102</v>
      </c>
      <c r="C70" t="s">
        <v>137</v>
      </c>
      <c r="D70" t="s">
        <v>175</v>
      </c>
    </row>
    <row r="71" spans="1:4" x14ac:dyDescent="0.25">
      <c r="A71">
        <v>80</v>
      </c>
      <c r="B71" t="s">
        <v>103</v>
      </c>
      <c r="C71" t="s">
        <v>137</v>
      </c>
      <c r="D71" t="s">
        <v>176</v>
      </c>
    </row>
    <row r="72" spans="1:4" x14ac:dyDescent="0.25">
      <c r="A72">
        <v>81</v>
      </c>
      <c r="B72" t="s">
        <v>104</v>
      </c>
      <c r="C72" t="s">
        <v>137</v>
      </c>
      <c r="D72" t="s">
        <v>177</v>
      </c>
    </row>
    <row r="73" spans="1:4" x14ac:dyDescent="0.25">
      <c r="A73">
        <v>82</v>
      </c>
      <c r="B73" t="s">
        <v>105</v>
      </c>
      <c r="C73" t="s">
        <v>137</v>
      </c>
      <c r="D73" t="s">
        <v>177</v>
      </c>
    </row>
    <row r="74" spans="1:4" x14ac:dyDescent="0.25">
      <c r="A74">
        <v>83</v>
      </c>
      <c r="B74" t="s">
        <v>106</v>
      </c>
      <c r="C74" t="s">
        <v>137</v>
      </c>
      <c r="D74" t="s">
        <v>178</v>
      </c>
    </row>
    <row r="75" spans="1:4" x14ac:dyDescent="0.25">
      <c r="A75">
        <v>84</v>
      </c>
      <c r="B75" t="s">
        <v>107</v>
      </c>
      <c r="C75" t="s">
        <v>137</v>
      </c>
      <c r="D75" t="s">
        <v>179</v>
      </c>
    </row>
    <row r="76" spans="1:4" x14ac:dyDescent="0.25">
      <c r="A76">
        <v>85</v>
      </c>
      <c r="B76" t="s">
        <v>108</v>
      </c>
      <c r="C76" t="s">
        <v>137</v>
      </c>
      <c r="D76" t="s">
        <v>180</v>
      </c>
    </row>
    <row r="77" spans="1:4" x14ac:dyDescent="0.25">
      <c r="A77">
        <v>86</v>
      </c>
      <c r="B77" t="s">
        <v>109</v>
      </c>
      <c r="C77" t="s">
        <v>137</v>
      </c>
      <c r="D77" t="s">
        <v>181</v>
      </c>
    </row>
    <row r="78" spans="1:4" x14ac:dyDescent="0.25">
      <c r="A78">
        <v>87</v>
      </c>
      <c r="B78" t="s">
        <v>110</v>
      </c>
      <c r="C78" t="s">
        <v>137</v>
      </c>
      <c r="D78" t="s">
        <v>182</v>
      </c>
    </row>
    <row r="79" spans="1:4" x14ac:dyDescent="0.25">
      <c r="A79">
        <v>88</v>
      </c>
      <c r="B79" t="s">
        <v>111</v>
      </c>
      <c r="C79" t="s">
        <v>137</v>
      </c>
      <c r="D79" t="s">
        <v>183</v>
      </c>
    </row>
    <row r="80" spans="1:4" x14ac:dyDescent="0.25">
      <c r="A80">
        <v>89</v>
      </c>
      <c r="B80" t="s">
        <v>112</v>
      </c>
      <c r="C80" t="s">
        <v>138</v>
      </c>
      <c r="D80" t="s">
        <v>190</v>
      </c>
    </row>
    <row r="81" spans="1:4" x14ac:dyDescent="0.25">
      <c r="A81">
        <v>90</v>
      </c>
      <c r="B81" t="s">
        <v>113</v>
      </c>
      <c r="C81" t="s">
        <v>138</v>
      </c>
      <c r="D81" t="s">
        <v>191</v>
      </c>
    </row>
    <row r="82" spans="1:4" x14ac:dyDescent="0.25">
      <c r="A82">
        <v>91</v>
      </c>
      <c r="B82" t="s">
        <v>114</v>
      </c>
      <c r="C82" t="s">
        <v>138</v>
      </c>
      <c r="D82" t="s">
        <v>192</v>
      </c>
    </row>
    <row r="83" spans="1:4" x14ac:dyDescent="0.25">
      <c r="A83">
        <v>92</v>
      </c>
      <c r="B83" t="s">
        <v>115</v>
      </c>
      <c r="C83" t="s">
        <v>138</v>
      </c>
      <c r="D83" t="s">
        <v>193</v>
      </c>
    </row>
    <row r="84" spans="1:4" x14ac:dyDescent="0.25">
      <c r="A84">
        <v>93</v>
      </c>
      <c r="B84" t="s">
        <v>116</v>
      </c>
      <c r="C84" t="s">
        <v>138</v>
      </c>
      <c r="D84" t="s">
        <v>194</v>
      </c>
    </row>
    <row r="85" spans="1:4" x14ac:dyDescent="0.25">
      <c r="A85">
        <v>94</v>
      </c>
      <c r="B85" t="s">
        <v>117</v>
      </c>
      <c r="C85" t="s">
        <v>138</v>
      </c>
      <c r="D85" t="s">
        <v>195</v>
      </c>
    </row>
    <row r="86" spans="1:4" x14ac:dyDescent="0.25">
      <c r="A86">
        <v>95</v>
      </c>
      <c r="B86" t="s">
        <v>118</v>
      </c>
      <c r="C86" t="s">
        <v>138</v>
      </c>
      <c r="D86" t="s">
        <v>196</v>
      </c>
    </row>
    <row r="87" spans="1:4" x14ac:dyDescent="0.25">
      <c r="A87">
        <v>96</v>
      </c>
      <c r="B87" t="s">
        <v>119</v>
      </c>
      <c r="C87" t="s">
        <v>138</v>
      </c>
      <c r="D87" t="s">
        <v>197</v>
      </c>
    </row>
    <row r="88" spans="1:4" x14ac:dyDescent="0.25">
      <c r="A88">
        <v>97</v>
      </c>
      <c r="B88" t="s">
        <v>120</v>
      </c>
      <c r="C88" t="s">
        <v>138</v>
      </c>
      <c r="D88" t="s">
        <v>198</v>
      </c>
    </row>
    <row r="89" spans="1:4" x14ac:dyDescent="0.25">
      <c r="A89">
        <v>98</v>
      </c>
      <c r="B89" t="s">
        <v>121</v>
      </c>
      <c r="C89" t="s">
        <v>139</v>
      </c>
      <c r="D89" t="s">
        <v>191</v>
      </c>
    </row>
    <row r="90" spans="1:4" x14ac:dyDescent="0.25">
      <c r="A90">
        <v>99</v>
      </c>
      <c r="B90" t="s">
        <v>122</v>
      </c>
      <c r="C90" t="s">
        <v>139</v>
      </c>
      <c r="D90" t="s">
        <v>192</v>
      </c>
    </row>
    <row r="91" spans="1:4" x14ac:dyDescent="0.25">
      <c r="A91">
        <v>100</v>
      </c>
      <c r="B91" t="s">
        <v>123</v>
      </c>
      <c r="C91" t="s">
        <v>139</v>
      </c>
      <c r="D91" t="s">
        <v>193</v>
      </c>
    </row>
    <row r="92" spans="1:4" x14ac:dyDescent="0.25">
      <c r="A92">
        <v>101</v>
      </c>
      <c r="B92" t="s">
        <v>124</v>
      </c>
      <c r="C92" t="s">
        <v>139</v>
      </c>
      <c r="D92" t="s">
        <v>194</v>
      </c>
    </row>
    <row r="93" spans="1:4" x14ac:dyDescent="0.25">
      <c r="A93">
        <v>102</v>
      </c>
      <c r="B93" t="s">
        <v>125</v>
      </c>
      <c r="C93" t="s">
        <v>140</v>
      </c>
      <c r="D93" t="s">
        <v>191</v>
      </c>
    </row>
    <row r="94" spans="1:4" x14ac:dyDescent="0.25">
      <c r="A94">
        <v>103</v>
      </c>
      <c r="B94" t="s">
        <v>126</v>
      </c>
      <c r="C94" t="s">
        <v>140</v>
      </c>
      <c r="D94" t="s">
        <v>192</v>
      </c>
    </row>
    <row r="95" spans="1:4" x14ac:dyDescent="0.25">
      <c r="A95">
        <v>104</v>
      </c>
      <c r="B95" t="s">
        <v>127</v>
      </c>
      <c r="C95" t="s">
        <v>140</v>
      </c>
      <c r="D95" t="s">
        <v>193</v>
      </c>
    </row>
    <row r="96" spans="1:4" x14ac:dyDescent="0.25">
      <c r="A96">
        <v>105</v>
      </c>
      <c r="B96" t="s">
        <v>128</v>
      </c>
      <c r="C96" t="s">
        <v>140</v>
      </c>
      <c r="D96" t="s">
        <v>194</v>
      </c>
    </row>
    <row r="97" spans="1:4" x14ac:dyDescent="0.25">
      <c r="A97">
        <v>106</v>
      </c>
      <c r="B97" t="s">
        <v>129</v>
      </c>
      <c r="C97" t="s">
        <v>141</v>
      </c>
      <c r="D97" t="s">
        <v>191</v>
      </c>
    </row>
    <row r="98" spans="1:4" x14ac:dyDescent="0.25">
      <c r="A98">
        <v>107</v>
      </c>
      <c r="B98" t="s">
        <v>130</v>
      </c>
      <c r="C98" t="s">
        <v>141</v>
      </c>
      <c r="D98" t="s">
        <v>202</v>
      </c>
    </row>
    <row r="99" spans="1:4" x14ac:dyDescent="0.25">
      <c r="A99">
        <v>108</v>
      </c>
      <c r="B99" t="s">
        <v>131</v>
      </c>
      <c r="C99" t="s">
        <v>141</v>
      </c>
      <c r="D99" t="s">
        <v>192</v>
      </c>
    </row>
    <row r="100" spans="1:4" x14ac:dyDescent="0.25">
      <c r="A100">
        <v>109</v>
      </c>
      <c r="B100" t="s">
        <v>132</v>
      </c>
      <c r="C100" t="s">
        <v>141</v>
      </c>
      <c r="D100" t="s">
        <v>193</v>
      </c>
    </row>
    <row r="101" spans="1:4" x14ac:dyDescent="0.25">
      <c r="A101">
        <v>110</v>
      </c>
      <c r="B101" t="s">
        <v>133</v>
      </c>
      <c r="C101" t="s">
        <v>141</v>
      </c>
      <c r="D101" t="s">
        <v>194</v>
      </c>
    </row>
    <row r="102" spans="1:4" x14ac:dyDescent="0.25">
      <c r="A102">
        <v>111</v>
      </c>
      <c r="B102" t="s">
        <v>134</v>
      </c>
      <c r="C102" t="s">
        <v>141</v>
      </c>
      <c r="D102" t="s">
        <v>197</v>
      </c>
    </row>
    <row r="103" spans="1:4" x14ac:dyDescent="0.25">
      <c r="A103">
        <v>112</v>
      </c>
      <c r="B103" t="s">
        <v>135</v>
      </c>
      <c r="C103" t="s">
        <v>141</v>
      </c>
      <c r="D103" t="s">
        <v>203</v>
      </c>
    </row>
    <row r="104" spans="1:4" x14ac:dyDescent="0.25">
      <c r="A104">
        <v>113</v>
      </c>
      <c r="B104" t="s">
        <v>136</v>
      </c>
      <c r="C104" t="s">
        <v>141</v>
      </c>
      <c r="D104" t="s">
        <v>198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theme="0" tint="-0.34998626667073579"/>
  </sheetPr>
  <dimension ref="A1:D317"/>
  <sheetViews>
    <sheetView workbookViewId="0">
      <selection activeCell="J25" sqref="J25"/>
    </sheetView>
  </sheetViews>
  <sheetFormatPr defaultRowHeight="15" x14ac:dyDescent="0.25"/>
  <sheetData>
    <row r="1" spans="1:3" x14ac:dyDescent="0.25">
      <c r="A1" t="s">
        <v>285</v>
      </c>
      <c r="B1" t="s">
        <v>284</v>
      </c>
      <c r="C1" t="s">
        <v>283</v>
      </c>
    </row>
    <row r="2" spans="1:3" x14ac:dyDescent="0.25">
      <c r="A2">
        <v>1</v>
      </c>
      <c r="B2">
        <v>1</v>
      </c>
      <c r="C2">
        <v>3230.1739632857102</v>
      </c>
    </row>
    <row r="3" spans="1:3" x14ac:dyDescent="0.25">
      <c r="A3">
        <v>2</v>
      </c>
      <c r="B3">
        <v>1</v>
      </c>
      <c r="C3">
        <v>184.632306</v>
      </c>
    </row>
    <row r="4" spans="1:3" x14ac:dyDescent="0.25">
      <c r="A4">
        <v>3</v>
      </c>
      <c r="B4">
        <v>1</v>
      </c>
      <c r="C4">
        <v>2712.2282997857101</v>
      </c>
    </row>
    <row r="5" spans="1:3" x14ac:dyDescent="0.25">
      <c r="A5">
        <v>4</v>
      </c>
      <c r="B5">
        <v>1</v>
      </c>
      <c r="C5">
        <v>2033.05121278571</v>
      </c>
    </row>
    <row r="6" spans="1:3" x14ac:dyDescent="0.25">
      <c r="A6">
        <v>5</v>
      </c>
      <c r="B6">
        <v>1</v>
      </c>
      <c r="C6">
        <v>813.78415585714299</v>
      </c>
    </row>
    <row r="7" spans="1:3" x14ac:dyDescent="0.25">
      <c r="A7">
        <v>6</v>
      </c>
      <c r="B7">
        <v>1</v>
      </c>
      <c r="C7">
        <v>4737.2299899999998</v>
      </c>
    </row>
    <row r="8" spans="1:3" x14ac:dyDescent="0.25">
      <c r="A8">
        <v>7</v>
      </c>
      <c r="B8">
        <v>1</v>
      </c>
      <c r="C8">
        <v>825.578868142857</v>
      </c>
    </row>
    <row r="9" spans="1:3" x14ac:dyDescent="0.25">
      <c r="A9">
        <v>8</v>
      </c>
      <c r="B9">
        <v>1</v>
      </c>
      <c r="C9">
        <v>319.08188471428599</v>
      </c>
    </row>
    <row r="10" spans="1:3" x14ac:dyDescent="0.25">
      <c r="A10">
        <v>9</v>
      </c>
      <c r="B10">
        <v>1</v>
      </c>
      <c r="C10">
        <v>991.771928357143</v>
      </c>
    </row>
    <row r="11" spans="1:3" x14ac:dyDescent="0.25">
      <c r="A11">
        <v>10</v>
      </c>
      <c r="B11">
        <v>1</v>
      </c>
      <c r="C11">
        <v>1931.30456828571</v>
      </c>
    </row>
    <row r="12" spans="1:3" x14ac:dyDescent="0.25">
      <c r="A12">
        <v>11</v>
      </c>
      <c r="B12">
        <v>1</v>
      </c>
      <c r="C12">
        <v>1068.70283271429</v>
      </c>
    </row>
    <row r="13" spans="1:3" x14ac:dyDescent="0.25">
      <c r="A13">
        <v>12</v>
      </c>
      <c r="B13">
        <v>1</v>
      </c>
      <c r="C13">
        <v>2772.8226637857101</v>
      </c>
    </row>
    <row r="14" spans="1:3" x14ac:dyDescent="0.25">
      <c r="A14">
        <v>13</v>
      </c>
      <c r="B14">
        <v>1</v>
      </c>
      <c r="C14">
        <v>104.609015</v>
      </c>
    </row>
    <row r="15" spans="1:3" x14ac:dyDescent="0.25">
      <c r="A15">
        <v>14</v>
      </c>
      <c r="B15">
        <v>1</v>
      </c>
      <c r="C15">
        <v>32.136679000000001</v>
      </c>
    </row>
    <row r="16" spans="1:3" x14ac:dyDescent="0.25">
      <c r="A16">
        <v>15</v>
      </c>
      <c r="B16">
        <v>1</v>
      </c>
      <c r="C16">
        <v>222.47763</v>
      </c>
    </row>
    <row r="17" spans="1:3" x14ac:dyDescent="0.25">
      <c r="A17">
        <v>16</v>
      </c>
      <c r="B17">
        <v>1</v>
      </c>
      <c r="C17">
        <v>184.36995899999999</v>
      </c>
    </row>
    <row r="18" spans="1:3" x14ac:dyDescent="0.25">
      <c r="A18">
        <v>17</v>
      </c>
      <c r="B18">
        <v>1</v>
      </c>
      <c r="C18">
        <v>42.424644499999999</v>
      </c>
    </row>
    <row r="19" spans="1:3" x14ac:dyDescent="0.25">
      <c r="A19">
        <v>18</v>
      </c>
      <c r="B19">
        <v>1</v>
      </c>
      <c r="C19">
        <v>228.89514742857099</v>
      </c>
    </row>
    <row r="20" spans="1:3" x14ac:dyDescent="0.25">
      <c r="A20">
        <v>19</v>
      </c>
      <c r="B20">
        <v>1</v>
      </c>
      <c r="C20">
        <v>160.34486242857099</v>
      </c>
    </row>
    <row r="21" spans="1:3" x14ac:dyDescent="0.25">
      <c r="A21">
        <v>1</v>
      </c>
      <c r="B21">
        <v>2</v>
      </c>
      <c r="C21">
        <v>595.03516942857095</v>
      </c>
    </row>
    <row r="22" spans="1:3" x14ac:dyDescent="0.25">
      <c r="A22">
        <v>2</v>
      </c>
      <c r="B22">
        <v>2</v>
      </c>
      <c r="C22">
        <v>5860.509892</v>
      </c>
    </row>
    <row r="23" spans="1:3" x14ac:dyDescent="0.25">
      <c r="A23">
        <v>3</v>
      </c>
      <c r="B23">
        <v>2</v>
      </c>
      <c r="C23">
        <v>811.05925185714295</v>
      </c>
    </row>
    <row r="24" spans="1:3" x14ac:dyDescent="0.25">
      <c r="A24">
        <v>4</v>
      </c>
      <c r="B24">
        <v>2</v>
      </c>
      <c r="C24">
        <v>156.930377285714</v>
      </c>
    </row>
    <row r="25" spans="1:3" x14ac:dyDescent="0.25">
      <c r="A25">
        <v>5</v>
      </c>
      <c r="B25">
        <v>2</v>
      </c>
      <c r="C25">
        <v>425.07677749999999</v>
      </c>
    </row>
    <row r="26" spans="1:3" x14ac:dyDescent="0.25">
      <c r="A26">
        <v>6</v>
      </c>
      <c r="B26">
        <v>2</v>
      </c>
      <c r="C26">
        <v>2285.6481724999999</v>
      </c>
    </row>
    <row r="27" spans="1:3" x14ac:dyDescent="0.25">
      <c r="A27">
        <v>7</v>
      </c>
      <c r="B27">
        <v>2</v>
      </c>
      <c r="C27">
        <v>2296.1594103571401</v>
      </c>
    </row>
    <row r="28" spans="1:3" x14ac:dyDescent="0.25">
      <c r="A28">
        <v>8</v>
      </c>
      <c r="B28">
        <v>2</v>
      </c>
      <c r="C28">
        <v>338.675817</v>
      </c>
    </row>
    <row r="29" spans="1:3" x14ac:dyDescent="0.25">
      <c r="A29">
        <v>9</v>
      </c>
      <c r="B29">
        <v>2</v>
      </c>
      <c r="C29">
        <v>4505.0991514285697</v>
      </c>
    </row>
    <row r="30" spans="1:3" x14ac:dyDescent="0.25">
      <c r="A30">
        <v>10</v>
      </c>
      <c r="B30">
        <v>2</v>
      </c>
      <c r="C30">
        <v>234.10542599999999</v>
      </c>
    </row>
    <row r="31" spans="1:3" x14ac:dyDescent="0.25">
      <c r="A31">
        <v>11</v>
      </c>
      <c r="B31">
        <v>2</v>
      </c>
      <c r="C31">
        <v>902.71601621428601</v>
      </c>
    </row>
    <row r="32" spans="1:3" x14ac:dyDescent="0.25">
      <c r="A32">
        <v>12</v>
      </c>
      <c r="B32">
        <v>2</v>
      </c>
      <c r="C32">
        <v>2596.6977786428602</v>
      </c>
    </row>
    <row r="33" spans="1:3" x14ac:dyDescent="0.25">
      <c r="A33">
        <v>13</v>
      </c>
      <c r="B33">
        <v>2</v>
      </c>
      <c r="C33">
        <v>202.684432571429</v>
      </c>
    </row>
    <row r="34" spans="1:3" x14ac:dyDescent="0.25">
      <c r="A34">
        <v>15</v>
      </c>
      <c r="B34">
        <v>2</v>
      </c>
      <c r="C34">
        <v>22.845447499999999</v>
      </c>
    </row>
    <row r="35" spans="1:3" x14ac:dyDescent="0.25">
      <c r="A35">
        <v>19</v>
      </c>
      <c r="B35">
        <v>2</v>
      </c>
      <c r="C35">
        <v>164.782973</v>
      </c>
    </row>
    <row r="36" spans="1:3" x14ac:dyDescent="0.25">
      <c r="A36">
        <v>20</v>
      </c>
      <c r="B36">
        <v>2</v>
      </c>
      <c r="C36">
        <v>48.270623999999998</v>
      </c>
    </row>
    <row r="37" spans="1:3" x14ac:dyDescent="0.25">
      <c r="A37">
        <v>1</v>
      </c>
      <c r="B37">
        <v>3</v>
      </c>
      <c r="C37">
        <v>2417.16384778571</v>
      </c>
    </row>
    <row r="38" spans="1:3" x14ac:dyDescent="0.25">
      <c r="A38">
        <v>2</v>
      </c>
      <c r="B38">
        <v>3</v>
      </c>
      <c r="C38">
        <v>1152.03541457143</v>
      </c>
    </row>
    <row r="39" spans="1:3" x14ac:dyDescent="0.25">
      <c r="A39">
        <v>3</v>
      </c>
      <c r="B39">
        <v>3</v>
      </c>
      <c r="C39">
        <v>36343.797142714298</v>
      </c>
    </row>
    <row r="40" spans="1:3" x14ac:dyDescent="0.25">
      <c r="A40">
        <v>4</v>
      </c>
      <c r="B40">
        <v>3</v>
      </c>
      <c r="C40">
        <v>1455.62781857143</v>
      </c>
    </row>
    <row r="41" spans="1:3" x14ac:dyDescent="0.25">
      <c r="A41">
        <v>5</v>
      </c>
      <c r="B41">
        <v>3</v>
      </c>
      <c r="C41">
        <v>2971.63106842857</v>
      </c>
    </row>
    <row r="42" spans="1:3" x14ac:dyDescent="0.25">
      <c r="A42">
        <v>6</v>
      </c>
      <c r="B42">
        <v>3</v>
      </c>
      <c r="C42">
        <v>3090.07748728571</v>
      </c>
    </row>
    <row r="43" spans="1:3" x14ac:dyDescent="0.25">
      <c r="A43">
        <v>7</v>
      </c>
      <c r="B43">
        <v>3</v>
      </c>
      <c r="C43">
        <v>644.01142700000003</v>
      </c>
    </row>
    <row r="44" spans="1:3" x14ac:dyDescent="0.25">
      <c r="A44">
        <v>8</v>
      </c>
      <c r="B44">
        <v>3</v>
      </c>
      <c r="C44">
        <v>673.36636528571398</v>
      </c>
    </row>
    <row r="45" spans="1:3" x14ac:dyDescent="0.25">
      <c r="A45">
        <v>9</v>
      </c>
      <c r="B45">
        <v>3</v>
      </c>
      <c r="C45">
        <v>1885.7101944999999</v>
      </c>
    </row>
    <row r="46" spans="1:3" x14ac:dyDescent="0.25">
      <c r="A46">
        <v>10</v>
      </c>
      <c r="B46">
        <v>3</v>
      </c>
      <c r="C46">
        <v>900.03299600000003</v>
      </c>
    </row>
    <row r="47" spans="1:3" x14ac:dyDescent="0.25">
      <c r="A47">
        <v>11</v>
      </c>
      <c r="B47">
        <v>3</v>
      </c>
      <c r="C47">
        <v>6922.9935017857097</v>
      </c>
    </row>
    <row r="48" spans="1:3" x14ac:dyDescent="0.25">
      <c r="A48">
        <v>12</v>
      </c>
      <c r="B48">
        <v>3</v>
      </c>
      <c r="C48">
        <v>4113.4661865714297</v>
      </c>
    </row>
    <row r="49" spans="1:3" x14ac:dyDescent="0.25">
      <c r="A49">
        <v>13</v>
      </c>
      <c r="B49">
        <v>3</v>
      </c>
      <c r="C49">
        <v>185.37442250000001</v>
      </c>
    </row>
    <row r="50" spans="1:3" x14ac:dyDescent="0.25">
      <c r="A50">
        <v>14</v>
      </c>
      <c r="B50">
        <v>3</v>
      </c>
      <c r="C50">
        <v>450.925088571429</v>
      </c>
    </row>
    <row r="51" spans="1:3" x14ac:dyDescent="0.25">
      <c r="A51">
        <v>15</v>
      </c>
      <c r="B51">
        <v>3</v>
      </c>
      <c r="C51">
        <v>37.194336999999997</v>
      </c>
    </row>
    <row r="52" spans="1:3" x14ac:dyDescent="0.25">
      <c r="A52">
        <v>16</v>
      </c>
      <c r="B52">
        <v>3</v>
      </c>
      <c r="C52">
        <v>473.49568457142902</v>
      </c>
    </row>
    <row r="53" spans="1:3" x14ac:dyDescent="0.25">
      <c r="A53">
        <v>17</v>
      </c>
      <c r="B53">
        <v>3</v>
      </c>
      <c r="C53">
        <v>103.079077</v>
      </c>
    </row>
    <row r="54" spans="1:3" x14ac:dyDescent="0.25">
      <c r="A54">
        <v>19</v>
      </c>
      <c r="B54">
        <v>3</v>
      </c>
      <c r="C54">
        <v>328.21669714285702</v>
      </c>
    </row>
    <row r="55" spans="1:3" x14ac:dyDescent="0.25">
      <c r="A55">
        <v>1</v>
      </c>
      <c r="B55">
        <v>4</v>
      </c>
      <c r="C55">
        <v>1821.58803807143</v>
      </c>
    </row>
    <row r="56" spans="1:3" x14ac:dyDescent="0.25">
      <c r="A56">
        <v>2</v>
      </c>
      <c r="B56">
        <v>4</v>
      </c>
      <c r="C56">
        <v>158.618833785714</v>
      </c>
    </row>
    <row r="57" spans="1:3" x14ac:dyDescent="0.25">
      <c r="A57">
        <v>3</v>
      </c>
      <c r="B57">
        <v>4</v>
      </c>
      <c r="C57">
        <v>1645.4543801428599</v>
      </c>
    </row>
    <row r="58" spans="1:3" x14ac:dyDescent="0.25">
      <c r="A58">
        <v>4</v>
      </c>
      <c r="B58">
        <v>4</v>
      </c>
      <c r="C58">
        <v>7711.0480346428603</v>
      </c>
    </row>
    <row r="59" spans="1:3" x14ac:dyDescent="0.25">
      <c r="A59">
        <v>5</v>
      </c>
      <c r="B59">
        <v>4</v>
      </c>
      <c r="C59">
        <v>2028.9768986428601</v>
      </c>
    </row>
    <row r="60" spans="1:3" x14ac:dyDescent="0.25">
      <c r="A60">
        <v>6</v>
      </c>
      <c r="B60">
        <v>4</v>
      </c>
      <c r="C60">
        <v>2159.8558342142901</v>
      </c>
    </row>
    <row r="61" spans="1:3" x14ac:dyDescent="0.25">
      <c r="A61">
        <v>7</v>
      </c>
      <c r="B61">
        <v>4</v>
      </c>
      <c r="C61">
        <v>379.75585392857101</v>
      </c>
    </row>
    <row r="62" spans="1:3" x14ac:dyDescent="0.25">
      <c r="A62">
        <v>8</v>
      </c>
      <c r="B62">
        <v>4</v>
      </c>
      <c r="C62">
        <v>1341.19824028571</v>
      </c>
    </row>
    <row r="63" spans="1:3" x14ac:dyDescent="0.25">
      <c r="A63">
        <v>9</v>
      </c>
      <c r="B63">
        <v>4</v>
      </c>
      <c r="C63">
        <v>407.71615600000001</v>
      </c>
    </row>
    <row r="64" spans="1:3" x14ac:dyDescent="0.25">
      <c r="A64">
        <v>10</v>
      </c>
      <c r="B64">
        <v>4</v>
      </c>
      <c r="C64">
        <v>433.45805542857101</v>
      </c>
    </row>
    <row r="65" spans="1:3" x14ac:dyDescent="0.25">
      <c r="A65">
        <v>11</v>
      </c>
      <c r="B65">
        <v>4</v>
      </c>
      <c r="C65">
        <v>1561.3881305</v>
      </c>
    </row>
    <row r="66" spans="1:3" x14ac:dyDescent="0.25">
      <c r="A66">
        <v>12</v>
      </c>
      <c r="B66">
        <v>4</v>
      </c>
      <c r="C66">
        <v>387.85535528571398</v>
      </c>
    </row>
    <row r="67" spans="1:3" x14ac:dyDescent="0.25">
      <c r="A67">
        <v>14</v>
      </c>
      <c r="B67">
        <v>4</v>
      </c>
      <c r="C67">
        <v>147.13836814285699</v>
      </c>
    </row>
    <row r="68" spans="1:3" x14ac:dyDescent="0.25">
      <c r="A68">
        <v>15</v>
      </c>
      <c r="B68">
        <v>4</v>
      </c>
      <c r="C68">
        <v>77.297640999999999</v>
      </c>
    </row>
    <row r="69" spans="1:3" x14ac:dyDescent="0.25">
      <c r="A69">
        <v>18</v>
      </c>
      <c r="B69">
        <v>4</v>
      </c>
      <c r="C69">
        <v>44.700353999999997</v>
      </c>
    </row>
    <row r="70" spans="1:3" x14ac:dyDescent="0.25">
      <c r="A70">
        <v>19</v>
      </c>
      <c r="B70">
        <v>4</v>
      </c>
      <c r="C70">
        <v>15.235350499999999</v>
      </c>
    </row>
    <row r="71" spans="1:3" x14ac:dyDescent="0.25">
      <c r="A71">
        <v>1</v>
      </c>
      <c r="B71">
        <v>5</v>
      </c>
      <c r="C71">
        <v>829.09887342857098</v>
      </c>
    </row>
    <row r="72" spans="1:3" x14ac:dyDescent="0.25">
      <c r="A72">
        <v>2</v>
      </c>
      <c r="B72">
        <v>5</v>
      </c>
      <c r="C72">
        <v>318.51935600000002</v>
      </c>
    </row>
    <row r="73" spans="1:3" x14ac:dyDescent="0.25">
      <c r="A73">
        <v>3</v>
      </c>
      <c r="B73">
        <v>5</v>
      </c>
      <c r="C73">
        <v>3033.2722603571401</v>
      </c>
    </row>
    <row r="74" spans="1:3" x14ac:dyDescent="0.25">
      <c r="A74">
        <v>4</v>
      </c>
      <c r="B74">
        <v>5</v>
      </c>
      <c r="C74">
        <v>2225.8897137142899</v>
      </c>
    </row>
    <row r="75" spans="1:3" x14ac:dyDescent="0.25">
      <c r="A75">
        <v>5</v>
      </c>
      <c r="B75">
        <v>5</v>
      </c>
      <c r="C75">
        <v>4948.7612855714297</v>
      </c>
    </row>
    <row r="76" spans="1:3" x14ac:dyDescent="0.25">
      <c r="A76">
        <v>6</v>
      </c>
      <c r="B76">
        <v>5</v>
      </c>
      <c r="C76">
        <v>4710.7207059285702</v>
      </c>
    </row>
    <row r="77" spans="1:3" x14ac:dyDescent="0.25">
      <c r="A77">
        <v>7</v>
      </c>
      <c r="B77">
        <v>5</v>
      </c>
      <c r="C77">
        <v>1109.0902965</v>
      </c>
    </row>
    <row r="78" spans="1:3" x14ac:dyDescent="0.25">
      <c r="A78">
        <v>8</v>
      </c>
      <c r="B78">
        <v>5</v>
      </c>
      <c r="C78">
        <v>97.727357999999995</v>
      </c>
    </row>
    <row r="79" spans="1:3" x14ac:dyDescent="0.25">
      <c r="A79">
        <v>9</v>
      </c>
      <c r="B79">
        <v>5</v>
      </c>
      <c r="C79">
        <v>1311.8664878571401</v>
      </c>
    </row>
    <row r="80" spans="1:3" x14ac:dyDescent="0.25">
      <c r="A80">
        <v>10</v>
      </c>
      <c r="B80">
        <v>5</v>
      </c>
      <c r="C80">
        <v>6649.3969690000004</v>
      </c>
    </row>
    <row r="81" spans="1:3" x14ac:dyDescent="0.25">
      <c r="A81">
        <v>11</v>
      </c>
      <c r="B81">
        <v>5</v>
      </c>
      <c r="C81">
        <v>924.11908949999997</v>
      </c>
    </row>
    <row r="82" spans="1:3" x14ac:dyDescent="0.25">
      <c r="A82">
        <v>12</v>
      </c>
      <c r="B82">
        <v>5</v>
      </c>
      <c r="C82">
        <v>2325.0236774999998</v>
      </c>
    </row>
    <row r="83" spans="1:3" x14ac:dyDescent="0.25">
      <c r="A83">
        <v>13</v>
      </c>
      <c r="B83">
        <v>5</v>
      </c>
      <c r="C83">
        <v>56.488517000000002</v>
      </c>
    </row>
    <row r="84" spans="1:3" x14ac:dyDescent="0.25">
      <c r="A84">
        <v>14</v>
      </c>
      <c r="B84">
        <v>5</v>
      </c>
      <c r="C84">
        <v>237.13568549999999</v>
      </c>
    </row>
    <row r="85" spans="1:3" x14ac:dyDescent="0.25">
      <c r="A85">
        <v>15</v>
      </c>
      <c r="B85">
        <v>5</v>
      </c>
      <c r="C85">
        <v>77.550021000000001</v>
      </c>
    </row>
    <row r="86" spans="1:3" x14ac:dyDescent="0.25">
      <c r="A86">
        <v>16</v>
      </c>
      <c r="B86">
        <v>5</v>
      </c>
      <c r="C86">
        <v>2007.1374729285701</v>
      </c>
    </row>
    <row r="87" spans="1:3" x14ac:dyDescent="0.25">
      <c r="A87">
        <v>17</v>
      </c>
      <c r="B87">
        <v>5</v>
      </c>
      <c r="C87">
        <v>78.046678857142894</v>
      </c>
    </row>
    <row r="88" spans="1:3" x14ac:dyDescent="0.25">
      <c r="A88">
        <v>18</v>
      </c>
      <c r="B88">
        <v>5</v>
      </c>
      <c r="C88">
        <v>342.78019771428598</v>
      </c>
    </row>
    <row r="89" spans="1:3" x14ac:dyDescent="0.25">
      <c r="A89">
        <v>1</v>
      </c>
      <c r="B89">
        <v>6</v>
      </c>
      <c r="C89">
        <v>4688.05832128571</v>
      </c>
    </row>
    <row r="90" spans="1:3" x14ac:dyDescent="0.25">
      <c r="A90">
        <v>2</v>
      </c>
      <c r="B90">
        <v>6</v>
      </c>
      <c r="C90">
        <v>2521.8906832857101</v>
      </c>
    </row>
    <row r="91" spans="1:3" x14ac:dyDescent="0.25">
      <c r="A91">
        <v>3</v>
      </c>
      <c r="B91">
        <v>6</v>
      </c>
      <c r="C91">
        <v>4045.61431607143</v>
      </c>
    </row>
    <row r="92" spans="1:3" x14ac:dyDescent="0.25">
      <c r="A92">
        <v>4</v>
      </c>
      <c r="B92">
        <v>6</v>
      </c>
      <c r="C92">
        <v>1242.4726720000001</v>
      </c>
    </row>
    <row r="93" spans="1:3" x14ac:dyDescent="0.25">
      <c r="A93">
        <v>5</v>
      </c>
      <c r="B93">
        <v>6</v>
      </c>
      <c r="C93">
        <v>5329.8524807142903</v>
      </c>
    </row>
    <row r="94" spans="1:3" x14ac:dyDescent="0.25">
      <c r="A94">
        <v>6</v>
      </c>
      <c r="B94">
        <v>6</v>
      </c>
      <c r="C94">
        <v>52648.310207571398</v>
      </c>
    </row>
    <row r="95" spans="1:3" x14ac:dyDescent="0.25">
      <c r="A95">
        <v>7</v>
      </c>
      <c r="B95">
        <v>6</v>
      </c>
      <c r="C95">
        <v>1431.07142828571</v>
      </c>
    </row>
    <row r="96" spans="1:3" x14ac:dyDescent="0.25">
      <c r="A96">
        <v>8</v>
      </c>
      <c r="B96">
        <v>6</v>
      </c>
      <c r="C96">
        <v>390.36347721428598</v>
      </c>
    </row>
    <row r="97" spans="1:3" x14ac:dyDescent="0.25">
      <c r="A97">
        <v>9</v>
      </c>
      <c r="B97">
        <v>6</v>
      </c>
      <c r="C97">
        <v>3394.6833582142899</v>
      </c>
    </row>
    <row r="98" spans="1:3" x14ac:dyDescent="0.25">
      <c r="A98">
        <v>10</v>
      </c>
      <c r="B98">
        <v>6</v>
      </c>
      <c r="C98">
        <v>13707.073205000001</v>
      </c>
    </row>
    <row r="99" spans="1:3" x14ac:dyDescent="0.25">
      <c r="A99">
        <v>11</v>
      </c>
      <c r="B99">
        <v>6</v>
      </c>
      <c r="C99">
        <v>775.42969214285699</v>
      </c>
    </row>
    <row r="100" spans="1:3" x14ac:dyDescent="0.25">
      <c r="A100">
        <v>12</v>
      </c>
      <c r="B100">
        <v>6</v>
      </c>
      <c r="C100">
        <v>27275.314068785701</v>
      </c>
    </row>
    <row r="101" spans="1:3" x14ac:dyDescent="0.25">
      <c r="A101">
        <v>13</v>
      </c>
      <c r="B101">
        <v>6</v>
      </c>
      <c r="C101">
        <v>954.74014778571404</v>
      </c>
    </row>
    <row r="102" spans="1:3" x14ac:dyDescent="0.25">
      <c r="A102">
        <v>14</v>
      </c>
      <c r="B102">
        <v>6</v>
      </c>
      <c r="C102">
        <v>644.790248071429</v>
      </c>
    </row>
    <row r="103" spans="1:3" x14ac:dyDescent="0.25">
      <c r="A103">
        <v>15</v>
      </c>
      <c r="B103">
        <v>6</v>
      </c>
      <c r="C103">
        <v>346.766836714286</v>
      </c>
    </row>
    <row r="104" spans="1:3" x14ac:dyDescent="0.25">
      <c r="A104">
        <v>16</v>
      </c>
      <c r="B104">
        <v>6</v>
      </c>
      <c r="C104">
        <v>964.92938749999996</v>
      </c>
    </row>
    <row r="105" spans="1:3" x14ac:dyDescent="0.25">
      <c r="A105">
        <v>17</v>
      </c>
      <c r="B105">
        <v>6</v>
      </c>
      <c r="C105">
        <v>378.782671785714</v>
      </c>
    </row>
    <row r="106" spans="1:3" x14ac:dyDescent="0.25">
      <c r="A106">
        <v>18</v>
      </c>
      <c r="B106">
        <v>6</v>
      </c>
      <c r="C106">
        <v>281.74275599999999</v>
      </c>
    </row>
    <row r="107" spans="1:3" x14ac:dyDescent="0.25">
      <c r="A107">
        <v>19</v>
      </c>
      <c r="B107">
        <v>6</v>
      </c>
      <c r="C107">
        <v>47.844571999999999</v>
      </c>
    </row>
    <row r="108" spans="1:3" x14ac:dyDescent="0.25">
      <c r="A108">
        <v>20</v>
      </c>
      <c r="B108">
        <v>6</v>
      </c>
      <c r="C108">
        <v>59.405657499999997</v>
      </c>
    </row>
    <row r="109" spans="1:3" x14ac:dyDescent="0.25">
      <c r="A109">
        <v>1</v>
      </c>
      <c r="B109">
        <v>7</v>
      </c>
      <c r="C109">
        <v>1456.35937021429</v>
      </c>
    </row>
    <row r="110" spans="1:3" x14ac:dyDescent="0.25">
      <c r="A110">
        <v>2</v>
      </c>
      <c r="B110">
        <v>7</v>
      </c>
      <c r="C110">
        <v>1150.9406575714299</v>
      </c>
    </row>
    <row r="111" spans="1:3" x14ac:dyDescent="0.25">
      <c r="A111">
        <v>3</v>
      </c>
      <c r="B111">
        <v>7</v>
      </c>
      <c r="C111">
        <v>746.67622064285695</v>
      </c>
    </row>
    <row r="112" spans="1:3" x14ac:dyDescent="0.25">
      <c r="A112">
        <v>4</v>
      </c>
      <c r="B112">
        <v>7</v>
      </c>
      <c r="C112">
        <v>392.25010492857098</v>
      </c>
    </row>
    <row r="113" spans="1:3" x14ac:dyDescent="0.25">
      <c r="A113">
        <v>5</v>
      </c>
      <c r="B113">
        <v>7</v>
      </c>
      <c r="C113">
        <v>247.92574200000001</v>
      </c>
    </row>
    <row r="114" spans="1:3" x14ac:dyDescent="0.25">
      <c r="A114">
        <v>6</v>
      </c>
      <c r="B114">
        <v>7</v>
      </c>
      <c r="C114">
        <v>2183.03557771429</v>
      </c>
    </row>
    <row r="115" spans="1:3" x14ac:dyDescent="0.25">
      <c r="A115">
        <v>7</v>
      </c>
      <c r="B115">
        <v>7</v>
      </c>
      <c r="C115">
        <v>81336.789123285693</v>
      </c>
    </row>
    <row r="116" spans="1:3" x14ac:dyDescent="0.25">
      <c r="A116">
        <v>8</v>
      </c>
      <c r="B116">
        <v>7</v>
      </c>
      <c r="C116">
        <v>183.24506</v>
      </c>
    </row>
    <row r="117" spans="1:3" x14ac:dyDescent="0.25">
      <c r="A117">
        <v>9</v>
      </c>
      <c r="B117">
        <v>7</v>
      </c>
      <c r="C117">
        <v>7301.4983206428597</v>
      </c>
    </row>
    <row r="118" spans="1:3" x14ac:dyDescent="0.25">
      <c r="A118">
        <v>10</v>
      </c>
      <c r="B118">
        <v>7</v>
      </c>
      <c r="C118">
        <v>162.52350050000001</v>
      </c>
    </row>
    <row r="119" spans="1:3" x14ac:dyDescent="0.25">
      <c r="A119">
        <v>11</v>
      </c>
      <c r="B119">
        <v>7</v>
      </c>
      <c r="C119">
        <v>1127.7251271428599</v>
      </c>
    </row>
    <row r="120" spans="1:3" x14ac:dyDescent="0.25">
      <c r="A120">
        <v>12</v>
      </c>
      <c r="B120">
        <v>7</v>
      </c>
      <c r="C120">
        <v>11145.3053549286</v>
      </c>
    </row>
    <row r="121" spans="1:3" x14ac:dyDescent="0.25">
      <c r="A121">
        <v>13</v>
      </c>
      <c r="B121">
        <v>7</v>
      </c>
      <c r="C121">
        <v>11931.9237810714</v>
      </c>
    </row>
    <row r="122" spans="1:3" x14ac:dyDescent="0.25">
      <c r="A122">
        <v>14</v>
      </c>
      <c r="B122">
        <v>7</v>
      </c>
      <c r="C122">
        <v>21.693767000000001</v>
      </c>
    </row>
    <row r="123" spans="1:3" x14ac:dyDescent="0.25">
      <c r="A123">
        <v>15</v>
      </c>
      <c r="B123">
        <v>7</v>
      </c>
      <c r="C123">
        <v>830.79373157142902</v>
      </c>
    </row>
    <row r="124" spans="1:3" x14ac:dyDescent="0.25">
      <c r="A124">
        <v>16</v>
      </c>
      <c r="B124">
        <v>7</v>
      </c>
      <c r="C124">
        <v>228.25119599999999</v>
      </c>
    </row>
    <row r="125" spans="1:3" x14ac:dyDescent="0.25">
      <c r="A125">
        <v>17</v>
      </c>
      <c r="B125">
        <v>7</v>
      </c>
      <c r="C125">
        <v>54.563678000000003</v>
      </c>
    </row>
    <row r="126" spans="1:3" x14ac:dyDescent="0.25">
      <c r="A126">
        <v>18</v>
      </c>
      <c r="B126">
        <v>7</v>
      </c>
      <c r="C126">
        <v>1323.6323016428601</v>
      </c>
    </row>
    <row r="127" spans="1:3" x14ac:dyDescent="0.25">
      <c r="A127">
        <v>19</v>
      </c>
      <c r="B127">
        <v>7</v>
      </c>
      <c r="C127">
        <v>37.361885999999998</v>
      </c>
    </row>
    <row r="128" spans="1:3" x14ac:dyDescent="0.25">
      <c r="A128">
        <v>1</v>
      </c>
      <c r="B128">
        <v>8</v>
      </c>
      <c r="C128">
        <v>108.7998685</v>
      </c>
    </row>
    <row r="129" spans="1:3" x14ac:dyDescent="0.25">
      <c r="A129">
        <v>2</v>
      </c>
      <c r="B129">
        <v>8</v>
      </c>
      <c r="C129">
        <v>338.675817</v>
      </c>
    </row>
    <row r="130" spans="1:3" x14ac:dyDescent="0.25">
      <c r="A130">
        <v>3</v>
      </c>
      <c r="B130">
        <v>8</v>
      </c>
      <c r="C130">
        <v>594.74366971428606</v>
      </c>
    </row>
    <row r="131" spans="1:3" x14ac:dyDescent="0.25">
      <c r="A131">
        <v>4</v>
      </c>
      <c r="B131">
        <v>8</v>
      </c>
      <c r="C131">
        <v>1466.1024422857099</v>
      </c>
    </row>
    <row r="132" spans="1:3" x14ac:dyDescent="0.25">
      <c r="A132">
        <v>5</v>
      </c>
      <c r="B132">
        <v>8</v>
      </c>
      <c r="C132">
        <v>409.14817299999999</v>
      </c>
    </row>
    <row r="133" spans="1:3" x14ac:dyDescent="0.25">
      <c r="A133">
        <v>6</v>
      </c>
      <c r="B133">
        <v>8</v>
      </c>
      <c r="C133">
        <v>579.44103671428604</v>
      </c>
    </row>
    <row r="134" spans="1:3" x14ac:dyDescent="0.25">
      <c r="A134">
        <v>7</v>
      </c>
      <c r="B134">
        <v>8</v>
      </c>
      <c r="C134">
        <v>183.24506</v>
      </c>
    </row>
    <row r="135" spans="1:3" x14ac:dyDescent="0.25">
      <c r="A135">
        <v>8</v>
      </c>
      <c r="B135">
        <v>8</v>
      </c>
      <c r="C135">
        <v>833.36995557142905</v>
      </c>
    </row>
    <row r="136" spans="1:3" x14ac:dyDescent="0.25">
      <c r="A136">
        <v>9</v>
      </c>
      <c r="B136">
        <v>8</v>
      </c>
      <c r="C136">
        <v>61.128452000000003</v>
      </c>
    </row>
    <row r="137" spans="1:3" x14ac:dyDescent="0.25">
      <c r="A137">
        <v>10</v>
      </c>
      <c r="B137">
        <v>8</v>
      </c>
      <c r="C137">
        <v>510.66622000000001</v>
      </c>
    </row>
    <row r="138" spans="1:3" x14ac:dyDescent="0.25">
      <c r="A138">
        <v>11</v>
      </c>
      <c r="B138">
        <v>8</v>
      </c>
      <c r="C138">
        <v>2565.11781778571</v>
      </c>
    </row>
    <row r="139" spans="1:3" x14ac:dyDescent="0.25">
      <c r="A139">
        <v>14</v>
      </c>
      <c r="B139">
        <v>8</v>
      </c>
      <c r="C139">
        <v>406.86231700000002</v>
      </c>
    </row>
    <row r="140" spans="1:3" x14ac:dyDescent="0.25">
      <c r="A140">
        <v>17</v>
      </c>
      <c r="B140">
        <v>8</v>
      </c>
      <c r="C140">
        <v>265.31086257142903</v>
      </c>
    </row>
    <row r="141" spans="1:3" x14ac:dyDescent="0.25">
      <c r="A141">
        <v>19</v>
      </c>
      <c r="B141">
        <v>8</v>
      </c>
      <c r="C141">
        <v>162.718186</v>
      </c>
    </row>
    <row r="142" spans="1:3" x14ac:dyDescent="0.25">
      <c r="A142">
        <v>1</v>
      </c>
      <c r="B142">
        <v>9</v>
      </c>
      <c r="C142">
        <v>1597.20117278571</v>
      </c>
    </row>
    <row r="143" spans="1:3" x14ac:dyDescent="0.25">
      <c r="A143">
        <v>2</v>
      </c>
      <c r="B143">
        <v>9</v>
      </c>
      <c r="C143">
        <v>3860.6759592142898</v>
      </c>
    </row>
    <row r="144" spans="1:3" x14ac:dyDescent="0.25">
      <c r="A144">
        <v>3</v>
      </c>
      <c r="B144">
        <v>9</v>
      </c>
      <c r="C144">
        <v>1778.2804635</v>
      </c>
    </row>
    <row r="145" spans="1:3" x14ac:dyDescent="0.25">
      <c r="A145">
        <v>4</v>
      </c>
      <c r="B145">
        <v>9</v>
      </c>
      <c r="C145">
        <v>542.62666221428594</v>
      </c>
    </row>
    <row r="146" spans="1:3" x14ac:dyDescent="0.25">
      <c r="A146">
        <v>5</v>
      </c>
      <c r="B146">
        <v>9</v>
      </c>
      <c r="C146">
        <v>950.233917071429</v>
      </c>
    </row>
    <row r="147" spans="1:3" x14ac:dyDescent="0.25">
      <c r="A147">
        <v>6</v>
      </c>
      <c r="B147">
        <v>9</v>
      </c>
      <c r="C147">
        <v>3823.6306037857098</v>
      </c>
    </row>
    <row r="148" spans="1:3" x14ac:dyDescent="0.25">
      <c r="A148">
        <v>7</v>
      </c>
      <c r="B148">
        <v>9</v>
      </c>
      <c r="C148">
        <v>7372.22719835714</v>
      </c>
    </row>
    <row r="149" spans="1:3" x14ac:dyDescent="0.25">
      <c r="A149">
        <v>8</v>
      </c>
      <c r="B149">
        <v>9</v>
      </c>
      <c r="C149">
        <v>86.165113000000005</v>
      </c>
    </row>
    <row r="150" spans="1:3" x14ac:dyDescent="0.25">
      <c r="A150">
        <v>9</v>
      </c>
      <c r="B150">
        <v>9</v>
      </c>
      <c r="C150">
        <v>115295.757871857</v>
      </c>
    </row>
    <row r="151" spans="1:3" x14ac:dyDescent="0.25">
      <c r="A151">
        <v>10</v>
      </c>
      <c r="B151">
        <v>9</v>
      </c>
      <c r="C151">
        <v>450.11851871428598</v>
      </c>
    </row>
    <row r="152" spans="1:3" x14ac:dyDescent="0.25">
      <c r="A152">
        <v>11</v>
      </c>
      <c r="B152">
        <v>9</v>
      </c>
      <c r="C152">
        <v>7353.0602690714304</v>
      </c>
    </row>
    <row r="153" spans="1:3" x14ac:dyDescent="0.25">
      <c r="A153">
        <v>12</v>
      </c>
      <c r="B153">
        <v>9</v>
      </c>
      <c r="C153">
        <v>5429.1949960000002</v>
      </c>
    </row>
    <row r="154" spans="1:3" x14ac:dyDescent="0.25">
      <c r="A154">
        <v>13</v>
      </c>
      <c r="B154">
        <v>9</v>
      </c>
      <c r="C154">
        <v>1431.2876227142899</v>
      </c>
    </row>
    <row r="155" spans="1:3" x14ac:dyDescent="0.25">
      <c r="A155">
        <v>14</v>
      </c>
      <c r="B155">
        <v>9</v>
      </c>
      <c r="C155">
        <v>356.22098949999997</v>
      </c>
    </row>
    <row r="156" spans="1:3" x14ac:dyDescent="0.25">
      <c r="A156">
        <v>15</v>
      </c>
      <c r="B156">
        <v>9</v>
      </c>
      <c r="C156">
        <v>6991.5314064285703</v>
      </c>
    </row>
    <row r="157" spans="1:3" x14ac:dyDescent="0.25">
      <c r="A157">
        <v>18</v>
      </c>
      <c r="B157">
        <v>9</v>
      </c>
      <c r="C157">
        <v>161.422183428571</v>
      </c>
    </row>
    <row r="158" spans="1:3" x14ac:dyDescent="0.25">
      <c r="A158">
        <v>19</v>
      </c>
      <c r="B158">
        <v>9</v>
      </c>
      <c r="C158">
        <v>1375.2518158571399</v>
      </c>
    </row>
    <row r="159" spans="1:3" x14ac:dyDescent="0.25">
      <c r="A159">
        <v>1</v>
      </c>
      <c r="B159">
        <v>10</v>
      </c>
      <c r="C159">
        <v>1508.5081979285701</v>
      </c>
    </row>
    <row r="160" spans="1:3" x14ac:dyDescent="0.25">
      <c r="A160">
        <v>2</v>
      </c>
      <c r="B160">
        <v>10</v>
      </c>
      <c r="C160">
        <v>192.37166500000001</v>
      </c>
    </row>
    <row r="161" spans="1:3" x14ac:dyDescent="0.25">
      <c r="A161">
        <v>3</v>
      </c>
      <c r="B161">
        <v>10</v>
      </c>
      <c r="C161">
        <v>412.02770950000001</v>
      </c>
    </row>
    <row r="162" spans="1:3" x14ac:dyDescent="0.25">
      <c r="A162">
        <v>4</v>
      </c>
      <c r="B162">
        <v>10</v>
      </c>
      <c r="C162">
        <v>413.45993199999998</v>
      </c>
    </row>
    <row r="163" spans="1:3" x14ac:dyDescent="0.25">
      <c r="A163">
        <v>5</v>
      </c>
      <c r="B163">
        <v>10</v>
      </c>
      <c r="C163">
        <v>6154.5095256428604</v>
      </c>
    </row>
    <row r="164" spans="1:3" x14ac:dyDescent="0.25">
      <c r="A164">
        <v>6</v>
      </c>
      <c r="B164">
        <v>10</v>
      </c>
      <c r="C164">
        <v>12874.8285113571</v>
      </c>
    </row>
    <row r="165" spans="1:3" x14ac:dyDescent="0.25">
      <c r="A165">
        <v>7</v>
      </c>
      <c r="B165">
        <v>10</v>
      </c>
      <c r="C165">
        <v>161.7823295</v>
      </c>
    </row>
    <row r="166" spans="1:3" x14ac:dyDescent="0.25">
      <c r="A166">
        <v>8</v>
      </c>
      <c r="B166">
        <v>10</v>
      </c>
      <c r="C166">
        <v>524.26444400000003</v>
      </c>
    </row>
    <row r="167" spans="1:3" x14ac:dyDescent="0.25">
      <c r="A167">
        <v>9</v>
      </c>
      <c r="B167">
        <v>10</v>
      </c>
      <c r="C167">
        <v>2165.5710859999999</v>
      </c>
    </row>
    <row r="168" spans="1:3" x14ac:dyDescent="0.25">
      <c r="A168">
        <v>10</v>
      </c>
      <c r="B168">
        <v>10</v>
      </c>
      <c r="C168">
        <v>52046.406183571402</v>
      </c>
    </row>
    <row r="169" spans="1:3" x14ac:dyDescent="0.25">
      <c r="A169">
        <v>11</v>
      </c>
      <c r="B169">
        <v>10</v>
      </c>
      <c r="C169">
        <v>338.675817</v>
      </c>
    </row>
    <row r="170" spans="1:3" x14ac:dyDescent="0.25">
      <c r="A170">
        <v>12</v>
      </c>
      <c r="B170">
        <v>10</v>
      </c>
      <c r="C170">
        <v>10935.3459609286</v>
      </c>
    </row>
    <row r="171" spans="1:3" x14ac:dyDescent="0.25">
      <c r="A171">
        <v>13</v>
      </c>
      <c r="B171">
        <v>10</v>
      </c>
      <c r="C171">
        <v>445.16819850000002</v>
      </c>
    </row>
    <row r="172" spans="1:3" x14ac:dyDescent="0.25">
      <c r="A172">
        <v>14</v>
      </c>
      <c r="B172">
        <v>10</v>
      </c>
      <c r="C172">
        <v>350.33437700000002</v>
      </c>
    </row>
    <row r="173" spans="1:3" x14ac:dyDescent="0.25">
      <c r="A173">
        <v>15</v>
      </c>
      <c r="B173">
        <v>10</v>
      </c>
      <c r="C173">
        <v>50.216765000000002</v>
      </c>
    </row>
    <row r="174" spans="1:3" x14ac:dyDescent="0.25">
      <c r="A174">
        <v>16</v>
      </c>
      <c r="B174">
        <v>10</v>
      </c>
      <c r="C174">
        <v>14897.6129012857</v>
      </c>
    </row>
    <row r="175" spans="1:3" x14ac:dyDescent="0.25">
      <c r="A175">
        <v>18</v>
      </c>
      <c r="B175">
        <v>10</v>
      </c>
      <c r="C175">
        <v>429.29609699999997</v>
      </c>
    </row>
    <row r="176" spans="1:3" x14ac:dyDescent="0.25">
      <c r="A176">
        <v>1</v>
      </c>
      <c r="B176">
        <v>11</v>
      </c>
      <c r="C176">
        <v>662.65552249999996</v>
      </c>
    </row>
    <row r="177" spans="1:3" x14ac:dyDescent="0.25">
      <c r="A177">
        <v>2</v>
      </c>
      <c r="B177">
        <v>11</v>
      </c>
      <c r="C177">
        <v>932.56037921428594</v>
      </c>
    </row>
    <row r="178" spans="1:3" x14ac:dyDescent="0.25">
      <c r="A178">
        <v>3</v>
      </c>
      <c r="B178">
        <v>11</v>
      </c>
      <c r="C178">
        <v>6502.0611222857096</v>
      </c>
    </row>
    <row r="179" spans="1:3" x14ac:dyDescent="0.25">
      <c r="A179">
        <v>4</v>
      </c>
      <c r="B179">
        <v>11</v>
      </c>
      <c r="C179">
        <v>1308.5983219285699</v>
      </c>
    </row>
    <row r="180" spans="1:3" x14ac:dyDescent="0.25">
      <c r="A180">
        <v>5</v>
      </c>
      <c r="B180">
        <v>11</v>
      </c>
      <c r="C180">
        <v>1126.5520544999999</v>
      </c>
    </row>
    <row r="181" spans="1:3" x14ac:dyDescent="0.25">
      <c r="A181">
        <v>6</v>
      </c>
      <c r="B181">
        <v>11</v>
      </c>
      <c r="C181">
        <v>625.78976735714298</v>
      </c>
    </row>
    <row r="182" spans="1:3" x14ac:dyDescent="0.25">
      <c r="A182">
        <v>7</v>
      </c>
      <c r="B182">
        <v>11</v>
      </c>
      <c r="C182">
        <v>1045.64595171429</v>
      </c>
    </row>
    <row r="183" spans="1:3" x14ac:dyDescent="0.25">
      <c r="A183">
        <v>8</v>
      </c>
      <c r="B183">
        <v>11</v>
      </c>
      <c r="C183">
        <v>2206.8418417857101</v>
      </c>
    </row>
    <row r="184" spans="1:3" x14ac:dyDescent="0.25">
      <c r="A184">
        <v>9</v>
      </c>
      <c r="B184">
        <v>11</v>
      </c>
      <c r="C184">
        <v>6860.0187643571398</v>
      </c>
    </row>
    <row r="185" spans="1:3" x14ac:dyDescent="0.25">
      <c r="A185">
        <v>10</v>
      </c>
      <c r="B185">
        <v>11</v>
      </c>
      <c r="C185">
        <v>656.76482099999998</v>
      </c>
    </row>
    <row r="186" spans="1:3" x14ac:dyDescent="0.25">
      <c r="A186">
        <v>11</v>
      </c>
      <c r="B186">
        <v>11</v>
      </c>
      <c r="C186">
        <v>116867.60480428601</v>
      </c>
    </row>
    <row r="187" spans="1:3" x14ac:dyDescent="0.25">
      <c r="A187">
        <v>12</v>
      </c>
      <c r="B187">
        <v>11</v>
      </c>
      <c r="C187">
        <v>1983.5635119999999</v>
      </c>
    </row>
    <row r="188" spans="1:3" x14ac:dyDescent="0.25">
      <c r="A188">
        <v>13</v>
      </c>
      <c r="B188">
        <v>11</v>
      </c>
      <c r="C188">
        <v>654.19792700000005</v>
      </c>
    </row>
    <row r="189" spans="1:3" x14ac:dyDescent="0.25">
      <c r="A189">
        <v>14</v>
      </c>
      <c r="B189">
        <v>11</v>
      </c>
      <c r="C189">
        <v>1538.10899392857</v>
      </c>
    </row>
    <row r="190" spans="1:3" x14ac:dyDescent="0.25">
      <c r="A190">
        <v>15</v>
      </c>
      <c r="B190">
        <v>11</v>
      </c>
      <c r="C190">
        <v>443.28840871428599</v>
      </c>
    </row>
    <row r="191" spans="1:3" x14ac:dyDescent="0.25">
      <c r="A191">
        <v>16</v>
      </c>
      <c r="B191">
        <v>11</v>
      </c>
      <c r="C191">
        <v>599.31601914285704</v>
      </c>
    </row>
    <row r="192" spans="1:3" x14ac:dyDescent="0.25">
      <c r="A192">
        <v>17</v>
      </c>
      <c r="B192">
        <v>11</v>
      </c>
      <c r="C192">
        <v>4990.1070645714299</v>
      </c>
    </row>
    <row r="193" spans="1:3" x14ac:dyDescent="0.25">
      <c r="A193">
        <v>18</v>
      </c>
      <c r="B193">
        <v>11</v>
      </c>
      <c r="C193">
        <v>24.042110000000001</v>
      </c>
    </row>
    <row r="194" spans="1:3" x14ac:dyDescent="0.25">
      <c r="A194">
        <v>19</v>
      </c>
      <c r="B194">
        <v>11</v>
      </c>
      <c r="C194">
        <v>16384.936883857099</v>
      </c>
    </row>
    <row r="195" spans="1:3" x14ac:dyDescent="0.25">
      <c r="A195">
        <v>1</v>
      </c>
      <c r="B195">
        <v>12</v>
      </c>
      <c r="C195">
        <v>2886.3902147857102</v>
      </c>
    </row>
    <row r="196" spans="1:3" x14ac:dyDescent="0.25">
      <c r="A196">
        <v>2</v>
      </c>
      <c r="B196">
        <v>12</v>
      </c>
      <c r="C196">
        <v>3880.9555757142898</v>
      </c>
    </row>
    <row r="197" spans="1:3" x14ac:dyDescent="0.25">
      <c r="A197">
        <v>3</v>
      </c>
      <c r="B197">
        <v>12</v>
      </c>
      <c r="C197">
        <v>3786.4827527142902</v>
      </c>
    </row>
    <row r="198" spans="1:3" x14ac:dyDescent="0.25">
      <c r="A198">
        <v>4</v>
      </c>
      <c r="B198">
        <v>12</v>
      </c>
      <c r="C198">
        <v>781.62046292857099</v>
      </c>
    </row>
    <row r="199" spans="1:3" x14ac:dyDescent="0.25">
      <c r="A199">
        <v>5</v>
      </c>
      <c r="B199">
        <v>12</v>
      </c>
      <c r="C199">
        <v>3396.3287049999999</v>
      </c>
    </row>
    <row r="200" spans="1:3" x14ac:dyDescent="0.25">
      <c r="A200">
        <v>6</v>
      </c>
      <c r="B200">
        <v>12</v>
      </c>
      <c r="C200">
        <v>26577.253993642898</v>
      </c>
    </row>
    <row r="201" spans="1:3" x14ac:dyDescent="0.25">
      <c r="A201">
        <v>7</v>
      </c>
      <c r="B201">
        <v>12</v>
      </c>
      <c r="C201">
        <v>11148.435303071399</v>
      </c>
    </row>
    <row r="202" spans="1:3" x14ac:dyDescent="0.25">
      <c r="A202">
        <v>8</v>
      </c>
      <c r="B202">
        <v>12</v>
      </c>
      <c r="C202">
        <v>60.227103</v>
      </c>
    </row>
    <row r="203" spans="1:3" x14ac:dyDescent="0.25">
      <c r="A203">
        <v>9</v>
      </c>
      <c r="B203">
        <v>12</v>
      </c>
      <c r="C203">
        <v>4418.0762550714298</v>
      </c>
    </row>
    <row r="204" spans="1:3" x14ac:dyDescent="0.25">
      <c r="A204">
        <v>10</v>
      </c>
      <c r="B204">
        <v>12</v>
      </c>
      <c r="C204">
        <v>11238.6550167857</v>
      </c>
    </row>
    <row r="205" spans="1:3" x14ac:dyDescent="0.25">
      <c r="A205">
        <v>11</v>
      </c>
      <c r="B205">
        <v>12</v>
      </c>
      <c r="C205">
        <v>924.73798214285705</v>
      </c>
    </row>
    <row r="206" spans="1:3" x14ac:dyDescent="0.25">
      <c r="A206">
        <v>12</v>
      </c>
      <c r="B206">
        <v>12</v>
      </c>
      <c r="C206">
        <v>258154.09419264301</v>
      </c>
    </row>
    <row r="207" spans="1:3" x14ac:dyDescent="0.25">
      <c r="A207">
        <v>13</v>
      </c>
      <c r="B207">
        <v>12</v>
      </c>
      <c r="C207">
        <v>2115.8632575000001</v>
      </c>
    </row>
    <row r="208" spans="1:3" x14ac:dyDescent="0.25">
      <c r="A208">
        <v>14</v>
      </c>
      <c r="B208">
        <v>12</v>
      </c>
      <c r="C208">
        <v>151.296728</v>
      </c>
    </row>
    <row r="209" spans="1:3" x14ac:dyDescent="0.25">
      <c r="A209">
        <v>15</v>
      </c>
      <c r="B209">
        <v>12</v>
      </c>
      <c r="C209">
        <v>136.95929314285701</v>
      </c>
    </row>
    <row r="210" spans="1:3" x14ac:dyDescent="0.25">
      <c r="A210">
        <v>16</v>
      </c>
      <c r="B210">
        <v>12</v>
      </c>
      <c r="C210">
        <v>4023.5735593571399</v>
      </c>
    </row>
    <row r="211" spans="1:3" x14ac:dyDescent="0.25">
      <c r="A211">
        <v>17</v>
      </c>
      <c r="B211">
        <v>12</v>
      </c>
      <c r="C211">
        <v>36.566324000000002</v>
      </c>
    </row>
    <row r="212" spans="1:3" x14ac:dyDescent="0.25">
      <c r="A212">
        <v>18</v>
      </c>
      <c r="B212">
        <v>12</v>
      </c>
      <c r="C212">
        <v>4844.4971104285696</v>
      </c>
    </row>
    <row r="213" spans="1:3" x14ac:dyDescent="0.25">
      <c r="A213">
        <v>19</v>
      </c>
      <c r="B213">
        <v>12</v>
      </c>
      <c r="C213">
        <v>537.96821942857105</v>
      </c>
    </row>
    <row r="214" spans="1:3" x14ac:dyDescent="0.25">
      <c r="A214">
        <v>20</v>
      </c>
      <c r="B214">
        <v>12</v>
      </c>
      <c r="C214">
        <v>1764.07723607143</v>
      </c>
    </row>
    <row r="215" spans="1:3" x14ac:dyDescent="0.25">
      <c r="A215">
        <v>1</v>
      </c>
      <c r="B215">
        <v>13</v>
      </c>
      <c r="C215">
        <v>389.16708514285699</v>
      </c>
    </row>
    <row r="216" spans="1:3" x14ac:dyDescent="0.25">
      <c r="A216">
        <v>2</v>
      </c>
      <c r="B216">
        <v>13</v>
      </c>
      <c r="C216">
        <v>174.41449157142901</v>
      </c>
    </row>
    <row r="217" spans="1:3" x14ac:dyDescent="0.25">
      <c r="A217">
        <v>3</v>
      </c>
      <c r="B217">
        <v>13</v>
      </c>
      <c r="C217">
        <v>35.982600499999997</v>
      </c>
    </row>
    <row r="218" spans="1:3" x14ac:dyDescent="0.25">
      <c r="A218">
        <v>5</v>
      </c>
      <c r="B218">
        <v>13</v>
      </c>
      <c r="C218">
        <v>123.885146857143</v>
      </c>
    </row>
    <row r="219" spans="1:3" x14ac:dyDescent="0.25">
      <c r="A219">
        <v>6</v>
      </c>
      <c r="B219">
        <v>13</v>
      </c>
      <c r="C219">
        <v>1089.3439976428599</v>
      </c>
    </row>
    <row r="220" spans="1:3" x14ac:dyDescent="0.25">
      <c r="A220">
        <v>7</v>
      </c>
      <c r="B220">
        <v>13</v>
      </c>
      <c r="C220">
        <v>12232.3604572857</v>
      </c>
    </row>
    <row r="221" spans="1:3" x14ac:dyDescent="0.25">
      <c r="A221">
        <v>9</v>
      </c>
      <c r="B221">
        <v>13</v>
      </c>
      <c r="C221">
        <v>1270.50967885714</v>
      </c>
    </row>
    <row r="222" spans="1:3" x14ac:dyDescent="0.25">
      <c r="A222">
        <v>10</v>
      </c>
      <c r="B222">
        <v>13</v>
      </c>
      <c r="C222">
        <v>83.459979000000004</v>
      </c>
    </row>
    <row r="223" spans="1:3" x14ac:dyDescent="0.25">
      <c r="A223">
        <v>11</v>
      </c>
      <c r="B223">
        <v>13</v>
      </c>
      <c r="C223">
        <v>582.98459300000002</v>
      </c>
    </row>
    <row r="224" spans="1:3" x14ac:dyDescent="0.25">
      <c r="A224">
        <v>12</v>
      </c>
      <c r="B224">
        <v>13</v>
      </c>
      <c r="C224">
        <v>3030.7463754999999</v>
      </c>
    </row>
    <row r="225" spans="1:3" x14ac:dyDescent="0.25">
      <c r="A225">
        <v>13</v>
      </c>
      <c r="B225">
        <v>13</v>
      </c>
      <c r="C225">
        <v>183800.86691607101</v>
      </c>
    </row>
    <row r="226" spans="1:3" x14ac:dyDescent="0.25">
      <c r="A226">
        <v>15</v>
      </c>
      <c r="B226">
        <v>13</v>
      </c>
      <c r="C226">
        <v>4325.9694122142901</v>
      </c>
    </row>
    <row r="227" spans="1:3" x14ac:dyDescent="0.25">
      <c r="A227">
        <v>17</v>
      </c>
      <c r="B227">
        <v>13</v>
      </c>
      <c r="C227">
        <v>39.283898000000001</v>
      </c>
    </row>
    <row r="228" spans="1:3" x14ac:dyDescent="0.25">
      <c r="A228">
        <v>18</v>
      </c>
      <c r="B228">
        <v>13</v>
      </c>
      <c r="C228">
        <v>7660.4588591428601</v>
      </c>
    </row>
    <row r="229" spans="1:3" x14ac:dyDescent="0.25">
      <c r="A229">
        <v>20</v>
      </c>
      <c r="B229">
        <v>13</v>
      </c>
      <c r="C229">
        <v>837.64218749999998</v>
      </c>
    </row>
    <row r="230" spans="1:3" x14ac:dyDescent="0.25">
      <c r="A230">
        <v>1</v>
      </c>
      <c r="B230">
        <v>14</v>
      </c>
      <c r="C230">
        <v>183.36468500000001</v>
      </c>
    </row>
    <row r="231" spans="1:3" x14ac:dyDescent="0.25">
      <c r="A231">
        <v>2</v>
      </c>
      <c r="B231">
        <v>14</v>
      </c>
      <c r="C231">
        <v>134.24883800000001</v>
      </c>
    </row>
    <row r="232" spans="1:3" x14ac:dyDescent="0.25">
      <c r="A232">
        <v>3</v>
      </c>
      <c r="B232">
        <v>14</v>
      </c>
      <c r="C232">
        <v>316.64606028571399</v>
      </c>
    </row>
    <row r="233" spans="1:3" x14ac:dyDescent="0.25">
      <c r="A233">
        <v>4</v>
      </c>
      <c r="B233">
        <v>14</v>
      </c>
      <c r="C233">
        <v>157.59174314285701</v>
      </c>
    </row>
    <row r="234" spans="1:3" x14ac:dyDescent="0.25">
      <c r="A234">
        <v>5</v>
      </c>
      <c r="B234">
        <v>14</v>
      </c>
      <c r="C234">
        <v>237.13568549999999</v>
      </c>
    </row>
    <row r="235" spans="1:3" x14ac:dyDescent="0.25">
      <c r="A235">
        <v>6</v>
      </c>
      <c r="B235">
        <v>14</v>
      </c>
      <c r="C235">
        <v>491.143014285714</v>
      </c>
    </row>
    <row r="236" spans="1:3" x14ac:dyDescent="0.25">
      <c r="A236">
        <v>7</v>
      </c>
      <c r="B236">
        <v>14</v>
      </c>
      <c r="C236">
        <v>42.046521285714299</v>
      </c>
    </row>
    <row r="237" spans="1:3" x14ac:dyDescent="0.25">
      <c r="A237">
        <v>8</v>
      </c>
      <c r="B237">
        <v>14</v>
      </c>
      <c r="C237">
        <v>443.87255399999998</v>
      </c>
    </row>
    <row r="238" spans="1:3" x14ac:dyDescent="0.25">
      <c r="A238">
        <v>9</v>
      </c>
      <c r="B238">
        <v>14</v>
      </c>
      <c r="C238">
        <v>356.22098949999997</v>
      </c>
    </row>
    <row r="239" spans="1:3" x14ac:dyDescent="0.25">
      <c r="A239">
        <v>10</v>
      </c>
      <c r="B239">
        <v>14</v>
      </c>
      <c r="C239">
        <v>350.33437700000002</v>
      </c>
    </row>
    <row r="240" spans="1:3" x14ac:dyDescent="0.25">
      <c r="A240">
        <v>11</v>
      </c>
      <c r="B240">
        <v>14</v>
      </c>
      <c r="C240">
        <v>1974.25851485714</v>
      </c>
    </row>
    <row r="241" spans="1:3" x14ac:dyDescent="0.25">
      <c r="A241">
        <v>12</v>
      </c>
      <c r="B241">
        <v>14</v>
      </c>
      <c r="C241">
        <v>192.483407</v>
      </c>
    </row>
    <row r="242" spans="1:3" x14ac:dyDescent="0.25">
      <c r="A242">
        <v>14</v>
      </c>
      <c r="B242">
        <v>14</v>
      </c>
      <c r="C242">
        <v>48317.185299928598</v>
      </c>
    </row>
    <row r="243" spans="1:3" x14ac:dyDescent="0.25">
      <c r="A243">
        <v>16</v>
      </c>
      <c r="B243">
        <v>14</v>
      </c>
      <c r="C243">
        <v>45.970131142857099</v>
      </c>
    </row>
    <row r="244" spans="1:3" x14ac:dyDescent="0.25">
      <c r="A244">
        <v>17</v>
      </c>
      <c r="B244">
        <v>14</v>
      </c>
      <c r="C244">
        <v>1504.1447993571401</v>
      </c>
    </row>
    <row r="245" spans="1:3" x14ac:dyDescent="0.25">
      <c r="A245">
        <v>19</v>
      </c>
      <c r="B245">
        <v>14</v>
      </c>
      <c r="C245">
        <v>476.14720199999999</v>
      </c>
    </row>
    <row r="246" spans="1:3" x14ac:dyDescent="0.25">
      <c r="A246">
        <v>1</v>
      </c>
      <c r="B246">
        <v>15</v>
      </c>
      <c r="C246">
        <v>73.201857000000004</v>
      </c>
    </row>
    <row r="247" spans="1:3" x14ac:dyDescent="0.25">
      <c r="A247">
        <v>3</v>
      </c>
      <c r="B247">
        <v>15</v>
      </c>
      <c r="C247">
        <v>20.8950422857143</v>
      </c>
    </row>
    <row r="248" spans="1:3" x14ac:dyDescent="0.25">
      <c r="A248">
        <v>4</v>
      </c>
      <c r="B248">
        <v>15</v>
      </c>
      <c r="C248">
        <v>38.648820499999999</v>
      </c>
    </row>
    <row r="249" spans="1:3" x14ac:dyDescent="0.25">
      <c r="A249">
        <v>5</v>
      </c>
      <c r="B249">
        <v>15</v>
      </c>
      <c r="C249">
        <v>77.550021000000001</v>
      </c>
    </row>
    <row r="250" spans="1:3" x14ac:dyDescent="0.25">
      <c r="A250">
        <v>6</v>
      </c>
      <c r="B250">
        <v>15</v>
      </c>
      <c r="C250">
        <v>519.33130500000004</v>
      </c>
    </row>
    <row r="251" spans="1:3" x14ac:dyDescent="0.25">
      <c r="A251">
        <v>7</v>
      </c>
      <c r="B251">
        <v>15</v>
      </c>
      <c r="C251">
        <v>1333.5895760000001</v>
      </c>
    </row>
    <row r="252" spans="1:3" x14ac:dyDescent="0.25">
      <c r="A252">
        <v>9</v>
      </c>
      <c r="B252">
        <v>15</v>
      </c>
      <c r="C252">
        <v>7922.7193905000004</v>
      </c>
    </row>
    <row r="253" spans="1:3" x14ac:dyDescent="0.25">
      <c r="A253">
        <v>10</v>
      </c>
      <c r="B253">
        <v>15</v>
      </c>
      <c r="C253">
        <v>50.216765000000002</v>
      </c>
    </row>
    <row r="254" spans="1:3" x14ac:dyDescent="0.25">
      <c r="A254">
        <v>11</v>
      </c>
      <c r="B254">
        <v>15</v>
      </c>
      <c r="C254">
        <v>206.31846621428599</v>
      </c>
    </row>
    <row r="255" spans="1:3" x14ac:dyDescent="0.25">
      <c r="A255">
        <v>12</v>
      </c>
      <c r="B255">
        <v>15</v>
      </c>
      <c r="C255">
        <v>108.86072514285701</v>
      </c>
    </row>
    <row r="256" spans="1:3" x14ac:dyDescent="0.25">
      <c r="A256">
        <v>13</v>
      </c>
      <c r="B256">
        <v>15</v>
      </c>
      <c r="C256">
        <v>3979.9074710714299</v>
      </c>
    </row>
    <row r="257" spans="1:3" x14ac:dyDescent="0.25">
      <c r="A257">
        <v>15</v>
      </c>
      <c r="B257">
        <v>15</v>
      </c>
      <c r="C257">
        <v>46154.786822357099</v>
      </c>
    </row>
    <row r="258" spans="1:3" x14ac:dyDescent="0.25">
      <c r="A258">
        <v>16</v>
      </c>
      <c r="B258">
        <v>15</v>
      </c>
      <c r="C258">
        <v>121.44496100000001</v>
      </c>
    </row>
    <row r="259" spans="1:3" x14ac:dyDescent="0.25">
      <c r="A259">
        <v>19</v>
      </c>
      <c r="B259">
        <v>15</v>
      </c>
      <c r="C259">
        <v>626.59822799999995</v>
      </c>
    </row>
    <row r="260" spans="1:3" x14ac:dyDescent="0.25">
      <c r="A260">
        <v>1</v>
      </c>
      <c r="B260">
        <v>16</v>
      </c>
      <c r="C260">
        <v>184.36995899999999</v>
      </c>
    </row>
    <row r="261" spans="1:3" x14ac:dyDescent="0.25">
      <c r="A261">
        <v>3</v>
      </c>
      <c r="B261">
        <v>16</v>
      </c>
      <c r="C261">
        <v>25.036660999999999</v>
      </c>
    </row>
    <row r="262" spans="1:3" x14ac:dyDescent="0.25">
      <c r="A262">
        <v>5</v>
      </c>
      <c r="B262">
        <v>16</v>
      </c>
      <c r="C262">
        <v>1871.813384</v>
      </c>
    </row>
    <row r="263" spans="1:3" x14ac:dyDescent="0.25">
      <c r="A263">
        <v>6</v>
      </c>
      <c r="B263">
        <v>16</v>
      </c>
      <c r="C263">
        <v>1312.6772356428601</v>
      </c>
    </row>
    <row r="264" spans="1:3" x14ac:dyDescent="0.25">
      <c r="A264">
        <v>7</v>
      </c>
      <c r="B264">
        <v>16</v>
      </c>
      <c r="C264">
        <v>146.73291171428599</v>
      </c>
    </row>
    <row r="265" spans="1:3" x14ac:dyDescent="0.25">
      <c r="A265">
        <v>10</v>
      </c>
      <c r="B265">
        <v>16</v>
      </c>
      <c r="C265">
        <v>14397.5790234286</v>
      </c>
    </row>
    <row r="266" spans="1:3" x14ac:dyDescent="0.25">
      <c r="A266">
        <v>11</v>
      </c>
      <c r="B266">
        <v>16</v>
      </c>
      <c r="C266">
        <v>876.89900899999998</v>
      </c>
    </row>
    <row r="267" spans="1:3" x14ac:dyDescent="0.25">
      <c r="A267">
        <v>12</v>
      </c>
      <c r="B267">
        <v>16</v>
      </c>
      <c r="C267">
        <v>4596.6400424285703</v>
      </c>
    </row>
    <row r="268" spans="1:3" x14ac:dyDescent="0.25">
      <c r="A268">
        <v>13</v>
      </c>
      <c r="B268">
        <v>16</v>
      </c>
      <c r="C268">
        <v>231.183156</v>
      </c>
    </row>
    <row r="269" spans="1:3" x14ac:dyDescent="0.25">
      <c r="A269">
        <v>14</v>
      </c>
      <c r="B269">
        <v>16</v>
      </c>
      <c r="C269">
        <v>160.89545899999999</v>
      </c>
    </row>
    <row r="270" spans="1:3" x14ac:dyDescent="0.25">
      <c r="A270">
        <v>15</v>
      </c>
      <c r="B270">
        <v>16</v>
      </c>
      <c r="C270">
        <v>121.44496100000001</v>
      </c>
    </row>
    <row r="271" spans="1:3" x14ac:dyDescent="0.25">
      <c r="A271">
        <v>16</v>
      </c>
      <c r="B271">
        <v>16</v>
      </c>
      <c r="C271">
        <v>14049.182011999999</v>
      </c>
    </row>
    <row r="272" spans="1:3" x14ac:dyDescent="0.25">
      <c r="A272">
        <v>20</v>
      </c>
      <c r="B272">
        <v>16</v>
      </c>
      <c r="C272">
        <v>292.17503499999998</v>
      </c>
    </row>
    <row r="273" spans="1:3" x14ac:dyDescent="0.25">
      <c r="A273">
        <v>1</v>
      </c>
      <c r="B273">
        <v>17</v>
      </c>
      <c r="C273">
        <v>138.11934199999999</v>
      </c>
    </row>
    <row r="274" spans="1:3" x14ac:dyDescent="0.25">
      <c r="A274">
        <v>2</v>
      </c>
      <c r="B274">
        <v>17</v>
      </c>
      <c r="C274">
        <v>47.844571999999999</v>
      </c>
    </row>
    <row r="275" spans="1:3" x14ac:dyDescent="0.25">
      <c r="A275">
        <v>3</v>
      </c>
      <c r="B275">
        <v>17</v>
      </c>
      <c r="C275">
        <v>100.2568165</v>
      </c>
    </row>
    <row r="276" spans="1:3" x14ac:dyDescent="0.25">
      <c r="A276">
        <v>5</v>
      </c>
      <c r="B276">
        <v>17</v>
      </c>
      <c r="C276">
        <v>61.147835999999998</v>
      </c>
    </row>
    <row r="277" spans="1:3" x14ac:dyDescent="0.25">
      <c r="A277">
        <v>6</v>
      </c>
      <c r="B277">
        <v>17</v>
      </c>
      <c r="C277">
        <v>235.52322821428601</v>
      </c>
    </row>
    <row r="278" spans="1:3" x14ac:dyDescent="0.25">
      <c r="A278">
        <v>7</v>
      </c>
      <c r="B278">
        <v>17</v>
      </c>
      <c r="C278">
        <v>54.563678000000003</v>
      </c>
    </row>
    <row r="279" spans="1:3" x14ac:dyDescent="0.25">
      <c r="A279">
        <v>8</v>
      </c>
      <c r="B279">
        <v>17</v>
      </c>
      <c r="C279">
        <v>265.31086257142903</v>
      </c>
    </row>
    <row r="280" spans="1:3" x14ac:dyDescent="0.25">
      <c r="A280">
        <v>11</v>
      </c>
      <c r="B280">
        <v>17</v>
      </c>
      <c r="C280">
        <v>5294.2941376428598</v>
      </c>
    </row>
    <row r="281" spans="1:3" x14ac:dyDescent="0.25">
      <c r="A281">
        <v>12</v>
      </c>
      <c r="B281">
        <v>17</v>
      </c>
      <c r="C281">
        <v>67.140242000000001</v>
      </c>
    </row>
    <row r="282" spans="1:3" x14ac:dyDescent="0.25">
      <c r="A282">
        <v>13</v>
      </c>
      <c r="B282">
        <v>17</v>
      </c>
      <c r="C282">
        <v>39.283898000000001</v>
      </c>
    </row>
    <row r="283" spans="1:3" x14ac:dyDescent="0.25">
      <c r="A283">
        <v>14</v>
      </c>
      <c r="B283">
        <v>17</v>
      </c>
      <c r="C283">
        <v>1447.17709021429</v>
      </c>
    </row>
    <row r="284" spans="1:3" x14ac:dyDescent="0.25">
      <c r="A284">
        <v>16</v>
      </c>
      <c r="B284">
        <v>17</v>
      </c>
      <c r="C284">
        <v>154.823386</v>
      </c>
    </row>
    <row r="285" spans="1:3" x14ac:dyDescent="0.25">
      <c r="A285">
        <v>17</v>
      </c>
      <c r="B285">
        <v>17</v>
      </c>
      <c r="C285">
        <v>21820.177522214301</v>
      </c>
    </row>
    <row r="286" spans="1:3" x14ac:dyDescent="0.25">
      <c r="A286">
        <v>19</v>
      </c>
      <c r="B286">
        <v>17</v>
      </c>
      <c r="C286">
        <v>4499.5858271428597</v>
      </c>
    </row>
    <row r="287" spans="1:3" x14ac:dyDescent="0.25">
      <c r="A287">
        <v>1</v>
      </c>
      <c r="B287">
        <v>18</v>
      </c>
      <c r="C287">
        <v>510.37344442857102</v>
      </c>
    </row>
    <row r="288" spans="1:3" x14ac:dyDescent="0.25">
      <c r="A288">
        <v>6</v>
      </c>
      <c r="B288">
        <v>18</v>
      </c>
      <c r="C288">
        <v>494.53625099999999</v>
      </c>
    </row>
    <row r="289" spans="1:3" x14ac:dyDescent="0.25">
      <c r="A289">
        <v>7</v>
      </c>
      <c r="B289">
        <v>18</v>
      </c>
      <c r="C289">
        <v>1265.0122339285699</v>
      </c>
    </row>
    <row r="290" spans="1:3" x14ac:dyDescent="0.25">
      <c r="A290">
        <v>9</v>
      </c>
      <c r="B290">
        <v>18</v>
      </c>
      <c r="C290">
        <v>401.42951199999999</v>
      </c>
    </row>
    <row r="291" spans="1:3" x14ac:dyDescent="0.25">
      <c r="A291">
        <v>11</v>
      </c>
      <c r="B291">
        <v>18</v>
      </c>
      <c r="C291">
        <v>24.042110000000001</v>
      </c>
    </row>
    <row r="292" spans="1:3" x14ac:dyDescent="0.25">
      <c r="A292">
        <v>12</v>
      </c>
      <c r="B292">
        <v>18</v>
      </c>
      <c r="C292">
        <v>6495.8239402142899</v>
      </c>
    </row>
    <row r="293" spans="1:3" x14ac:dyDescent="0.25">
      <c r="A293">
        <v>13</v>
      </c>
      <c r="B293">
        <v>18</v>
      </c>
      <c r="C293">
        <v>8311.1478401428594</v>
      </c>
    </row>
    <row r="294" spans="1:3" x14ac:dyDescent="0.25">
      <c r="A294">
        <v>18</v>
      </c>
      <c r="B294">
        <v>18</v>
      </c>
      <c r="C294">
        <v>42612.661879357103</v>
      </c>
    </row>
    <row r="295" spans="1:3" x14ac:dyDescent="0.25">
      <c r="A295">
        <v>20</v>
      </c>
      <c r="B295">
        <v>18</v>
      </c>
      <c r="C295">
        <v>4307.4331157857096</v>
      </c>
    </row>
    <row r="296" spans="1:3" x14ac:dyDescent="0.25">
      <c r="A296">
        <v>1</v>
      </c>
      <c r="B296">
        <v>19</v>
      </c>
      <c r="C296">
        <v>160.34486242857099</v>
      </c>
    </row>
    <row r="297" spans="1:3" x14ac:dyDescent="0.25">
      <c r="A297">
        <v>2</v>
      </c>
      <c r="B297">
        <v>19</v>
      </c>
      <c r="C297">
        <v>164.782973</v>
      </c>
    </row>
    <row r="298" spans="1:3" x14ac:dyDescent="0.25">
      <c r="A298">
        <v>3</v>
      </c>
      <c r="B298">
        <v>19</v>
      </c>
      <c r="C298">
        <v>322.557005357143</v>
      </c>
    </row>
    <row r="299" spans="1:3" x14ac:dyDescent="0.25">
      <c r="A299">
        <v>4</v>
      </c>
      <c r="B299">
        <v>19</v>
      </c>
      <c r="C299">
        <v>28.166384999999998</v>
      </c>
    </row>
    <row r="300" spans="1:3" x14ac:dyDescent="0.25">
      <c r="A300">
        <v>6</v>
      </c>
      <c r="B300">
        <v>19</v>
      </c>
      <c r="C300">
        <v>259.21207099999998</v>
      </c>
    </row>
    <row r="301" spans="1:3" x14ac:dyDescent="0.25">
      <c r="A301">
        <v>7</v>
      </c>
      <c r="B301">
        <v>19</v>
      </c>
      <c r="C301">
        <v>98.802980000000005</v>
      </c>
    </row>
    <row r="302" spans="1:3" x14ac:dyDescent="0.25">
      <c r="A302">
        <v>8</v>
      </c>
      <c r="B302">
        <v>19</v>
      </c>
      <c r="C302">
        <v>49.060488999999997</v>
      </c>
    </row>
    <row r="303" spans="1:3" x14ac:dyDescent="0.25">
      <c r="A303">
        <v>9</v>
      </c>
      <c r="B303">
        <v>19</v>
      </c>
      <c r="C303">
        <v>938.76272285714299</v>
      </c>
    </row>
    <row r="304" spans="1:3" x14ac:dyDescent="0.25">
      <c r="A304">
        <v>11</v>
      </c>
      <c r="B304">
        <v>19</v>
      </c>
      <c r="C304">
        <v>15466.75092</v>
      </c>
    </row>
    <row r="305" spans="1:3" x14ac:dyDescent="0.25">
      <c r="A305">
        <v>12</v>
      </c>
      <c r="B305">
        <v>19</v>
      </c>
      <c r="C305">
        <v>572.46808542857104</v>
      </c>
    </row>
    <row r="306" spans="1:3" x14ac:dyDescent="0.25">
      <c r="A306">
        <v>14</v>
      </c>
      <c r="B306">
        <v>19</v>
      </c>
      <c r="C306">
        <v>704.87701600000003</v>
      </c>
    </row>
    <row r="307" spans="1:3" x14ac:dyDescent="0.25">
      <c r="A307">
        <v>15</v>
      </c>
      <c r="B307">
        <v>19</v>
      </c>
      <c r="C307">
        <v>567.937615785714</v>
      </c>
    </row>
    <row r="308" spans="1:3" x14ac:dyDescent="0.25">
      <c r="A308">
        <v>17</v>
      </c>
      <c r="B308">
        <v>19</v>
      </c>
      <c r="C308">
        <v>4259.6480066428603</v>
      </c>
    </row>
    <row r="309" spans="1:3" x14ac:dyDescent="0.25">
      <c r="A309">
        <v>19</v>
      </c>
      <c r="B309">
        <v>19</v>
      </c>
      <c r="C309">
        <v>84302.159188499994</v>
      </c>
    </row>
    <row r="310" spans="1:3" x14ac:dyDescent="0.25">
      <c r="A310">
        <v>2</v>
      </c>
      <c r="B310">
        <v>20</v>
      </c>
      <c r="C310">
        <v>112.158376</v>
      </c>
    </row>
    <row r="311" spans="1:3" x14ac:dyDescent="0.25">
      <c r="A311">
        <v>3</v>
      </c>
      <c r="B311">
        <v>20</v>
      </c>
      <c r="C311">
        <v>73.667098999999993</v>
      </c>
    </row>
    <row r="312" spans="1:3" x14ac:dyDescent="0.25">
      <c r="A312">
        <v>9</v>
      </c>
      <c r="B312">
        <v>20</v>
      </c>
      <c r="C312">
        <v>20.848398</v>
      </c>
    </row>
    <row r="313" spans="1:3" x14ac:dyDescent="0.25">
      <c r="A313">
        <v>12</v>
      </c>
      <c r="B313">
        <v>20</v>
      </c>
      <c r="C313">
        <v>2121.6480309285698</v>
      </c>
    </row>
    <row r="314" spans="1:3" x14ac:dyDescent="0.25">
      <c r="A314">
        <v>13</v>
      </c>
      <c r="B314">
        <v>20</v>
      </c>
      <c r="C314">
        <v>448.73426899999998</v>
      </c>
    </row>
    <row r="315" spans="1:3" x14ac:dyDescent="0.25">
      <c r="A315">
        <v>16</v>
      </c>
      <c r="B315">
        <v>20</v>
      </c>
      <c r="C315">
        <v>456.634094</v>
      </c>
    </row>
    <row r="316" spans="1:3" x14ac:dyDescent="0.25">
      <c r="A316">
        <v>18</v>
      </c>
      <c r="B316">
        <v>20</v>
      </c>
      <c r="C316">
        <v>4035.7992697142899</v>
      </c>
    </row>
    <row r="317" spans="1:3" x14ac:dyDescent="0.25">
      <c r="A317">
        <v>20</v>
      </c>
      <c r="B317">
        <v>20</v>
      </c>
      <c r="C317">
        <v>64320.184948499998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D400"/>
  <sheetViews>
    <sheetView topLeftCell="A366" workbookViewId="0">
      <selection sqref="A1:C400"/>
    </sheetView>
  </sheetViews>
  <sheetFormatPr defaultRowHeight="15" x14ac:dyDescent="0.25"/>
  <sheetData>
    <row r="1" spans="1:3" x14ac:dyDescent="0.25">
      <c r="A1" t="s">
        <v>285</v>
      </c>
      <c r="B1" t="s">
        <v>284</v>
      </c>
      <c r="C1" t="s">
        <v>283</v>
      </c>
    </row>
    <row r="2" spans="1:3" x14ac:dyDescent="0.25">
      <c r="A2">
        <v>1</v>
      </c>
      <c r="B2">
        <v>1</v>
      </c>
      <c r="C2">
        <v>19736.642857142899</v>
      </c>
    </row>
    <row r="3" spans="1:3" x14ac:dyDescent="0.25">
      <c r="A3">
        <v>2</v>
      </c>
      <c r="B3">
        <v>1</v>
      </c>
      <c r="C3">
        <v>6592.5714285714303</v>
      </c>
    </row>
    <row r="4" spans="1:3" x14ac:dyDescent="0.25">
      <c r="A4">
        <v>3</v>
      </c>
      <c r="B4">
        <v>1</v>
      </c>
      <c r="C4">
        <v>12425.5</v>
      </c>
    </row>
    <row r="5" spans="1:3" x14ac:dyDescent="0.25">
      <c r="A5">
        <v>4</v>
      </c>
      <c r="B5">
        <v>1</v>
      </c>
      <c r="C5">
        <v>5133.3571428571404</v>
      </c>
    </row>
    <row r="6" spans="1:3" x14ac:dyDescent="0.25">
      <c r="A6">
        <v>5</v>
      </c>
      <c r="B6">
        <v>1</v>
      </c>
      <c r="C6">
        <v>4672.0714285714303</v>
      </c>
    </row>
    <row r="7" spans="1:3" x14ac:dyDescent="0.25">
      <c r="A7">
        <v>6</v>
      </c>
      <c r="B7">
        <v>1</v>
      </c>
      <c r="C7">
        <v>13171.5714285714</v>
      </c>
    </row>
    <row r="8" spans="1:3" x14ac:dyDescent="0.25">
      <c r="A8">
        <v>7</v>
      </c>
      <c r="B8">
        <v>1</v>
      </c>
      <c r="C8">
        <v>3741.7857142857101</v>
      </c>
    </row>
    <row r="9" spans="1:3" x14ac:dyDescent="0.25">
      <c r="A9">
        <v>8</v>
      </c>
      <c r="B9">
        <v>1</v>
      </c>
      <c r="C9">
        <v>931.42857142857099</v>
      </c>
    </row>
    <row r="10" spans="1:3" x14ac:dyDescent="0.25">
      <c r="A10">
        <v>9</v>
      </c>
      <c r="B10">
        <v>1</v>
      </c>
      <c r="C10">
        <v>4330.2142857142899</v>
      </c>
    </row>
    <row r="11" spans="1:3" x14ac:dyDescent="0.25">
      <c r="A11">
        <v>10</v>
      </c>
      <c r="B11">
        <v>1</v>
      </c>
      <c r="C11">
        <v>3304.8571428571399</v>
      </c>
    </row>
    <row r="12" spans="1:3" x14ac:dyDescent="0.25">
      <c r="A12">
        <v>11</v>
      </c>
      <c r="B12">
        <v>1</v>
      </c>
      <c r="C12">
        <v>4654.0714285714303</v>
      </c>
    </row>
    <row r="13" spans="1:3" x14ac:dyDescent="0.25">
      <c r="A13">
        <v>12</v>
      </c>
      <c r="B13">
        <v>1</v>
      </c>
      <c r="C13">
        <v>6160.4285714285697</v>
      </c>
    </row>
    <row r="14" spans="1:3" x14ac:dyDescent="0.25">
      <c r="A14">
        <v>13</v>
      </c>
      <c r="B14">
        <v>1</v>
      </c>
      <c r="C14">
        <v>285.78571428571399</v>
      </c>
    </row>
    <row r="15" spans="1:3" x14ac:dyDescent="0.25">
      <c r="A15">
        <v>14</v>
      </c>
      <c r="B15">
        <v>1</v>
      </c>
      <c r="C15">
        <v>1468.8571428571399</v>
      </c>
    </row>
    <row r="16" spans="1:3" x14ac:dyDescent="0.25">
      <c r="A16">
        <v>15</v>
      </c>
      <c r="B16">
        <v>1</v>
      </c>
      <c r="C16">
        <v>697.28571428571399</v>
      </c>
    </row>
    <row r="17" spans="1:3" x14ac:dyDescent="0.25">
      <c r="A17">
        <v>16</v>
      </c>
      <c r="B17">
        <v>1</v>
      </c>
      <c r="C17">
        <v>920.92857142857099</v>
      </c>
    </row>
    <row r="18" spans="1:3" x14ac:dyDescent="0.25">
      <c r="A18">
        <v>17</v>
      </c>
      <c r="B18">
        <v>1</v>
      </c>
      <c r="C18">
        <v>973.857142857143</v>
      </c>
    </row>
    <row r="19" spans="1:3" x14ac:dyDescent="0.25">
      <c r="A19">
        <v>18</v>
      </c>
      <c r="B19">
        <v>1</v>
      </c>
      <c r="C19">
        <v>413.357142857143</v>
      </c>
    </row>
    <row r="20" spans="1:3" x14ac:dyDescent="0.25">
      <c r="A20">
        <v>19</v>
      </c>
      <c r="B20">
        <v>1</v>
      </c>
      <c r="C20">
        <v>1255.3571428571399</v>
      </c>
    </row>
    <row r="21" spans="1:3" x14ac:dyDescent="0.25">
      <c r="A21">
        <v>20</v>
      </c>
      <c r="B21">
        <v>1</v>
      </c>
      <c r="C21">
        <v>199.142857142857</v>
      </c>
    </row>
    <row r="22" spans="1:3" x14ac:dyDescent="0.25">
      <c r="A22">
        <v>1</v>
      </c>
      <c r="B22">
        <v>2</v>
      </c>
      <c r="C22">
        <v>6949.1428571428596</v>
      </c>
    </row>
    <row r="23" spans="1:3" x14ac:dyDescent="0.25">
      <c r="A23">
        <v>2</v>
      </c>
      <c r="B23">
        <v>2</v>
      </c>
      <c r="C23">
        <v>6921</v>
      </c>
    </row>
    <row r="24" spans="1:3" x14ac:dyDescent="0.25">
      <c r="A24">
        <v>3</v>
      </c>
      <c r="B24">
        <v>2</v>
      </c>
      <c r="C24">
        <v>2994.8571428571399</v>
      </c>
    </row>
    <row r="25" spans="1:3" x14ac:dyDescent="0.25">
      <c r="A25">
        <v>4</v>
      </c>
      <c r="B25">
        <v>2</v>
      </c>
      <c r="C25">
        <v>912.78571428571399</v>
      </c>
    </row>
    <row r="26" spans="1:3" x14ac:dyDescent="0.25">
      <c r="A26">
        <v>5</v>
      </c>
      <c r="B26">
        <v>2</v>
      </c>
      <c r="C26">
        <v>1014.28571428571</v>
      </c>
    </row>
    <row r="27" spans="1:3" x14ac:dyDescent="0.25">
      <c r="A27">
        <v>6</v>
      </c>
      <c r="B27">
        <v>2</v>
      </c>
      <c r="C27">
        <v>4766.5714285714303</v>
      </c>
    </row>
    <row r="28" spans="1:3" x14ac:dyDescent="0.25">
      <c r="A28">
        <v>7</v>
      </c>
      <c r="B28">
        <v>2</v>
      </c>
      <c r="C28">
        <v>4855.6428571428596</v>
      </c>
    </row>
    <row r="29" spans="1:3" x14ac:dyDescent="0.25">
      <c r="A29">
        <v>8</v>
      </c>
      <c r="B29">
        <v>2</v>
      </c>
      <c r="C29">
        <v>122.71428571428601</v>
      </c>
    </row>
    <row r="30" spans="1:3" x14ac:dyDescent="0.25">
      <c r="A30">
        <v>9</v>
      </c>
      <c r="B30">
        <v>2</v>
      </c>
      <c r="C30">
        <v>6576.2857142857101</v>
      </c>
    </row>
    <row r="31" spans="1:3" x14ac:dyDescent="0.25">
      <c r="A31">
        <v>10</v>
      </c>
      <c r="B31">
        <v>2</v>
      </c>
      <c r="C31">
        <v>630.92857142857099</v>
      </c>
    </row>
    <row r="32" spans="1:3" x14ac:dyDescent="0.25">
      <c r="A32">
        <v>11</v>
      </c>
      <c r="B32">
        <v>2</v>
      </c>
      <c r="C32">
        <v>1008.42857142857</v>
      </c>
    </row>
    <row r="33" spans="1:3" x14ac:dyDescent="0.25">
      <c r="A33">
        <v>12</v>
      </c>
      <c r="B33">
        <v>2</v>
      </c>
      <c r="C33">
        <v>5979.9285714285697</v>
      </c>
    </row>
    <row r="34" spans="1:3" x14ac:dyDescent="0.25">
      <c r="A34">
        <v>13</v>
      </c>
      <c r="B34">
        <v>2</v>
      </c>
      <c r="C34">
        <v>264.78571428571399</v>
      </c>
    </row>
    <row r="35" spans="1:3" x14ac:dyDescent="0.25">
      <c r="A35">
        <v>14</v>
      </c>
      <c r="B35">
        <v>2</v>
      </c>
      <c r="C35">
        <v>178.07142857142901</v>
      </c>
    </row>
    <row r="36" spans="1:3" x14ac:dyDescent="0.25">
      <c r="A36">
        <v>15</v>
      </c>
      <c r="B36">
        <v>2</v>
      </c>
      <c r="C36">
        <v>361.57142857142901</v>
      </c>
    </row>
    <row r="37" spans="1:3" x14ac:dyDescent="0.25">
      <c r="A37">
        <v>16</v>
      </c>
      <c r="B37">
        <v>2</v>
      </c>
      <c r="C37">
        <v>148</v>
      </c>
    </row>
    <row r="38" spans="1:3" x14ac:dyDescent="0.25">
      <c r="A38">
        <v>17</v>
      </c>
      <c r="B38">
        <v>2</v>
      </c>
      <c r="C38">
        <v>120.428571428571</v>
      </c>
    </row>
    <row r="39" spans="1:3" x14ac:dyDescent="0.25">
      <c r="A39">
        <v>18</v>
      </c>
      <c r="B39">
        <v>2</v>
      </c>
      <c r="C39">
        <v>159.357142857143</v>
      </c>
    </row>
    <row r="40" spans="1:3" x14ac:dyDescent="0.25">
      <c r="A40">
        <v>19</v>
      </c>
      <c r="B40">
        <v>2</v>
      </c>
      <c r="C40">
        <v>179.642857142857</v>
      </c>
    </row>
    <row r="41" spans="1:3" x14ac:dyDescent="0.25">
      <c r="A41">
        <v>20</v>
      </c>
      <c r="B41">
        <v>2</v>
      </c>
      <c r="C41">
        <v>46.428571428571402</v>
      </c>
    </row>
    <row r="42" spans="1:3" x14ac:dyDescent="0.25">
      <c r="A42">
        <v>1</v>
      </c>
      <c r="B42">
        <v>3</v>
      </c>
      <c r="C42">
        <v>13171.5</v>
      </c>
    </row>
    <row r="43" spans="1:3" x14ac:dyDescent="0.25">
      <c r="A43">
        <v>2</v>
      </c>
      <c r="B43">
        <v>3</v>
      </c>
      <c r="C43">
        <v>3165.4285714285702</v>
      </c>
    </row>
    <row r="44" spans="1:3" x14ac:dyDescent="0.25">
      <c r="A44">
        <v>3</v>
      </c>
      <c r="B44">
        <v>3</v>
      </c>
      <c r="C44">
        <v>43191.428571428602</v>
      </c>
    </row>
    <row r="45" spans="1:3" x14ac:dyDescent="0.25">
      <c r="A45">
        <v>4</v>
      </c>
      <c r="B45">
        <v>3</v>
      </c>
      <c r="C45">
        <v>5688</v>
      </c>
    </row>
    <row r="46" spans="1:3" x14ac:dyDescent="0.25">
      <c r="A46">
        <v>5</v>
      </c>
      <c r="B46">
        <v>3</v>
      </c>
      <c r="C46">
        <v>2422.4285714285702</v>
      </c>
    </row>
    <row r="47" spans="1:3" x14ac:dyDescent="0.25">
      <c r="A47">
        <v>6</v>
      </c>
      <c r="B47">
        <v>3</v>
      </c>
      <c r="C47">
        <v>5265.7857142857101</v>
      </c>
    </row>
    <row r="48" spans="1:3" x14ac:dyDescent="0.25">
      <c r="A48">
        <v>7</v>
      </c>
      <c r="B48">
        <v>3</v>
      </c>
      <c r="C48">
        <v>1971</v>
      </c>
    </row>
    <row r="49" spans="1:3" x14ac:dyDescent="0.25">
      <c r="A49">
        <v>8</v>
      </c>
      <c r="B49">
        <v>3</v>
      </c>
      <c r="C49">
        <v>1735.5</v>
      </c>
    </row>
    <row r="50" spans="1:3" x14ac:dyDescent="0.25">
      <c r="A50">
        <v>9</v>
      </c>
      <c r="B50">
        <v>3</v>
      </c>
      <c r="C50">
        <v>4204.7857142857101</v>
      </c>
    </row>
    <row r="51" spans="1:3" x14ac:dyDescent="0.25">
      <c r="A51">
        <v>10</v>
      </c>
      <c r="B51">
        <v>3</v>
      </c>
      <c r="C51">
        <v>1105.07142857143</v>
      </c>
    </row>
    <row r="52" spans="1:3" x14ac:dyDescent="0.25">
      <c r="A52">
        <v>11</v>
      </c>
      <c r="B52">
        <v>3</v>
      </c>
      <c r="C52">
        <v>13546.4285714286</v>
      </c>
    </row>
    <row r="53" spans="1:3" x14ac:dyDescent="0.25">
      <c r="A53">
        <v>12</v>
      </c>
      <c r="B53">
        <v>3</v>
      </c>
      <c r="C53">
        <v>2470.7142857142899</v>
      </c>
    </row>
    <row r="54" spans="1:3" x14ac:dyDescent="0.25">
      <c r="A54">
        <v>13</v>
      </c>
      <c r="B54">
        <v>3</v>
      </c>
      <c r="C54">
        <v>197.5</v>
      </c>
    </row>
    <row r="55" spans="1:3" x14ac:dyDescent="0.25">
      <c r="A55">
        <v>14</v>
      </c>
      <c r="B55">
        <v>3</v>
      </c>
      <c r="C55">
        <v>1771.5</v>
      </c>
    </row>
    <row r="56" spans="1:3" x14ac:dyDescent="0.25">
      <c r="A56">
        <v>15</v>
      </c>
      <c r="B56">
        <v>3</v>
      </c>
      <c r="C56">
        <v>475.21428571428601</v>
      </c>
    </row>
    <row r="57" spans="1:3" x14ac:dyDescent="0.25">
      <c r="A57">
        <v>16</v>
      </c>
      <c r="B57">
        <v>3</v>
      </c>
      <c r="C57">
        <v>318.357142857143</v>
      </c>
    </row>
    <row r="58" spans="1:3" x14ac:dyDescent="0.25">
      <c r="A58">
        <v>17</v>
      </c>
      <c r="B58">
        <v>3</v>
      </c>
      <c r="C58">
        <v>1471.5</v>
      </c>
    </row>
    <row r="59" spans="1:3" x14ac:dyDescent="0.25">
      <c r="A59">
        <v>18</v>
      </c>
      <c r="B59">
        <v>3</v>
      </c>
      <c r="C59">
        <v>208.78571428571399</v>
      </c>
    </row>
    <row r="60" spans="1:3" x14ac:dyDescent="0.25">
      <c r="A60">
        <v>19</v>
      </c>
      <c r="B60">
        <v>3</v>
      </c>
      <c r="C60">
        <v>1921.2857142857099</v>
      </c>
    </row>
    <row r="61" spans="1:3" x14ac:dyDescent="0.25">
      <c r="A61">
        <v>20</v>
      </c>
      <c r="B61">
        <v>3</v>
      </c>
      <c r="C61">
        <v>81.285714285714306</v>
      </c>
    </row>
    <row r="62" spans="1:3" x14ac:dyDescent="0.25">
      <c r="A62">
        <v>1</v>
      </c>
      <c r="B62">
        <v>4</v>
      </c>
      <c r="C62">
        <v>5279.6428571428596</v>
      </c>
    </row>
    <row r="63" spans="1:3" x14ac:dyDescent="0.25">
      <c r="A63">
        <v>2</v>
      </c>
      <c r="B63">
        <v>4</v>
      </c>
      <c r="C63">
        <v>921.21428571428601</v>
      </c>
    </row>
    <row r="64" spans="1:3" x14ac:dyDescent="0.25">
      <c r="A64">
        <v>3</v>
      </c>
      <c r="B64">
        <v>4</v>
      </c>
      <c r="C64">
        <v>5729.6428571428596</v>
      </c>
    </row>
    <row r="65" spans="1:3" x14ac:dyDescent="0.25">
      <c r="A65">
        <v>4</v>
      </c>
      <c r="B65">
        <v>4</v>
      </c>
      <c r="C65">
        <v>10915.357142857099</v>
      </c>
    </row>
    <row r="66" spans="1:3" x14ac:dyDescent="0.25">
      <c r="A66">
        <v>5</v>
      </c>
      <c r="B66">
        <v>4</v>
      </c>
      <c r="C66">
        <v>3347.7857142857101</v>
      </c>
    </row>
    <row r="67" spans="1:3" x14ac:dyDescent="0.25">
      <c r="A67">
        <v>6</v>
      </c>
      <c r="B67">
        <v>4</v>
      </c>
      <c r="C67">
        <v>3901.2142857142899</v>
      </c>
    </row>
    <row r="68" spans="1:3" x14ac:dyDescent="0.25">
      <c r="A68">
        <v>7</v>
      </c>
      <c r="B68">
        <v>4</v>
      </c>
      <c r="C68">
        <v>711.142857142857</v>
      </c>
    </row>
    <row r="69" spans="1:3" x14ac:dyDescent="0.25">
      <c r="A69">
        <v>8</v>
      </c>
      <c r="B69">
        <v>4</v>
      </c>
      <c r="C69">
        <v>1345.42857142857</v>
      </c>
    </row>
    <row r="70" spans="1:3" x14ac:dyDescent="0.25">
      <c r="A70">
        <v>9</v>
      </c>
      <c r="B70">
        <v>4</v>
      </c>
      <c r="C70">
        <v>872.357142857143</v>
      </c>
    </row>
    <row r="71" spans="1:3" x14ac:dyDescent="0.25">
      <c r="A71">
        <v>10</v>
      </c>
      <c r="B71">
        <v>4</v>
      </c>
      <c r="C71">
        <v>1576.6428571428601</v>
      </c>
    </row>
    <row r="72" spans="1:3" x14ac:dyDescent="0.25">
      <c r="A72">
        <v>11</v>
      </c>
      <c r="B72">
        <v>4</v>
      </c>
      <c r="C72">
        <v>2406.4285714285702</v>
      </c>
    </row>
    <row r="73" spans="1:3" x14ac:dyDescent="0.25">
      <c r="A73">
        <v>12</v>
      </c>
      <c r="B73">
        <v>4</v>
      </c>
      <c r="C73">
        <v>1264.5</v>
      </c>
    </row>
    <row r="74" spans="1:3" x14ac:dyDescent="0.25">
      <c r="A74">
        <v>13</v>
      </c>
      <c r="B74">
        <v>4</v>
      </c>
      <c r="C74">
        <v>62.428571428571402</v>
      </c>
    </row>
    <row r="75" spans="1:3" x14ac:dyDescent="0.25">
      <c r="A75">
        <v>14</v>
      </c>
      <c r="B75">
        <v>4</v>
      </c>
      <c r="C75">
        <v>1287.42857142857</v>
      </c>
    </row>
    <row r="76" spans="1:3" x14ac:dyDescent="0.25">
      <c r="A76">
        <v>15</v>
      </c>
      <c r="B76">
        <v>4</v>
      </c>
      <c r="C76">
        <v>159.857142857143</v>
      </c>
    </row>
    <row r="77" spans="1:3" x14ac:dyDescent="0.25">
      <c r="A77">
        <v>16</v>
      </c>
      <c r="B77">
        <v>4</v>
      </c>
      <c r="C77">
        <v>369.07142857142901</v>
      </c>
    </row>
    <row r="78" spans="1:3" x14ac:dyDescent="0.25">
      <c r="A78">
        <v>17</v>
      </c>
      <c r="B78">
        <v>4</v>
      </c>
      <c r="C78">
        <v>530.78571428571399</v>
      </c>
    </row>
    <row r="79" spans="1:3" x14ac:dyDescent="0.25">
      <c r="A79">
        <v>18</v>
      </c>
      <c r="B79">
        <v>4</v>
      </c>
      <c r="C79">
        <v>109.357142857143</v>
      </c>
    </row>
    <row r="80" spans="1:3" x14ac:dyDescent="0.25">
      <c r="A80">
        <v>19</v>
      </c>
      <c r="B80">
        <v>4</v>
      </c>
      <c r="C80">
        <v>626.42857142857099</v>
      </c>
    </row>
    <row r="81" spans="1:3" x14ac:dyDescent="0.25">
      <c r="A81">
        <v>20</v>
      </c>
      <c r="B81">
        <v>4</v>
      </c>
      <c r="C81">
        <v>58.928571428571402</v>
      </c>
    </row>
    <row r="82" spans="1:3" x14ac:dyDescent="0.25">
      <c r="A82">
        <v>1</v>
      </c>
      <c r="B82">
        <v>5</v>
      </c>
      <c r="C82">
        <v>4747.6428571428596</v>
      </c>
    </row>
    <row r="83" spans="1:3" x14ac:dyDescent="0.25">
      <c r="A83">
        <v>2</v>
      </c>
      <c r="B83">
        <v>5</v>
      </c>
      <c r="C83">
        <v>943.78571428571399</v>
      </c>
    </row>
    <row r="84" spans="1:3" x14ac:dyDescent="0.25">
      <c r="A84">
        <v>3</v>
      </c>
      <c r="B84">
        <v>5</v>
      </c>
      <c r="C84">
        <v>2363.0714285714298</v>
      </c>
    </row>
    <row r="85" spans="1:3" x14ac:dyDescent="0.25">
      <c r="A85">
        <v>4</v>
      </c>
      <c r="B85">
        <v>5</v>
      </c>
      <c r="C85">
        <v>3314.8571428571399</v>
      </c>
    </row>
    <row r="86" spans="1:3" x14ac:dyDescent="0.25">
      <c r="A86">
        <v>5</v>
      </c>
      <c r="B86">
        <v>5</v>
      </c>
      <c r="C86">
        <v>7503.5</v>
      </c>
    </row>
    <row r="87" spans="1:3" x14ac:dyDescent="0.25">
      <c r="A87">
        <v>6</v>
      </c>
      <c r="B87">
        <v>5</v>
      </c>
      <c r="C87">
        <v>7603.5</v>
      </c>
    </row>
    <row r="88" spans="1:3" x14ac:dyDescent="0.25">
      <c r="A88">
        <v>7</v>
      </c>
      <c r="B88">
        <v>5</v>
      </c>
      <c r="C88">
        <v>877.57142857142901</v>
      </c>
    </row>
    <row r="89" spans="1:3" x14ac:dyDescent="0.25">
      <c r="A89">
        <v>8</v>
      </c>
      <c r="B89">
        <v>5</v>
      </c>
      <c r="C89">
        <v>386.642857142857</v>
      </c>
    </row>
    <row r="90" spans="1:3" x14ac:dyDescent="0.25">
      <c r="A90">
        <v>9</v>
      </c>
      <c r="B90">
        <v>5</v>
      </c>
      <c r="C90">
        <v>908.92857142857099</v>
      </c>
    </row>
    <row r="91" spans="1:3" x14ac:dyDescent="0.25">
      <c r="A91">
        <v>10</v>
      </c>
      <c r="B91">
        <v>5</v>
      </c>
      <c r="C91">
        <v>5053.6428571428596</v>
      </c>
    </row>
    <row r="92" spans="1:3" x14ac:dyDescent="0.25">
      <c r="A92">
        <v>11</v>
      </c>
      <c r="B92">
        <v>5</v>
      </c>
      <c r="C92">
        <v>1146.1428571428601</v>
      </c>
    </row>
    <row r="93" spans="1:3" x14ac:dyDescent="0.25">
      <c r="A93">
        <v>12</v>
      </c>
      <c r="B93">
        <v>5</v>
      </c>
      <c r="C93">
        <v>2389.6428571428601</v>
      </c>
    </row>
    <row r="94" spans="1:3" x14ac:dyDescent="0.25">
      <c r="A94">
        <v>13</v>
      </c>
      <c r="B94">
        <v>5</v>
      </c>
      <c r="C94">
        <v>100.5</v>
      </c>
    </row>
    <row r="95" spans="1:3" x14ac:dyDescent="0.25">
      <c r="A95">
        <v>14</v>
      </c>
      <c r="B95">
        <v>5</v>
      </c>
      <c r="C95">
        <v>575.857142857143</v>
      </c>
    </row>
    <row r="96" spans="1:3" x14ac:dyDescent="0.25">
      <c r="A96">
        <v>15</v>
      </c>
      <c r="B96">
        <v>5</v>
      </c>
      <c r="C96">
        <v>169.5</v>
      </c>
    </row>
    <row r="97" spans="1:3" x14ac:dyDescent="0.25">
      <c r="A97">
        <v>16</v>
      </c>
      <c r="B97">
        <v>5</v>
      </c>
      <c r="C97">
        <v>794.57142857142901</v>
      </c>
    </row>
    <row r="98" spans="1:3" x14ac:dyDescent="0.25">
      <c r="A98">
        <v>17</v>
      </c>
      <c r="B98">
        <v>5</v>
      </c>
      <c r="C98">
        <v>300.357142857143</v>
      </c>
    </row>
    <row r="99" spans="1:3" x14ac:dyDescent="0.25">
      <c r="A99">
        <v>18</v>
      </c>
      <c r="B99">
        <v>5</v>
      </c>
      <c r="C99">
        <v>153.857142857143</v>
      </c>
    </row>
    <row r="100" spans="1:3" x14ac:dyDescent="0.25">
      <c r="A100">
        <v>19</v>
      </c>
      <c r="B100">
        <v>5</v>
      </c>
      <c r="C100">
        <v>351.42857142857099</v>
      </c>
    </row>
    <row r="101" spans="1:3" x14ac:dyDescent="0.25">
      <c r="A101">
        <v>20</v>
      </c>
      <c r="B101">
        <v>5</v>
      </c>
      <c r="C101">
        <v>78.285714285714306</v>
      </c>
    </row>
    <row r="102" spans="1:3" x14ac:dyDescent="0.25">
      <c r="A102">
        <v>1</v>
      </c>
      <c r="B102">
        <v>6</v>
      </c>
      <c r="C102">
        <v>13420.857142857099</v>
      </c>
    </row>
    <row r="103" spans="1:3" x14ac:dyDescent="0.25">
      <c r="A103">
        <v>2</v>
      </c>
      <c r="B103">
        <v>6</v>
      </c>
      <c r="C103">
        <v>4626.1428571428596</v>
      </c>
    </row>
    <row r="104" spans="1:3" x14ac:dyDescent="0.25">
      <c r="A104">
        <v>3</v>
      </c>
      <c r="B104">
        <v>6</v>
      </c>
      <c r="C104">
        <v>4903.7857142857101</v>
      </c>
    </row>
    <row r="105" spans="1:3" x14ac:dyDescent="0.25">
      <c r="A105">
        <v>4</v>
      </c>
      <c r="B105">
        <v>6</v>
      </c>
      <c r="C105">
        <v>3579.2857142857101</v>
      </c>
    </row>
    <row r="106" spans="1:3" x14ac:dyDescent="0.25">
      <c r="A106">
        <v>5</v>
      </c>
      <c r="B106">
        <v>6</v>
      </c>
      <c r="C106">
        <v>7453.8571428571404</v>
      </c>
    </row>
    <row r="107" spans="1:3" x14ac:dyDescent="0.25">
      <c r="A107">
        <v>6</v>
      </c>
      <c r="B107">
        <v>6</v>
      </c>
      <c r="C107">
        <v>31855.571428571398</v>
      </c>
    </row>
    <row r="108" spans="1:3" x14ac:dyDescent="0.25">
      <c r="A108">
        <v>7</v>
      </c>
      <c r="B108">
        <v>6</v>
      </c>
      <c r="C108">
        <v>4069.5714285714298</v>
      </c>
    </row>
    <row r="109" spans="1:3" x14ac:dyDescent="0.25">
      <c r="A109">
        <v>8</v>
      </c>
      <c r="B109">
        <v>6</v>
      </c>
      <c r="C109">
        <v>470.21428571428601</v>
      </c>
    </row>
    <row r="110" spans="1:3" x14ac:dyDescent="0.25">
      <c r="A110">
        <v>9</v>
      </c>
      <c r="B110">
        <v>6</v>
      </c>
      <c r="C110">
        <v>3390.5714285714298</v>
      </c>
    </row>
    <row r="111" spans="1:3" x14ac:dyDescent="0.25">
      <c r="A111">
        <v>10</v>
      </c>
      <c r="B111">
        <v>6</v>
      </c>
      <c r="C111">
        <v>7247.3571428571404</v>
      </c>
    </row>
    <row r="112" spans="1:3" x14ac:dyDescent="0.25">
      <c r="A112">
        <v>11</v>
      </c>
      <c r="B112">
        <v>6</v>
      </c>
      <c r="C112">
        <v>2260.3571428571399</v>
      </c>
    </row>
    <row r="113" spans="1:3" x14ac:dyDescent="0.25">
      <c r="A113">
        <v>12</v>
      </c>
      <c r="B113">
        <v>6</v>
      </c>
      <c r="C113">
        <v>14806</v>
      </c>
    </row>
    <row r="114" spans="1:3" x14ac:dyDescent="0.25">
      <c r="A114">
        <v>13</v>
      </c>
      <c r="B114">
        <v>6</v>
      </c>
      <c r="C114">
        <v>349.71428571428601</v>
      </c>
    </row>
    <row r="115" spans="1:3" x14ac:dyDescent="0.25">
      <c r="A115">
        <v>14</v>
      </c>
      <c r="B115">
        <v>6</v>
      </c>
      <c r="C115">
        <v>895.92857142857099</v>
      </c>
    </row>
    <row r="116" spans="1:3" x14ac:dyDescent="0.25">
      <c r="A116">
        <v>15</v>
      </c>
      <c r="B116">
        <v>6</v>
      </c>
      <c r="C116">
        <v>464.78571428571399</v>
      </c>
    </row>
    <row r="117" spans="1:3" x14ac:dyDescent="0.25">
      <c r="A117">
        <v>16</v>
      </c>
      <c r="B117">
        <v>6</v>
      </c>
      <c r="C117">
        <v>1351.8571428571399</v>
      </c>
    </row>
    <row r="118" spans="1:3" x14ac:dyDescent="0.25">
      <c r="A118">
        <v>17</v>
      </c>
      <c r="B118">
        <v>6</v>
      </c>
      <c r="C118">
        <v>529.21428571428601</v>
      </c>
    </row>
    <row r="119" spans="1:3" x14ac:dyDescent="0.25">
      <c r="A119">
        <v>18</v>
      </c>
      <c r="B119">
        <v>6</v>
      </c>
      <c r="C119">
        <v>477.92857142857099</v>
      </c>
    </row>
    <row r="120" spans="1:3" x14ac:dyDescent="0.25">
      <c r="A120">
        <v>19</v>
      </c>
      <c r="B120">
        <v>6</v>
      </c>
      <c r="C120">
        <v>621.71428571428601</v>
      </c>
    </row>
    <row r="121" spans="1:3" x14ac:dyDescent="0.25">
      <c r="A121">
        <v>20</v>
      </c>
      <c r="B121">
        <v>6</v>
      </c>
      <c r="C121">
        <v>251.57142857142901</v>
      </c>
    </row>
    <row r="122" spans="1:3" x14ac:dyDescent="0.25">
      <c r="A122">
        <v>1</v>
      </c>
      <c r="B122">
        <v>7</v>
      </c>
      <c r="C122">
        <v>4224.4285714285697</v>
      </c>
    </row>
    <row r="123" spans="1:3" x14ac:dyDescent="0.25">
      <c r="A123">
        <v>2</v>
      </c>
      <c r="B123">
        <v>7</v>
      </c>
      <c r="C123">
        <v>5432.3571428571404</v>
      </c>
    </row>
    <row r="124" spans="1:3" x14ac:dyDescent="0.25">
      <c r="A124">
        <v>3</v>
      </c>
      <c r="B124">
        <v>7</v>
      </c>
      <c r="C124">
        <v>2138.1428571428601</v>
      </c>
    </row>
    <row r="125" spans="1:3" x14ac:dyDescent="0.25">
      <c r="A125">
        <v>4</v>
      </c>
      <c r="B125">
        <v>7</v>
      </c>
      <c r="C125">
        <v>721.28571428571399</v>
      </c>
    </row>
    <row r="126" spans="1:3" x14ac:dyDescent="0.25">
      <c r="A126">
        <v>5</v>
      </c>
      <c r="B126">
        <v>7</v>
      </c>
      <c r="C126">
        <v>918.42857142857099</v>
      </c>
    </row>
    <row r="127" spans="1:3" x14ac:dyDescent="0.25">
      <c r="A127">
        <v>6</v>
      </c>
      <c r="B127">
        <v>7</v>
      </c>
      <c r="C127">
        <v>4578</v>
      </c>
    </row>
    <row r="128" spans="1:3" x14ac:dyDescent="0.25">
      <c r="A128">
        <v>7</v>
      </c>
      <c r="B128">
        <v>7</v>
      </c>
      <c r="C128">
        <v>148127.35714285701</v>
      </c>
    </row>
    <row r="129" spans="1:3" x14ac:dyDescent="0.25">
      <c r="A129">
        <v>8</v>
      </c>
      <c r="B129">
        <v>7</v>
      </c>
      <c r="C129">
        <v>89.214285714285694</v>
      </c>
    </row>
    <row r="130" spans="1:3" x14ac:dyDescent="0.25">
      <c r="A130">
        <v>9</v>
      </c>
      <c r="B130">
        <v>7</v>
      </c>
      <c r="C130">
        <v>12620.642857142901</v>
      </c>
    </row>
    <row r="131" spans="1:3" x14ac:dyDescent="0.25">
      <c r="A131">
        <v>10</v>
      </c>
      <c r="B131">
        <v>7</v>
      </c>
      <c r="C131">
        <v>616.07142857142901</v>
      </c>
    </row>
    <row r="132" spans="1:3" x14ac:dyDescent="0.25">
      <c r="A132">
        <v>11</v>
      </c>
      <c r="B132">
        <v>7</v>
      </c>
      <c r="C132">
        <v>753.07142857142901</v>
      </c>
    </row>
    <row r="133" spans="1:3" x14ac:dyDescent="0.25">
      <c r="A133">
        <v>12</v>
      </c>
      <c r="B133">
        <v>7</v>
      </c>
      <c r="C133">
        <v>23094.785714285699</v>
      </c>
    </row>
    <row r="134" spans="1:3" x14ac:dyDescent="0.25">
      <c r="A134">
        <v>13</v>
      </c>
      <c r="B134">
        <v>7</v>
      </c>
      <c r="C134">
        <v>14108.0714285714</v>
      </c>
    </row>
    <row r="135" spans="1:3" x14ac:dyDescent="0.25">
      <c r="A135">
        <v>14</v>
      </c>
      <c r="B135">
        <v>7</v>
      </c>
      <c r="C135">
        <v>135.857142857143</v>
      </c>
    </row>
    <row r="136" spans="1:3" x14ac:dyDescent="0.25">
      <c r="A136">
        <v>15</v>
      </c>
      <c r="B136">
        <v>7</v>
      </c>
      <c r="C136">
        <v>1711.2857142857099</v>
      </c>
    </row>
    <row r="137" spans="1:3" x14ac:dyDescent="0.25">
      <c r="A137">
        <v>16</v>
      </c>
      <c r="B137">
        <v>7</v>
      </c>
      <c r="C137">
        <v>154.71428571428601</v>
      </c>
    </row>
    <row r="138" spans="1:3" x14ac:dyDescent="0.25">
      <c r="A138">
        <v>17</v>
      </c>
      <c r="B138">
        <v>7</v>
      </c>
      <c r="C138">
        <v>106.5</v>
      </c>
    </row>
    <row r="139" spans="1:3" x14ac:dyDescent="0.25">
      <c r="A139">
        <v>18</v>
      </c>
      <c r="B139">
        <v>7</v>
      </c>
      <c r="C139">
        <v>1333.92857142857</v>
      </c>
    </row>
    <row r="140" spans="1:3" x14ac:dyDescent="0.25">
      <c r="A140">
        <v>19</v>
      </c>
      <c r="B140">
        <v>7</v>
      </c>
      <c r="C140">
        <v>244.21428571428601</v>
      </c>
    </row>
    <row r="141" spans="1:3" x14ac:dyDescent="0.25">
      <c r="A141">
        <v>20</v>
      </c>
      <c r="B141">
        <v>7</v>
      </c>
      <c r="C141">
        <v>186.642857142857</v>
      </c>
    </row>
    <row r="142" spans="1:3" x14ac:dyDescent="0.25">
      <c r="A142">
        <v>1</v>
      </c>
      <c r="B142">
        <v>8</v>
      </c>
      <c r="C142">
        <v>1050.57142857143</v>
      </c>
    </row>
    <row r="143" spans="1:3" x14ac:dyDescent="0.25">
      <c r="A143">
        <v>2</v>
      </c>
      <c r="B143">
        <v>8</v>
      </c>
      <c r="C143">
        <v>154.857142857143</v>
      </c>
    </row>
    <row r="144" spans="1:3" x14ac:dyDescent="0.25">
      <c r="A144">
        <v>3</v>
      </c>
      <c r="B144">
        <v>8</v>
      </c>
      <c r="C144">
        <v>1786.2142857142901</v>
      </c>
    </row>
    <row r="145" spans="1:3" x14ac:dyDescent="0.25">
      <c r="A145">
        <v>4</v>
      </c>
      <c r="B145">
        <v>8</v>
      </c>
      <c r="C145">
        <v>1367.57142857143</v>
      </c>
    </row>
    <row r="146" spans="1:3" x14ac:dyDescent="0.25">
      <c r="A146">
        <v>5</v>
      </c>
      <c r="B146">
        <v>8</v>
      </c>
      <c r="C146">
        <v>389.78571428571399</v>
      </c>
    </row>
    <row r="147" spans="1:3" x14ac:dyDescent="0.25">
      <c r="A147">
        <v>6</v>
      </c>
      <c r="B147">
        <v>8</v>
      </c>
      <c r="C147">
        <v>543.857142857143</v>
      </c>
    </row>
    <row r="148" spans="1:3" x14ac:dyDescent="0.25">
      <c r="A148">
        <v>7</v>
      </c>
      <c r="B148">
        <v>8</v>
      </c>
      <c r="C148">
        <v>92.5</v>
      </c>
    </row>
    <row r="149" spans="1:3" x14ac:dyDescent="0.25">
      <c r="A149">
        <v>8</v>
      </c>
      <c r="B149">
        <v>8</v>
      </c>
      <c r="C149">
        <v>670.21428571428601</v>
      </c>
    </row>
    <row r="150" spans="1:3" x14ac:dyDescent="0.25">
      <c r="A150">
        <v>9</v>
      </c>
      <c r="B150">
        <v>8</v>
      </c>
      <c r="C150">
        <v>216.357142857143</v>
      </c>
    </row>
    <row r="151" spans="1:3" x14ac:dyDescent="0.25">
      <c r="A151">
        <v>10</v>
      </c>
      <c r="B151">
        <v>8</v>
      </c>
      <c r="C151">
        <v>184.57142857142901</v>
      </c>
    </row>
    <row r="152" spans="1:3" x14ac:dyDescent="0.25">
      <c r="A152">
        <v>11</v>
      </c>
      <c r="B152">
        <v>8</v>
      </c>
      <c r="C152">
        <v>1453.2857142857099</v>
      </c>
    </row>
    <row r="153" spans="1:3" x14ac:dyDescent="0.25">
      <c r="A153">
        <v>12</v>
      </c>
      <c r="B153">
        <v>8</v>
      </c>
      <c r="C153">
        <v>178.57142857142901</v>
      </c>
    </row>
    <row r="154" spans="1:3" x14ac:dyDescent="0.25">
      <c r="A154">
        <v>13</v>
      </c>
      <c r="B154">
        <v>8</v>
      </c>
      <c r="C154">
        <v>14.0714285714286</v>
      </c>
    </row>
    <row r="155" spans="1:3" x14ac:dyDescent="0.25">
      <c r="A155">
        <v>14</v>
      </c>
      <c r="B155">
        <v>8</v>
      </c>
      <c r="C155">
        <v>486.92857142857099</v>
      </c>
    </row>
    <row r="156" spans="1:3" x14ac:dyDescent="0.25">
      <c r="A156">
        <v>15</v>
      </c>
      <c r="B156">
        <v>8</v>
      </c>
      <c r="C156">
        <v>16.285714285714299</v>
      </c>
    </row>
    <row r="157" spans="1:3" x14ac:dyDescent="0.25">
      <c r="A157">
        <v>16</v>
      </c>
      <c r="B157">
        <v>8</v>
      </c>
      <c r="C157">
        <v>24.285714285714299</v>
      </c>
    </row>
    <row r="158" spans="1:3" x14ac:dyDescent="0.25">
      <c r="A158">
        <v>17</v>
      </c>
      <c r="B158">
        <v>8</v>
      </c>
      <c r="C158">
        <v>95.214285714285694</v>
      </c>
    </row>
    <row r="159" spans="1:3" x14ac:dyDescent="0.25">
      <c r="A159">
        <v>18</v>
      </c>
      <c r="B159">
        <v>8</v>
      </c>
      <c r="C159">
        <v>4.8571428571428603</v>
      </c>
    </row>
    <row r="160" spans="1:3" x14ac:dyDescent="0.25">
      <c r="A160">
        <v>19</v>
      </c>
      <c r="B160">
        <v>8</v>
      </c>
      <c r="C160">
        <v>80.642857142857096</v>
      </c>
    </row>
    <row r="161" spans="1:3" x14ac:dyDescent="0.25">
      <c r="A161">
        <v>20</v>
      </c>
      <c r="B161">
        <v>8</v>
      </c>
      <c r="C161">
        <v>1.5</v>
      </c>
    </row>
    <row r="162" spans="1:3" x14ac:dyDescent="0.25">
      <c r="A162">
        <v>1</v>
      </c>
      <c r="B162">
        <v>9</v>
      </c>
      <c r="C162">
        <v>4966.8571428571404</v>
      </c>
    </row>
    <row r="163" spans="1:3" x14ac:dyDescent="0.25">
      <c r="A163">
        <v>2</v>
      </c>
      <c r="B163">
        <v>9</v>
      </c>
      <c r="C163">
        <v>7380.2857142857101</v>
      </c>
    </row>
    <row r="164" spans="1:3" x14ac:dyDescent="0.25">
      <c r="A164">
        <v>3</v>
      </c>
      <c r="B164">
        <v>9</v>
      </c>
      <c r="C164">
        <v>4276.4285714285697</v>
      </c>
    </row>
    <row r="165" spans="1:3" x14ac:dyDescent="0.25">
      <c r="A165">
        <v>4</v>
      </c>
      <c r="B165">
        <v>9</v>
      </c>
      <c r="C165">
        <v>896.78571428571399</v>
      </c>
    </row>
    <row r="166" spans="1:3" x14ac:dyDescent="0.25">
      <c r="A166">
        <v>5</v>
      </c>
      <c r="B166">
        <v>9</v>
      </c>
      <c r="C166">
        <v>998.07142857142901</v>
      </c>
    </row>
    <row r="167" spans="1:3" x14ac:dyDescent="0.25">
      <c r="A167">
        <v>6</v>
      </c>
      <c r="B167">
        <v>9</v>
      </c>
      <c r="C167">
        <v>3857.4285714285702</v>
      </c>
    </row>
    <row r="168" spans="1:3" x14ac:dyDescent="0.25">
      <c r="A168">
        <v>7</v>
      </c>
      <c r="B168">
        <v>9</v>
      </c>
      <c r="C168">
        <v>12824.214285714301</v>
      </c>
    </row>
    <row r="169" spans="1:3" x14ac:dyDescent="0.25">
      <c r="A169">
        <v>8</v>
      </c>
      <c r="B169">
        <v>9</v>
      </c>
      <c r="C169">
        <v>222.21428571428601</v>
      </c>
    </row>
    <row r="170" spans="1:3" x14ac:dyDescent="0.25">
      <c r="A170">
        <v>9</v>
      </c>
      <c r="B170">
        <v>9</v>
      </c>
      <c r="C170">
        <v>115539.928571429</v>
      </c>
    </row>
    <row r="171" spans="1:3" x14ac:dyDescent="0.25">
      <c r="A171">
        <v>10</v>
      </c>
      <c r="B171">
        <v>9</v>
      </c>
      <c r="C171">
        <v>510.857142857143</v>
      </c>
    </row>
    <row r="172" spans="1:3" x14ac:dyDescent="0.25">
      <c r="A172">
        <v>11</v>
      </c>
      <c r="B172">
        <v>9</v>
      </c>
      <c r="C172">
        <v>8218.5</v>
      </c>
    </row>
    <row r="173" spans="1:3" x14ac:dyDescent="0.25">
      <c r="A173">
        <v>12</v>
      </c>
      <c r="B173">
        <v>9</v>
      </c>
      <c r="C173">
        <v>3809</v>
      </c>
    </row>
    <row r="174" spans="1:3" x14ac:dyDescent="0.25">
      <c r="A174">
        <v>13</v>
      </c>
      <c r="B174">
        <v>9</v>
      </c>
      <c r="C174">
        <v>1254.3571428571399</v>
      </c>
    </row>
    <row r="175" spans="1:3" x14ac:dyDescent="0.25">
      <c r="A175">
        <v>14</v>
      </c>
      <c r="B175">
        <v>9</v>
      </c>
      <c r="C175">
        <v>452</v>
      </c>
    </row>
    <row r="176" spans="1:3" x14ac:dyDescent="0.25">
      <c r="A176">
        <v>15</v>
      </c>
      <c r="B176">
        <v>9</v>
      </c>
      <c r="C176">
        <v>7516.7142857142899</v>
      </c>
    </row>
    <row r="177" spans="1:3" x14ac:dyDescent="0.25">
      <c r="A177">
        <v>16</v>
      </c>
      <c r="B177">
        <v>9</v>
      </c>
      <c r="C177">
        <v>125.857142857143</v>
      </c>
    </row>
    <row r="178" spans="1:3" x14ac:dyDescent="0.25">
      <c r="A178">
        <v>17</v>
      </c>
      <c r="B178">
        <v>9</v>
      </c>
      <c r="C178">
        <v>472.07142857142901</v>
      </c>
    </row>
    <row r="179" spans="1:3" x14ac:dyDescent="0.25">
      <c r="A179">
        <v>18</v>
      </c>
      <c r="B179">
        <v>9</v>
      </c>
      <c r="C179">
        <v>211.57142857142901</v>
      </c>
    </row>
    <row r="180" spans="1:3" x14ac:dyDescent="0.25">
      <c r="A180">
        <v>19</v>
      </c>
      <c r="B180">
        <v>9</v>
      </c>
      <c r="C180">
        <v>1650.2142857142901</v>
      </c>
    </row>
    <row r="181" spans="1:3" x14ac:dyDescent="0.25">
      <c r="A181">
        <v>20</v>
      </c>
      <c r="B181">
        <v>9</v>
      </c>
      <c r="C181">
        <v>65.642857142857096</v>
      </c>
    </row>
    <row r="182" spans="1:3" x14ac:dyDescent="0.25">
      <c r="A182">
        <v>1</v>
      </c>
      <c r="B182">
        <v>10</v>
      </c>
      <c r="C182">
        <v>3599</v>
      </c>
    </row>
    <row r="183" spans="1:3" x14ac:dyDescent="0.25">
      <c r="A183">
        <v>2</v>
      </c>
      <c r="B183">
        <v>10</v>
      </c>
      <c r="C183">
        <v>736.142857142857</v>
      </c>
    </row>
    <row r="184" spans="1:3" x14ac:dyDescent="0.25">
      <c r="A184">
        <v>3</v>
      </c>
      <c r="B184">
        <v>10</v>
      </c>
      <c r="C184">
        <v>1083.6428571428601</v>
      </c>
    </row>
    <row r="185" spans="1:3" x14ac:dyDescent="0.25">
      <c r="A185">
        <v>4</v>
      </c>
      <c r="B185">
        <v>10</v>
      </c>
      <c r="C185">
        <v>1537.1428571428601</v>
      </c>
    </row>
    <row r="186" spans="1:3" x14ac:dyDescent="0.25">
      <c r="A186">
        <v>5</v>
      </c>
      <c r="B186">
        <v>10</v>
      </c>
      <c r="C186">
        <v>5316.2857142857101</v>
      </c>
    </row>
    <row r="187" spans="1:3" x14ac:dyDescent="0.25">
      <c r="A187">
        <v>6</v>
      </c>
      <c r="B187">
        <v>10</v>
      </c>
      <c r="C187">
        <v>7911.1428571428596</v>
      </c>
    </row>
    <row r="188" spans="1:3" x14ac:dyDescent="0.25">
      <c r="A188">
        <v>7</v>
      </c>
      <c r="B188">
        <v>10</v>
      </c>
      <c r="C188">
        <v>597.71428571428601</v>
      </c>
    </row>
    <row r="189" spans="1:3" x14ac:dyDescent="0.25">
      <c r="A189">
        <v>8</v>
      </c>
      <c r="B189">
        <v>10</v>
      </c>
      <c r="C189">
        <v>180.07142857142901</v>
      </c>
    </row>
    <row r="190" spans="1:3" x14ac:dyDescent="0.25">
      <c r="A190">
        <v>9</v>
      </c>
      <c r="B190">
        <v>10</v>
      </c>
      <c r="C190">
        <v>475.28571428571399</v>
      </c>
    </row>
    <row r="191" spans="1:3" x14ac:dyDescent="0.25">
      <c r="A191">
        <v>10</v>
      </c>
      <c r="B191">
        <v>10</v>
      </c>
      <c r="C191">
        <v>34400.928571428602</v>
      </c>
    </row>
    <row r="192" spans="1:3" x14ac:dyDescent="0.25">
      <c r="A192">
        <v>11</v>
      </c>
      <c r="B192">
        <v>10</v>
      </c>
      <c r="C192">
        <v>455.21428571428601</v>
      </c>
    </row>
    <row r="193" spans="1:3" x14ac:dyDescent="0.25">
      <c r="A193">
        <v>12</v>
      </c>
      <c r="B193">
        <v>10</v>
      </c>
      <c r="C193">
        <v>6645.5</v>
      </c>
    </row>
    <row r="194" spans="1:3" x14ac:dyDescent="0.25">
      <c r="A194">
        <v>13</v>
      </c>
      <c r="B194">
        <v>10</v>
      </c>
      <c r="C194">
        <v>79.714285714285694</v>
      </c>
    </row>
    <row r="195" spans="1:3" x14ac:dyDescent="0.25">
      <c r="A195">
        <v>14</v>
      </c>
      <c r="B195">
        <v>10</v>
      </c>
      <c r="C195">
        <v>283</v>
      </c>
    </row>
    <row r="196" spans="1:3" x14ac:dyDescent="0.25">
      <c r="A196">
        <v>15</v>
      </c>
      <c r="B196">
        <v>10</v>
      </c>
      <c r="C196">
        <v>81.214285714285694</v>
      </c>
    </row>
    <row r="197" spans="1:3" x14ac:dyDescent="0.25">
      <c r="A197">
        <v>16</v>
      </c>
      <c r="B197">
        <v>10</v>
      </c>
      <c r="C197">
        <v>6627.1428571428596</v>
      </c>
    </row>
    <row r="198" spans="1:3" x14ac:dyDescent="0.25">
      <c r="A198">
        <v>17</v>
      </c>
      <c r="B198">
        <v>10</v>
      </c>
      <c r="C198">
        <v>114.357142857143</v>
      </c>
    </row>
    <row r="199" spans="1:3" x14ac:dyDescent="0.25">
      <c r="A199">
        <v>18</v>
      </c>
      <c r="B199">
        <v>10</v>
      </c>
      <c r="C199">
        <v>154.5</v>
      </c>
    </row>
    <row r="200" spans="1:3" x14ac:dyDescent="0.25">
      <c r="A200">
        <v>19</v>
      </c>
      <c r="B200">
        <v>10</v>
      </c>
      <c r="C200">
        <v>156.142857142857</v>
      </c>
    </row>
    <row r="201" spans="1:3" x14ac:dyDescent="0.25">
      <c r="A201">
        <v>20</v>
      </c>
      <c r="B201">
        <v>10</v>
      </c>
      <c r="C201">
        <v>119.071428571429</v>
      </c>
    </row>
    <row r="202" spans="1:3" x14ac:dyDescent="0.25">
      <c r="A202">
        <v>1</v>
      </c>
      <c r="B202">
        <v>11</v>
      </c>
      <c r="C202">
        <v>5239.3571428571404</v>
      </c>
    </row>
    <row r="203" spans="1:3" x14ac:dyDescent="0.25">
      <c r="A203">
        <v>2</v>
      </c>
      <c r="B203">
        <v>11</v>
      </c>
      <c r="C203">
        <v>1340.3571428571399</v>
      </c>
    </row>
    <row r="204" spans="1:3" x14ac:dyDescent="0.25">
      <c r="A204">
        <v>3</v>
      </c>
      <c r="B204">
        <v>11</v>
      </c>
      <c r="C204">
        <v>14025.857142857099</v>
      </c>
    </row>
    <row r="205" spans="1:3" x14ac:dyDescent="0.25">
      <c r="A205">
        <v>4</v>
      </c>
      <c r="B205">
        <v>11</v>
      </c>
      <c r="C205">
        <v>2514.6428571428601</v>
      </c>
    </row>
    <row r="206" spans="1:3" x14ac:dyDescent="0.25">
      <c r="A206">
        <v>5</v>
      </c>
      <c r="B206">
        <v>11</v>
      </c>
      <c r="C206">
        <v>1228.6428571428601</v>
      </c>
    </row>
    <row r="207" spans="1:3" x14ac:dyDescent="0.25">
      <c r="A207">
        <v>6</v>
      </c>
      <c r="B207">
        <v>11</v>
      </c>
      <c r="C207">
        <v>2749.2142857142899</v>
      </c>
    </row>
    <row r="208" spans="1:3" x14ac:dyDescent="0.25">
      <c r="A208">
        <v>7</v>
      </c>
      <c r="B208">
        <v>11</v>
      </c>
      <c r="C208">
        <v>724</v>
      </c>
    </row>
    <row r="209" spans="1:3" x14ac:dyDescent="0.25">
      <c r="A209">
        <v>8</v>
      </c>
      <c r="B209">
        <v>11</v>
      </c>
      <c r="C209">
        <v>1458.6428571428601</v>
      </c>
    </row>
    <row r="210" spans="1:3" x14ac:dyDescent="0.25">
      <c r="A210">
        <v>9</v>
      </c>
      <c r="B210">
        <v>11</v>
      </c>
      <c r="C210">
        <v>8265.8571428571395</v>
      </c>
    </row>
    <row r="211" spans="1:3" x14ac:dyDescent="0.25">
      <c r="A211">
        <v>10</v>
      </c>
      <c r="B211">
        <v>11</v>
      </c>
      <c r="C211">
        <v>448.642857142857</v>
      </c>
    </row>
    <row r="212" spans="1:3" x14ac:dyDescent="0.25">
      <c r="A212">
        <v>11</v>
      </c>
      <c r="B212">
        <v>11</v>
      </c>
      <c r="C212">
        <v>110682.928571429</v>
      </c>
    </row>
    <row r="213" spans="1:3" x14ac:dyDescent="0.25">
      <c r="A213">
        <v>12</v>
      </c>
      <c r="B213">
        <v>11</v>
      </c>
      <c r="C213">
        <v>1089.1428571428601</v>
      </c>
    </row>
    <row r="214" spans="1:3" x14ac:dyDescent="0.25">
      <c r="A214">
        <v>13</v>
      </c>
      <c r="B214">
        <v>11</v>
      </c>
      <c r="C214">
        <v>147</v>
      </c>
    </row>
    <row r="215" spans="1:3" x14ac:dyDescent="0.25">
      <c r="A215">
        <v>14</v>
      </c>
      <c r="B215">
        <v>11</v>
      </c>
      <c r="C215">
        <v>2738.9285714285702</v>
      </c>
    </row>
    <row r="216" spans="1:3" x14ac:dyDescent="0.25">
      <c r="A216">
        <v>15</v>
      </c>
      <c r="B216">
        <v>11</v>
      </c>
      <c r="C216">
        <v>532.28571428571399</v>
      </c>
    </row>
    <row r="217" spans="1:3" x14ac:dyDescent="0.25">
      <c r="A217">
        <v>16</v>
      </c>
      <c r="B217">
        <v>11</v>
      </c>
      <c r="C217">
        <v>68.714285714285694</v>
      </c>
    </row>
    <row r="218" spans="1:3" x14ac:dyDescent="0.25">
      <c r="A218">
        <v>17</v>
      </c>
      <c r="B218">
        <v>11</v>
      </c>
      <c r="C218">
        <v>5678.5714285714303</v>
      </c>
    </row>
    <row r="219" spans="1:3" x14ac:dyDescent="0.25">
      <c r="A219">
        <v>18</v>
      </c>
      <c r="B219">
        <v>11</v>
      </c>
      <c r="C219">
        <v>49.714285714285701</v>
      </c>
    </row>
    <row r="220" spans="1:3" x14ac:dyDescent="0.25">
      <c r="A220">
        <v>19</v>
      </c>
      <c r="B220">
        <v>11</v>
      </c>
      <c r="C220">
        <v>14140.785714285699</v>
      </c>
    </row>
    <row r="221" spans="1:3" x14ac:dyDescent="0.25">
      <c r="A221">
        <v>20</v>
      </c>
      <c r="B221">
        <v>11</v>
      </c>
      <c r="C221">
        <v>25.5</v>
      </c>
    </row>
    <row r="222" spans="1:3" x14ac:dyDescent="0.25">
      <c r="A222">
        <v>1</v>
      </c>
      <c r="B222">
        <v>12</v>
      </c>
      <c r="C222">
        <v>6989.8571428571404</v>
      </c>
    </row>
    <row r="223" spans="1:3" x14ac:dyDescent="0.25">
      <c r="A223">
        <v>2</v>
      </c>
      <c r="B223">
        <v>12</v>
      </c>
      <c r="C223">
        <v>6553.5714285714303</v>
      </c>
    </row>
    <row r="224" spans="1:3" x14ac:dyDescent="0.25">
      <c r="A224">
        <v>3</v>
      </c>
      <c r="B224">
        <v>12</v>
      </c>
      <c r="C224">
        <v>2513.1428571428601</v>
      </c>
    </row>
    <row r="225" spans="1:3" x14ac:dyDescent="0.25">
      <c r="A225">
        <v>4</v>
      </c>
      <c r="B225">
        <v>12</v>
      </c>
      <c r="C225">
        <v>1305.5</v>
      </c>
    </row>
    <row r="226" spans="1:3" x14ac:dyDescent="0.25">
      <c r="A226">
        <v>5</v>
      </c>
      <c r="B226">
        <v>12</v>
      </c>
      <c r="C226">
        <v>2630.2142857142899</v>
      </c>
    </row>
    <row r="227" spans="1:3" x14ac:dyDescent="0.25">
      <c r="A227">
        <v>6</v>
      </c>
      <c r="B227">
        <v>12</v>
      </c>
      <c r="C227">
        <v>15850.642857142901</v>
      </c>
    </row>
    <row r="228" spans="1:3" x14ac:dyDescent="0.25">
      <c r="A228">
        <v>7</v>
      </c>
      <c r="B228">
        <v>12</v>
      </c>
      <c r="C228">
        <v>22245.357142857101</v>
      </c>
    </row>
    <row r="229" spans="1:3" x14ac:dyDescent="0.25">
      <c r="A229">
        <v>8</v>
      </c>
      <c r="B229">
        <v>12</v>
      </c>
      <c r="C229">
        <v>161.5</v>
      </c>
    </row>
    <row r="230" spans="1:3" x14ac:dyDescent="0.25">
      <c r="A230">
        <v>9</v>
      </c>
      <c r="B230">
        <v>12</v>
      </c>
      <c r="C230">
        <v>3606.2857142857101</v>
      </c>
    </row>
    <row r="231" spans="1:3" x14ac:dyDescent="0.25">
      <c r="A231">
        <v>10</v>
      </c>
      <c r="B231">
        <v>12</v>
      </c>
      <c r="C231">
        <v>6289.1428571428596</v>
      </c>
    </row>
    <row r="232" spans="1:3" x14ac:dyDescent="0.25">
      <c r="A232">
        <v>11</v>
      </c>
      <c r="B232">
        <v>12</v>
      </c>
      <c r="C232">
        <v>1044.2142857142901</v>
      </c>
    </row>
    <row r="233" spans="1:3" x14ac:dyDescent="0.25">
      <c r="A233">
        <v>12</v>
      </c>
      <c r="B233">
        <v>12</v>
      </c>
      <c r="C233">
        <v>277954.78571428597</v>
      </c>
    </row>
    <row r="234" spans="1:3" x14ac:dyDescent="0.25">
      <c r="A234">
        <v>13</v>
      </c>
      <c r="B234">
        <v>12</v>
      </c>
      <c r="C234">
        <v>2534.1428571428601</v>
      </c>
    </row>
    <row r="235" spans="1:3" x14ac:dyDescent="0.25">
      <c r="A235">
        <v>14</v>
      </c>
      <c r="B235">
        <v>12</v>
      </c>
      <c r="C235">
        <v>318</v>
      </c>
    </row>
    <row r="236" spans="1:3" x14ac:dyDescent="0.25">
      <c r="A236">
        <v>15</v>
      </c>
      <c r="B236">
        <v>12</v>
      </c>
      <c r="C236">
        <v>543.42857142857099</v>
      </c>
    </row>
    <row r="237" spans="1:3" x14ac:dyDescent="0.25">
      <c r="A237">
        <v>16</v>
      </c>
      <c r="B237">
        <v>12</v>
      </c>
      <c r="C237">
        <v>3084.2142857142899</v>
      </c>
    </row>
    <row r="238" spans="1:3" x14ac:dyDescent="0.25">
      <c r="A238">
        <v>17</v>
      </c>
      <c r="B238">
        <v>12</v>
      </c>
      <c r="C238">
        <v>226.21428571428601</v>
      </c>
    </row>
    <row r="239" spans="1:3" x14ac:dyDescent="0.25">
      <c r="A239">
        <v>18</v>
      </c>
      <c r="B239">
        <v>12</v>
      </c>
      <c r="C239">
        <v>11128.214285714301</v>
      </c>
    </row>
    <row r="240" spans="1:3" x14ac:dyDescent="0.25">
      <c r="A240">
        <v>19</v>
      </c>
      <c r="B240">
        <v>12</v>
      </c>
      <c r="C240">
        <v>344.78571428571399</v>
      </c>
    </row>
    <row r="241" spans="1:3" x14ac:dyDescent="0.25">
      <c r="A241">
        <v>20</v>
      </c>
      <c r="B241">
        <v>12</v>
      </c>
      <c r="C241">
        <v>3337.7857142857101</v>
      </c>
    </row>
    <row r="242" spans="1:3" x14ac:dyDescent="0.25">
      <c r="A242">
        <v>1</v>
      </c>
      <c r="B242">
        <v>13</v>
      </c>
      <c r="C242">
        <v>364.5</v>
      </c>
    </row>
    <row r="243" spans="1:3" x14ac:dyDescent="0.25">
      <c r="A243">
        <v>2</v>
      </c>
      <c r="B243">
        <v>13</v>
      </c>
      <c r="C243">
        <v>367</v>
      </c>
    </row>
    <row r="244" spans="1:3" x14ac:dyDescent="0.25">
      <c r="A244">
        <v>3</v>
      </c>
      <c r="B244">
        <v>13</v>
      </c>
      <c r="C244">
        <v>227.78571428571399</v>
      </c>
    </row>
    <row r="245" spans="1:3" x14ac:dyDescent="0.25">
      <c r="A245">
        <v>4</v>
      </c>
      <c r="B245">
        <v>13</v>
      </c>
      <c r="C245">
        <v>84.214285714285694</v>
      </c>
    </row>
    <row r="246" spans="1:3" x14ac:dyDescent="0.25">
      <c r="A246">
        <v>5</v>
      </c>
      <c r="B246">
        <v>13</v>
      </c>
      <c r="C246">
        <v>91.928571428571402</v>
      </c>
    </row>
    <row r="247" spans="1:3" x14ac:dyDescent="0.25">
      <c r="A247">
        <v>6</v>
      </c>
      <c r="B247">
        <v>13</v>
      </c>
      <c r="C247">
        <v>413.357142857143</v>
      </c>
    </row>
    <row r="248" spans="1:3" x14ac:dyDescent="0.25">
      <c r="A248">
        <v>7</v>
      </c>
      <c r="B248">
        <v>13</v>
      </c>
      <c r="C248">
        <v>14430.285714285699</v>
      </c>
    </row>
    <row r="249" spans="1:3" x14ac:dyDescent="0.25">
      <c r="A249">
        <v>8</v>
      </c>
      <c r="B249">
        <v>13</v>
      </c>
      <c r="C249">
        <v>14.3571428571429</v>
      </c>
    </row>
    <row r="250" spans="1:3" x14ac:dyDescent="0.25">
      <c r="A250">
        <v>9</v>
      </c>
      <c r="B250">
        <v>13</v>
      </c>
      <c r="C250">
        <v>1268</v>
      </c>
    </row>
    <row r="251" spans="1:3" x14ac:dyDescent="0.25">
      <c r="A251">
        <v>10</v>
      </c>
      <c r="B251">
        <v>13</v>
      </c>
      <c r="C251">
        <v>88.928571428571402</v>
      </c>
    </row>
    <row r="252" spans="1:3" x14ac:dyDescent="0.25">
      <c r="A252">
        <v>11</v>
      </c>
      <c r="B252">
        <v>13</v>
      </c>
      <c r="C252">
        <v>144.857142857143</v>
      </c>
    </row>
    <row r="253" spans="1:3" x14ac:dyDescent="0.25">
      <c r="A253">
        <v>12</v>
      </c>
      <c r="B253">
        <v>13</v>
      </c>
      <c r="C253">
        <v>2859.2857142857101</v>
      </c>
    </row>
    <row r="254" spans="1:3" x14ac:dyDescent="0.25">
      <c r="A254">
        <v>13</v>
      </c>
      <c r="B254">
        <v>13</v>
      </c>
      <c r="C254">
        <v>232601.92857142899</v>
      </c>
    </row>
    <row r="255" spans="1:3" x14ac:dyDescent="0.25">
      <c r="A255">
        <v>14</v>
      </c>
      <c r="B255">
        <v>13</v>
      </c>
      <c r="C255">
        <v>23.071428571428601</v>
      </c>
    </row>
    <row r="256" spans="1:3" x14ac:dyDescent="0.25">
      <c r="A256">
        <v>15</v>
      </c>
      <c r="B256">
        <v>13</v>
      </c>
      <c r="C256">
        <v>7142</v>
      </c>
    </row>
    <row r="257" spans="1:3" x14ac:dyDescent="0.25">
      <c r="A257">
        <v>16</v>
      </c>
      <c r="B257">
        <v>13</v>
      </c>
      <c r="C257">
        <v>80.214285714285694</v>
      </c>
    </row>
    <row r="258" spans="1:3" x14ac:dyDescent="0.25">
      <c r="A258">
        <v>17</v>
      </c>
      <c r="B258">
        <v>13</v>
      </c>
      <c r="C258">
        <v>31.3571428571429</v>
      </c>
    </row>
    <row r="259" spans="1:3" x14ac:dyDescent="0.25">
      <c r="A259">
        <v>18</v>
      </c>
      <c r="B259">
        <v>13</v>
      </c>
      <c r="C259">
        <v>9470.6428571428605</v>
      </c>
    </row>
    <row r="260" spans="1:3" x14ac:dyDescent="0.25">
      <c r="A260">
        <v>19</v>
      </c>
      <c r="B260">
        <v>13</v>
      </c>
      <c r="C260">
        <v>201.21428571428601</v>
      </c>
    </row>
    <row r="261" spans="1:3" x14ac:dyDescent="0.25">
      <c r="A261">
        <v>20</v>
      </c>
      <c r="B261">
        <v>13</v>
      </c>
      <c r="C261">
        <v>458.5</v>
      </c>
    </row>
    <row r="262" spans="1:3" x14ac:dyDescent="0.25">
      <c r="A262">
        <v>1</v>
      </c>
      <c r="B262">
        <v>14</v>
      </c>
      <c r="C262">
        <v>1645.7142857142901</v>
      </c>
    </row>
    <row r="263" spans="1:3" x14ac:dyDescent="0.25">
      <c r="A263">
        <v>2</v>
      </c>
      <c r="B263">
        <v>14</v>
      </c>
      <c r="C263">
        <v>250.28571428571399</v>
      </c>
    </row>
    <row r="264" spans="1:3" x14ac:dyDescent="0.25">
      <c r="A264">
        <v>3</v>
      </c>
      <c r="B264">
        <v>14</v>
      </c>
      <c r="C264">
        <v>1853.7142857142901</v>
      </c>
    </row>
    <row r="265" spans="1:3" x14ac:dyDescent="0.25">
      <c r="A265">
        <v>4</v>
      </c>
      <c r="B265">
        <v>14</v>
      </c>
      <c r="C265">
        <v>1311.07142857143</v>
      </c>
    </row>
    <row r="266" spans="1:3" x14ac:dyDescent="0.25">
      <c r="A266">
        <v>5</v>
      </c>
      <c r="B266">
        <v>14</v>
      </c>
      <c r="C266">
        <v>644.142857142857</v>
      </c>
    </row>
    <row r="267" spans="1:3" x14ac:dyDescent="0.25">
      <c r="A267">
        <v>6</v>
      </c>
      <c r="B267">
        <v>14</v>
      </c>
      <c r="C267">
        <v>1051.1428571428601</v>
      </c>
    </row>
    <row r="268" spans="1:3" x14ac:dyDescent="0.25">
      <c r="A268">
        <v>7</v>
      </c>
      <c r="B268">
        <v>14</v>
      </c>
      <c r="C268">
        <v>140</v>
      </c>
    </row>
    <row r="269" spans="1:3" x14ac:dyDescent="0.25">
      <c r="A269">
        <v>8</v>
      </c>
      <c r="B269">
        <v>14</v>
      </c>
      <c r="C269">
        <v>494.07142857142901</v>
      </c>
    </row>
    <row r="270" spans="1:3" x14ac:dyDescent="0.25">
      <c r="A270">
        <v>9</v>
      </c>
      <c r="B270">
        <v>14</v>
      </c>
      <c r="C270">
        <v>457</v>
      </c>
    </row>
    <row r="271" spans="1:3" x14ac:dyDescent="0.25">
      <c r="A271">
        <v>10</v>
      </c>
      <c r="B271">
        <v>14</v>
      </c>
      <c r="C271">
        <v>296.142857142857</v>
      </c>
    </row>
    <row r="272" spans="1:3" x14ac:dyDescent="0.25">
      <c r="A272">
        <v>11</v>
      </c>
      <c r="B272">
        <v>14</v>
      </c>
      <c r="C272">
        <v>2964.3571428571399</v>
      </c>
    </row>
    <row r="273" spans="1:3" x14ac:dyDescent="0.25">
      <c r="A273">
        <v>12</v>
      </c>
      <c r="B273">
        <v>14</v>
      </c>
      <c r="C273">
        <v>345</v>
      </c>
    </row>
    <row r="274" spans="1:3" x14ac:dyDescent="0.25">
      <c r="A274">
        <v>13</v>
      </c>
      <c r="B274">
        <v>14</v>
      </c>
      <c r="C274">
        <v>18.6428571428571</v>
      </c>
    </row>
    <row r="275" spans="1:3" x14ac:dyDescent="0.25">
      <c r="A275">
        <v>14</v>
      </c>
      <c r="B275">
        <v>14</v>
      </c>
      <c r="C275">
        <v>43735.357142857101</v>
      </c>
    </row>
    <row r="276" spans="1:3" x14ac:dyDescent="0.25">
      <c r="A276">
        <v>15</v>
      </c>
      <c r="B276">
        <v>14</v>
      </c>
      <c r="C276">
        <v>24.1428571428571</v>
      </c>
    </row>
    <row r="277" spans="1:3" x14ac:dyDescent="0.25">
      <c r="A277">
        <v>16</v>
      </c>
      <c r="B277">
        <v>14</v>
      </c>
      <c r="C277">
        <v>17.285714285714299</v>
      </c>
    </row>
    <row r="278" spans="1:3" x14ac:dyDescent="0.25">
      <c r="A278">
        <v>17</v>
      </c>
      <c r="B278">
        <v>14</v>
      </c>
      <c r="C278">
        <v>2369.5714285714298</v>
      </c>
    </row>
    <row r="279" spans="1:3" x14ac:dyDescent="0.25">
      <c r="A279">
        <v>18</v>
      </c>
      <c r="B279">
        <v>14</v>
      </c>
      <c r="C279">
        <v>5.5714285714285703</v>
      </c>
    </row>
    <row r="280" spans="1:3" x14ac:dyDescent="0.25">
      <c r="A280">
        <v>19</v>
      </c>
      <c r="B280">
        <v>14</v>
      </c>
      <c r="C280">
        <v>425.21428571428601</v>
      </c>
    </row>
    <row r="281" spans="1:3" x14ac:dyDescent="0.25">
      <c r="A281">
        <v>20</v>
      </c>
      <c r="B281">
        <v>14</v>
      </c>
      <c r="C281">
        <v>1</v>
      </c>
    </row>
    <row r="282" spans="1:3" x14ac:dyDescent="0.25">
      <c r="A282">
        <v>1</v>
      </c>
      <c r="B282">
        <v>15</v>
      </c>
      <c r="C282">
        <v>778.21428571428601</v>
      </c>
    </row>
    <row r="283" spans="1:3" x14ac:dyDescent="0.25">
      <c r="A283">
        <v>2</v>
      </c>
      <c r="B283">
        <v>15</v>
      </c>
      <c r="C283">
        <v>462.142857142857</v>
      </c>
    </row>
    <row r="284" spans="1:3" x14ac:dyDescent="0.25">
      <c r="A284">
        <v>3</v>
      </c>
      <c r="B284">
        <v>15</v>
      </c>
      <c r="C284">
        <v>522.57142857142901</v>
      </c>
    </row>
    <row r="285" spans="1:3" x14ac:dyDescent="0.25">
      <c r="A285">
        <v>4</v>
      </c>
      <c r="B285">
        <v>15</v>
      </c>
      <c r="C285">
        <v>158.28571428571399</v>
      </c>
    </row>
    <row r="286" spans="1:3" x14ac:dyDescent="0.25">
      <c r="A286">
        <v>5</v>
      </c>
      <c r="B286">
        <v>15</v>
      </c>
      <c r="C286">
        <v>171.92857142857099</v>
      </c>
    </row>
    <row r="287" spans="1:3" x14ac:dyDescent="0.25">
      <c r="A287">
        <v>6</v>
      </c>
      <c r="B287">
        <v>15</v>
      </c>
      <c r="C287">
        <v>533.57142857142901</v>
      </c>
    </row>
    <row r="288" spans="1:3" x14ac:dyDescent="0.25">
      <c r="A288">
        <v>7</v>
      </c>
      <c r="B288">
        <v>15</v>
      </c>
      <c r="C288">
        <v>1819.5</v>
      </c>
    </row>
    <row r="289" spans="1:3" x14ac:dyDescent="0.25">
      <c r="A289">
        <v>8</v>
      </c>
      <c r="B289">
        <v>15</v>
      </c>
      <c r="C289">
        <v>15.214285714285699</v>
      </c>
    </row>
    <row r="290" spans="1:3" x14ac:dyDescent="0.25">
      <c r="A290">
        <v>9</v>
      </c>
      <c r="B290">
        <v>15</v>
      </c>
      <c r="C290">
        <v>7636.8571428571404</v>
      </c>
    </row>
    <row r="291" spans="1:3" x14ac:dyDescent="0.25">
      <c r="A291">
        <v>10</v>
      </c>
      <c r="B291">
        <v>15</v>
      </c>
      <c r="C291">
        <v>85.5</v>
      </c>
    </row>
    <row r="292" spans="1:3" x14ac:dyDescent="0.25">
      <c r="A292">
        <v>11</v>
      </c>
      <c r="B292">
        <v>15</v>
      </c>
      <c r="C292">
        <v>557.42857142857099</v>
      </c>
    </row>
    <row r="293" spans="1:3" x14ac:dyDescent="0.25">
      <c r="A293">
        <v>12</v>
      </c>
      <c r="B293">
        <v>15</v>
      </c>
      <c r="C293">
        <v>626.92857142857099</v>
      </c>
    </row>
    <row r="294" spans="1:3" x14ac:dyDescent="0.25">
      <c r="A294">
        <v>13</v>
      </c>
      <c r="B294">
        <v>15</v>
      </c>
      <c r="C294">
        <v>7425.0714285714303</v>
      </c>
    </row>
    <row r="295" spans="1:3" x14ac:dyDescent="0.25">
      <c r="A295">
        <v>14</v>
      </c>
      <c r="B295">
        <v>15</v>
      </c>
      <c r="C295">
        <v>23.5</v>
      </c>
    </row>
    <row r="296" spans="1:3" x14ac:dyDescent="0.25">
      <c r="A296">
        <v>15</v>
      </c>
      <c r="B296">
        <v>15</v>
      </c>
      <c r="C296">
        <v>62620.857142857101</v>
      </c>
    </row>
    <row r="297" spans="1:3" x14ac:dyDescent="0.25">
      <c r="A297">
        <v>16</v>
      </c>
      <c r="B297">
        <v>15</v>
      </c>
      <c r="C297">
        <v>11.0714285714286</v>
      </c>
    </row>
    <row r="298" spans="1:3" x14ac:dyDescent="0.25">
      <c r="A298">
        <v>17</v>
      </c>
      <c r="B298">
        <v>15</v>
      </c>
      <c r="C298">
        <v>51.357142857142897</v>
      </c>
    </row>
    <row r="299" spans="1:3" x14ac:dyDescent="0.25">
      <c r="A299">
        <v>18</v>
      </c>
      <c r="B299">
        <v>15</v>
      </c>
      <c r="C299">
        <v>100.142857142857</v>
      </c>
    </row>
    <row r="300" spans="1:3" x14ac:dyDescent="0.25">
      <c r="A300">
        <v>19</v>
      </c>
      <c r="B300">
        <v>15</v>
      </c>
      <c r="C300">
        <v>1634.5</v>
      </c>
    </row>
    <row r="301" spans="1:3" x14ac:dyDescent="0.25">
      <c r="A301">
        <v>20</v>
      </c>
      <c r="B301">
        <v>15</v>
      </c>
      <c r="C301">
        <v>23.428571428571399</v>
      </c>
    </row>
    <row r="302" spans="1:3" x14ac:dyDescent="0.25">
      <c r="A302">
        <v>1</v>
      </c>
      <c r="B302">
        <v>16</v>
      </c>
      <c r="C302">
        <v>1067.7142857142901</v>
      </c>
    </row>
    <row r="303" spans="1:3" x14ac:dyDescent="0.25">
      <c r="A303">
        <v>2</v>
      </c>
      <c r="B303">
        <v>16</v>
      </c>
      <c r="C303">
        <v>211.642857142857</v>
      </c>
    </row>
    <row r="304" spans="1:3" x14ac:dyDescent="0.25">
      <c r="A304">
        <v>3</v>
      </c>
      <c r="B304">
        <v>16</v>
      </c>
      <c r="C304">
        <v>353.71428571428601</v>
      </c>
    </row>
    <row r="305" spans="1:3" x14ac:dyDescent="0.25">
      <c r="A305">
        <v>4</v>
      </c>
      <c r="B305">
        <v>16</v>
      </c>
      <c r="C305">
        <v>376.28571428571399</v>
      </c>
    </row>
    <row r="306" spans="1:3" x14ac:dyDescent="0.25">
      <c r="A306">
        <v>5</v>
      </c>
      <c r="B306">
        <v>16</v>
      </c>
      <c r="C306">
        <v>911.21428571428601</v>
      </c>
    </row>
    <row r="307" spans="1:3" x14ac:dyDescent="0.25">
      <c r="A307">
        <v>6</v>
      </c>
      <c r="B307">
        <v>16</v>
      </c>
      <c r="C307">
        <v>1582.5</v>
      </c>
    </row>
    <row r="308" spans="1:3" x14ac:dyDescent="0.25">
      <c r="A308">
        <v>7</v>
      </c>
      <c r="B308">
        <v>16</v>
      </c>
      <c r="C308">
        <v>166.21428571428601</v>
      </c>
    </row>
    <row r="309" spans="1:3" x14ac:dyDescent="0.25">
      <c r="A309">
        <v>8</v>
      </c>
      <c r="B309">
        <v>16</v>
      </c>
      <c r="C309">
        <v>30.714285714285701</v>
      </c>
    </row>
    <row r="310" spans="1:3" x14ac:dyDescent="0.25">
      <c r="A310">
        <v>9</v>
      </c>
      <c r="B310">
        <v>16</v>
      </c>
      <c r="C310">
        <v>117.71428571428601</v>
      </c>
    </row>
    <row r="311" spans="1:3" x14ac:dyDescent="0.25">
      <c r="A311">
        <v>10</v>
      </c>
      <c r="B311">
        <v>16</v>
      </c>
      <c r="C311">
        <v>6670.2857142857101</v>
      </c>
    </row>
    <row r="312" spans="1:3" x14ac:dyDescent="0.25">
      <c r="A312">
        <v>11</v>
      </c>
      <c r="B312">
        <v>16</v>
      </c>
      <c r="C312">
        <v>72</v>
      </c>
    </row>
    <row r="313" spans="1:3" x14ac:dyDescent="0.25">
      <c r="A313">
        <v>12</v>
      </c>
      <c r="B313">
        <v>16</v>
      </c>
      <c r="C313">
        <v>3468.2857142857101</v>
      </c>
    </row>
    <row r="314" spans="1:3" x14ac:dyDescent="0.25">
      <c r="A314">
        <v>13</v>
      </c>
      <c r="B314">
        <v>16</v>
      </c>
      <c r="C314">
        <v>80.714285714285694</v>
      </c>
    </row>
    <row r="315" spans="1:3" x14ac:dyDescent="0.25">
      <c r="A315">
        <v>14</v>
      </c>
      <c r="B315">
        <v>16</v>
      </c>
      <c r="C315">
        <v>16.6428571428571</v>
      </c>
    </row>
    <row r="316" spans="1:3" x14ac:dyDescent="0.25">
      <c r="A316">
        <v>15</v>
      </c>
      <c r="B316">
        <v>16</v>
      </c>
      <c r="C316">
        <v>13.8571428571429</v>
      </c>
    </row>
    <row r="317" spans="1:3" x14ac:dyDescent="0.25">
      <c r="A317">
        <v>16</v>
      </c>
      <c r="B317">
        <v>16</v>
      </c>
      <c r="C317">
        <v>13831.214285714301</v>
      </c>
    </row>
    <row r="318" spans="1:3" x14ac:dyDescent="0.25">
      <c r="A318">
        <v>17</v>
      </c>
      <c r="B318">
        <v>16</v>
      </c>
      <c r="C318">
        <v>6.1428571428571397</v>
      </c>
    </row>
    <row r="319" spans="1:3" x14ac:dyDescent="0.25">
      <c r="A319">
        <v>18</v>
      </c>
      <c r="B319">
        <v>16</v>
      </c>
      <c r="C319">
        <v>331.57142857142901</v>
      </c>
    </row>
    <row r="320" spans="1:3" x14ac:dyDescent="0.25">
      <c r="A320">
        <v>19</v>
      </c>
      <c r="B320">
        <v>16</v>
      </c>
      <c r="C320">
        <v>14.9285714285714</v>
      </c>
    </row>
    <row r="321" spans="1:3" x14ac:dyDescent="0.25">
      <c r="A321">
        <v>20</v>
      </c>
      <c r="B321">
        <v>16</v>
      </c>
      <c r="C321">
        <v>267.92857142857099</v>
      </c>
    </row>
    <row r="322" spans="1:3" x14ac:dyDescent="0.25">
      <c r="A322">
        <v>1</v>
      </c>
      <c r="B322">
        <v>17</v>
      </c>
      <c r="C322">
        <v>1111.42857142857</v>
      </c>
    </row>
    <row r="323" spans="1:3" x14ac:dyDescent="0.25">
      <c r="A323">
        <v>2</v>
      </c>
      <c r="B323">
        <v>17</v>
      </c>
      <c r="C323">
        <v>183.857142857143</v>
      </c>
    </row>
    <row r="324" spans="1:3" x14ac:dyDescent="0.25">
      <c r="A324">
        <v>3</v>
      </c>
      <c r="B324">
        <v>17</v>
      </c>
      <c r="C324">
        <v>1596.3571428571399</v>
      </c>
    </row>
    <row r="325" spans="1:3" x14ac:dyDescent="0.25">
      <c r="A325">
        <v>4</v>
      </c>
      <c r="B325">
        <v>17</v>
      </c>
      <c r="C325">
        <v>512.357142857143</v>
      </c>
    </row>
    <row r="326" spans="1:3" x14ac:dyDescent="0.25">
      <c r="A326">
        <v>5</v>
      </c>
      <c r="B326">
        <v>17</v>
      </c>
      <c r="C326">
        <v>301.857142857143</v>
      </c>
    </row>
    <row r="327" spans="1:3" x14ac:dyDescent="0.25">
      <c r="A327">
        <v>6</v>
      </c>
      <c r="B327">
        <v>17</v>
      </c>
      <c r="C327">
        <v>548.57142857142901</v>
      </c>
    </row>
    <row r="328" spans="1:3" x14ac:dyDescent="0.25">
      <c r="A328">
        <v>7</v>
      </c>
      <c r="B328">
        <v>17</v>
      </c>
      <c r="C328">
        <v>113.571428571429</v>
      </c>
    </row>
    <row r="329" spans="1:3" x14ac:dyDescent="0.25">
      <c r="A329">
        <v>8</v>
      </c>
      <c r="B329">
        <v>17</v>
      </c>
      <c r="C329">
        <v>88.428571428571402</v>
      </c>
    </row>
    <row r="330" spans="1:3" x14ac:dyDescent="0.25">
      <c r="A330">
        <v>9</v>
      </c>
      <c r="B330">
        <v>17</v>
      </c>
      <c r="C330">
        <v>512.57142857142901</v>
      </c>
    </row>
    <row r="331" spans="1:3" x14ac:dyDescent="0.25">
      <c r="A331">
        <v>10</v>
      </c>
      <c r="B331">
        <v>17</v>
      </c>
      <c r="C331">
        <v>127.5</v>
      </c>
    </row>
    <row r="332" spans="1:3" x14ac:dyDescent="0.25">
      <c r="A332">
        <v>11</v>
      </c>
      <c r="B332">
        <v>17</v>
      </c>
      <c r="C332">
        <v>6077.0714285714303</v>
      </c>
    </row>
    <row r="333" spans="1:3" x14ac:dyDescent="0.25">
      <c r="A333">
        <v>12</v>
      </c>
      <c r="B333">
        <v>17</v>
      </c>
      <c r="C333">
        <v>239.642857142857</v>
      </c>
    </row>
    <row r="334" spans="1:3" x14ac:dyDescent="0.25">
      <c r="A334">
        <v>13</v>
      </c>
      <c r="B334">
        <v>17</v>
      </c>
      <c r="C334">
        <v>31.785714285714299</v>
      </c>
    </row>
    <row r="335" spans="1:3" x14ac:dyDescent="0.25">
      <c r="A335">
        <v>14</v>
      </c>
      <c r="B335">
        <v>17</v>
      </c>
      <c r="C335">
        <v>2456.4285714285702</v>
      </c>
    </row>
    <row r="336" spans="1:3" x14ac:dyDescent="0.25">
      <c r="A336">
        <v>15</v>
      </c>
      <c r="B336">
        <v>17</v>
      </c>
      <c r="C336">
        <v>47.714285714285701</v>
      </c>
    </row>
    <row r="337" spans="1:3" x14ac:dyDescent="0.25">
      <c r="A337">
        <v>16</v>
      </c>
      <c r="B337">
        <v>17</v>
      </c>
      <c r="C337">
        <v>6.5714285714285703</v>
      </c>
    </row>
    <row r="338" spans="1:3" x14ac:dyDescent="0.25">
      <c r="A338">
        <v>17</v>
      </c>
      <c r="B338">
        <v>17</v>
      </c>
      <c r="C338">
        <v>23316.142857142899</v>
      </c>
    </row>
    <row r="339" spans="1:3" x14ac:dyDescent="0.25">
      <c r="A339">
        <v>18</v>
      </c>
      <c r="B339">
        <v>17</v>
      </c>
      <c r="C339">
        <v>3.5714285714285698</v>
      </c>
    </row>
    <row r="340" spans="1:3" x14ac:dyDescent="0.25">
      <c r="A340">
        <v>19</v>
      </c>
      <c r="B340">
        <v>17</v>
      </c>
      <c r="C340">
        <v>6014.6428571428596</v>
      </c>
    </row>
    <row r="341" spans="1:3" x14ac:dyDescent="0.25">
      <c r="A341">
        <v>20</v>
      </c>
      <c r="B341">
        <v>17</v>
      </c>
      <c r="C341">
        <v>0.5</v>
      </c>
    </row>
    <row r="342" spans="1:3" x14ac:dyDescent="0.25">
      <c r="A342">
        <v>1</v>
      </c>
      <c r="B342">
        <v>18</v>
      </c>
      <c r="C342">
        <v>479.21428571428601</v>
      </c>
    </row>
    <row r="343" spans="1:3" x14ac:dyDescent="0.25">
      <c r="A343">
        <v>2</v>
      </c>
      <c r="B343">
        <v>18</v>
      </c>
      <c r="C343">
        <v>189.5</v>
      </c>
    </row>
    <row r="344" spans="1:3" x14ac:dyDescent="0.25">
      <c r="A344">
        <v>3</v>
      </c>
      <c r="B344">
        <v>18</v>
      </c>
      <c r="C344">
        <v>221</v>
      </c>
    </row>
    <row r="345" spans="1:3" x14ac:dyDescent="0.25">
      <c r="A345">
        <v>4</v>
      </c>
      <c r="B345">
        <v>18</v>
      </c>
      <c r="C345">
        <v>101.428571428571</v>
      </c>
    </row>
    <row r="346" spans="1:3" x14ac:dyDescent="0.25">
      <c r="A346">
        <v>5</v>
      </c>
      <c r="B346">
        <v>18</v>
      </c>
      <c r="C346">
        <v>161.42857142857099</v>
      </c>
    </row>
    <row r="347" spans="1:3" x14ac:dyDescent="0.25">
      <c r="A347">
        <v>6</v>
      </c>
      <c r="B347">
        <v>18</v>
      </c>
      <c r="C347">
        <v>544.857142857143</v>
      </c>
    </row>
    <row r="348" spans="1:3" x14ac:dyDescent="0.25">
      <c r="A348">
        <v>7</v>
      </c>
      <c r="B348">
        <v>18</v>
      </c>
      <c r="C348">
        <v>1406.6428571428601</v>
      </c>
    </row>
    <row r="349" spans="1:3" x14ac:dyDescent="0.25">
      <c r="A349">
        <v>8</v>
      </c>
      <c r="B349">
        <v>18</v>
      </c>
      <c r="C349">
        <v>8.5</v>
      </c>
    </row>
    <row r="350" spans="1:3" x14ac:dyDescent="0.25">
      <c r="A350">
        <v>9</v>
      </c>
      <c r="B350">
        <v>18</v>
      </c>
      <c r="C350">
        <v>219.71428571428601</v>
      </c>
    </row>
    <row r="351" spans="1:3" x14ac:dyDescent="0.25">
      <c r="A351">
        <v>10</v>
      </c>
      <c r="B351">
        <v>18</v>
      </c>
      <c r="C351">
        <v>174.5</v>
      </c>
    </row>
    <row r="352" spans="1:3" x14ac:dyDescent="0.25">
      <c r="A352">
        <v>11</v>
      </c>
      <c r="B352">
        <v>18</v>
      </c>
      <c r="C352">
        <v>42.5</v>
      </c>
    </row>
    <row r="353" spans="1:3" x14ac:dyDescent="0.25">
      <c r="A353">
        <v>12</v>
      </c>
      <c r="B353">
        <v>18</v>
      </c>
      <c r="C353">
        <v>12373.5714285714</v>
      </c>
    </row>
    <row r="354" spans="1:3" x14ac:dyDescent="0.25">
      <c r="A354">
        <v>13</v>
      </c>
      <c r="B354">
        <v>18</v>
      </c>
      <c r="C354">
        <v>9965.0714285714294</v>
      </c>
    </row>
    <row r="355" spans="1:3" x14ac:dyDescent="0.25">
      <c r="A355">
        <v>14</v>
      </c>
      <c r="B355">
        <v>18</v>
      </c>
      <c r="C355">
        <v>5.71428571428571</v>
      </c>
    </row>
    <row r="356" spans="1:3" x14ac:dyDescent="0.25">
      <c r="A356">
        <v>15</v>
      </c>
      <c r="B356">
        <v>18</v>
      </c>
      <c r="C356">
        <v>93.642857142857096</v>
      </c>
    </row>
    <row r="357" spans="1:3" x14ac:dyDescent="0.25">
      <c r="A357">
        <v>16</v>
      </c>
      <c r="B357">
        <v>18</v>
      </c>
      <c r="C357">
        <v>310.42857142857099</v>
      </c>
    </row>
    <row r="358" spans="1:3" x14ac:dyDescent="0.25">
      <c r="A358">
        <v>17</v>
      </c>
      <c r="B358">
        <v>18</v>
      </c>
      <c r="C358">
        <v>3.78571428571429</v>
      </c>
    </row>
    <row r="359" spans="1:3" x14ac:dyDescent="0.25">
      <c r="A359">
        <v>18</v>
      </c>
      <c r="B359">
        <v>18</v>
      </c>
      <c r="C359">
        <v>53916.071428571398</v>
      </c>
    </row>
    <row r="360" spans="1:3" x14ac:dyDescent="0.25">
      <c r="A360">
        <v>19</v>
      </c>
      <c r="B360">
        <v>18</v>
      </c>
      <c r="C360">
        <v>8.4285714285714306</v>
      </c>
    </row>
    <row r="361" spans="1:3" x14ac:dyDescent="0.25">
      <c r="A361">
        <v>20</v>
      </c>
      <c r="B361">
        <v>18</v>
      </c>
      <c r="C361">
        <v>9251.3571428571395</v>
      </c>
    </row>
    <row r="362" spans="1:3" x14ac:dyDescent="0.25">
      <c r="A362">
        <v>1</v>
      </c>
      <c r="B362">
        <v>19</v>
      </c>
      <c r="C362">
        <v>1363.8571428571399</v>
      </c>
    </row>
    <row r="363" spans="1:3" x14ac:dyDescent="0.25">
      <c r="A363">
        <v>2</v>
      </c>
      <c r="B363">
        <v>19</v>
      </c>
      <c r="C363">
        <v>257.78571428571399</v>
      </c>
    </row>
    <row r="364" spans="1:3" x14ac:dyDescent="0.25">
      <c r="A364">
        <v>3</v>
      </c>
      <c r="B364">
        <v>19</v>
      </c>
      <c r="C364">
        <v>2003.8571428571399</v>
      </c>
    </row>
    <row r="365" spans="1:3" x14ac:dyDescent="0.25">
      <c r="A365">
        <v>4</v>
      </c>
      <c r="B365">
        <v>19</v>
      </c>
      <c r="C365">
        <v>596.42857142857099</v>
      </c>
    </row>
    <row r="366" spans="1:3" x14ac:dyDescent="0.25">
      <c r="A366">
        <v>5</v>
      </c>
      <c r="B366">
        <v>19</v>
      </c>
      <c r="C366">
        <v>353.92857142857099</v>
      </c>
    </row>
    <row r="367" spans="1:3" x14ac:dyDescent="0.25">
      <c r="A367">
        <v>6</v>
      </c>
      <c r="B367">
        <v>19</v>
      </c>
      <c r="C367">
        <v>771.78571428571399</v>
      </c>
    </row>
    <row r="368" spans="1:3" x14ac:dyDescent="0.25">
      <c r="A368">
        <v>7</v>
      </c>
      <c r="B368">
        <v>19</v>
      </c>
      <c r="C368">
        <v>248.642857142857</v>
      </c>
    </row>
    <row r="369" spans="1:3" x14ac:dyDescent="0.25">
      <c r="A369">
        <v>8</v>
      </c>
      <c r="B369">
        <v>19</v>
      </c>
      <c r="C369">
        <v>96.071428571428598</v>
      </c>
    </row>
    <row r="370" spans="1:3" x14ac:dyDescent="0.25">
      <c r="A370">
        <v>9</v>
      </c>
      <c r="B370">
        <v>19</v>
      </c>
      <c r="C370">
        <v>1665.8571428571399</v>
      </c>
    </row>
    <row r="371" spans="1:3" x14ac:dyDescent="0.25">
      <c r="A371">
        <v>10</v>
      </c>
      <c r="B371">
        <v>19</v>
      </c>
      <c r="C371">
        <v>155.21428571428601</v>
      </c>
    </row>
    <row r="372" spans="1:3" x14ac:dyDescent="0.25">
      <c r="A372">
        <v>11</v>
      </c>
      <c r="B372">
        <v>19</v>
      </c>
      <c r="C372">
        <v>14667</v>
      </c>
    </row>
    <row r="373" spans="1:3" x14ac:dyDescent="0.25">
      <c r="A373">
        <v>12</v>
      </c>
      <c r="B373">
        <v>19</v>
      </c>
      <c r="C373">
        <v>392</v>
      </c>
    </row>
    <row r="374" spans="1:3" x14ac:dyDescent="0.25">
      <c r="A374">
        <v>13</v>
      </c>
      <c r="B374">
        <v>19</v>
      </c>
      <c r="C374">
        <v>206.78571428571399</v>
      </c>
    </row>
    <row r="375" spans="1:3" x14ac:dyDescent="0.25">
      <c r="A375">
        <v>14</v>
      </c>
      <c r="B375">
        <v>19</v>
      </c>
      <c r="C375">
        <v>431.28571428571399</v>
      </c>
    </row>
    <row r="376" spans="1:3" x14ac:dyDescent="0.25">
      <c r="A376">
        <v>15</v>
      </c>
      <c r="B376">
        <v>19</v>
      </c>
      <c r="C376">
        <v>1681.7142857142901</v>
      </c>
    </row>
    <row r="377" spans="1:3" x14ac:dyDescent="0.25">
      <c r="A377">
        <v>16</v>
      </c>
      <c r="B377">
        <v>19</v>
      </c>
      <c r="C377">
        <v>20.785714285714299</v>
      </c>
    </row>
    <row r="378" spans="1:3" x14ac:dyDescent="0.25">
      <c r="A378">
        <v>17</v>
      </c>
      <c r="B378">
        <v>19</v>
      </c>
      <c r="C378">
        <v>5983.6428571428596</v>
      </c>
    </row>
    <row r="379" spans="1:3" x14ac:dyDescent="0.25">
      <c r="A379">
        <v>18</v>
      </c>
      <c r="B379">
        <v>19</v>
      </c>
      <c r="C379">
        <v>9.8571428571428594</v>
      </c>
    </row>
    <row r="380" spans="1:3" x14ac:dyDescent="0.25">
      <c r="A380">
        <v>19</v>
      </c>
      <c r="B380">
        <v>19</v>
      </c>
      <c r="C380">
        <v>73774.5</v>
      </c>
    </row>
    <row r="381" spans="1:3" x14ac:dyDescent="0.25">
      <c r="A381">
        <v>20</v>
      </c>
      <c r="B381">
        <v>19</v>
      </c>
      <c r="C381">
        <v>0.57142857142857095</v>
      </c>
    </row>
    <row r="382" spans="1:3" x14ac:dyDescent="0.25">
      <c r="A382">
        <v>1</v>
      </c>
      <c r="B382">
        <v>20</v>
      </c>
      <c r="C382">
        <v>203.71428571428601</v>
      </c>
    </row>
    <row r="383" spans="1:3" x14ac:dyDescent="0.25">
      <c r="A383">
        <v>2</v>
      </c>
      <c r="B383">
        <v>20</v>
      </c>
      <c r="C383">
        <v>56.714285714285701</v>
      </c>
    </row>
    <row r="384" spans="1:3" x14ac:dyDescent="0.25">
      <c r="A384">
        <v>3</v>
      </c>
      <c r="B384">
        <v>20</v>
      </c>
      <c r="C384">
        <v>99.785714285714306</v>
      </c>
    </row>
    <row r="385" spans="1:3" x14ac:dyDescent="0.25">
      <c r="A385">
        <v>4</v>
      </c>
      <c r="B385">
        <v>20</v>
      </c>
      <c r="C385">
        <v>50.928571428571402</v>
      </c>
    </row>
    <row r="386" spans="1:3" x14ac:dyDescent="0.25">
      <c r="A386">
        <v>5</v>
      </c>
      <c r="B386">
        <v>20</v>
      </c>
      <c r="C386">
        <v>85.642857142857096</v>
      </c>
    </row>
    <row r="387" spans="1:3" x14ac:dyDescent="0.25">
      <c r="A387">
        <v>6</v>
      </c>
      <c r="B387">
        <v>20</v>
      </c>
      <c r="C387">
        <v>266.57142857142901</v>
      </c>
    </row>
    <row r="388" spans="1:3" x14ac:dyDescent="0.25">
      <c r="A388">
        <v>7</v>
      </c>
      <c r="B388">
        <v>20</v>
      </c>
      <c r="C388">
        <v>194.42857142857099</v>
      </c>
    </row>
    <row r="389" spans="1:3" x14ac:dyDescent="0.25">
      <c r="A389">
        <v>8</v>
      </c>
      <c r="B389">
        <v>20</v>
      </c>
      <c r="C389">
        <v>2.28571428571429</v>
      </c>
    </row>
    <row r="390" spans="1:3" x14ac:dyDescent="0.25">
      <c r="A390">
        <v>9</v>
      </c>
      <c r="B390">
        <v>20</v>
      </c>
      <c r="C390">
        <v>59.928571428571402</v>
      </c>
    </row>
    <row r="391" spans="1:3" x14ac:dyDescent="0.25">
      <c r="A391">
        <v>10</v>
      </c>
      <c r="B391">
        <v>20</v>
      </c>
      <c r="C391">
        <v>111.28571428571399</v>
      </c>
    </row>
    <row r="392" spans="1:3" x14ac:dyDescent="0.25">
      <c r="A392">
        <v>11</v>
      </c>
      <c r="B392">
        <v>20</v>
      </c>
      <c r="C392">
        <v>23.6428571428571</v>
      </c>
    </row>
    <row r="393" spans="1:3" x14ac:dyDescent="0.25">
      <c r="A393">
        <v>12</v>
      </c>
      <c r="B393">
        <v>20</v>
      </c>
      <c r="C393">
        <v>3679.7142857142899</v>
      </c>
    </row>
    <row r="394" spans="1:3" x14ac:dyDescent="0.25">
      <c r="A394">
        <v>13</v>
      </c>
      <c r="B394">
        <v>20</v>
      </c>
      <c r="C394">
        <v>469.07142857142901</v>
      </c>
    </row>
    <row r="395" spans="1:3" x14ac:dyDescent="0.25">
      <c r="A395">
        <v>15</v>
      </c>
      <c r="B395">
        <v>20</v>
      </c>
      <c r="C395">
        <v>15.0714285714286</v>
      </c>
    </row>
    <row r="396" spans="1:3" x14ac:dyDescent="0.25">
      <c r="A396">
        <v>16</v>
      </c>
      <c r="B396">
        <v>20</v>
      </c>
      <c r="C396">
        <v>263.28571428571399</v>
      </c>
    </row>
    <row r="397" spans="1:3" x14ac:dyDescent="0.25">
      <c r="A397">
        <v>17</v>
      </c>
      <c r="B397">
        <v>20</v>
      </c>
      <c r="C397">
        <v>0.5</v>
      </c>
    </row>
    <row r="398" spans="1:3" x14ac:dyDescent="0.25">
      <c r="A398">
        <v>18</v>
      </c>
      <c r="B398">
        <v>20</v>
      </c>
      <c r="C398">
        <v>9344.6428571428605</v>
      </c>
    </row>
    <row r="399" spans="1:3" x14ac:dyDescent="0.25">
      <c r="A399">
        <v>19</v>
      </c>
      <c r="B399">
        <v>20</v>
      </c>
      <c r="C399">
        <v>0.5</v>
      </c>
    </row>
    <row r="400" spans="1:3" x14ac:dyDescent="0.25">
      <c r="A400">
        <v>20</v>
      </c>
      <c r="B400">
        <v>20</v>
      </c>
      <c r="C400">
        <v>69854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51"/>
  <sheetViews>
    <sheetView workbookViewId="0">
      <selection activeCell="A8" sqref="A8:K651"/>
    </sheetView>
  </sheetViews>
  <sheetFormatPr defaultRowHeight="15" x14ac:dyDescent="0.25"/>
  <sheetData>
    <row r="1" spans="1:11" x14ac:dyDescent="0.25">
      <c r="A1" s="273" t="s">
        <v>222</v>
      </c>
      <c r="B1" s="274"/>
      <c r="C1" s="274"/>
      <c r="D1" s="274"/>
      <c r="E1" s="274"/>
      <c r="F1" s="274"/>
      <c r="G1" s="274"/>
      <c r="H1" s="274" t="s">
        <v>223</v>
      </c>
      <c r="I1" s="274"/>
      <c r="J1" s="274"/>
      <c r="K1" s="275"/>
    </row>
    <row r="2" spans="1:11" x14ac:dyDescent="0.25">
      <c r="A2" s="276">
        <v>1</v>
      </c>
      <c r="B2" s="277" t="s">
        <v>252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224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225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226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B8" t="s">
        <v>227</v>
      </c>
      <c r="C8" t="s">
        <v>228</v>
      </c>
      <c r="D8" t="s">
        <v>229</v>
      </c>
      <c r="E8" t="s">
        <v>340</v>
      </c>
      <c r="F8" t="s">
        <v>341</v>
      </c>
      <c r="G8" t="s">
        <v>342</v>
      </c>
      <c r="H8" t="s">
        <v>343</v>
      </c>
    </row>
    <row r="9" spans="1:11" x14ac:dyDescent="0.25">
      <c r="A9" t="s">
        <v>230</v>
      </c>
      <c r="B9" t="s">
        <v>231</v>
      </c>
      <c r="C9" t="s">
        <v>232</v>
      </c>
      <c r="D9" t="s">
        <v>233</v>
      </c>
      <c r="E9">
        <v>4</v>
      </c>
      <c r="F9" s="242">
        <v>0.48607638888888888</v>
      </c>
      <c r="G9" t="s">
        <v>234</v>
      </c>
      <c r="H9">
        <v>24</v>
      </c>
      <c r="I9" t="s">
        <v>344</v>
      </c>
      <c r="J9">
        <v>12</v>
      </c>
    </row>
    <row r="10" spans="1:11" x14ac:dyDescent="0.25">
      <c r="A10" t="s">
        <v>235</v>
      </c>
    </row>
    <row r="11" spans="1:11" x14ac:dyDescent="0.25">
      <c r="B11">
        <v>1</v>
      </c>
      <c r="C11" t="s">
        <v>36</v>
      </c>
      <c r="D11" t="s">
        <v>236</v>
      </c>
      <c r="E11">
        <v>1</v>
      </c>
    </row>
    <row r="12" spans="1:11" x14ac:dyDescent="0.25">
      <c r="B12">
        <v>2</v>
      </c>
      <c r="C12" t="s">
        <v>37</v>
      </c>
      <c r="D12" t="s">
        <v>237</v>
      </c>
      <c r="E12">
        <v>13.7073027249</v>
      </c>
    </row>
    <row r="13" spans="1:11" x14ac:dyDescent="0.25">
      <c r="B13">
        <v>3</v>
      </c>
      <c r="C13" t="s">
        <v>38</v>
      </c>
      <c r="D13" t="s">
        <v>237</v>
      </c>
      <c r="E13" s="243">
        <v>7.0220312730799997E-2</v>
      </c>
    </row>
    <row r="14" spans="1:11" x14ac:dyDescent="0.25">
      <c r="B14">
        <v>4</v>
      </c>
      <c r="C14" t="s">
        <v>39</v>
      </c>
      <c r="D14" t="s">
        <v>237</v>
      </c>
      <c r="E14" s="243">
        <v>-3.3904088920700001E-2</v>
      </c>
    </row>
    <row r="15" spans="1:11" x14ac:dyDescent="0.25">
      <c r="B15">
        <v>5</v>
      </c>
      <c r="C15" t="s">
        <v>40</v>
      </c>
      <c r="D15" t="s">
        <v>237</v>
      </c>
      <c r="E15">
        <v>0.14394271350499999</v>
      </c>
    </row>
    <row r="16" spans="1:11" x14ac:dyDescent="0.25">
      <c r="B16">
        <v>6</v>
      </c>
      <c r="C16" t="s">
        <v>41</v>
      </c>
      <c r="D16" t="s">
        <v>237</v>
      </c>
      <c r="E16" s="243">
        <v>0.36721258210199997</v>
      </c>
    </row>
    <row r="17" spans="2:6" x14ac:dyDescent="0.25">
      <c r="B17">
        <v>7</v>
      </c>
      <c r="C17" t="s">
        <v>42</v>
      </c>
      <c r="D17" t="s">
        <v>237</v>
      </c>
      <c r="E17">
        <v>-1.7918460355300001</v>
      </c>
    </row>
    <row r="18" spans="2:6" x14ac:dyDescent="0.25">
      <c r="B18">
        <v>8</v>
      </c>
      <c r="C18" t="s">
        <v>43</v>
      </c>
      <c r="D18" t="s">
        <v>237</v>
      </c>
      <c r="E18" s="243">
        <v>1.39963442933</v>
      </c>
    </row>
    <row r="19" spans="2:6" x14ac:dyDescent="0.25">
      <c r="B19">
        <v>9</v>
      </c>
      <c r="C19" t="s">
        <v>44</v>
      </c>
      <c r="D19" t="s">
        <v>237</v>
      </c>
      <c r="E19" s="243">
        <v>0.66317866364400002</v>
      </c>
    </row>
    <row r="20" spans="2:6" x14ac:dyDescent="0.25">
      <c r="B20">
        <v>10</v>
      </c>
      <c r="C20" t="s">
        <v>45</v>
      </c>
      <c r="D20" t="s">
        <v>237</v>
      </c>
      <c r="E20">
        <v>-0.38108886824999999</v>
      </c>
    </row>
    <row r="21" spans="2:6" x14ac:dyDescent="0.25">
      <c r="B21">
        <v>11</v>
      </c>
      <c r="C21" t="s">
        <v>46</v>
      </c>
      <c r="D21" t="s">
        <v>237</v>
      </c>
      <c r="E21">
        <v>-0.73323034645999996</v>
      </c>
    </row>
    <row r="22" spans="2:6" x14ac:dyDescent="0.25">
      <c r="B22">
        <v>12</v>
      </c>
      <c r="C22" t="s">
        <v>47</v>
      </c>
      <c r="D22" t="s">
        <v>237</v>
      </c>
      <c r="E22">
        <v>-0.913115187153</v>
      </c>
    </row>
    <row r="23" spans="2:6" x14ac:dyDescent="0.25">
      <c r="B23">
        <v>13</v>
      </c>
      <c r="C23" t="s">
        <v>48</v>
      </c>
      <c r="D23" t="s">
        <v>237</v>
      </c>
      <c r="E23">
        <v>-0.56168035354400003</v>
      </c>
    </row>
    <row r="24" spans="2:6" x14ac:dyDescent="0.25">
      <c r="B24">
        <v>14</v>
      </c>
      <c r="C24" t="s">
        <v>49</v>
      </c>
      <c r="D24" t="s">
        <v>237</v>
      </c>
      <c r="E24">
        <v>-0.30132725845199998</v>
      </c>
    </row>
    <row r="25" spans="2:6" x14ac:dyDescent="0.25">
      <c r="B25">
        <v>15</v>
      </c>
      <c r="C25" t="s">
        <v>50</v>
      </c>
      <c r="D25" t="s">
        <v>237</v>
      </c>
      <c r="E25">
        <v>1.97893419319</v>
      </c>
    </row>
    <row r="26" spans="2:6" x14ac:dyDescent="0.25">
      <c r="B26">
        <v>16</v>
      </c>
      <c r="C26" t="s">
        <v>51</v>
      </c>
      <c r="D26" t="s">
        <v>237</v>
      </c>
      <c r="E26">
        <v>0.89286126056000004</v>
      </c>
    </row>
    <row r="27" spans="2:6" x14ac:dyDescent="0.25">
      <c r="B27">
        <v>17</v>
      </c>
      <c r="C27" t="s">
        <v>52</v>
      </c>
      <c r="D27" t="s">
        <v>236</v>
      </c>
      <c r="E27">
        <v>0</v>
      </c>
    </row>
    <row r="28" spans="2:6" x14ac:dyDescent="0.25">
      <c r="B28">
        <v>18</v>
      </c>
      <c r="C28" t="s">
        <v>53</v>
      </c>
      <c r="D28" t="s">
        <v>236</v>
      </c>
      <c r="E28">
        <v>0</v>
      </c>
    </row>
    <row r="29" spans="2:6" x14ac:dyDescent="0.25">
      <c r="B29">
        <v>19</v>
      </c>
      <c r="C29" t="s">
        <v>54</v>
      </c>
      <c r="D29" t="s">
        <v>236</v>
      </c>
      <c r="E29">
        <v>0</v>
      </c>
    </row>
    <row r="30" spans="2:6" x14ac:dyDescent="0.25">
      <c r="B30">
        <v>20</v>
      </c>
      <c r="C30" t="s">
        <v>55</v>
      </c>
      <c r="D30" t="s">
        <v>237</v>
      </c>
      <c r="E30">
        <v>0.55927220197000005</v>
      </c>
      <c r="F30" s="243"/>
    </row>
    <row r="31" spans="2:6" x14ac:dyDescent="0.25">
      <c r="B31">
        <v>21</v>
      </c>
      <c r="C31" t="s">
        <v>56</v>
      </c>
      <c r="D31" t="s">
        <v>237</v>
      </c>
      <c r="E31">
        <v>-14.073533462</v>
      </c>
    </row>
    <row r="32" spans="2:6" x14ac:dyDescent="0.25">
      <c r="B32">
        <v>22</v>
      </c>
      <c r="C32" t="s">
        <v>57</v>
      </c>
      <c r="D32" t="s">
        <v>237</v>
      </c>
      <c r="E32">
        <v>0.63378543659999997</v>
      </c>
    </row>
    <row r="33" spans="2:6" x14ac:dyDescent="0.25">
      <c r="B33">
        <v>23</v>
      </c>
      <c r="C33" t="s">
        <v>58</v>
      </c>
      <c r="D33" t="s">
        <v>237</v>
      </c>
      <c r="E33">
        <v>-3.2242002957000002</v>
      </c>
    </row>
    <row r="34" spans="2:6" x14ac:dyDescent="0.25">
      <c r="B34">
        <v>24</v>
      </c>
      <c r="C34" t="s">
        <v>59</v>
      </c>
      <c r="D34" t="s">
        <v>237</v>
      </c>
      <c r="E34">
        <v>0.21220129380800001</v>
      </c>
      <c r="F34" s="243"/>
    </row>
    <row r="35" spans="2:6" x14ac:dyDescent="0.25">
      <c r="B35">
        <v>25</v>
      </c>
      <c r="C35" t="s">
        <v>60</v>
      </c>
      <c r="D35" t="s">
        <v>237</v>
      </c>
      <c r="E35">
        <v>-0.156772126135</v>
      </c>
      <c r="F35" s="243"/>
    </row>
    <row r="36" spans="2:6" x14ac:dyDescent="0.25">
      <c r="B36">
        <v>26</v>
      </c>
      <c r="C36" t="s">
        <v>61</v>
      </c>
      <c r="D36" t="s">
        <v>237</v>
      </c>
      <c r="E36">
        <v>0.78053827557199995</v>
      </c>
      <c r="F36" s="243"/>
    </row>
    <row r="37" spans="2:6" x14ac:dyDescent="0.25">
      <c r="B37">
        <v>27</v>
      </c>
      <c r="C37" t="s">
        <v>62</v>
      </c>
      <c r="D37" t="s">
        <v>237</v>
      </c>
      <c r="E37">
        <v>-12.632321361500001</v>
      </c>
    </row>
    <row r="38" spans="2:6" x14ac:dyDescent="0.25">
      <c r="B38">
        <v>28</v>
      </c>
      <c r="C38" t="s">
        <v>63</v>
      </c>
      <c r="D38" t="s">
        <v>237</v>
      </c>
      <c r="E38">
        <v>-4.8107266858799997</v>
      </c>
    </row>
    <row r="39" spans="2:6" x14ac:dyDescent="0.25">
      <c r="B39">
        <v>29</v>
      </c>
      <c r="C39" t="s">
        <v>64</v>
      </c>
      <c r="D39" t="s">
        <v>237</v>
      </c>
      <c r="E39">
        <v>-3.8910416045999998</v>
      </c>
    </row>
    <row r="40" spans="2:6" x14ac:dyDescent="0.25">
      <c r="B40">
        <v>30</v>
      </c>
      <c r="C40" t="s">
        <v>65</v>
      </c>
      <c r="D40" t="s">
        <v>237</v>
      </c>
      <c r="E40">
        <v>-0.58240561309000005</v>
      </c>
      <c r="F40" s="243"/>
    </row>
    <row r="41" spans="2:6" x14ac:dyDescent="0.25">
      <c r="B41">
        <v>31</v>
      </c>
      <c r="C41" t="s">
        <v>66</v>
      </c>
      <c r="D41" t="s">
        <v>237</v>
      </c>
      <c r="E41" s="243">
        <v>0.161916660248</v>
      </c>
      <c r="F41" s="243"/>
    </row>
    <row r="42" spans="2:6" x14ac:dyDescent="0.25">
      <c r="B42">
        <v>32</v>
      </c>
      <c r="C42" t="s">
        <v>67</v>
      </c>
      <c r="D42" t="s">
        <v>237</v>
      </c>
      <c r="E42">
        <v>-0.164548260329</v>
      </c>
      <c r="F42" s="243"/>
    </row>
    <row r="43" spans="2:6" x14ac:dyDescent="0.25">
      <c r="B43">
        <v>33</v>
      </c>
      <c r="C43" t="s">
        <v>68</v>
      </c>
      <c r="D43" t="s">
        <v>237</v>
      </c>
      <c r="E43">
        <v>0.20498917376299999</v>
      </c>
      <c r="F43" s="243"/>
    </row>
    <row r="44" spans="2:6" x14ac:dyDescent="0.25">
      <c r="B44">
        <v>34</v>
      </c>
      <c r="C44" t="s">
        <v>69</v>
      </c>
      <c r="D44" t="s">
        <v>237</v>
      </c>
      <c r="E44">
        <v>-0.128001396233</v>
      </c>
      <c r="F44" s="243"/>
    </row>
    <row r="45" spans="2:6" x14ac:dyDescent="0.25">
      <c r="B45">
        <v>35</v>
      </c>
      <c r="C45" t="s">
        <v>70</v>
      </c>
      <c r="D45" t="s">
        <v>237</v>
      </c>
      <c r="E45" s="243">
        <v>6.1170505754699997E-2</v>
      </c>
      <c r="F45" s="243"/>
    </row>
    <row r="46" spans="2:6" x14ac:dyDescent="0.25">
      <c r="B46">
        <v>36</v>
      </c>
      <c r="C46" t="s">
        <v>71</v>
      </c>
      <c r="D46" t="s">
        <v>237</v>
      </c>
      <c r="E46" s="243">
        <v>1.3253567635600001</v>
      </c>
      <c r="F46" s="243"/>
    </row>
    <row r="47" spans="2:6" x14ac:dyDescent="0.25">
      <c r="B47">
        <v>37</v>
      </c>
      <c r="C47" t="s">
        <v>72</v>
      </c>
      <c r="D47" t="s">
        <v>237</v>
      </c>
      <c r="E47">
        <v>-9.2010945905200003</v>
      </c>
    </row>
    <row r="48" spans="2:6" x14ac:dyDescent="0.25">
      <c r="B48">
        <v>38</v>
      </c>
      <c r="C48" t="s">
        <v>73</v>
      </c>
      <c r="D48" t="s">
        <v>237</v>
      </c>
      <c r="E48">
        <v>-1.9374462076300001</v>
      </c>
    </row>
    <row r="49" spans="2:6" x14ac:dyDescent="0.25">
      <c r="B49">
        <v>39</v>
      </c>
      <c r="C49" t="s">
        <v>74</v>
      </c>
      <c r="D49" t="s">
        <v>237</v>
      </c>
      <c r="E49">
        <v>-3.5790279598199999</v>
      </c>
    </row>
    <row r="50" spans="2:6" x14ac:dyDescent="0.25">
      <c r="B50">
        <v>40</v>
      </c>
      <c r="C50" t="s">
        <v>75</v>
      </c>
      <c r="D50" t="s">
        <v>237</v>
      </c>
      <c r="E50">
        <v>-1.4119850282299999</v>
      </c>
    </row>
    <row r="51" spans="2:6" x14ac:dyDescent="0.25">
      <c r="B51">
        <v>41</v>
      </c>
      <c r="C51" t="s">
        <v>76</v>
      </c>
      <c r="D51" t="s">
        <v>237</v>
      </c>
      <c r="E51">
        <v>-0.149205194047</v>
      </c>
      <c r="F51" s="243"/>
    </row>
    <row r="52" spans="2:6" x14ac:dyDescent="0.25">
      <c r="B52">
        <v>42</v>
      </c>
      <c r="C52" t="s">
        <v>77</v>
      </c>
      <c r="D52" t="s">
        <v>237</v>
      </c>
      <c r="E52">
        <v>0.517393579278</v>
      </c>
      <c r="F52" s="243"/>
    </row>
    <row r="53" spans="2:6" x14ac:dyDescent="0.25">
      <c r="B53">
        <v>43</v>
      </c>
      <c r="C53" t="s">
        <v>78</v>
      </c>
      <c r="D53" t="s">
        <v>237</v>
      </c>
      <c r="E53">
        <v>0.84374741070500003</v>
      </c>
      <c r="F53" s="243"/>
    </row>
    <row r="54" spans="2:6" x14ac:dyDescent="0.25">
      <c r="B54">
        <v>44</v>
      </c>
      <c r="C54" t="s">
        <v>79</v>
      </c>
      <c r="D54" t="s">
        <v>237</v>
      </c>
      <c r="E54">
        <v>-16.440174024099999</v>
      </c>
    </row>
    <row r="55" spans="2:6" x14ac:dyDescent="0.25">
      <c r="B55">
        <v>45</v>
      </c>
      <c r="C55" t="s">
        <v>80</v>
      </c>
      <c r="D55" t="s">
        <v>237</v>
      </c>
      <c r="E55">
        <v>0.76432473059999995</v>
      </c>
    </row>
    <row r="56" spans="2:6" x14ac:dyDescent="0.25">
      <c r="B56">
        <v>46</v>
      </c>
      <c r="C56" t="s">
        <v>81</v>
      </c>
      <c r="D56" t="s">
        <v>237</v>
      </c>
      <c r="E56">
        <v>-2.9040051223000001</v>
      </c>
    </row>
    <row r="57" spans="2:6" x14ac:dyDescent="0.25">
      <c r="B57">
        <v>47</v>
      </c>
      <c r="C57" t="s">
        <v>82</v>
      </c>
      <c r="D57" t="s">
        <v>237</v>
      </c>
      <c r="E57">
        <v>-2.9754271853000001</v>
      </c>
    </row>
    <row r="58" spans="2:6" x14ac:dyDescent="0.25">
      <c r="B58">
        <v>48</v>
      </c>
      <c r="C58" t="s">
        <v>83</v>
      </c>
      <c r="D58" t="s">
        <v>237</v>
      </c>
      <c r="E58">
        <v>0.16683062839400001</v>
      </c>
      <c r="F58" s="243"/>
    </row>
    <row r="59" spans="2:6" x14ac:dyDescent="0.25">
      <c r="B59">
        <v>49</v>
      </c>
      <c r="C59" t="s">
        <v>84</v>
      </c>
      <c r="D59" t="s">
        <v>237</v>
      </c>
      <c r="E59">
        <v>0.80686039287</v>
      </c>
      <c r="F59" s="243"/>
    </row>
    <row r="60" spans="2:6" x14ac:dyDescent="0.25">
      <c r="B60">
        <v>50</v>
      </c>
      <c r="C60" t="s">
        <v>85</v>
      </c>
      <c r="D60" t="s">
        <v>237</v>
      </c>
      <c r="E60">
        <v>-10.34047865796</v>
      </c>
    </row>
    <row r="61" spans="2:6" x14ac:dyDescent="0.25">
      <c r="B61">
        <v>51</v>
      </c>
      <c r="C61" t="s">
        <v>86</v>
      </c>
      <c r="D61" t="s">
        <v>237</v>
      </c>
      <c r="E61">
        <v>-3.91221337131</v>
      </c>
    </row>
    <row r="62" spans="2:6" x14ac:dyDescent="0.25">
      <c r="B62">
        <v>52</v>
      </c>
      <c r="C62" t="s">
        <v>87</v>
      </c>
      <c r="D62" t="s">
        <v>237</v>
      </c>
      <c r="E62">
        <v>-4.2648637480299998</v>
      </c>
    </row>
    <row r="63" spans="2:6" x14ac:dyDescent="0.25">
      <c r="B63">
        <v>53</v>
      </c>
      <c r="C63" t="s">
        <v>88</v>
      </c>
      <c r="D63" t="s">
        <v>237</v>
      </c>
      <c r="E63">
        <v>-0.84819566531000001</v>
      </c>
    </row>
    <row r="64" spans="2:6" x14ac:dyDescent="0.25">
      <c r="B64">
        <v>54</v>
      </c>
      <c r="C64" t="s">
        <v>89</v>
      </c>
      <c r="D64" t="s">
        <v>237</v>
      </c>
      <c r="E64">
        <v>0.21306405683599999</v>
      </c>
      <c r="F64" s="243"/>
    </row>
    <row r="65" spans="2:6" x14ac:dyDescent="0.25">
      <c r="B65">
        <v>55</v>
      </c>
      <c r="C65" t="s">
        <v>90</v>
      </c>
      <c r="D65" t="s">
        <v>237</v>
      </c>
      <c r="E65">
        <v>0.49322187999099998</v>
      </c>
      <c r="F65" s="243"/>
    </row>
    <row r="66" spans="2:6" x14ac:dyDescent="0.25">
      <c r="B66">
        <v>56</v>
      </c>
      <c r="C66" t="s">
        <v>91</v>
      </c>
      <c r="D66" t="s">
        <v>237</v>
      </c>
      <c r="E66">
        <v>-0.81297460986500003</v>
      </c>
      <c r="F66" s="243"/>
    </row>
    <row r="67" spans="2:6" x14ac:dyDescent="0.25">
      <c r="B67">
        <v>57</v>
      </c>
      <c r="C67" t="s">
        <v>92</v>
      </c>
      <c r="D67" t="s">
        <v>237</v>
      </c>
      <c r="E67" s="243">
        <v>8.0759501397E-2</v>
      </c>
      <c r="F67" s="243"/>
    </row>
    <row r="68" spans="2:6" x14ac:dyDescent="0.25">
      <c r="B68">
        <v>70</v>
      </c>
      <c r="C68" t="s">
        <v>93</v>
      </c>
      <c r="D68" t="s">
        <v>237</v>
      </c>
      <c r="E68" s="243">
        <v>0.29053029913700001</v>
      </c>
      <c r="F68" s="243"/>
    </row>
    <row r="69" spans="2:6" x14ac:dyDescent="0.25">
      <c r="B69">
        <v>71</v>
      </c>
      <c r="C69" t="s">
        <v>94</v>
      </c>
      <c r="D69" t="s">
        <v>236</v>
      </c>
      <c r="E69">
        <v>0</v>
      </c>
      <c r="F69" s="243"/>
    </row>
    <row r="70" spans="2:6" x14ac:dyDescent="0.25">
      <c r="B70">
        <v>72</v>
      </c>
      <c r="C70" t="s">
        <v>95</v>
      </c>
      <c r="D70" t="s">
        <v>237</v>
      </c>
      <c r="E70">
        <v>-3.51218611463</v>
      </c>
    </row>
    <row r="71" spans="2:6" x14ac:dyDescent="0.25">
      <c r="B71">
        <v>73</v>
      </c>
      <c r="C71" t="s">
        <v>96</v>
      </c>
      <c r="D71" t="s">
        <v>237</v>
      </c>
      <c r="E71">
        <v>-1.9512398226400001</v>
      </c>
    </row>
    <row r="72" spans="2:6" x14ac:dyDescent="0.25">
      <c r="B72">
        <v>74</v>
      </c>
      <c r="C72" t="s">
        <v>97</v>
      </c>
      <c r="D72" t="s">
        <v>237</v>
      </c>
      <c r="E72">
        <v>-2.2875988415099999</v>
      </c>
    </row>
    <row r="73" spans="2:6" x14ac:dyDescent="0.25">
      <c r="B73">
        <v>75</v>
      </c>
      <c r="C73" t="s">
        <v>98</v>
      </c>
      <c r="D73" t="s">
        <v>237</v>
      </c>
      <c r="E73">
        <v>-2.97270473739</v>
      </c>
    </row>
    <row r="74" spans="2:6" x14ac:dyDescent="0.25">
      <c r="B74">
        <v>76</v>
      </c>
      <c r="C74" t="s">
        <v>99</v>
      </c>
      <c r="D74" t="s">
        <v>237</v>
      </c>
      <c r="E74">
        <v>-2.2065775626700002</v>
      </c>
    </row>
    <row r="75" spans="2:6" x14ac:dyDescent="0.25">
      <c r="B75">
        <v>77</v>
      </c>
      <c r="C75" t="s">
        <v>100</v>
      </c>
      <c r="D75" t="s">
        <v>237</v>
      </c>
      <c r="E75">
        <v>-1.91608314575</v>
      </c>
    </row>
    <row r="76" spans="2:6" x14ac:dyDescent="0.25">
      <c r="B76">
        <v>78</v>
      </c>
      <c r="C76" t="s">
        <v>101</v>
      </c>
      <c r="D76" t="s">
        <v>237</v>
      </c>
      <c r="E76">
        <v>-2.9941803696</v>
      </c>
    </row>
    <row r="77" spans="2:6" x14ac:dyDescent="0.25">
      <c r="B77">
        <v>79</v>
      </c>
      <c r="C77" t="s">
        <v>102</v>
      </c>
      <c r="D77" t="s">
        <v>237</v>
      </c>
      <c r="E77">
        <v>-20.893048808300001</v>
      </c>
    </row>
    <row r="78" spans="2:6" x14ac:dyDescent="0.25">
      <c r="B78">
        <v>80</v>
      </c>
      <c r="C78" t="s">
        <v>103</v>
      </c>
      <c r="D78" t="s">
        <v>237</v>
      </c>
      <c r="E78">
        <v>-0.340851234339</v>
      </c>
    </row>
    <row r="79" spans="2:6" x14ac:dyDescent="0.25">
      <c r="B79">
        <v>81</v>
      </c>
      <c r="C79" t="s">
        <v>104</v>
      </c>
      <c r="D79" t="s">
        <v>237</v>
      </c>
      <c r="E79">
        <v>-3.5548804977600001</v>
      </c>
    </row>
    <row r="80" spans="2:6" x14ac:dyDescent="0.25">
      <c r="B80">
        <v>82</v>
      </c>
      <c r="C80" t="s">
        <v>105</v>
      </c>
      <c r="D80" t="s">
        <v>237</v>
      </c>
      <c r="E80">
        <v>-2.04042829643</v>
      </c>
    </row>
    <row r="81" spans="2:5" x14ac:dyDescent="0.25">
      <c r="B81">
        <v>83</v>
      </c>
      <c r="C81" t="s">
        <v>106</v>
      </c>
      <c r="D81" t="s">
        <v>237</v>
      </c>
      <c r="E81">
        <v>-3.1291070048599998</v>
      </c>
    </row>
    <row r="82" spans="2:5" x14ac:dyDescent="0.25">
      <c r="B82">
        <v>84</v>
      </c>
      <c r="C82" t="s">
        <v>107</v>
      </c>
      <c r="D82" t="s">
        <v>237</v>
      </c>
      <c r="E82">
        <v>-1.36058822067</v>
      </c>
    </row>
    <row r="83" spans="2:5" x14ac:dyDescent="0.25">
      <c r="B83">
        <v>85</v>
      </c>
      <c r="C83" t="s">
        <v>108</v>
      </c>
      <c r="D83" t="s">
        <v>237</v>
      </c>
      <c r="E83">
        <v>-3.7593502074299998</v>
      </c>
    </row>
    <row r="84" spans="2:5" x14ac:dyDescent="0.25">
      <c r="B84">
        <v>86</v>
      </c>
      <c r="C84" t="s">
        <v>109</v>
      </c>
      <c r="D84" t="s">
        <v>237</v>
      </c>
      <c r="E84">
        <v>-2.6162258391100002</v>
      </c>
    </row>
    <row r="85" spans="2:5" x14ac:dyDescent="0.25">
      <c r="B85">
        <v>87</v>
      </c>
      <c r="C85" t="s">
        <v>110</v>
      </c>
      <c r="D85" t="s">
        <v>237</v>
      </c>
      <c r="E85">
        <v>-18.920608679800001</v>
      </c>
    </row>
    <row r="86" spans="2:5" x14ac:dyDescent="0.25">
      <c r="B86">
        <v>88</v>
      </c>
      <c r="C86" t="s">
        <v>111</v>
      </c>
      <c r="D86" t="s">
        <v>236</v>
      </c>
      <c r="E86">
        <v>0</v>
      </c>
    </row>
    <row r="87" spans="2:5" x14ac:dyDescent="0.25">
      <c r="B87">
        <v>89</v>
      </c>
      <c r="C87" t="s">
        <v>112</v>
      </c>
      <c r="D87" t="s">
        <v>237</v>
      </c>
      <c r="E87">
        <v>-6.14284833482</v>
      </c>
    </row>
    <row r="88" spans="2:5" x14ac:dyDescent="0.25">
      <c r="B88">
        <v>90</v>
      </c>
      <c r="C88" t="s">
        <v>113</v>
      </c>
      <c r="D88" t="s">
        <v>237</v>
      </c>
      <c r="E88">
        <v>-16.4745846271</v>
      </c>
    </row>
    <row r="89" spans="2:5" x14ac:dyDescent="0.25">
      <c r="B89">
        <v>91</v>
      </c>
      <c r="C89" t="s">
        <v>114</v>
      </c>
      <c r="D89" t="s">
        <v>237</v>
      </c>
      <c r="E89">
        <v>-9.3272520902899991</v>
      </c>
    </row>
    <row r="90" spans="2:5" x14ac:dyDescent="0.25">
      <c r="B90">
        <v>92</v>
      </c>
      <c r="C90" t="s">
        <v>115</v>
      </c>
      <c r="D90" t="s">
        <v>237</v>
      </c>
      <c r="E90">
        <v>-0.748114378523</v>
      </c>
    </row>
    <row r="91" spans="2:5" x14ac:dyDescent="0.25">
      <c r="B91">
        <v>93</v>
      </c>
      <c r="C91" t="s">
        <v>116</v>
      </c>
      <c r="D91" t="s">
        <v>237</v>
      </c>
      <c r="E91">
        <v>-0.29100107664500002</v>
      </c>
    </row>
    <row r="92" spans="2:5" x14ac:dyDescent="0.25">
      <c r="B92">
        <v>94</v>
      </c>
      <c r="C92" t="s">
        <v>117</v>
      </c>
      <c r="D92" t="s">
        <v>236</v>
      </c>
      <c r="E92">
        <v>0</v>
      </c>
    </row>
    <row r="93" spans="2:5" x14ac:dyDescent="0.25">
      <c r="B93">
        <v>95</v>
      </c>
      <c r="C93" t="s">
        <v>118</v>
      </c>
      <c r="D93" t="s">
        <v>237</v>
      </c>
      <c r="E93">
        <v>-10.3298280696</v>
      </c>
    </row>
    <row r="94" spans="2:5" x14ac:dyDescent="0.25">
      <c r="B94">
        <v>96</v>
      </c>
      <c r="C94" t="s">
        <v>119</v>
      </c>
      <c r="D94" t="s">
        <v>237</v>
      </c>
      <c r="E94">
        <v>-16.742935323400001</v>
      </c>
    </row>
    <row r="95" spans="2:5" x14ac:dyDescent="0.25">
      <c r="B95">
        <v>97</v>
      </c>
      <c r="C95" t="s">
        <v>120</v>
      </c>
      <c r="D95" t="s">
        <v>237</v>
      </c>
      <c r="E95">
        <v>-6.97234539975</v>
      </c>
    </row>
    <row r="96" spans="2:5" x14ac:dyDescent="0.25">
      <c r="B96">
        <v>98</v>
      </c>
      <c r="C96" t="s">
        <v>121</v>
      </c>
      <c r="D96" t="s">
        <v>237</v>
      </c>
      <c r="E96">
        <v>-10.7755348742</v>
      </c>
    </row>
    <row r="97" spans="2:5" x14ac:dyDescent="0.25">
      <c r="B97">
        <v>99</v>
      </c>
      <c r="C97" t="s">
        <v>122</v>
      </c>
      <c r="D97" t="s">
        <v>237</v>
      </c>
      <c r="E97">
        <v>-11.547846395100001</v>
      </c>
    </row>
    <row r="98" spans="2:5" x14ac:dyDescent="0.25">
      <c r="B98">
        <v>100</v>
      </c>
      <c r="C98" t="s">
        <v>123</v>
      </c>
      <c r="D98" t="s">
        <v>236</v>
      </c>
      <c r="E98">
        <v>0</v>
      </c>
    </row>
    <row r="99" spans="2:5" x14ac:dyDescent="0.25">
      <c r="B99">
        <v>101</v>
      </c>
      <c r="C99" t="s">
        <v>124</v>
      </c>
      <c r="D99" t="s">
        <v>237</v>
      </c>
      <c r="E99">
        <v>-11.0962758301</v>
      </c>
    </row>
    <row r="100" spans="2:5" x14ac:dyDescent="0.25">
      <c r="B100">
        <v>102</v>
      </c>
      <c r="C100" t="s">
        <v>125</v>
      </c>
      <c r="D100" t="s">
        <v>236</v>
      </c>
      <c r="E100">
        <v>0</v>
      </c>
    </row>
    <row r="101" spans="2:5" x14ac:dyDescent="0.25">
      <c r="B101">
        <v>103</v>
      </c>
      <c r="C101" t="s">
        <v>126</v>
      </c>
      <c r="D101" t="s">
        <v>237</v>
      </c>
      <c r="E101">
        <v>-12.7257909892</v>
      </c>
    </row>
    <row r="102" spans="2:5" x14ac:dyDescent="0.25">
      <c r="B102">
        <v>104</v>
      </c>
      <c r="C102" t="s">
        <v>127</v>
      </c>
      <c r="D102" t="s">
        <v>237</v>
      </c>
      <c r="E102">
        <v>-12.5271034041</v>
      </c>
    </row>
    <row r="103" spans="2:5" x14ac:dyDescent="0.25">
      <c r="B103">
        <v>105</v>
      </c>
      <c r="C103" t="s">
        <v>128</v>
      </c>
      <c r="D103" t="s">
        <v>237</v>
      </c>
      <c r="E103">
        <v>-21.008822510800002</v>
      </c>
    </row>
    <row r="104" spans="2:5" x14ac:dyDescent="0.25">
      <c r="B104">
        <v>106</v>
      </c>
      <c r="C104" t="s">
        <v>129</v>
      </c>
      <c r="D104" t="s">
        <v>237</v>
      </c>
      <c r="E104">
        <v>-1.63176275226</v>
      </c>
    </row>
    <row r="105" spans="2:5" x14ac:dyDescent="0.25">
      <c r="B105">
        <v>107</v>
      </c>
      <c r="C105" t="s">
        <v>130</v>
      </c>
      <c r="D105" t="s">
        <v>237</v>
      </c>
      <c r="E105">
        <v>-4.6653914733199997</v>
      </c>
    </row>
    <row r="106" spans="2:5" x14ac:dyDescent="0.25">
      <c r="B106">
        <v>108</v>
      </c>
      <c r="C106" t="s">
        <v>131</v>
      </c>
      <c r="D106" t="s">
        <v>237</v>
      </c>
      <c r="E106">
        <v>-7.5050624753099999</v>
      </c>
    </row>
    <row r="107" spans="2:5" x14ac:dyDescent="0.25">
      <c r="B107">
        <v>109</v>
      </c>
      <c r="C107" t="s">
        <v>132</v>
      </c>
      <c r="D107" t="s">
        <v>237</v>
      </c>
      <c r="E107">
        <v>-7.2217481188799999</v>
      </c>
    </row>
    <row r="108" spans="2:5" x14ac:dyDescent="0.25">
      <c r="B108">
        <v>110</v>
      </c>
      <c r="C108" t="s">
        <v>133</v>
      </c>
      <c r="D108" t="s">
        <v>237</v>
      </c>
      <c r="E108">
        <v>-3.4793464222399999</v>
      </c>
    </row>
    <row r="109" spans="2:5" x14ac:dyDescent="0.25">
      <c r="B109">
        <v>111</v>
      </c>
      <c r="C109" t="s">
        <v>134</v>
      </c>
      <c r="D109" t="s">
        <v>236</v>
      </c>
      <c r="E109">
        <v>0</v>
      </c>
    </row>
    <row r="110" spans="2:5" x14ac:dyDescent="0.25">
      <c r="B110">
        <v>112</v>
      </c>
      <c r="C110" t="s">
        <v>135</v>
      </c>
      <c r="D110" t="s">
        <v>236</v>
      </c>
      <c r="E110">
        <v>0</v>
      </c>
    </row>
    <row r="111" spans="2:5" x14ac:dyDescent="0.25">
      <c r="B111">
        <v>113</v>
      </c>
      <c r="C111" t="s">
        <v>136</v>
      </c>
      <c r="D111" t="s">
        <v>237</v>
      </c>
      <c r="E111">
        <v>-2.23577200178</v>
      </c>
    </row>
    <row r="112" spans="2:5" x14ac:dyDescent="0.25">
      <c r="B112">
        <v>201</v>
      </c>
      <c r="C112" t="s">
        <v>346</v>
      </c>
      <c r="D112" t="s">
        <v>236</v>
      </c>
      <c r="E112">
        <v>0</v>
      </c>
    </row>
    <row r="113" spans="2:5" x14ac:dyDescent="0.25">
      <c r="B113">
        <v>202</v>
      </c>
      <c r="C113" s="243" t="s">
        <v>347</v>
      </c>
      <c r="D113" s="243" t="s">
        <v>236</v>
      </c>
      <c r="E113" s="243">
        <v>-6.2169386706100003</v>
      </c>
    </row>
    <row r="114" spans="2:5" x14ac:dyDescent="0.25">
      <c r="B114">
        <v>203</v>
      </c>
      <c r="C114" s="243" t="s">
        <v>348</v>
      </c>
      <c r="D114" s="243" t="s">
        <v>236</v>
      </c>
      <c r="E114" s="243">
        <v>0.42142888119999999</v>
      </c>
    </row>
    <row r="115" spans="2:5" x14ac:dyDescent="0.25">
      <c r="B115">
        <v>204</v>
      </c>
      <c r="C115" t="s">
        <v>349</v>
      </c>
      <c r="D115" t="s">
        <v>236</v>
      </c>
      <c r="E115">
        <v>0.91642162899000001</v>
      </c>
    </row>
    <row r="116" spans="2:5" x14ac:dyDescent="0.25">
      <c r="B116">
        <v>205</v>
      </c>
      <c r="C116" t="s">
        <v>350</v>
      </c>
      <c r="D116" t="s">
        <v>236</v>
      </c>
      <c r="E116">
        <v>-0.56799444445000002</v>
      </c>
    </row>
    <row r="117" spans="2:5" x14ac:dyDescent="0.25">
      <c r="B117">
        <v>206</v>
      </c>
      <c r="C117" t="s">
        <v>351</v>
      </c>
      <c r="D117" t="s">
        <v>236</v>
      </c>
      <c r="E117">
        <v>-2.0533642130700001</v>
      </c>
    </row>
    <row r="118" spans="2:5" x14ac:dyDescent="0.25">
      <c r="B118">
        <v>207</v>
      </c>
      <c r="C118" t="s">
        <v>352</v>
      </c>
      <c r="D118" t="s">
        <v>236</v>
      </c>
      <c r="E118">
        <v>-0.40548595943999999</v>
      </c>
    </row>
    <row r="119" spans="2:5" x14ac:dyDescent="0.25">
      <c r="B119">
        <v>208</v>
      </c>
      <c r="C119" t="s">
        <v>353</v>
      </c>
      <c r="D119" t="s">
        <v>236</v>
      </c>
      <c r="E119">
        <v>-0.97788986240999998</v>
      </c>
    </row>
    <row r="120" spans="2:5" x14ac:dyDescent="0.25">
      <c r="B120">
        <v>209</v>
      </c>
      <c r="C120" t="s">
        <v>354</v>
      </c>
      <c r="D120" t="s">
        <v>236</v>
      </c>
      <c r="E120">
        <v>-3.1743365959999999E-2</v>
      </c>
    </row>
    <row r="121" spans="2:5" x14ac:dyDescent="0.25">
      <c r="B121">
        <v>210</v>
      </c>
      <c r="C121" t="s">
        <v>355</v>
      </c>
      <c r="D121" t="s">
        <v>236</v>
      </c>
      <c r="E121">
        <v>0.15622447707000001</v>
      </c>
    </row>
    <row r="122" spans="2:5" x14ac:dyDescent="0.25">
      <c r="B122">
        <v>211</v>
      </c>
      <c r="C122" t="s">
        <v>356</v>
      </c>
      <c r="D122" t="s">
        <v>236</v>
      </c>
      <c r="E122">
        <v>-1.01407339219</v>
      </c>
    </row>
    <row r="123" spans="2:5" x14ac:dyDescent="0.25">
      <c r="B123">
        <v>212</v>
      </c>
      <c r="C123" t="s">
        <v>357</v>
      </c>
      <c r="D123" t="s">
        <v>236</v>
      </c>
      <c r="E123">
        <v>-0.62809360730999997</v>
      </c>
    </row>
    <row r="124" spans="2:5" x14ac:dyDescent="0.25">
      <c r="B124">
        <v>213</v>
      </c>
      <c r="C124" t="s">
        <v>358</v>
      </c>
      <c r="D124" t="s">
        <v>236</v>
      </c>
      <c r="E124">
        <v>0.10418431307999999</v>
      </c>
    </row>
    <row r="125" spans="2:5" x14ac:dyDescent="0.25">
      <c r="B125">
        <v>214</v>
      </c>
      <c r="C125" t="s">
        <v>359</v>
      </c>
      <c r="D125" t="s">
        <v>236</v>
      </c>
      <c r="E125">
        <v>-2.4233362293799998</v>
      </c>
    </row>
    <row r="126" spans="2:5" x14ac:dyDescent="0.25">
      <c r="B126">
        <v>215</v>
      </c>
      <c r="C126" t="s">
        <v>360</v>
      </c>
      <c r="D126" t="s">
        <v>236</v>
      </c>
      <c r="E126">
        <v>-1.56405201293</v>
      </c>
    </row>
    <row r="127" spans="2:5" x14ac:dyDescent="0.25">
      <c r="B127">
        <v>216</v>
      </c>
      <c r="C127" t="s">
        <v>361</v>
      </c>
      <c r="D127" t="s">
        <v>236</v>
      </c>
      <c r="E127">
        <v>-0.52108912330000001</v>
      </c>
    </row>
    <row r="128" spans="2:5" x14ac:dyDescent="0.25">
      <c r="B128">
        <v>217</v>
      </c>
      <c r="C128" t="s">
        <v>362</v>
      </c>
      <c r="D128" t="s">
        <v>236</v>
      </c>
      <c r="E128">
        <v>-3.00684424117</v>
      </c>
    </row>
    <row r="129" spans="2:5" x14ac:dyDescent="0.25">
      <c r="B129">
        <v>218</v>
      </c>
      <c r="C129" t="s">
        <v>363</v>
      </c>
      <c r="D129" t="s">
        <v>236</v>
      </c>
      <c r="E129">
        <v>-0.99555441392999999</v>
      </c>
    </row>
    <row r="130" spans="2:5" x14ac:dyDescent="0.25">
      <c r="B130">
        <v>219</v>
      </c>
      <c r="C130" t="s">
        <v>364</v>
      </c>
      <c r="D130" t="s">
        <v>236</v>
      </c>
      <c r="E130">
        <v>-3.0763458399100001</v>
      </c>
    </row>
    <row r="131" spans="2:5" x14ac:dyDescent="0.25">
      <c r="B131">
        <v>220</v>
      </c>
      <c r="C131" t="s">
        <v>365</v>
      </c>
      <c r="D131" t="s">
        <v>236</v>
      </c>
      <c r="E131">
        <v>-4.5237586444</v>
      </c>
    </row>
    <row r="132" spans="2:5" x14ac:dyDescent="0.25">
      <c r="B132">
        <v>221</v>
      </c>
      <c r="C132" t="s">
        <v>375</v>
      </c>
      <c r="D132" t="s">
        <v>236</v>
      </c>
      <c r="E132">
        <v>4.2815474280799997</v>
      </c>
    </row>
    <row r="133" spans="2:5" x14ac:dyDescent="0.25">
      <c r="B133">
        <v>222</v>
      </c>
      <c r="C133" s="243" t="s">
        <v>376</v>
      </c>
      <c r="D133" s="243" t="s">
        <v>236</v>
      </c>
      <c r="E133" s="243">
        <v>0</v>
      </c>
    </row>
    <row r="134" spans="2:5" x14ac:dyDescent="0.25">
      <c r="B134">
        <v>223</v>
      </c>
      <c r="C134" t="s">
        <v>377</v>
      </c>
      <c r="D134" t="s">
        <v>236</v>
      </c>
      <c r="E134">
        <v>1.0082637678399999</v>
      </c>
    </row>
    <row r="135" spans="2:5" x14ac:dyDescent="0.25">
      <c r="B135">
        <v>224</v>
      </c>
      <c r="C135" t="s">
        <v>378</v>
      </c>
      <c r="D135" t="s">
        <v>236</v>
      </c>
      <c r="E135">
        <v>0</v>
      </c>
    </row>
    <row r="136" spans="2:5" x14ac:dyDescent="0.25">
      <c r="B136">
        <v>225</v>
      </c>
      <c r="C136" t="s">
        <v>379</v>
      </c>
      <c r="D136" t="s">
        <v>236</v>
      </c>
      <c r="E136">
        <v>0</v>
      </c>
    </row>
    <row r="137" spans="2:5" x14ac:dyDescent="0.25">
      <c r="B137">
        <v>301</v>
      </c>
      <c r="C137" t="s">
        <v>380</v>
      </c>
      <c r="D137" t="s">
        <v>236</v>
      </c>
      <c r="E137">
        <v>4</v>
      </c>
    </row>
    <row r="138" spans="2:5" x14ac:dyDescent="0.25">
      <c r="B138">
        <v>302</v>
      </c>
      <c r="C138" s="243" t="s">
        <v>381</v>
      </c>
      <c r="D138" s="243" t="s">
        <v>236</v>
      </c>
      <c r="E138" s="243">
        <v>5</v>
      </c>
    </row>
    <row r="139" spans="2:5" x14ac:dyDescent="0.25">
      <c r="B139">
        <v>303</v>
      </c>
      <c r="C139" s="243" t="s">
        <v>382</v>
      </c>
      <c r="D139" s="243" t="s">
        <v>236</v>
      </c>
      <c r="E139" s="243">
        <v>3.5</v>
      </c>
    </row>
    <row r="140" spans="2:5" x14ac:dyDescent="0.25">
      <c r="B140">
        <v>304</v>
      </c>
      <c r="C140" t="s">
        <v>383</v>
      </c>
      <c r="D140" t="s">
        <v>236</v>
      </c>
      <c r="E140">
        <v>3</v>
      </c>
    </row>
    <row r="141" spans="2:5" x14ac:dyDescent="0.25">
      <c r="B141">
        <v>305</v>
      </c>
      <c r="C141" t="s">
        <v>384</v>
      </c>
      <c r="D141" t="s">
        <v>236</v>
      </c>
      <c r="E141">
        <v>1</v>
      </c>
    </row>
    <row r="142" spans="2:5" x14ac:dyDescent="0.25">
      <c r="B142">
        <v>306</v>
      </c>
      <c r="C142" t="s">
        <v>385</v>
      </c>
      <c r="D142" t="s">
        <v>236</v>
      </c>
      <c r="E142">
        <v>4</v>
      </c>
    </row>
    <row r="143" spans="2:5" x14ac:dyDescent="0.25">
      <c r="B143">
        <v>307</v>
      </c>
      <c r="C143" t="s">
        <v>386</v>
      </c>
      <c r="D143" t="s">
        <v>236</v>
      </c>
      <c r="E143">
        <v>3.5</v>
      </c>
    </row>
    <row r="144" spans="2:5" x14ac:dyDescent="0.25">
      <c r="B144">
        <v>-1</v>
      </c>
    </row>
    <row r="145" spans="2:11" x14ac:dyDescent="0.25">
      <c r="B145">
        <v>6224</v>
      </c>
      <c r="C145" s="243">
        <v>-7713.1262757699997</v>
      </c>
      <c r="D145" s="243">
        <v>-24166.840237699998</v>
      </c>
      <c r="E145" s="243">
        <v>-15453.864181499999</v>
      </c>
    </row>
    <row r="146" spans="2:11" x14ac:dyDescent="0.25">
      <c r="B146">
        <v>5</v>
      </c>
      <c r="C146" t="s">
        <v>345</v>
      </c>
      <c r="D146" t="s">
        <v>234</v>
      </c>
      <c r="E146">
        <v>24</v>
      </c>
      <c r="F146" t="s">
        <v>344</v>
      </c>
      <c r="G146">
        <v>12</v>
      </c>
    </row>
    <row r="147" spans="2:11" x14ac:dyDescent="0.25">
      <c r="B147">
        <v>0</v>
      </c>
      <c r="C147">
        <v>0</v>
      </c>
      <c r="D147">
        <v>50095</v>
      </c>
      <c r="E147">
        <v>0</v>
      </c>
      <c r="F147">
        <v>37648</v>
      </c>
      <c r="G147">
        <v>21541</v>
      </c>
      <c r="H147">
        <v>0</v>
      </c>
      <c r="I147">
        <v>36518</v>
      </c>
      <c r="J147">
        <v>39322</v>
      </c>
      <c r="K147">
        <v>-31713</v>
      </c>
    </row>
    <row r="148" spans="2:11" x14ac:dyDescent="0.25">
      <c r="B148">
        <v>0</v>
      </c>
      <c r="C148">
        <v>51829</v>
      </c>
      <c r="D148">
        <v>24246</v>
      </c>
      <c r="E148">
        <v>26401</v>
      </c>
      <c r="F148">
        <v>-18599</v>
      </c>
      <c r="G148">
        <v>0</v>
      </c>
      <c r="H148">
        <v>-31358</v>
      </c>
      <c r="I148">
        <v>2745</v>
      </c>
      <c r="J148">
        <v>-4649</v>
      </c>
      <c r="K148">
        <v>-3404</v>
      </c>
    </row>
    <row r="149" spans="2:11" x14ac:dyDescent="0.25">
      <c r="B149">
        <v>-16445</v>
      </c>
      <c r="C149">
        <v>0</v>
      </c>
      <c r="D149">
        <v>-6300</v>
      </c>
      <c r="E149">
        <v>-1444</v>
      </c>
      <c r="F149">
        <v>-3498</v>
      </c>
      <c r="G149">
        <v>-2333</v>
      </c>
      <c r="H149">
        <v>-3219</v>
      </c>
      <c r="I149">
        <v>4510</v>
      </c>
      <c r="J149">
        <v>0</v>
      </c>
      <c r="K149">
        <v>-737</v>
      </c>
    </row>
    <row r="150" spans="2:11" x14ac:dyDescent="0.25">
      <c r="B150">
        <v>-440</v>
      </c>
      <c r="C150">
        <v>-20</v>
      </c>
      <c r="D150">
        <v>-498</v>
      </c>
      <c r="E150">
        <v>340</v>
      </c>
      <c r="F150">
        <v>-286</v>
      </c>
      <c r="G150">
        <v>7114</v>
      </c>
      <c r="H150">
        <v>0</v>
      </c>
      <c r="I150">
        <v>-7920</v>
      </c>
      <c r="J150">
        <v>19236</v>
      </c>
      <c r="K150">
        <v>-6067</v>
      </c>
    </row>
    <row r="151" spans="2:11" x14ac:dyDescent="0.25">
      <c r="B151">
        <v>2987</v>
      </c>
      <c r="C151">
        <v>-5727</v>
      </c>
      <c r="D151">
        <v>15260</v>
      </c>
      <c r="E151">
        <v>2907</v>
      </c>
      <c r="F151">
        <v>-9592</v>
      </c>
      <c r="G151">
        <v>0</v>
      </c>
      <c r="H151">
        <v>-811</v>
      </c>
      <c r="I151">
        <v>-4969</v>
      </c>
      <c r="J151">
        <v>3346</v>
      </c>
      <c r="K151">
        <v>-312</v>
      </c>
    </row>
    <row r="152" spans="2:11" x14ac:dyDescent="0.25">
      <c r="B152">
        <v>1270</v>
      </c>
      <c r="C152">
        <v>338</v>
      </c>
      <c r="D152">
        <v>2178</v>
      </c>
      <c r="E152">
        <v>-131</v>
      </c>
      <c r="F152">
        <v>6977</v>
      </c>
      <c r="G152">
        <v>0</v>
      </c>
      <c r="H152">
        <v>-5366</v>
      </c>
      <c r="I152">
        <v>7781</v>
      </c>
      <c r="J152">
        <v>-2368</v>
      </c>
      <c r="K152">
        <v>-258</v>
      </c>
    </row>
    <row r="153" spans="2:11" x14ac:dyDescent="0.25">
      <c r="B153">
        <v>-3889</v>
      </c>
      <c r="C153">
        <v>5632</v>
      </c>
      <c r="D153">
        <v>-3037</v>
      </c>
      <c r="E153">
        <v>-71</v>
      </c>
      <c r="F153">
        <v>14660</v>
      </c>
      <c r="G153">
        <v>10088</v>
      </c>
      <c r="H153">
        <v>0</v>
      </c>
      <c r="I153">
        <v>471</v>
      </c>
      <c r="J153">
        <v>-8782</v>
      </c>
      <c r="K153">
        <v>193</v>
      </c>
    </row>
    <row r="154" spans="2:11" x14ac:dyDescent="0.25">
      <c r="B154">
        <v>-415</v>
      </c>
      <c r="C154">
        <v>458</v>
      </c>
      <c r="D154">
        <v>2837</v>
      </c>
      <c r="E154">
        <v>-5459</v>
      </c>
      <c r="F154">
        <v>-1718</v>
      </c>
      <c r="G154">
        <v>5132</v>
      </c>
      <c r="H154">
        <v>-51084</v>
      </c>
      <c r="I154">
        <v>-5971</v>
      </c>
      <c r="J154">
        <v>0</v>
      </c>
      <c r="K154">
        <v>2800</v>
      </c>
    </row>
    <row r="155" spans="2:11" x14ac:dyDescent="0.25">
      <c r="B155">
        <v>-3021</v>
      </c>
      <c r="C155">
        <v>736</v>
      </c>
      <c r="D155">
        <v>112</v>
      </c>
      <c r="E155">
        <v>2528</v>
      </c>
      <c r="F155">
        <v>-32505</v>
      </c>
      <c r="G155">
        <v>-649</v>
      </c>
      <c r="H155">
        <v>-515</v>
      </c>
      <c r="I155">
        <v>15845</v>
      </c>
      <c r="J155">
        <v>11200</v>
      </c>
      <c r="K155">
        <v>8047</v>
      </c>
    </row>
    <row r="156" spans="2:11" x14ac:dyDescent="0.25">
      <c r="B156">
        <v>-2995</v>
      </c>
      <c r="C156">
        <v>0</v>
      </c>
      <c r="D156">
        <v>184</v>
      </c>
      <c r="E156">
        <v>244</v>
      </c>
      <c r="F156">
        <v>-52</v>
      </c>
      <c r="G156">
        <v>-125</v>
      </c>
      <c r="H156">
        <v>380</v>
      </c>
      <c r="I156">
        <v>145</v>
      </c>
      <c r="J156">
        <v>780</v>
      </c>
      <c r="K156">
        <v>-754</v>
      </c>
    </row>
    <row r="157" spans="2:11" x14ac:dyDescent="0.25">
      <c r="B157">
        <v>-302</v>
      </c>
      <c r="C157">
        <v>267</v>
      </c>
      <c r="D157">
        <v>122</v>
      </c>
      <c r="E157">
        <v>-329</v>
      </c>
      <c r="F157">
        <v>171</v>
      </c>
      <c r="G157">
        <v>0</v>
      </c>
      <c r="H157">
        <v>-236</v>
      </c>
      <c r="I157">
        <v>-418</v>
      </c>
      <c r="J157">
        <v>-23</v>
      </c>
      <c r="K157">
        <v>-182</v>
      </c>
    </row>
    <row r="158" spans="2:11" x14ac:dyDescent="0.25">
      <c r="B158">
        <v>38</v>
      </c>
      <c r="C158">
        <v>843</v>
      </c>
      <c r="D158">
        <v>367</v>
      </c>
      <c r="E158">
        <v>-44</v>
      </c>
      <c r="F158">
        <v>21</v>
      </c>
      <c r="G158">
        <v>165</v>
      </c>
      <c r="H158">
        <v>-67</v>
      </c>
      <c r="I158">
        <v>-203</v>
      </c>
      <c r="J158">
        <v>331</v>
      </c>
      <c r="K158">
        <v>1106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-39516</v>
      </c>
      <c r="E164">
        <v>-20630</v>
      </c>
      <c r="F164">
        <v>-15401</v>
      </c>
      <c r="G164">
        <v>-21737</v>
      </c>
      <c r="H164">
        <v>-4342</v>
      </c>
      <c r="I164">
        <v>8825</v>
      </c>
      <c r="J164">
        <v>17967</v>
      </c>
      <c r="K164">
        <v>3076</v>
      </c>
    </row>
    <row r="165" spans="2:11" x14ac:dyDescent="0.25">
      <c r="B165">
        <v>7793</v>
      </c>
      <c r="C165">
        <v>2275</v>
      </c>
      <c r="D165">
        <v>5019</v>
      </c>
      <c r="E165">
        <v>-660</v>
      </c>
      <c r="F165">
        <v>6015</v>
      </c>
      <c r="G165">
        <v>40</v>
      </c>
      <c r="H165">
        <v>244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-1165</v>
      </c>
      <c r="D166">
        <v>-1939</v>
      </c>
      <c r="E166">
        <v>482</v>
      </c>
      <c r="F166">
        <v>-3544</v>
      </c>
      <c r="G166">
        <v>3897</v>
      </c>
      <c r="H166">
        <v>-906</v>
      </c>
      <c r="I166">
        <v>4013</v>
      </c>
      <c r="J166">
        <v>392</v>
      </c>
      <c r="K166">
        <v>1210</v>
      </c>
    </row>
    <row r="167" spans="2:11" x14ac:dyDescent="0.25">
      <c r="B167">
        <v>-706</v>
      </c>
      <c r="C167">
        <v>-1574</v>
      </c>
      <c r="D167">
        <v>1104</v>
      </c>
      <c r="E167">
        <v>2081</v>
      </c>
      <c r="F167">
        <v>-16</v>
      </c>
      <c r="G167">
        <v>115</v>
      </c>
      <c r="H167">
        <v>0</v>
      </c>
      <c r="I167">
        <v>0</v>
      </c>
      <c r="J167">
        <v>0</v>
      </c>
      <c r="K167">
        <v>23746</v>
      </c>
    </row>
    <row r="168" spans="2:11" x14ac:dyDescent="0.25">
      <c r="B168">
        <v>0</v>
      </c>
      <c r="C168">
        <v>6734</v>
      </c>
      <c r="D168">
        <v>5183</v>
      </c>
      <c r="E168">
        <v>-15946</v>
      </c>
      <c r="F168">
        <v>12561</v>
      </c>
      <c r="G168">
        <v>5863</v>
      </c>
      <c r="H168">
        <v>-4009</v>
      </c>
      <c r="I168">
        <v>-14</v>
      </c>
      <c r="J168">
        <v>221</v>
      </c>
      <c r="K168">
        <v>-2240</v>
      </c>
    </row>
    <row r="169" spans="2:11" x14ac:dyDescent="0.25">
      <c r="B169">
        <v>-2835</v>
      </c>
      <c r="C169">
        <v>-3514</v>
      </c>
      <c r="D169">
        <v>-746</v>
      </c>
      <c r="E169">
        <v>-1597</v>
      </c>
      <c r="F169">
        <v>-281</v>
      </c>
      <c r="G169">
        <v>-74</v>
      </c>
      <c r="H169">
        <v>0</v>
      </c>
      <c r="I169">
        <v>0</v>
      </c>
      <c r="J169">
        <v>0</v>
      </c>
      <c r="K169">
        <v>12307</v>
      </c>
    </row>
    <row r="170" spans="2:11" x14ac:dyDescent="0.25">
      <c r="B170">
        <v>-45226</v>
      </c>
      <c r="C170">
        <v>0</v>
      </c>
      <c r="D170">
        <v>-5097</v>
      </c>
      <c r="E170">
        <v>-23128</v>
      </c>
      <c r="F170">
        <v>2054</v>
      </c>
      <c r="G170">
        <v>-23646</v>
      </c>
      <c r="H170">
        <v>10173</v>
      </c>
      <c r="I170">
        <v>-6955</v>
      </c>
      <c r="J170">
        <v>5675</v>
      </c>
      <c r="K170">
        <v>-249</v>
      </c>
    </row>
    <row r="171" spans="2:11" x14ac:dyDescent="0.25">
      <c r="B171">
        <v>-9386</v>
      </c>
      <c r="C171">
        <v>-530</v>
      </c>
      <c r="D171">
        <v>-5108</v>
      </c>
      <c r="E171">
        <v>-698</v>
      </c>
      <c r="F171">
        <v>-2477</v>
      </c>
      <c r="G171">
        <v>95</v>
      </c>
      <c r="H171">
        <v>133</v>
      </c>
      <c r="I171">
        <v>0</v>
      </c>
      <c r="J171">
        <v>0</v>
      </c>
      <c r="K171">
        <v>0</v>
      </c>
    </row>
    <row r="172" spans="2:11" x14ac:dyDescent="0.25">
      <c r="B172">
        <v>68354</v>
      </c>
      <c r="C172">
        <v>26976</v>
      </c>
      <c r="D172">
        <v>-22180</v>
      </c>
      <c r="E172">
        <v>0</v>
      </c>
      <c r="F172">
        <v>838</v>
      </c>
      <c r="G172">
        <v>603</v>
      </c>
      <c r="H172">
        <v>1608</v>
      </c>
      <c r="I172">
        <v>132</v>
      </c>
      <c r="J172">
        <v>-94</v>
      </c>
      <c r="K172">
        <v>-144</v>
      </c>
    </row>
    <row r="173" spans="2:11" x14ac:dyDescent="0.25">
      <c r="B173">
        <v>779</v>
      </c>
      <c r="C173">
        <v>543</v>
      </c>
      <c r="D173">
        <v>-273</v>
      </c>
      <c r="E173">
        <v>516</v>
      </c>
      <c r="F173">
        <v>-628</v>
      </c>
      <c r="G173">
        <v>630</v>
      </c>
      <c r="H173">
        <v>8</v>
      </c>
      <c r="I173">
        <v>648</v>
      </c>
      <c r="J173">
        <v>416</v>
      </c>
      <c r="K173">
        <v>0</v>
      </c>
    </row>
    <row r="174" spans="2:11" x14ac:dyDescent="0.25">
      <c r="B174">
        <v>0</v>
      </c>
      <c r="C174">
        <v>0</v>
      </c>
      <c r="D174">
        <v>2384</v>
      </c>
      <c r="E174">
        <v>1745</v>
      </c>
      <c r="F174">
        <v>4996</v>
      </c>
      <c r="G174">
        <v>532</v>
      </c>
      <c r="H174">
        <v>0</v>
      </c>
      <c r="I174">
        <v>-987</v>
      </c>
      <c r="J174">
        <v>-755</v>
      </c>
      <c r="K174">
        <v>-1369</v>
      </c>
    </row>
    <row r="175" spans="2:11" x14ac:dyDescent="0.25">
      <c r="B175">
        <v>412</v>
      </c>
      <c r="C175">
        <v>-1791</v>
      </c>
      <c r="D175">
        <v>-377</v>
      </c>
      <c r="E175">
        <v>983</v>
      </c>
      <c r="F175">
        <v>398</v>
      </c>
      <c r="G175">
        <v>1891</v>
      </c>
      <c r="H175">
        <v>-1138</v>
      </c>
      <c r="I175">
        <v>-452</v>
      </c>
      <c r="J175">
        <v>1825</v>
      </c>
      <c r="K175">
        <v>4052</v>
      </c>
    </row>
    <row r="176" spans="2:11" x14ac:dyDescent="0.25">
      <c r="B176">
        <v>-1143</v>
      </c>
      <c r="C176">
        <v>-870</v>
      </c>
      <c r="D176">
        <v>0</v>
      </c>
      <c r="E176">
        <v>0</v>
      </c>
      <c r="F176">
        <v>0</v>
      </c>
      <c r="G176">
        <v>3024</v>
      </c>
      <c r="H176">
        <v>-3993</v>
      </c>
      <c r="I176">
        <v>999</v>
      </c>
      <c r="J176">
        <v>661</v>
      </c>
      <c r="K176">
        <v>-19148</v>
      </c>
    </row>
    <row r="177" spans="2:11" x14ac:dyDescent="0.25">
      <c r="B177">
        <v>0</v>
      </c>
      <c r="C177">
        <v>-6177</v>
      </c>
      <c r="D177">
        <v>-5108</v>
      </c>
      <c r="E177">
        <v>-4090</v>
      </c>
      <c r="F177">
        <v>-3073</v>
      </c>
      <c r="G177">
        <v>-4557</v>
      </c>
      <c r="H177">
        <v>-564</v>
      </c>
      <c r="I177">
        <v>17695</v>
      </c>
      <c r="J177">
        <v>2270</v>
      </c>
      <c r="K177">
        <v>6684</v>
      </c>
    </row>
    <row r="178" spans="2:11" x14ac:dyDescent="0.25">
      <c r="B178">
        <v>-7152</v>
      </c>
      <c r="C178">
        <v>-4316</v>
      </c>
      <c r="D178">
        <v>488</v>
      </c>
      <c r="E178">
        <v>69</v>
      </c>
      <c r="F178">
        <v>602</v>
      </c>
      <c r="G178">
        <v>2127</v>
      </c>
      <c r="H178">
        <v>0</v>
      </c>
      <c r="I178">
        <v>0</v>
      </c>
      <c r="J178">
        <v>0</v>
      </c>
      <c r="K178">
        <v>5107</v>
      </c>
    </row>
    <row r="179" spans="2:11" x14ac:dyDescent="0.25">
      <c r="B179">
        <v>966</v>
      </c>
      <c r="C179">
        <v>-46</v>
      </c>
      <c r="D179">
        <v>2037</v>
      </c>
      <c r="E179">
        <v>-2</v>
      </c>
      <c r="F179">
        <v>477</v>
      </c>
      <c r="G179">
        <v>0</v>
      </c>
      <c r="H179">
        <v>5768</v>
      </c>
      <c r="I179">
        <v>1305</v>
      </c>
      <c r="J179">
        <v>2306</v>
      </c>
      <c r="K179">
        <v>413</v>
      </c>
    </row>
    <row r="180" spans="2:11" x14ac:dyDescent="0.25">
      <c r="B180">
        <v>2989</v>
      </c>
      <c r="C180">
        <v>-6243</v>
      </c>
      <c r="D180">
        <v>2928</v>
      </c>
      <c r="E180">
        <v>-51</v>
      </c>
      <c r="F180">
        <v>-57</v>
      </c>
      <c r="G180">
        <v>-3901</v>
      </c>
      <c r="H180">
        <v>-1802</v>
      </c>
      <c r="I180">
        <v>869</v>
      </c>
      <c r="J180">
        <v>-350</v>
      </c>
      <c r="K180">
        <v>847</v>
      </c>
    </row>
    <row r="181" spans="2:11" x14ac:dyDescent="0.25">
      <c r="B181">
        <v>940</v>
      </c>
      <c r="C181">
        <v>0</v>
      </c>
      <c r="D181">
        <v>0</v>
      </c>
      <c r="E181">
        <v>0</v>
      </c>
      <c r="F181">
        <v>-1695</v>
      </c>
      <c r="G181">
        <v>185</v>
      </c>
      <c r="H181">
        <v>415</v>
      </c>
      <c r="I181">
        <v>836</v>
      </c>
      <c r="J181">
        <v>175</v>
      </c>
      <c r="K181">
        <v>-339</v>
      </c>
    </row>
    <row r="182" spans="2:11" x14ac:dyDescent="0.25">
      <c r="B182">
        <v>24569</v>
      </c>
      <c r="C182">
        <v>0</v>
      </c>
      <c r="D182">
        <v>16644</v>
      </c>
      <c r="E182">
        <v>7130</v>
      </c>
      <c r="F182">
        <v>-13002</v>
      </c>
      <c r="G182">
        <v>17312</v>
      </c>
      <c r="H182">
        <v>5964</v>
      </c>
      <c r="I182">
        <v>-10469</v>
      </c>
      <c r="J182">
        <v>2876</v>
      </c>
      <c r="K182">
        <v>-586</v>
      </c>
    </row>
    <row r="183" spans="2:11" x14ac:dyDescent="0.25">
      <c r="B183">
        <v>-7383</v>
      </c>
      <c r="C183">
        <v>-5986</v>
      </c>
      <c r="D183">
        <v>-4485</v>
      </c>
      <c r="E183">
        <v>-138</v>
      </c>
      <c r="F183">
        <v>-2653</v>
      </c>
      <c r="G183">
        <v>-426</v>
      </c>
      <c r="H183">
        <v>752</v>
      </c>
      <c r="I183">
        <v>0</v>
      </c>
      <c r="J183">
        <v>0</v>
      </c>
      <c r="K183">
        <v>0</v>
      </c>
    </row>
    <row r="184" spans="2:11" x14ac:dyDescent="0.25">
      <c r="B184">
        <v>-6594</v>
      </c>
      <c r="C184">
        <v>-355</v>
      </c>
      <c r="D184">
        <v>5682</v>
      </c>
      <c r="E184">
        <v>-1029</v>
      </c>
      <c r="F184">
        <v>-122</v>
      </c>
      <c r="G184">
        <v>-88</v>
      </c>
      <c r="H184">
        <v>32012</v>
      </c>
      <c r="I184">
        <v>-32900</v>
      </c>
      <c r="J184">
        <v>0</v>
      </c>
      <c r="K184">
        <v>10764</v>
      </c>
    </row>
    <row r="185" spans="2:11" x14ac:dyDescent="0.25">
      <c r="B185">
        <v>-17727</v>
      </c>
      <c r="C185">
        <v>9114</v>
      </c>
      <c r="D185">
        <v>-18906</v>
      </c>
      <c r="E185">
        <v>12416</v>
      </c>
      <c r="F185">
        <v>-13823</v>
      </c>
      <c r="G185">
        <v>4345</v>
      </c>
      <c r="H185">
        <v>-80</v>
      </c>
      <c r="I185">
        <v>-17401</v>
      </c>
      <c r="J185">
        <v>-6714</v>
      </c>
      <c r="K185">
        <v>-10504</v>
      </c>
    </row>
    <row r="186" spans="2:11" x14ac:dyDescent="0.25">
      <c r="B186">
        <v>-1379</v>
      </c>
      <c r="C186">
        <v>-5409</v>
      </c>
      <c r="D186">
        <v>732</v>
      </c>
      <c r="E186">
        <v>1016</v>
      </c>
      <c r="F186">
        <v>0</v>
      </c>
      <c r="G186">
        <v>0</v>
      </c>
      <c r="H186">
        <v>0</v>
      </c>
      <c r="I186">
        <v>-2844</v>
      </c>
      <c r="J186">
        <v>865</v>
      </c>
      <c r="K186">
        <v>-356</v>
      </c>
    </row>
    <row r="187" spans="2:11" x14ac:dyDescent="0.25">
      <c r="B187">
        <v>10588</v>
      </c>
      <c r="C187">
        <v>67</v>
      </c>
      <c r="D187">
        <v>-599</v>
      </c>
      <c r="E187">
        <v>56363</v>
      </c>
      <c r="F187">
        <v>24733</v>
      </c>
      <c r="G187">
        <v>-15402</v>
      </c>
      <c r="H187">
        <v>0</v>
      </c>
      <c r="I187">
        <v>24445</v>
      </c>
      <c r="J187">
        <v>9436</v>
      </c>
      <c r="K187">
        <v>8196</v>
      </c>
    </row>
    <row r="188" spans="2:11" x14ac:dyDescent="0.25">
      <c r="B188">
        <v>13013</v>
      </c>
      <c r="C188">
        <v>105</v>
      </c>
      <c r="D188">
        <v>-10300</v>
      </c>
      <c r="E188">
        <v>9017</v>
      </c>
      <c r="F188">
        <v>-768</v>
      </c>
      <c r="G188">
        <v>-6472</v>
      </c>
      <c r="H188">
        <v>-8509</v>
      </c>
      <c r="I188">
        <v>-6960</v>
      </c>
      <c r="J188">
        <v>-1199</v>
      </c>
      <c r="K188">
        <v>-4235</v>
      </c>
    </row>
    <row r="189" spans="2:11" x14ac:dyDescent="0.25">
      <c r="B189">
        <v>303</v>
      </c>
      <c r="C189">
        <v>1564</v>
      </c>
      <c r="D189">
        <v>0</v>
      </c>
      <c r="E189">
        <v>0</v>
      </c>
      <c r="F189">
        <v>0</v>
      </c>
      <c r="G189">
        <v>-11341</v>
      </c>
      <c r="H189">
        <v>-573</v>
      </c>
      <c r="I189">
        <v>1613</v>
      </c>
      <c r="J189">
        <v>-973</v>
      </c>
      <c r="K189">
        <v>259</v>
      </c>
    </row>
    <row r="190" spans="2:11" x14ac:dyDescent="0.25">
      <c r="B190">
        <v>18</v>
      </c>
      <c r="C190">
        <v>73071</v>
      </c>
      <c r="D190">
        <v>17996</v>
      </c>
      <c r="E190">
        <v>35379</v>
      </c>
      <c r="F190">
        <v>26808</v>
      </c>
      <c r="G190">
        <v>0</v>
      </c>
      <c r="H190">
        <v>1460</v>
      </c>
      <c r="I190">
        <v>749</v>
      </c>
      <c r="J190">
        <v>629</v>
      </c>
      <c r="K190">
        <v>231</v>
      </c>
    </row>
    <row r="191" spans="2:11" x14ac:dyDescent="0.25">
      <c r="B191">
        <v>575</v>
      </c>
      <c r="C191">
        <v>-509</v>
      </c>
      <c r="D191">
        <v>-635</v>
      </c>
      <c r="E191">
        <v>-871</v>
      </c>
      <c r="F191">
        <v>-581</v>
      </c>
      <c r="G191">
        <v>-1652</v>
      </c>
      <c r="H191">
        <v>317</v>
      </c>
      <c r="I191">
        <v>1576</v>
      </c>
      <c r="J191">
        <v>51</v>
      </c>
      <c r="K191">
        <v>378</v>
      </c>
    </row>
    <row r="192" spans="2:11" x14ac:dyDescent="0.25">
      <c r="B192">
        <v>-610</v>
      </c>
      <c r="C192">
        <v>0</v>
      </c>
      <c r="D192">
        <v>0</v>
      </c>
      <c r="E192">
        <v>0</v>
      </c>
      <c r="F192">
        <v>-734</v>
      </c>
      <c r="G192">
        <v>-43</v>
      </c>
      <c r="H192">
        <v>53</v>
      </c>
      <c r="I192">
        <v>-68</v>
      </c>
      <c r="J192">
        <v>126</v>
      </c>
      <c r="K192">
        <v>-294</v>
      </c>
    </row>
    <row r="193" spans="2:11" x14ac:dyDescent="0.25">
      <c r="B193">
        <v>610</v>
      </c>
      <c r="C193">
        <v>-449</v>
      </c>
      <c r="D193">
        <v>3459</v>
      </c>
      <c r="E193">
        <v>17</v>
      </c>
      <c r="F193">
        <v>914</v>
      </c>
      <c r="G193">
        <v>0</v>
      </c>
      <c r="H193">
        <v>-917</v>
      </c>
      <c r="I193">
        <v>-565</v>
      </c>
      <c r="J193">
        <v>-820</v>
      </c>
      <c r="K193">
        <v>191</v>
      </c>
    </row>
    <row r="194" spans="2:11" x14ac:dyDescent="0.25">
      <c r="B194">
        <v>-279</v>
      </c>
      <c r="C194">
        <v>1875</v>
      </c>
      <c r="D194">
        <v>229</v>
      </c>
      <c r="E194">
        <v>60</v>
      </c>
      <c r="F194">
        <v>955</v>
      </c>
      <c r="G194">
        <v>530</v>
      </c>
      <c r="H194">
        <v>89</v>
      </c>
      <c r="I194">
        <v>-244</v>
      </c>
      <c r="J194">
        <v>2121</v>
      </c>
      <c r="K194">
        <v>-4367</v>
      </c>
    </row>
    <row r="195" spans="2:11" x14ac:dyDescent="0.25">
      <c r="B195">
        <v>-4193</v>
      </c>
      <c r="C195">
        <v>0</v>
      </c>
      <c r="D195">
        <v>0</v>
      </c>
      <c r="E195">
        <v>0</v>
      </c>
      <c r="F195">
        <v>583</v>
      </c>
      <c r="G195">
        <v>75</v>
      </c>
      <c r="H195">
        <v>92</v>
      </c>
      <c r="I195">
        <v>-180</v>
      </c>
      <c r="J195">
        <v>-870</v>
      </c>
      <c r="K195">
        <v>2243</v>
      </c>
    </row>
    <row r="196" spans="2:11" x14ac:dyDescent="0.25">
      <c r="B196">
        <v>-3862</v>
      </c>
      <c r="C196">
        <v>-1670</v>
      </c>
      <c r="D196">
        <v>-4694</v>
      </c>
      <c r="E196">
        <v>-3420</v>
      </c>
      <c r="F196">
        <v>-3887</v>
      </c>
      <c r="G196">
        <v>-28039</v>
      </c>
      <c r="H196">
        <v>0</v>
      </c>
      <c r="I196">
        <v>20</v>
      </c>
      <c r="J196">
        <v>29</v>
      </c>
      <c r="K196">
        <v>43</v>
      </c>
    </row>
    <row r="197" spans="2:11" x14ac:dyDescent="0.25">
      <c r="B197">
        <v>-343</v>
      </c>
      <c r="C197">
        <v>-436</v>
      </c>
      <c r="D197">
        <v>-1144</v>
      </c>
      <c r="E197">
        <v>995</v>
      </c>
      <c r="F197">
        <v>519</v>
      </c>
      <c r="G197">
        <v>572</v>
      </c>
      <c r="H197">
        <v>-1080</v>
      </c>
      <c r="I197">
        <v>-857</v>
      </c>
      <c r="J197">
        <v>478</v>
      </c>
      <c r="K197">
        <v>1278</v>
      </c>
    </row>
    <row r="198" spans="2:11" x14ac:dyDescent="0.25">
      <c r="B198">
        <v>1588</v>
      </c>
      <c r="C198">
        <v>2040</v>
      </c>
      <c r="D198">
        <v>0</v>
      </c>
      <c r="E198">
        <v>0</v>
      </c>
      <c r="F198">
        <v>0</v>
      </c>
      <c r="G198">
        <v>167</v>
      </c>
      <c r="H198">
        <v>91</v>
      </c>
      <c r="I198">
        <v>29</v>
      </c>
      <c r="J198">
        <v>76</v>
      </c>
      <c r="K198">
        <v>-434</v>
      </c>
    </row>
    <row r="199" spans="2:11" x14ac:dyDescent="0.25">
      <c r="B199">
        <v>1236</v>
      </c>
      <c r="C199">
        <v>3092</v>
      </c>
      <c r="D199">
        <v>-1547</v>
      </c>
      <c r="E199">
        <v>988</v>
      </c>
      <c r="F199">
        <v>1924</v>
      </c>
      <c r="G199">
        <v>3332</v>
      </c>
      <c r="H199">
        <v>-14221</v>
      </c>
      <c r="I199">
        <v>-45264</v>
      </c>
      <c r="J199">
        <v>0</v>
      </c>
      <c r="K199">
        <v>-271</v>
      </c>
    </row>
    <row r="200" spans="2:11" x14ac:dyDescent="0.25">
      <c r="B200">
        <v>352</v>
      </c>
      <c r="C200">
        <v>-329</v>
      </c>
      <c r="D200">
        <v>410</v>
      </c>
      <c r="E200">
        <v>118</v>
      </c>
      <c r="F200">
        <v>-1282</v>
      </c>
      <c r="G200">
        <v>1881</v>
      </c>
      <c r="H200">
        <v>593</v>
      </c>
      <c r="I200">
        <v>1748</v>
      </c>
      <c r="J200">
        <v>-586</v>
      </c>
      <c r="K200">
        <v>-80</v>
      </c>
    </row>
    <row r="201" spans="2:11" x14ac:dyDescent="0.25">
      <c r="B201">
        <v>-55</v>
      </c>
      <c r="C201">
        <v>1385</v>
      </c>
      <c r="D201">
        <v>-1101</v>
      </c>
      <c r="E201">
        <v>-586</v>
      </c>
      <c r="F201">
        <v>0</v>
      </c>
      <c r="G201">
        <v>0</v>
      </c>
      <c r="H201">
        <v>0</v>
      </c>
      <c r="I201">
        <v>607</v>
      </c>
      <c r="J201">
        <v>132</v>
      </c>
      <c r="K201">
        <v>-41</v>
      </c>
    </row>
    <row r="202" spans="2:11" x14ac:dyDescent="0.25">
      <c r="B202">
        <v>-57</v>
      </c>
      <c r="C202">
        <v>907</v>
      </c>
      <c r="D202">
        <v>-2200</v>
      </c>
      <c r="E202">
        <v>3826</v>
      </c>
      <c r="F202">
        <v>4201</v>
      </c>
      <c r="G202">
        <v>3713</v>
      </c>
      <c r="H202">
        <v>5164</v>
      </c>
      <c r="I202">
        <v>-1709</v>
      </c>
      <c r="J202">
        <v>-34470</v>
      </c>
      <c r="K202">
        <v>-6049</v>
      </c>
    </row>
    <row r="203" spans="2:11" x14ac:dyDescent="0.25">
      <c r="B203">
        <v>-17859</v>
      </c>
      <c r="C203">
        <v>0</v>
      </c>
      <c r="D203">
        <v>-1062</v>
      </c>
      <c r="E203">
        <v>-914</v>
      </c>
      <c r="F203">
        <v>-912</v>
      </c>
      <c r="G203">
        <v>-568</v>
      </c>
      <c r="H203">
        <v>-464</v>
      </c>
      <c r="I203">
        <v>1138</v>
      </c>
      <c r="J203">
        <v>3057</v>
      </c>
      <c r="K203">
        <v>312</v>
      </c>
    </row>
    <row r="204" spans="2:11" x14ac:dyDescent="0.25">
      <c r="B204">
        <v>1331</v>
      </c>
      <c r="C204">
        <v>-362</v>
      </c>
      <c r="D204">
        <v>-892</v>
      </c>
      <c r="E204">
        <v>-997</v>
      </c>
      <c r="F204">
        <v>1082</v>
      </c>
      <c r="G204">
        <v>-4214</v>
      </c>
      <c r="H204">
        <v>-2784</v>
      </c>
      <c r="I204">
        <v>0</v>
      </c>
      <c r="J204">
        <v>0</v>
      </c>
      <c r="K204">
        <v>0</v>
      </c>
    </row>
    <row r="205" spans="2:11" x14ac:dyDescent="0.25">
      <c r="B205">
        <v>975</v>
      </c>
      <c r="C205">
        <v>186</v>
      </c>
      <c r="D205">
        <v>45</v>
      </c>
      <c r="E205">
        <v>317</v>
      </c>
      <c r="F205">
        <v>-140</v>
      </c>
      <c r="G205">
        <v>412</v>
      </c>
      <c r="H205">
        <v>10248</v>
      </c>
      <c r="I205">
        <v>3501</v>
      </c>
      <c r="J205">
        <v>2700</v>
      </c>
      <c r="K205">
        <v>2117</v>
      </c>
    </row>
    <row r="206" spans="2:11" x14ac:dyDescent="0.25">
      <c r="B206">
        <v>6050</v>
      </c>
      <c r="C206">
        <v>-20100</v>
      </c>
      <c r="D206">
        <v>-846</v>
      </c>
      <c r="E206">
        <v>-8781</v>
      </c>
      <c r="F206">
        <v>2841</v>
      </c>
      <c r="G206">
        <v>0</v>
      </c>
      <c r="H206">
        <v>-4854</v>
      </c>
      <c r="I206">
        <v>-3651</v>
      </c>
      <c r="J206">
        <v>-3246</v>
      </c>
      <c r="K206">
        <v>-1197</v>
      </c>
    </row>
    <row r="207" spans="2:11" x14ac:dyDescent="0.25">
      <c r="B207">
        <v>-3680</v>
      </c>
      <c r="C207">
        <v>1190</v>
      </c>
      <c r="D207">
        <v>10706</v>
      </c>
      <c r="E207">
        <v>3647</v>
      </c>
      <c r="F207">
        <v>3507</v>
      </c>
      <c r="G207">
        <v>-3955</v>
      </c>
      <c r="H207">
        <v>-5795</v>
      </c>
      <c r="I207">
        <v>-575</v>
      </c>
      <c r="J207">
        <v>-567</v>
      </c>
      <c r="K207">
        <v>897</v>
      </c>
    </row>
    <row r="208" spans="2:11" x14ac:dyDescent="0.25">
      <c r="B208">
        <v>1589</v>
      </c>
      <c r="C208">
        <v>0</v>
      </c>
      <c r="D208">
        <v>0</v>
      </c>
      <c r="E208">
        <v>0</v>
      </c>
      <c r="F208">
        <v>3317</v>
      </c>
      <c r="G208">
        <v>586</v>
      </c>
      <c r="H208">
        <v>95</v>
      </c>
      <c r="I208">
        <v>1117</v>
      </c>
      <c r="J208">
        <v>-53</v>
      </c>
      <c r="K208">
        <v>473</v>
      </c>
    </row>
    <row r="209" spans="2:11" x14ac:dyDescent="0.25">
      <c r="B209">
        <v>3264</v>
      </c>
      <c r="C209">
        <v>437</v>
      </c>
      <c r="D209">
        <v>89</v>
      </c>
      <c r="E209">
        <v>805</v>
      </c>
      <c r="F209">
        <v>821</v>
      </c>
      <c r="G209">
        <v>-185</v>
      </c>
      <c r="H209">
        <v>66</v>
      </c>
      <c r="I209">
        <v>343</v>
      </c>
      <c r="J209">
        <v>216</v>
      </c>
      <c r="K209">
        <v>480</v>
      </c>
    </row>
    <row r="210" spans="2:11" x14ac:dyDescent="0.25">
      <c r="B210">
        <v>0</v>
      </c>
      <c r="C210">
        <v>6163</v>
      </c>
      <c r="D210">
        <v>1270</v>
      </c>
      <c r="E210">
        <v>2765</v>
      </c>
      <c r="F210">
        <v>938</v>
      </c>
      <c r="G210">
        <v>2908</v>
      </c>
      <c r="H210">
        <v>-4564</v>
      </c>
      <c r="I210">
        <v>1845</v>
      </c>
      <c r="J210">
        <v>227</v>
      </c>
      <c r="K210">
        <v>-1296</v>
      </c>
    </row>
    <row r="211" spans="2:11" x14ac:dyDescent="0.25">
      <c r="B211">
        <v>-2101</v>
      </c>
      <c r="C211">
        <v>-3853</v>
      </c>
      <c r="D211">
        <v>-170</v>
      </c>
      <c r="E211">
        <v>-1117</v>
      </c>
      <c r="F211">
        <v>646</v>
      </c>
      <c r="G211">
        <v>615</v>
      </c>
      <c r="H211">
        <v>0</v>
      </c>
      <c r="I211">
        <v>0</v>
      </c>
      <c r="J211">
        <v>0</v>
      </c>
      <c r="K211">
        <v>-2272</v>
      </c>
    </row>
    <row r="212" spans="2:11" x14ac:dyDescent="0.25">
      <c r="B212">
        <v>89</v>
      </c>
      <c r="C212">
        <v>415</v>
      </c>
      <c r="D212">
        <v>700</v>
      </c>
      <c r="E212">
        <v>167</v>
      </c>
      <c r="F212">
        <v>-314</v>
      </c>
      <c r="G212">
        <v>525</v>
      </c>
      <c r="H212">
        <v>792</v>
      </c>
      <c r="I212">
        <v>1377</v>
      </c>
      <c r="J212">
        <v>2169</v>
      </c>
      <c r="K212">
        <v>2412</v>
      </c>
    </row>
    <row r="213" spans="2:11" x14ac:dyDescent="0.25">
      <c r="B213">
        <v>95</v>
      </c>
      <c r="C213">
        <v>-320</v>
      </c>
      <c r="D213">
        <v>54</v>
      </c>
      <c r="E213">
        <v>173</v>
      </c>
      <c r="F213">
        <v>-32</v>
      </c>
      <c r="G213">
        <v>34286</v>
      </c>
      <c r="H213">
        <v>0</v>
      </c>
      <c r="I213">
        <v>16259</v>
      </c>
      <c r="J213">
        <v>7697</v>
      </c>
      <c r="K213">
        <v>-14089</v>
      </c>
    </row>
    <row r="214" spans="2:11" x14ac:dyDescent="0.25">
      <c r="B214">
        <v>18532</v>
      </c>
      <c r="C214">
        <v>5350</v>
      </c>
      <c r="D214">
        <v>-8725</v>
      </c>
      <c r="E214">
        <v>1004</v>
      </c>
      <c r="F214">
        <v>520</v>
      </c>
      <c r="G214">
        <v>-6171</v>
      </c>
      <c r="H214">
        <v>-4538</v>
      </c>
      <c r="I214">
        <v>-5931</v>
      </c>
      <c r="J214">
        <v>-919</v>
      </c>
      <c r="K214">
        <v>-2432</v>
      </c>
    </row>
    <row r="215" spans="2:11" x14ac:dyDescent="0.25">
      <c r="B215">
        <v>364</v>
      </c>
      <c r="C215">
        <v>1074</v>
      </c>
      <c r="D215">
        <v>0</v>
      </c>
      <c r="E215">
        <v>0</v>
      </c>
      <c r="F215">
        <v>0</v>
      </c>
      <c r="G215">
        <v>-6825</v>
      </c>
      <c r="H215">
        <v>-457</v>
      </c>
      <c r="I215">
        <v>5855</v>
      </c>
      <c r="J215">
        <v>-1619</v>
      </c>
      <c r="K215">
        <v>-93</v>
      </c>
    </row>
    <row r="216" spans="2:11" x14ac:dyDescent="0.25">
      <c r="B216">
        <v>-150</v>
      </c>
      <c r="C216">
        <v>-72</v>
      </c>
      <c r="D216">
        <v>1227</v>
      </c>
      <c r="E216">
        <v>8180</v>
      </c>
      <c r="F216">
        <v>1580</v>
      </c>
      <c r="G216">
        <v>5551</v>
      </c>
      <c r="H216">
        <v>229</v>
      </c>
      <c r="I216">
        <v>-283</v>
      </c>
      <c r="J216">
        <v>49</v>
      </c>
      <c r="K216">
        <v>60</v>
      </c>
    </row>
    <row r="217" spans="2:11" x14ac:dyDescent="0.25">
      <c r="B217">
        <v>-91</v>
      </c>
      <c r="C217">
        <v>38942</v>
      </c>
      <c r="D217">
        <v>-20783</v>
      </c>
      <c r="E217">
        <v>0</v>
      </c>
      <c r="F217">
        <v>7921</v>
      </c>
      <c r="G217">
        <v>-15801</v>
      </c>
      <c r="H217">
        <v>7041</v>
      </c>
      <c r="I217">
        <v>-16705</v>
      </c>
      <c r="J217">
        <v>10507</v>
      </c>
      <c r="K217">
        <v>-9701</v>
      </c>
    </row>
    <row r="218" spans="2:11" x14ac:dyDescent="0.25">
      <c r="B218">
        <v>2287</v>
      </c>
      <c r="C218">
        <v>-168</v>
      </c>
      <c r="D218">
        <v>-12833</v>
      </c>
      <c r="E218">
        <v>-3799</v>
      </c>
      <c r="F218">
        <v>-9613</v>
      </c>
      <c r="G218">
        <v>-1058</v>
      </c>
      <c r="H218">
        <v>-3843</v>
      </c>
      <c r="I218">
        <v>647</v>
      </c>
      <c r="J218">
        <v>758</v>
      </c>
      <c r="K218">
        <v>0</v>
      </c>
    </row>
    <row r="219" spans="2:11" x14ac:dyDescent="0.25">
      <c r="B219">
        <v>0</v>
      </c>
      <c r="C219">
        <v>0</v>
      </c>
      <c r="D219">
        <v>-1970</v>
      </c>
      <c r="E219">
        <v>755</v>
      </c>
      <c r="F219">
        <v>-396</v>
      </c>
      <c r="G219">
        <v>8906</v>
      </c>
      <c r="H219">
        <v>-32</v>
      </c>
      <c r="I219">
        <v>-262</v>
      </c>
      <c r="J219">
        <v>1130</v>
      </c>
      <c r="K219">
        <v>1584</v>
      </c>
    </row>
    <row r="220" spans="2:11" x14ac:dyDescent="0.25">
      <c r="B220">
        <v>1482</v>
      </c>
      <c r="C220">
        <v>12083</v>
      </c>
      <c r="D220">
        <v>3610</v>
      </c>
      <c r="E220">
        <v>166</v>
      </c>
      <c r="F220">
        <v>-337</v>
      </c>
      <c r="G220">
        <v>182</v>
      </c>
      <c r="H220">
        <v>-281</v>
      </c>
      <c r="I220">
        <v>112</v>
      </c>
      <c r="J220">
        <v>59823</v>
      </c>
      <c r="K220">
        <v>30658</v>
      </c>
    </row>
    <row r="221" spans="2:11" x14ac:dyDescent="0.25">
      <c r="B221">
        <v>-11348</v>
      </c>
      <c r="C221">
        <v>0</v>
      </c>
      <c r="D221">
        <v>18137</v>
      </c>
      <c r="E221">
        <v>7593</v>
      </c>
      <c r="F221">
        <v>5965</v>
      </c>
      <c r="G221">
        <v>11397</v>
      </c>
      <c r="H221">
        <v>-1161</v>
      </c>
      <c r="I221">
        <v>-5536</v>
      </c>
      <c r="J221">
        <v>4807</v>
      </c>
      <c r="K221">
        <v>-1213</v>
      </c>
    </row>
    <row r="222" spans="2:11" x14ac:dyDescent="0.25">
      <c r="B222">
        <v>-5617</v>
      </c>
      <c r="C222">
        <v>-4837</v>
      </c>
      <c r="D222">
        <v>-8073</v>
      </c>
      <c r="E222">
        <v>-1781</v>
      </c>
      <c r="F222">
        <v>-4359</v>
      </c>
      <c r="G222">
        <v>809</v>
      </c>
      <c r="H222">
        <v>1077</v>
      </c>
      <c r="I222">
        <v>0</v>
      </c>
      <c r="J222">
        <v>0</v>
      </c>
      <c r="K222">
        <v>0</v>
      </c>
    </row>
    <row r="223" spans="2:11" x14ac:dyDescent="0.25">
      <c r="B223">
        <v>-9234</v>
      </c>
      <c r="C223">
        <v>-615</v>
      </c>
      <c r="D223">
        <v>1283</v>
      </c>
      <c r="E223">
        <v>-1339</v>
      </c>
      <c r="F223">
        <v>211</v>
      </c>
      <c r="G223">
        <v>-34</v>
      </c>
      <c r="H223">
        <v>672</v>
      </c>
      <c r="I223">
        <v>1581</v>
      </c>
      <c r="J223">
        <v>4418</v>
      </c>
      <c r="K223">
        <v>3390</v>
      </c>
    </row>
    <row r="224" spans="2:11" x14ac:dyDescent="0.25">
      <c r="B224">
        <v>8145</v>
      </c>
      <c r="C224">
        <v>267</v>
      </c>
      <c r="D224">
        <v>-333</v>
      </c>
      <c r="E224">
        <v>216</v>
      </c>
      <c r="F224">
        <v>-104</v>
      </c>
      <c r="G224">
        <v>-22</v>
      </c>
      <c r="H224">
        <v>75265</v>
      </c>
      <c r="I224">
        <v>25950</v>
      </c>
      <c r="J224">
        <v>40956</v>
      </c>
      <c r="K224">
        <v>27694</v>
      </c>
    </row>
    <row r="225" spans="2:11" x14ac:dyDescent="0.25">
      <c r="B225">
        <v>0</v>
      </c>
      <c r="C225">
        <v>862</v>
      </c>
      <c r="D225">
        <v>398</v>
      </c>
      <c r="E225">
        <v>-703</v>
      </c>
      <c r="F225">
        <v>1046</v>
      </c>
      <c r="G225">
        <v>252</v>
      </c>
      <c r="H225">
        <v>5</v>
      </c>
      <c r="I225">
        <v>1100</v>
      </c>
      <c r="J225">
        <v>420</v>
      </c>
      <c r="K225">
        <v>417</v>
      </c>
    </row>
    <row r="226" spans="2:11" x14ac:dyDescent="0.25">
      <c r="B226">
        <v>-1372</v>
      </c>
      <c r="C226">
        <v>-254</v>
      </c>
      <c r="D226">
        <v>2308</v>
      </c>
      <c r="E226">
        <v>1342</v>
      </c>
      <c r="F226">
        <v>-2167</v>
      </c>
      <c r="G226">
        <v>-2326</v>
      </c>
      <c r="H226">
        <v>0</v>
      </c>
      <c r="I226">
        <v>0</v>
      </c>
      <c r="J226">
        <v>0</v>
      </c>
      <c r="K226">
        <v>-156</v>
      </c>
    </row>
    <row r="227" spans="2:11" x14ac:dyDescent="0.25">
      <c r="B227">
        <v>43</v>
      </c>
      <c r="C227">
        <v>90</v>
      </c>
      <c r="D227">
        <v>-182</v>
      </c>
      <c r="E227">
        <v>1353</v>
      </c>
      <c r="F227">
        <v>-3254</v>
      </c>
      <c r="G227">
        <v>127</v>
      </c>
      <c r="H227">
        <v>274</v>
      </c>
      <c r="I227">
        <v>361</v>
      </c>
      <c r="J227">
        <v>-75</v>
      </c>
      <c r="K227">
        <v>135</v>
      </c>
    </row>
    <row r="228" spans="2:11" x14ac:dyDescent="0.25">
      <c r="B228">
        <v>282</v>
      </c>
      <c r="C228">
        <v>-1338</v>
      </c>
      <c r="D228">
        <v>-944</v>
      </c>
      <c r="E228">
        <v>1858</v>
      </c>
      <c r="F228">
        <v>23</v>
      </c>
      <c r="G228">
        <v>4698</v>
      </c>
      <c r="H228">
        <v>5723</v>
      </c>
      <c r="I228">
        <v>4765</v>
      </c>
      <c r="J228">
        <v>5381</v>
      </c>
      <c r="K228">
        <v>2118</v>
      </c>
    </row>
    <row r="229" spans="2:11" x14ac:dyDescent="0.25">
      <c r="B229">
        <v>0</v>
      </c>
      <c r="C229">
        <v>1130</v>
      </c>
      <c r="D229">
        <v>623</v>
      </c>
      <c r="E229">
        <v>322</v>
      </c>
      <c r="F229">
        <v>482</v>
      </c>
      <c r="G229">
        <v>325</v>
      </c>
      <c r="H229">
        <v>-49</v>
      </c>
      <c r="I229">
        <v>-319</v>
      </c>
      <c r="J229">
        <v>-409</v>
      </c>
      <c r="K229">
        <v>-979</v>
      </c>
    </row>
    <row r="230" spans="2:11" x14ac:dyDescent="0.25">
      <c r="B230">
        <v>-184</v>
      </c>
      <c r="C230">
        <v>-205</v>
      </c>
      <c r="D230">
        <v>392</v>
      </c>
      <c r="E230">
        <v>915</v>
      </c>
      <c r="F230">
        <v>-108</v>
      </c>
      <c r="G230">
        <v>-448</v>
      </c>
      <c r="H230">
        <v>0</v>
      </c>
      <c r="I230">
        <v>0</v>
      </c>
      <c r="J230">
        <v>0</v>
      </c>
      <c r="K230">
        <v>-456</v>
      </c>
    </row>
    <row r="231" spans="2:11" x14ac:dyDescent="0.25">
      <c r="B231">
        <v>14</v>
      </c>
      <c r="C231">
        <v>363</v>
      </c>
      <c r="D231">
        <v>-182</v>
      </c>
      <c r="E231">
        <v>-2333</v>
      </c>
      <c r="F231">
        <v>5950</v>
      </c>
      <c r="G231">
        <v>-176</v>
      </c>
      <c r="H231">
        <v>-421</v>
      </c>
      <c r="I231">
        <v>188</v>
      </c>
      <c r="J231">
        <v>-92</v>
      </c>
      <c r="K231">
        <v>419</v>
      </c>
    </row>
    <row r="232" spans="2:11" x14ac:dyDescent="0.25">
      <c r="B232">
        <v>-366</v>
      </c>
      <c r="C232">
        <v>2761</v>
      </c>
      <c r="D232">
        <v>1553</v>
      </c>
      <c r="E232">
        <v>-3101</v>
      </c>
      <c r="F232">
        <v>303</v>
      </c>
      <c r="G232">
        <v>-5675</v>
      </c>
      <c r="H232">
        <v>-9677</v>
      </c>
      <c r="I232">
        <v>-6094</v>
      </c>
      <c r="J232">
        <v>-5461</v>
      </c>
      <c r="K232">
        <v>-6687</v>
      </c>
    </row>
    <row r="233" spans="2:11" x14ac:dyDescent="0.25">
      <c r="B233">
        <v>-31916</v>
      </c>
      <c r="C233">
        <v>0</v>
      </c>
      <c r="D233">
        <v>-2658</v>
      </c>
      <c r="E233">
        <v>-1567</v>
      </c>
      <c r="F233">
        <v>-2934</v>
      </c>
      <c r="G233">
        <v>-66</v>
      </c>
      <c r="H233">
        <v>-227</v>
      </c>
      <c r="I233">
        <v>3887</v>
      </c>
      <c r="J233">
        <v>10416</v>
      </c>
      <c r="K233">
        <v>770</v>
      </c>
    </row>
    <row r="234" spans="2:11" x14ac:dyDescent="0.25">
      <c r="B234">
        <v>4727</v>
      </c>
      <c r="C234">
        <v>-169</v>
      </c>
      <c r="D234">
        <v>-996</v>
      </c>
      <c r="E234">
        <v>-1222</v>
      </c>
      <c r="F234">
        <v>884</v>
      </c>
      <c r="G234">
        <v>860</v>
      </c>
      <c r="H234">
        <v>3698</v>
      </c>
      <c r="I234">
        <v>0</v>
      </c>
      <c r="J234">
        <v>0</v>
      </c>
      <c r="K234">
        <v>0</v>
      </c>
    </row>
    <row r="235" spans="2:11" x14ac:dyDescent="0.25">
      <c r="B235">
        <v>3076</v>
      </c>
      <c r="C235">
        <v>578</v>
      </c>
      <c r="D235">
        <v>240</v>
      </c>
      <c r="E235">
        <v>573</v>
      </c>
      <c r="F235">
        <v>-120</v>
      </c>
      <c r="G235">
        <v>538</v>
      </c>
      <c r="H235">
        <v>2440</v>
      </c>
      <c r="I235">
        <v>144</v>
      </c>
      <c r="J235">
        <v>42</v>
      </c>
      <c r="K235">
        <v>-183</v>
      </c>
    </row>
    <row r="236" spans="2:11" x14ac:dyDescent="0.25">
      <c r="B236">
        <v>220</v>
      </c>
      <c r="C236">
        <v>-183</v>
      </c>
      <c r="D236">
        <v>169</v>
      </c>
      <c r="E236">
        <v>287</v>
      </c>
      <c r="F236">
        <v>56</v>
      </c>
      <c r="G236">
        <v>385</v>
      </c>
      <c r="H236">
        <v>1614</v>
      </c>
      <c r="I236">
        <v>36</v>
      </c>
      <c r="J236">
        <v>7</v>
      </c>
      <c r="K236">
        <v>-111</v>
      </c>
    </row>
    <row r="237" spans="2:11" x14ac:dyDescent="0.25">
      <c r="B237">
        <v>2</v>
      </c>
      <c r="C237">
        <v>-221</v>
      </c>
      <c r="D237">
        <v>359</v>
      </c>
      <c r="E237">
        <v>0</v>
      </c>
      <c r="F237">
        <v>4017</v>
      </c>
      <c r="G237">
        <v>-253</v>
      </c>
      <c r="H237">
        <v>2227</v>
      </c>
      <c r="I237">
        <v>-493</v>
      </c>
      <c r="J237">
        <v>2744</v>
      </c>
      <c r="K237">
        <v>-8939</v>
      </c>
    </row>
    <row r="238" spans="2:11" x14ac:dyDescent="0.25">
      <c r="B238">
        <v>3069</v>
      </c>
      <c r="C238">
        <v>-624</v>
      </c>
      <c r="D238">
        <v>-844</v>
      </c>
      <c r="E238">
        <v>-362</v>
      </c>
      <c r="F238">
        <v>-1420</v>
      </c>
      <c r="G238">
        <v>-133</v>
      </c>
      <c r="H238">
        <v>-168</v>
      </c>
      <c r="I238">
        <v>-635</v>
      </c>
      <c r="J238">
        <v>2894</v>
      </c>
      <c r="K238">
        <v>0</v>
      </c>
    </row>
    <row r="239" spans="2:11" x14ac:dyDescent="0.25">
      <c r="B239">
        <v>0</v>
      </c>
      <c r="C239">
        <v>0</v>
      </c>
      <c r="D239">
        <v>-764</v>
      </c>
      <c r="E239">
        <v>241</v>
      </c>
      <c r="F239">
        <v>211</v>
      </c>
      <c r="G239">
        <v>1234</v>
      </c>
      <c r="H239">
        <v>37</v>
      </c>
      <c r="I239">
        <v>-22</v>
      </c>
      <c r="J239">
        <v>788</v>
      </c>
      <c r="K239">
        <v>877</v>
      </c>
    </row>
    <row r="240" spans="2:11" x14ac:dyDescent="0.25">
      <c r="B240">
        <v>1074</v>
      </c>
      <c r="C240">
        <v>2121</v>
      </c>
      <c r="D240">
        <v>1760</v>
      </c>
      <c r="E240">
        <v>16</v>
      </c>
      <c r="F240">
        <v>-320</v>
      </c>
      <c r="G240">
        <v>182</v>
      </c>
      <c r="H240">
        <v>109</v>
      </c>
      <c r="I240">
        <v>-86</v>
      </c>
      <c r="J240">
        <v>321</v>
      </c>
      <c r="K240">
        <v>686</v>
      </c>
    </row>
    <row r="241" spans="2:11" x14ac:dyDescent="0.25">
      <c r="B241">
        <v>807</v>
      </c>
      <c r="C241">
        <v>1536</v>
      </c>
      <c r="D241">
        <v>1049</v>
      </c>
      <c r="E241">
        <v>-130</v>
      </c>
      <c r="F241">
        <v>51</v>
      </c>
      <c r="G241">
        <v>36353</v>
      </c>
      <c r="H241">
        <v>0</v>
      </c>
      <c r="I241">
        <v>13905</v>
      </c>
      <c r="J241">
        <v>7272</v>
      </c>
      <c r="K241">
        <v>-9382</v>
      </c>
    </row>
    <row r="242" spans="2:11" x14ac:dyDescent="0.25">
      <c r="B242">
        <v>14491</v>
      </c>
      <c r="C242">
        <v>4956</v>
      </c>
      <c r="D242">
        <v>-14163</v>
      </c>
      <c r="E242">
        <v>-744</v>
      </c>
      <c r="F242">
        <v>-980</v>
      </c>
      <c r="G242">
        <v>-4782</v>
      </c>
      <c r="H242">
        <v>-2297</v>
      </c>
      <c r="I242">
        <v>-2482</v>
      </c>
      <c r="J242">
        <v>-965</v>
      </c>
      <c r="K242">
        <v>-1787</v>
      </c>
    </row>
    <row r="243" spans="2:11" x14ac:dyDescent="0.25">
      <c r="B243">
        <v>1073</v>
      </c>
      <c r="C243">
        <v>1401</v>
      </c>
      <c r="D243">
        <v>0</v>
      </c>
      <c r="E243">
        <v>0</v>
      </c>
      <c r="F243">
        <v>0</v>
      </c>
      <c r="G243">
        <v>-5767</v>
      </c>
      <c r="H243">
        <v>-409</v>
      </c>
      <c r="I243">
        <v>4449</v>
      </c>
      <c r="J243">
        <v>-1268</v>
      </c>
      <c r="K243">
        <v>-96</v>
      </c>
    </row>
    <row r="244" spans="2:11" x14ac:dyDescent="0.25">
      <c r="B244">
        <v>-138</v>
      </c>
      <c r="C244">
        <v>-397</v>
      </c>
      <c r="D244">
        <v>1303</v>
      </c>
      <c r="E244">
        <v>6521</v>
      </c>
      <c r="F244">
        <v>1349</v>
      </c>
      <c r="G244">
        <v>4492</v>
      </c>
      <c r="H244">
        <v>196</v>
      </c>
      <c r="I244">
        <v>-464</v>
      </c>
      <c r="J244">
        <v>111</v>
      </c>
      <c r="K244">
        <v>41</v>
      </c>
    </row>
    <row r="245" spans="2:11" x14ac:dyDescent="0.25">
      <c r="B245">
        <v>-342</v>
      </c>
      <c r="C245">
        <v>-384</v>
      </c>
      <c r="D245">
        <v>1166</v>
      </c>
      <c r="E245">
        <v>6433</v>
      </c>
      <c r="F245">
        <v>688</v>
      </c>
      <c r="G245">
        <v>3286</v>
      </c>
      <c r="H245">
        <v>70</v>
      </c>
      <c r="I245">
        <v>176</v>
      </c>
      <c r="J245">
        <v>23630</v>
      </c>
      <c r="K245">
        <v>-33681</v>
      </c>
    </row>
    <row r="246" spans="2:11" x14ac:dyDescent="0.25">
      <c r="B246">
        <v>0</v>
      </c>
      <c r="C246">
        <v>8629</v>
      </c>
      <c r="D246">
        <v>-16852</v>
      </c>
      <c r="E246">
        <v>6295</v>
      </c>
      <c r="F246">
        <v>-17284</v>
      </c>
      <c r="G246">
        <v>12611</v>
      </c>
      <c r="H246">
        <v>-17722</v>
      </c>
      <c r="I246">
        <v>803</v>
      </c>
      <c r="J246">
        <v>-729</v>
      </c>
      <c r="K246">
        <v>-13118</v>
      </c>
    </row>
    <row r="247" spans="2:11" x14ac:dyDescent="0.25">
      <c r="B247">
        <v>-1955</v>
      </c>
      <c r="C247">
        <v>-6576</v>
      </c>
      <c r="D247">
        <v>-520</v>
      </c>
      <c r="E247">
        <v>-3129</v>
      </c>
      <c r="F247">
        <v>-309</v>
      </c>
      <c r="G247">
        <v>827</v>
      </c>
      <c r="H247">
        <v>0</v>
      </c>
      <c r="I247">
        <v>0</v>
      </c>
      <c r="J247">
        <v>0</v>
      </c>
      <c r="K247">
        <v>-1702</v>
      </c>
    </row>
    <row r="248" spans="2:11" x14ac:dyDescent="0.25">
      <c r="B248">
        <v>822</v>
      </c>
      <c r="C248">
        <v>-122</v>
      </c>
      <c r="D248">
        <v>9614</v>
      </c>
      <c r="E248">
        <v>-93</v>
      </c>
      <c r="F248">
        <v>-281</v>
      </c>
      <c r="G248">
        <v>780</v>
      </c>
      <c r="H248">
        <v>1885</v>
      </c>
      <c r="I248">
        <v>1916</v>
      </c>
      <c r="J248">
        <v>12605</v>
      </c>
      <c r="K248">
        <v>3272</v>
      </c>
    </row>
    <row r="249" spans="2:11" x14ac:dyDescent="0.25">
      <c r="B249">
        <v>171</v>
      </c>
      <c r="C249">
        <v>-478</v>
      </c>
      <c r="D249">
        <v>189</v>
      </c>
      <c r="E249">
        <v>-236</v>
      </c>
      <c r="F249">
        <v>-63</v>
      </c>
      <c r="G249">
        <v>156</v>
      </c>
      <c r="H249">
        <v>1744</v>
      </c>
      <c r="I249">
        <v>1208</v>
      </c>
      <c r="J249">
        <v>10282</v>
      </c>
      <c r="K249">
        <v>1833</v>
      </c>
    </row>
    <row r="250" spans="2:11" x14ac:dyDescent="0.25">
      <c r="B250">
        <v>-320</v>
      </c>
      <c r="C250">
        <v>213</v>
      </c>
      <c r="D250">
        <v>42394</v>
      </c>
      <c r="E250">
        <v>28094</v>
      </c>
      <c r="F250">
        <v>-30450</v>
      </c>
      <c r="G250">
        <v>0</v>
      </c>
      <c r="H250">
        <v>22203</v>
      </c>
      <c r="I250">
        <v>9692</v>
      </c>
      <c r="J250">
        <v>6680</v>
      </c>
      <c r="K250">
        <v>14170</v>
      </c>
    </row>
    <row r="251" spans="2:11" x14ac:dyDescent="0.25">
      <c r="B251">
        <v>1117</v>
      </c>
      <c r="C251">
        <v>-6657</v>
      </c>
      <c r="D251">
        <v>2871</v>
      </c>
      <c r="E251">
        <v>-1312</v>
      </c>
      <c r="F251">
        <v>-7234</v>
      </c>
      <c r="G251">
        <v>-935</v>
      </c>
      <c r="H251">
        <v>-3078</v>
      </c>
      <c r="I251">
        <v>-3161</v>
      </c>
      <c r="J251">
        <v>-2977</v>
      </c>
      <c r="K251">
        <v>908</v>
      </c>
    </row>
    <row r="252" spans="2:11" x14ac:dyDescent="0.25">
      <c r="B252">
        <v>2155</v>
      </c>
      <c r="C252">
        <v>0</v>
      </c>
      <c r="D252">
        <v>0</v>
      </c>
      <c r="E252">
        <v>0</v>
      </c>
      <c r="F252">
        <v>-10875</v>
      </c>
      <c r="G252">
        <v>-847</v>
      </c>
      <c r="H252">
        <v>1572</v>
      </c>
      <c r="I252">
        <v>-2016</v>
      </c>
      <c r="J252">
        <v>197</v>
      </c>
      <c r="K252">
        <v>-81</v>
      </c>
    </row>
    <row r="253" spans="2:11" x14ac:dyDescent="0.25">
      <c r="B253">
        <v>-544</v>
      </c>
      <c r="C253">
        <v>1475</v>
      </c>
      <c r="D253">
        <v>4975</v>
      </c>
      <c r="E253">
        <v>2932</v>
      </c>
      <c r="F253">
        <v>8358</v>
      </c>
      <c r="G253">
        <v>299</v>
      </c>
      <c r="H253">
        <v>-345</v>
      </c>
      <c r="I253">
        <v>142</v>
      </c>
      <c r="J253">
        <v>-247</v>
      </c>
      <c r="K253">
        <v>-232</v>
      </c>
    </row>
    <row r="254" spans="2:11" x14ac:dyDescent="0.25">
      <c r="B254">
        <v>-431</v>
      </c>
      <c r="C254">
        <v>1664</v>
      </c>
      <c r="D254">
        <v>4819</v>
      </c>
      <c r="E254">
        <v>1941</v>
      </c>
      <c r="F254">
        <v>6431</v>
      </c>
      <c r="G254">
        <v>-57</v>
      </c>
      <c r="H254">
        <v>525</v>
      </c>
      <c r="I254">
        <v>66459</v>
      </c>
      <c r="J254">
        <v>24097</v>
      </c>
      <c r="K254">
        <v>27746</v>
      </c>
    </row>
    <row r="255" spans="2:11" x14ac:dyDescent="0.25">
      <c r="B255">
        <v>3114</v>
      </c>
      <c r="C255">
        <v>0</v>
      </c>
      <c r="D255">
        <v>-238</v>
      </c>
      <c r="E255">
        <v>-216</v>
      </c>
      <c r="F255">
        <v>-963</v>
      </c>
      <c r="G255">
        <v>120</v>
      </c>
      <c r="H255">
        <v>-104</v>
      </c>
      <c r="I255">
        <v>1470</v>
      </c>
      <c r="J255">
        <v>2455</v>
      </c>
      <c r="K255">
        <v>1611</v>
      </c>
    </row>
    <row r="256" spans="2:11" x14ac:dyDescent="0.25">
      <c r="B256">
        <v>374</v>
      </c>
      <c r="C256">
        <v>-750</v>
      </c>
      <c r="D256">
        <v>142</v>
      </c>
      <c r="E256">
        <v>371</v>
      </c>
      <c r="F256">
        <v>1770</v>
      </c>
      <c r="G256">
        <v>-2106</v>
      </c>
      <c r="H256">
        <v>-3776</v>
      </c>
      <c r="I256">
        <v>0</v>
      </c>
      <c r="J256">
        <v>0</v>
      </c>
      <c r="K256">
        <v>0</v>
      </c>
    </row>
    <row r="257" spans="2:11" x14ac:dyDescent="0.25">
      <c r="B257">
        <v>629</v>
      </c>
      <c r="C257">
        <v>150</v>
      </c>
      <c r="D257">
        <v>243</v>
      </c>
      <c r="E257">
        <v>3</v>
      </c>
      <c r="F257">
        <v>-991</v>
      </c>
      <c r="G257">
        <v>2640</v>
      </c>
      <c r="H257">
        <v>425</v>
      </c>
      <c r="I257">
        <v>-244</v>
      </c>
      <c r="J257">
        <v>77</v>
      </c>
      <c r="K257">
        <v>-191</v>
      </c>
    </row>
    <row r="258" spans="2:11" x14ac:dyDescent="0.25">
      <c r="B258">
        <v>95</v>
      </c>
      <c r="C258">
        <v>-162</v>
      </c>
      <c r="D258">
        <v>1477</v>
      </c>
      <c r="E258">
        <v>581</v>
      </c>
      <c r="F258">
        <v>-1169</v>
      </c>
      <c r="G258">
        <v>462</v>
      </c>
      <c r="H258">
        <v>377</v>
      </c>
      <c r="I258">
        <v>-200</v>
      </c>
      <c r="J258">
        <v>14</v>
      </c>
      <c r="K258">
        <v>-37</v>
      </c>
    </row>
    <row r="259" spans="2:11" x14ac:dyDescent="0.25">
      <c r="B259">
        <v>13</v>
      </c>
      <c r="C259">
        <v>-1649</v>
      </c>
      <c r="D259">
        <v>3290</v>
      </c>
      <c r="E259">
        <v>8096</v>
      </c>
      <c r="F259">
        <v>4364</v>
      </c>
      <c r="G259">
        <v>-1295</v>
      </c>
      <c r="H259">
        <v>3616</v>
      </c>
      <c r="I259">
        <v>3460</v>
      </c>
      <c r="J259">
        <v>0</v>
      </c>
      <c r="K259">
        <v>-7222</v>
      </c>
    </row>
    <row r="260" spans="2:11" x14ac:dyDescent="0.25">
      <c r="B260">
        <v>-3813</v>
      </c>
      <c r="C260">
        <v>-1231</v>
      </c>
      <c r="D260">
        <v>-3000</v>
      </c>
      <c r="E260">
        <v>-2608</v>
      </c>
      <c r="F260">
        <v>1357</v>
      </c>
      <c r="G260">
        <v>18215</v>
      </c>
      <c r="H260">
        <v>4637</v>
      </c>
      <c r="I260">
        <v>4101</v>
      </c>
      <c r="J260">
        <v>-10485</v>
      </c>
      <c r="K260">
        <v>-9863</v>
      </c>
    </row>
    <row r="261" spans="2:11" x14ac:dyDescent="0.25">
      <c r="B261">
        <v>255</v>
      </c>
      <c r="C261">
        <v>-1346</v>
      </c>
      <c r="D261">
        <v>-11</v>
      </c>
      <c r="E261">
        <v>53</v>
      </c>
      <c r="F261">
        <v>0</v>
      </c>
      <c r="G261">
        <v>0</v>
      </c>
      <c r="H261">
        <v>0</v>
      </c>
      <c r="I261">
        <v>5729</v>
      </c>
      <c r="J261">
        <v>1167</v>
      </c>
      <c r="K261">
        <v>-231</v>
      </c>
    </row>
    <row r="262" spans="2:11" x14ac:dyDescent="0.25">
      <c r="B262">
        <v>1918</v>
      </c>
      <c r="C262">
        <v>149</v>
      </c>
      <c r="D262">
        <v>126</v>
      </c>
      <c r="E262">
        <v>5375</v>
      </c>
      <c r="F262">
        <v>933</v>
      </c>
      <c r="G262">
        <v>-201</v>
      </c>
      <c r="H262">
        <v>1542</v>
      </c>
      <c r="I262">
        <v>1404</v>
      </c>
      <c r="J262">
        <v>-181</v>
      </c>
      <c r="K262">
        <v>-55</v>
      </c>
    </row>
    <row r="263" spans="2:11" x14ac:dyDescent="0.25">
      <c r="B263">
        <v>344</v>
      </c>
      <c r="C263">
        <v>746</v>
      </c>
      <c r="D263">
        <v>858</v>
      </c>
      <c r="E263">
        <v>3660</v>
      </c>
      <c r="F263">
        <v>639</v>
      </c>
      <c r="G263">
        <v>-452</v>
      </c>
      <c r="H263">
        <v>1014</v>
      </c>
      <c r="I263">
        <v>718</v>
      </c>
      <c r="J263">
        <v>392</v>
      </c>
      <c r="K263">
        <v>-571</v>
      </c>
    </row>
    <row r="264" spans="2:11" x14ac:dyDescent="0.25">
      <c r="B264">
        <v>2448</v>
      </c>
      <c r="C264">
        <v>621</v>
      </c>
      <c r="D264">
        <v>-940</v>
      </c>
      <c r="E264">
        <v>275</v>
      </c>
      <c r="F264">
        <v>-912</v>
      </c>
      <c r="G264">
        <v>377</v>
      </c>
      <c r="H264">
        <v>0</v>
      </c>
      <c r="I264">
        <v>6400</v>
      </c>
      <c r="J264">
        <v>1048</v>
      </c>
      <c r="K264">
        <v>3957</v>
      </c>
    </row>
    <row r="265" spans="2:11" x14ac:dyDescent="0.25">
      <c r="B265">
        <v>198</v>
      </c>
      <c r="C265">
        <v>4143</v>
      </c>
      <c r="D265">
        <v>-3867</v>
      </c>
      <c r="E265">
        <v>6654</v>
      </c>
      <c r="F265">
        <v>2258</v>
      </c>
      <c r="G265">
        <v>-1348</v>
      </c>
      <c r="H265">
        <v>-7478</v>
      </c>
      <c r="I265">
        <v>-6238</v>
      </c>
      <c r="J265">
        <v>1033</v>
      </c>
      <c r="K265">
        <v>-1061</v>
      </c>
    </row>
    <row r="266" spans="2:11" x14ac:dyDescent="0.25">
      <c r="B266">
        <v>23</v>
      </c>
      <c r="C266">
        <v>19</v>
      </c>
      <c r="D266">
        <v>0</v>
      </c>
      <c r="E266">
        <v>0</v>
      </c>
      <c r="F266">
        <v>0</v>
      </c>
      <c r="G266">
        <v>-1436</v>
      </c>
      <c r="H266">
        <v>448</v>
      </c>
      <c r="I266">
        <v>426</v>
      </c>
      <c r="J266">
        <v>1307</v>
      </c>
      <c r="K266">
        <v>64</v>
      </c>
    </row>
    <row r="267" spans="2:11" x14ac:dyDescent="0.25">
      <c r="B267">
        <v>103</v>
      </c>
      <c r="C267">
        <v>1909</v>
      </c>
      <c r="D267">
        <v>1154</v>
      </c>
      <c r="E267">
        <v>1603</v>
      </c>
      <c r="F267">
        <v>3104</v>
      </c>
      <c r="G267">
        <v>3348</v>
      </c>
      <c r="H267">
        <v>97</v>
      </c>
      <c r="I267">
        <v>-101</v>
      </c>
      <c r="J267">
        <v>233</v>
      </c>
      <c r="K267">
        <v>186</v>
      </c>
    </row>
    <row r="268" spans="2:11" x14ac:dyDescent="0.25">
      <c r="B268">
        <v>266</v>
      </c>
      <c r="C268">
        <v>1239</v>
      </c>
      <c r="D268">
        <v>1041</v>
      </c>
      <c r="E268">
        <v>1368</v>
      </c>
      <c r="F268">
        <v>2308</v>
      </c>
      <c r="G268">
        <v>2296</v>
      </c>
      <c r="H268">
        <v>106</v>
      </c>
      <c r="I268">
        <v>90</v>
      </c>
      <c r="J268">
        <v>675</v>
      </c>
      <c r="K268">
        <v>823</v>
      </c>
    </row>
    <row r="269" spans="2:11" x14ac:dyDescent="0.25">
      <c r="B269">
        <v>959</v>
      </c>
      <c r="C269">
        <v>2092</v>
      </c>
      <c r="D269">
        <v>1819</v>
      </c>
      <c r="E269">
        <v>206</v>
      </c>
      <c r="F269">
        <v>47471</v>
      </c>
      <c r="G269">
        <v>0</v>
      </c>
      <c r="H269">
        <v>16524</v>
      </c>
      <c r="I269">
        <v>11398</v>
      </c>
      <c r="J269">
        <v>-15081</v>
      </c>
      <c r="K269">
        <v>20839</v>
      </c>
    </row>
    <row r="270" spans="2:11" x14ac:dyDescent="0.25">
      <c r="B270">
        <v>6084</v>
      </c>
      <c r="C270">
        <v>-7164</v>
      </c>
      <c r="D270">
        <v>4622</v>
      </c>
      <c r="E270">
        <v>1388</v>
      </c>
      <c r="F270">
        <v>-3330</v>
      </c>
      <c r="G270">
        <v>-10196</v>
      </c>
      <c r="H270">
        <v>-8572</v>
      </c>
      <c r="I270">
        <v>-1395</v>
      </c>
      <c r="J270">
        <v>-3382</v>
      </c>
      <c r="K270">
        <v>54</v>
      </c>
    </row>
    <row r="271" spans="2:11" x14ac:dyDescent="0.25">
      <c r="B271">
        <v>-89</v>
      </c>
      <c r="C271">
        <v>0</v>
      </c>
      <c r="D271">
        <v>0</v>
      </c>
      <c r="E271">
        <v>0</v>
      </c>
      <c r="F271">
        <v>-6310</v>
      </c>
      <c r="G271">
        <v>-252</v>
      </c>
      <c r="H271">
        <v>6481</v>
      </c>
      <c r="I271">
        <v>-2370</v>
      </c>
      <c r="J271">
        <v>-148</v>
      </c>
      <c r="K271">
        <v>-20</v>
      </c>
    </row>
    <row r="272" spans="2:11" x14ac:dyDescent="0.25">
      <c r="B272">
        <v>1231</v>
      </c>
      <c r="C272">
        <v>1540</v>
      </c>
      <c r="D272">
        <v>8829</v>
      </c>
      <c r="E272">
        <v>1010</v>
      </c>
      <c r="F272">
        <v>6382</v>
      </c>
      <c r="G272">
        <v>229</v>
      </c>
      <c r="H272">
        <v>-177</v>
      </c>
      <c r="I272">
        <v>140</v>
      </c>
      <c r="J272">
        <v>248</v>
      </c>
      <c r="K272">
        <v>188</v>
      </c>
    </row>
    <row r="273" spans="2:11" x14ac:dyDescent="0.25">
      <c r="B273">
        <v>950</v>
      </c>
      <c r="C273">
        <v>1493</v>
      </c>
      <c r="D273">
        <v>8915</v>
      </c>
      <c r="E273">
        <v>367</v>
      </c>
      <c r="F273">
        <v>4845</v>
      </c>
      <c r="G273">
        <v>475</v>
      </c>
      <c r="H273">
        <v>91</v>
      </c>
      <c r="I273">
        <v>623</v>
      </c>
      <c r="J273">
        <v>797</v>
      </c>
      <c r="K273">
        <v>6684</v>
      </c>
    </row>
    <row r="274" spans="2:11" x14ac:dyDescent="0.25">
      <c r="B274">
        <v>234</v>
      </c>
      <c r="C274">
        <v>4943</v>
      </c>
      <c r="D274">
        <v>236</v>
      </c>
      <c r="E274">
        <v>35463</v>
      </c>
      <c r="F274">
        <v>-22517</v>
      </c>
      <c r="G274">
        <v>0</v>
      </c>
      <c r="H274">
        <v>4933</v>
      </c>
      <c r="I274">
        <v>-25567</v>
      </c>
      <c r="J274">
        <v>9281</v>
      </c>
      <c r="K274">
        <v>-25982</v>
      </c>
    </row>
    <row r="275" spans="2:11" x14ac:dyDescent="0.25">
      <c r="B275">
        <v>12654</v>
      </c>
      <c r="C275">
        <v>-10744</v>
      </c>
      <c r="D275">
        <v>7159</v>
      </c>
      <c r="E275">
        <v>632</v>
      </c>
      <c r="F275">
        <v>-15327</v>
      </c>
      <c r="G275">
        <v>-10868</v>
      </c>
      <c r="H275">
        <v>-14021</v>
      </c>
      <c r="I275">
        <v>635</v>
      </c>
      <c r="J275">
        <v>-4477</v>
      </c>
      <c r="K275">
        <v>48</v>
      </c>
    </row>
    <row r="276" spans="2:11" x14ac:dyDescent="0.25">
      <c r="B276">
        <v>105</v>
      </c>
      <c r="C276">
        <v>0</v>
      </c>
      <c r="D276">
        <v>0</v>
      </c>
      <c r="E276">
        <v>0</v>
      </c>
      <c r="F276">
        <v>572</v>
      </c>
      <c r="G276">
        <v>1477</v>
      </c>
      <c r="H276">
        <v>-1225</v>
      </c>
      <c r="I276">
        <v>13080</v>
      </c>
      <c r="J276">
        <v>-17</v>
      </c>
      <c r="K276">
        <v>-338</v>
      </c>
    </row>
    <row r="277" spans="2:11" x14ac:dyDescent="0.25">
      <c r="B277">
        <v>3206</v>
      </c>
      <c r="C277">
        <v>2203</v>
      </c>
      <c r="D277">
        <v>888</v>
      </c>
      <c r="E277">
        <v>16623</v>
      </c>
      <c r="F277">
        <v>4110</v>
      </c>
      <c r="G277">
        <v>193</v>
      </c>
      <c r="H277">
        <v>-370</v>
      </c>
      <c r="I277">
        <v>278</v>
      </c>
      <c r="J277">
        <v>-74</v>
      </c>
      <c r="K277">
        <v>489</v>
      </c>
    </row>
    <row r="278" spans="2:11" x14ac:dyDescent="0.25">
      <c r="B278">
        <v>1913</v>
      </c>
      <c r="C278">
        <v>2116</v>
      </c>
      <c r="D278">
        <v>59</v>
      </c>
      <c r="E278">
        <v>13667</v>
      </c>
      <c r="F278">
        <v>2403</v>
      </c>
      <c r="G278">
        <v>-28</v>
      </c>
      <c r="H278">
        <v>-128</v>
      </c>
      <c r="I278">
        <v>556</v>
      </c>
      <c r="J278">
        <v>1967</v>
      </c>
      <c r="K278">
        <v>-352</v>
      </c>
    </row>
    <row r="279" spans="2:11" x14ac:dyDescent="0.25">
      <c r="B279">
        <v>13805</v>
      </c>
      <c r="C279">
        <v>1224</v>
      </c>
      <c r="D279">
        <v>83</v>
      </c>
      <c r="E279">
        <v>58133</v>
      </c>
      <c r="F279">
        <v>38700</v>
      </c>
      <c r="G279">
        <v>-14191</v>
      </c>
      <c r="H279">
        <v>0</v>
      </c>
      <c r="I279">
        <v>22067</v>
      </c>
      <c r="J279">
        <v>10486</v>
      </c>
      <c r="K279">
        <v>9780</v>
      </c>
    </row>
    <row r="280" spans="2:11" x14ac:dyDescent="0.25">
      <c r="B280">
        <v>14100</v>
      </c>
      <c r="C280">
        <v>-2281</v>
      </c>
      <c r="D280">
        <v>-8229</v>
      </c>
      <c r="E280">
        <v>8682</v>
      </c>
      <c r="F280">
        <v>794</v>
      </c>
      <c r="G280">
        <v>-5269</v>
      </c>
      <c r="H280">
        <v>-10295</v>
      </c>
      <c r="I280">
        <v>-12454</v>
      </c>
      <c r="J280">
        <v>-4219</v>
      </c>
      <c r="K280">
        <v>-6384</v>
      </c>
    </row>
    <row r="281" spans="2:11" x14ac:dyDescent="0.25">
      <c r="B281">
        <v>-28</v>
      </c>
      <c r="C281">
        <v>-94</v>
      </c>
      <c r="D281">
        <v>0</v>
      </c>
      <c r="E281">
        <v>0</v>
      </c>
      <c r="F281">
        <v>0</v>
      </c>
      <c r="G281">
        <v>-11047</v>
      </c>
      <c r="H281">
        <v>-608</v>
      </c>
      <c r="I281">
        <v>1247</v>
      </c>
      <c r="J281">
        <v>-1669</v>
      </c>
      <c r="K281">
        <v>426</v>
      </c>
    </row>
    <row r="282" spans="2:11" x14ac:dyDescent="0.25">
      <c r="B282">
        <v>-419</v>
      </c>
      <c r="C282">
        <v>2091</v>
      </c>
      <c r="D282">
        <v>2417</v>
      </c>
      <c r="E282">
        <v>5325</v>
      </c>
      <c r="F282">
        <v>4580</v>
      </c>
      <c r="G282">
        <v>11048</v>
      </c>
      <c r="H282">
        <v>320</v>
      </c>
      <c r="I282">
        <v>-573</v>
      </c>
      <c r="J282">
        <v>244</v>
      </c>
      <c r="K282">
        <v>301</v>
      </c>
    </row>
    <row r="283" spans="2:11" x14ac:dyDescent="0.25">
      <c r="B283">
        <v>197</v>
      </c>
      <c r="C283">
        <v>1439</v>
      </c>
      <c r="D283">
        <v>2512</v>
      </c>
      <c r="E283">
        <v>5068</v>
      </c>
      <c r="F283">
        <v>3036</v>
      </c>
      <c r="G283">
        <v>8425</v>
      </c>
      <c r="H283">
        <v>374</v>
      </c>
      <c r="I283">
        <v>-193</v>
      </c>
      <c r="J283">
        <v>294</v>
      </c>
      <c r="K283">
        <v>1586</v>
      </c>
    </row>
    <row r="284" spans="2:11" x14ac:dyDescent="0.25">
      <c r="B284">
        <v>3934</v>
      </c>
      <c r="C284">
        <v>2274</v>
      </c>
      <c r="D284">
        <v>8101</v>
      </c>
      <c r="E284">
        <v>-107</v>
      </c>
      <c r="F284">
        <v>74034</v>
      </c>
      <c r="G284">
        <v>36651</v>
      </c>
      <c r="H284">
        <v>37315</v>
      </c>
      <c r="I284">
        <v>26565</v>
      </c>
      <c r="J284">
        <v>0</v>
      </c>
      <c r="K284">
        <v>971</v>
      </c>
    </row>
    <row r="285" spans="2:11" x14ac:dyDescent="0.25">
      <c r="B285">
        <v>246</v>
      </c>
      <c r="C285">
        <v>918</v>
      </c>
      <c r="D285">
        <v>-315</v>
      </c>
      <c r="E285">
        <v>570</v>
      </c>
      <c r="F285">
        <v>-438</v>
      </c>
      <c r="G285">
        <v>226</v>
      </c>
      <c r="H285">
        <v>-180</v>
      </c>
      <c r="I285">
        <v>-266</v>
      </c>
      <c r="J285">
        <v>-235</v>
      </c>
      <c r="K285">
        <v>-428</v>
      </c>
    </row>
    <row r="286" spans="2:11" x14ac:dyDescent="0.25">
      <c r="B286">
        <v>37</v>
      </c>
      <c r="C286">
        <v>1220</v>
      </c>
      <c r="D286">
        <v>89</v>
      </c>
      <c r="E286">
        <v>55</v>
      </c>
      <c r="F286">
        <v>0</v>
      </c>
      <c r="G286">
        <v>0</v>
      </c>
      <c r="H286">
        <v>0</v>
      </c>
      <c r="I286">
        <v>-284</v>
      </c>
      <c r="J286">
        <v>44</v>
      </c>
      <c r="K286">
        <v>-44</v>
      </c>
    </row>
    <row r="287" spans="2:11" x14ac:dyDescent="0.25">
      <c r="B287">
        <v>91</v>
      </c>
      <c r="C287">
        <v>-200</v>
      </c>
      <c r="D287">
        <v>589</v>
      </c>
      <c r="E287">
        <v>17</v>
      </c>
      <c r="F287">
        <v>32</v>
      </c>
      <c r="G287">
        <v>39</v>
      </c>
      <c r="H287">
        <v>276</v>
      </c>
      <c r="I287">
        <v>288</v>
      </c>
      <c r="J287">
        <v>-15</v>
      </c>
      <c r="K287">
        <v>266</v>
      </c>
    </row>
    <row r="288" spans="2:11" x14ac:dyDescent="0.25">
      <c r="B288">
        <v>172</v>
      </c>
      <c r="C288">
        <v>-280</v>
      </c>
      <c r="D288">
        <v>44</v>
      </c>
      <c r="E288">
        <v>21</v>
      </c>
      <c r="F288">
        <v>45</v>
      </c>
      <c r="G288">
        <v>15</v>
      </c>
      <c r="H288">
        <v>250</v>
      </c>
      <c r="I288">
        <v>204</v>
      </c>
      <c r="J288">
        <v>-400</v>
      </c>
      <c r="K288">
        <v>759</v>
      </c>
    </row>
    <row r="289" spans="2:11" x14ac:dyDescent="0.25">
      <c r="B289">
        <v>52</v>
      </c>
      <c r="C289">
        <v>42</v>
      </c>
      <c r="D289">
        <v>-4</v>
      </c>
      <c r="E289">
        <v>212</v>
      </c>
      <c r="F289">
        <v>225</v>
      </c>
      <c r="G289">
        <v>329</v>
      </c>
      <c r="H289">
        <v>-388</v>
      </c>
      <c r="I289">
        <v>-1535</v>
      </c>
      <c r="J289">
        <v>427</v>
      </c>
      <c r="K289">
        <v>-38</v>
      </c>
    </row>
    <row r="290" spans="2:11" x14ac:dyDescent="0.25">
      <c r="B290">
        <v>-32</v>
      </c>
      <c r="C290">
        <v>0</v>
      </c>
      <c r="D290">
        <v>50</v>
      </c>
      <c r="E290">
        <v>479</v>
      </c>
      <c r="F290">
        <v>-475</v>
      </c>
      <c r="G290">
        <v>286</v>
      </c>
      <c r="H290">
        <v>225</v>
      </c>
      <c r="I290">
        <v>-75</v>
      </c>
      <c r="J290">
        <v>577</v>
      </c>
      <c r="K290">
        <v>855</v>
      </c>
    </row>
    <row r="291" spans="2:11" x14ac:dyDescent="0.25">
      <c r="B291">
        <v>640</v>
      </c>
      <c r="C291">
        <v>-902</v>
      </c>
      <c r="D291">
        <v>750</v>
      </c>
      <c r="E291">
        <v>272</v>
      </c>
      <c r="F291">
        <v>355</v>
      </c>
      <c r="G291">
        <v>64</v>
      </c>
      <c r="H291">
        <v>63</v>
      </c>
      <c r="I291">
        <v>0</v>
      </c>
      <c r="J291">
        <v>0</v>
      </c>
      <c r="K291">
        <v>0</v>
      </c>
    </row>
    <row r="292" spans="2:11" x14ac:dyDescent="0.25">
      <c r="B292">
        <v>209</v>
      </c>
      <c r="C292">
        <v>43</v>
      </c>
      <c r="D292">
        <v>140</v>
      </c>
      <c r="E292">
        <v>-113</v>
      </c>
      <c r="F292">
        <v>-194</v>
      </c>
      <c r="G292">
        <v>497</v>
      </c>
      <c r="H292">
        <v>199</v>
      </c>
      <c r="I292">
        <v>19</v>
      </c>
      <c r="J292">
        <v>115</v>
      </c>
      <c r="K292">
        <v>-163</v>
      </c>
    </row>
    <row r="293" spans="2:11" x14ac:dyDescent="0.25">
      <c r="B293">
        <v>45</v>
      </c>
      <c r="C293">
        <v>-27</v>
      </c>
      <c r="D293">
        <v>216</v>
      </c>
      <c r="E293">
        <v>145</v>
      </c>
      <c r="F293">
        <v>-200</v>
      </c>
      <c r="G293">
        <v>48</v>
      </c>
      <c r="H293">
        <v>127</v>
      </c>
      <c r="I293">
        <v>-24</v>
      </c>
      <c r="J293">
        <v>93</v>
      </c>
      <c r="K293">
        <v>-141</v>
      </c>
    </row>
    <row r="294" spans="2:11" x14ac:dyDescent="0.25">
      <c r="B294">
        <v>-29</v>
      </c>
      <c r="C294">
        <v>-329</v>
      </c>
      <c r="D294">
        <v>607</v>
      </c>
      <c r="E294">
        <v>137</v>
      </c>
      <c r="F294">
        <v>15</v>
      </c>
      <c r="G294">
        <v>75</v>
      </c>
      <c r="H294">
        <v>-129</v>
      </c>
      <c r="I294">
        <v>-28</v>
      </c>
      <c r="J294">
        <v>296</v>
      </c>
      <c r="K294">
        <v>46</v>
      </c>
    </row>
    <row r="295" spans="2:11" x14ac:dyDescent="0.25">
      <c r="B295">
        <v>-982</v>
      </c>
      <c r="C295">
        <v>-3067</v>
      </c>
      <c r="D295">
        <v>-868</v>
      </c>
      <c r="E295">
        <v>633</v>
      </c>
      <c r="F295">
        <v>-72974</v>
      </c>
      <c r="G295">
        <v>0</v>
      </c>
      <c r="H295">
        <v>-1471</v>
      </c>
      <c r="I295">
        <v>-856</v>
      </c>
      <c r="J295">
        <v>-1687</v>
      </c>
      <c r="K295">
        <v>786</v>
      </c>
    </row>
    <row r="296" spans="2:11" x14ac:dyDescent="0.25">
      <c r="B296">
        <v>-1856</v>
      </c>
      <c r="C296">
        <v>892</v>
      </c>
      <c r="D296">
        <v>429</v>
      </c>
      <c r="E296">
        <v>1343</v>
      </c>
      <c r="F296">
        <v>923</v>
      </c>
      <c r="G296">
        <v>-1192</v>
      </c>
      <c r="H296">
        <v>-412</v>
      </c>
      <c r="I296">
        <v>2697</v>
      </c>
      <c r="J296">
        <v>1150</v>
      </c>
      <c r="K296">
        <v>-41</v>
      </c>
    </row>
    <row r="297" spans="2:11" x14ac:dyDescent="0.25">
      <c r="B297">
        <v>-30</v>
      </c>
      <c r="C297">
        <v>0</v>
      </c>
      <c r="D297">
        <v>0</v>
      </c>
      <c r="E297">
        <v>0</v>
      </c>
      <c r="F297">
        <v>517</v>
      </c>
      <c r="G297">
        <v>23</v>
      </c>
      <c r="H297">
        <v>46</v>
      </c>
      <c r="I297">
        <v>-321</v>
      </c>
      <c r="J297">
        <v>67</v>
      </c>
      <c r="K297">
        <v>29</v>
      </c>
    </row>
    <row r="298" spans="2:11" x14ac:dyDescent="0.25">
      <c r="B298">
        <v>253</v>
      </c>
      <c r="C298">
        <v>-92</v>
      </c>
      <c r="D298">
        <v>-71</v>
      </c>
      <c r="E298">
        <v>-590</v>
      </c>
      <c r="F298">
        <v>-287</v>
      </c>
      <c r="G298">
        <v>11</v>
      </c>
      <c r="H298">
        <v>3</v>
      </c>
      <c r="I298">
        <v>4</v>
      </c>
      <c r="J298">
        <v>108</v>
      </c>
      <c r="K298">
        <v>37</v>
      </c>
    </row>
    <row r="299" spans="2:11" x14ac:dyDescent="0.25">
      <c r="B299">
        <v>202</v>
      </c>
      <c r="C299">
        <v>-113</v>
      </c>
      <c r="D299">
        <v>-21</v>
      </c>
      <c r="E299">
        <v>-455</v>
      </c>
      <c r="F299">
        <v>-215</v>
      </c>
      <c r="G299">
        <v>213</v>
      </c>
      <c r="H299">
        <v>-184</v>
      </c>
      <c r="I299">
        <v>119</v>
      </c>
      <c r="J299">
        <v>-160</v>
      </c>
      <c r="K299">
        <v>-164</v>
      </c>
    </row>
    <row r="300" spans="2:11" x14ac:dyDescent="0.25">
      <c r="B300">
        <v>-559</v>
      </c>
      <c r="C300">
        <v>-321</v>
      </c>
      <c r="D300">
        <v>20</v>
      </c>
      <c r="E300">
        <v>-1446</v>
      </c>
      <c r="F300">
        <v>1553</v>
      </c>
      <c r="G300">
        <v>5391</v>
      </c>
      <c r="H300">
        <v>2556</v>
      </c>
      <c r="I300">
        <v>-6143</v>
      </c>
      <c r="J300">
        <v>-20957</v>
      </c>
      <c r="K300">
        <v>-15740</v>
      </c>
    </row>
    <row r="301" spans="2:11" x14ac:dyDescent="0.25">
      <c r="B301">
        <v>0</v>
      </c>
      <c r="C301">
        <v>-1494</v>
      </c>
      <c r="D301">
        <v>-1397</v>
      </c>
      <c r="E301">
        <v>-1004</v>
      </c>
      <c r="F301">
        <v>-168</v>
      </c>
      <c r="G301">
        <v>-523</v>
      </c>
      <c r="H301">
        <v>403</v>
      </c>
      <c r="I301">
        <v>2135</v>
      </c>
      <c r="J301">
        <v>824</v>
      </c>
      <c r="K301">
        <v>465</v>
      </c>
    </row>
    <row r="302" spans="2:11" x14ac:dyDescent="0.25">
      <c r="B302">
        <v>-1245</v>
      </c>
      <c r="C302">
        <v>-1539</v>
      </c>
      <c r="D302">
        <v>899</v>
      </c>
      <c r="E302">
        <v>1773</v>
      </c>
      <c r="F302">
        <v>103</v>
      </c>
      <c r="G302">
        <v>104</v>
      </c>
      <c r="H302">
        <v>0</v>
      </c>
      <c r="I302">
        <v>0</v>
      </c>
      <c r="J302">
        <v>0</v>
      </c>
      <c r="K302">
        <v>1075</v>
      </c>
    </row>
    <row r="303" spans="2:11" x14ac:dyDescent="0.25">
      <c r="B303">
        <v>206</v>
      </c>
      <c r="C303">
        <v>61</v>
      </c>
      <c r="D303">
        <v>233</v>
      </c>
      <c r="E303">
        <v>-268</v>
      </c>
      <c r="F303">
        <v>840</v>
      </c>
      <c r="G303">
        <v>655</v>
      </c>
      <c r="H303">
        <v>-32</v>
      </c>
      <c r="I303">
        <v>-76</v>
      </c>
      <c r="J303">
        <v>-17</v>
      </c>
      <c r="K303">
        <v>-113</v>
      </c>
    </row>
    <row r="304" spans="2:11" x14ac:dyDescent="0.25">
      <c r="B304">
        <v>-74</v>
      </c>
      <c r="C304">
        <v>390</v>
      </c>
      <c r="D304">
        <v>251</v>
      </c>
      <c r="E304">
        <v>-273</v>
      </c>
      <c r="F304">
        <v>166</v>
      </c>
      <c r="G304">
        <v>503</v>
      </c>
      <c r="H304">
        <v>-44</v>
      </c>
      <c r="I304">
        <v>-85</v>
      </c>
      <c r="J304">
        <v>33</v>
      </c>
      <c r="K304">
        <v>-113</v>
      </c>
    </row>
    <row r="305" spans="2:11" x14ac:dyDescent="0.25">
      <c r="B305">
        <v>-454</v>
      </c>
      <c r="C305">
        <v>908</v>
      </c>
      <c r="D305">
        <v>414</v>
      </c>
      <c r="E305">
        <v>-20</v>
      </c>
      <c r="F305">
        <v>-221</v>
      </c>
      <c r="G305">
        <v>-101</v>
      </c>
      <c r="H305">
        <v>-297</v>
      </c>
      <c r="I305">
        <v>500</v>
      </c>
      <c r="J305">
        <v>10555</v>
      </c>
      <c r="K305">
        <v>4278</v>
      </c>
    </row>
    <row r="306" spans="2:11" x14ac:dyDescent="0.25">
      <c r="B306">
        <v>4796</v>
      </c>
      <c r="C306">
        <v>4222</v>
      </c>
      <c r="D306">
        <v>5783</v>
      </c>
      <c r="E306">
        <v>-4959</v>
      </c>
      <c r="F306">
        <v>-3604</v>
      </c>
      <c r="G306">
        <v>-10718</v>
      </c>
      <c r="H306">
        <v>0</v>
      </c>
      <c r="I306">
        <v>-1071</v>
      </c>
      <c r="J306">
        <v>-118</v>
      </c>
      <c r="K306">
        <v>252</v>
      </c>
    </row>
    <row r="307" spans="2:11" x14ac:dyDescent="0.25">
      <c r="B307">
        <v>-756</v>
      </c>
      <c r="C307">
        <v>315</v>
      </c>
      <c r="D307">
        <v>838</v>
      </c>
      <c r="E307">
        <v>-518</v>
      </c>
      <c r="F307">
        <v>305</v>
      </c>
      <c r="G307">
        <v>-51</v>
      </c>
      <c r="H307">
        <v>505</v>
      </c>
      <c r="I307">
        <v>-88</v>
      </c>
      <c r="J307">
        <v>598</v>
      </c>
      <c r="K307">
        <v>-956</v>
      </c>
    </row>
    <row r="308" spans="2:11" x14ac:dyDescent="0.25">
      <c r="B308">
        <v>-3060</v>
      </c>
      <c r="C308">
        <v>-2463</v>
      </c>
      <c r="D308">
        <v>0</v>
      </c>
      <c r="E308">
        <v>0</v>
      </c>
      <c r="F308">
        <v>0</v>
      </c>
      <c r="G308">
        <v>86</v>
      </c>
      <c r="H308">
        <v>-163</v>
      </c>
      <c r="I308">
        <v>-1127</v>
      </c>
      <c r="J308">
        <v>153</v>
      </c>
      <c r="K308">
        <v>8315</v>
      </c>
    </row>
    <row r="309" spans="2:11" x14ac:dyDescent="0.25">
      <c r="B309">
        <v>-21045</v>
      </c>
      <c r="C309">
        <v>-413</v>
      </c>
      <c r="D309">
        <v>1304</v>
      </c>
      <c r="E309">
        <v>-295</v>
      </c>
      <c r="F309">
        <v>288</v>
      </c>
      <c r="G309">
        <v>-1193</v>
      </c>
      <c r="H309">
        <v>1426</v>
      </c>
      <c r="I309">
        <v>-9440</v>
      </c>
      <c r="J309">
        <v>-5686</v>
      </c>
      <c r="K309">
        <v>10966</v>
      </c>
    </row>
    <row r="310" spans="2:11" x14ac:dyDescent="0.25">
      <c r="B310">
        <v>-918</v>
      </c>
      <c r="C310">
        <v>-1096</v>
      </c>
      <c r="D310">
        <v>969</v>
      </c>
      <c r="E310">
        <v>61</v>
      </c>
      <c r="F310">
        <v>-633</v>
      </c>
      <c r="G310">
        <v>-932</v>
      </c>
      <c r="H310">
        <v>16348</v>
      </c>
      <c r="I310">
        <v>-28047</v>
      </c>
      <c r="J310">
        <v>-1812</v>
      </c>
      <c r="K310">
        <v>-506</v>
      </c>
    </row>
    <row r="311" spans="2:11" x14ac:dyDescent="0.25">
      <c r="B311">
        <v>-577</v>
      </c>
      <c r="C311">
        <v>-942</v>
      </c>
      <c r="D311">
        <v>-1349</v>
      </c>
      <c r="E311">
        <v>-11430</v>
      </c>
      <c r="F311">
        <v>1124</v>
      </c>
      <c r="G311">
        <v>-439</v>
      </c>
      <c r="H311">
        <v>-120</v>
      </c>
      <c r="I311">
        <v>171</v>
      </c>
      <c r="J311">
        <v>799</v>
      </c>
      <c r="K311">
        <v>-2623</v>
      </c>
    </row>
    <row r="312" spans="2:11" x14ac:dyDescent="0.25">
      <c r="B312">
        <v>-2206</v>
      </c>
      <c r="C312">
        <v>682</v>
      </c>
      <c r="D312">
        <v>-3267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2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2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2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25">
      <c r="B318">
        <v>0</v>
      </c>
      <c r="C318">
        <v>0</v>
      </c>
      <c r="D318">
        <v>-592</v>
      </c>
      <c r="E318">
        <v>-23</v>
      </c>
      <c r="F318">
        <v>459</v>
      </c>
      <c r="G318">
        <v>-893</v>
      </c>
      <c r="H318">
        <v>31</v>
      </c>
      <c r="I318">
        <v>179</v>
      </c>
      <c r="J318">
        <v>183</v>
      </c>
      <c r="K318">
        <v>-463</v>
      </c>
    </row>
    <row r="319" spans="2:11" x14ac:dyDescent="0.25">
      <c r="B319">
        <v>-334</v>
      </c>
      <c r="C319">
        <v>-212</v>
      </c>
      <c r="D319">
        <v>-53</v>
      </c>
      <c r="E319">
        <v>475</v>
      </c>
      <c r="F319">
        <v>-419</v>
      </c>
      <c r="G319">
        <v>-321</v>
      </c>
      <c r="H319">
        <v>-105</v>
      </c>
      <c r="I319">
        <v>0</v>
      </c>
      <c r="J319">
        <v>0</v>
      </c>
      <c r="K319">
        <v>0</v>
      </c>
    </row>
    <row r="320" spans="2:11" x14ac:dyDescent="0.25">
      <c r="B320">
        <v>-247</v>
      </c>
      <c r="C320">
        <v>1331</v>
      </c>
      <c r="D320">
        <v>-528</v>
      </c>
      <c r="E320">
        <v>-287</v>
      </c>
      <c r="F320">
        <v>2857</v>
      </c>
      <c r="G320">
        <v>-11339</v>
      </c>
      <c r="H320">
        <v>-31</v>
      </c>
      <c r="I320">
        <v>226</v>
      </c>
      <c r="J320">
        <v>-195</v>
      </c>
      <c r="K320">
        <v>144</v>
      </c>
    </row>
    <row r="321" spans="2:11" x14ac:dyDescent="0.25">
      <c r="B321">
        <v>-265</v>
      </c>
      <c r="C321">
        <v>250</v>
      </c>
      <c r="D321">
        <v>-1633</v>
      </c>
      <c r="E321">
        <v>-949</v>
      </c>
      <c r="F321">
        <v>1843</v>
      </c>
      <c r="G321">
        <v>-178</v>
      </c>
      <c r="H321">
        <v>-180</v>
      </c>
      <c r="I321">
        <v>156</v>
      </c>
      <c r="J321">
        <v>-163</v>
      </c>
      <c r="K321">
        <v>-40</v>
      </c>
    </row>
    <row r="322" spans="2:11" x14ac:dyDescent="0.25">
      <c r="B322">
        <v>-216</v>
      </c>
      <c r="C322">
        <v>2746</v>
      </c>
      <c r="D322">
        <v>-4741</v>
      </c>
      <c r="E322">
        <v>-307</v>
      </c>
      <c r="F322">
        <v>-60</v>
      </c>
      <c r="G322">
        <v>-206</v>
      </c>
      <c r="H322">
        <v>-86</v>
      </c>
      <c r="I322">
        <v>-318</v>
      </c>
      <c r="J322">
        <v>-1960</v>
      </c>
      <c r="K322">
        <v>238</v>
      </c>
    </row>
    <row r="323" spans="2:11" x14ac:dyDescent="0.25">
      <c r="B323">
        <v>-74</v>
      </c>
      <c r="C323">
        <v>-207</v>
      </c>
      <c r="D323">
        <v>146</v>
      </c>
      <c r="E323">
        <v>55</v>
      </c>
      <c r="F323">
        <v>-442</v>
      </c>
      <c r="G323">
        <v>-379</v>
      </c>
      <c r="H323">
        <v>107</v>
      </c>
      <c r="I323">
        <v>-554</v>
      </c>
      <c r="J323">
        <v>16900</v>
      </c>
      <c r="K323">
        <v>0</v>
      </c>
    </row>
    <row r="324" spans="2:11" x14ac:dyDescent="0.25">
      <c r="B324">
        <v>0</v>
      </c>
      <c r="C324">
        <v>-485</v>
      </c>
      <c r="D324">
        <v>-90</v>
      </c>
      <c r="E324">
        <v>444</v>
      </c>
      <c r="F324">
        <v>-597</v>
      </c>
      <c r="G324">
        <v>364</v>
      </c>
      <c r="H324">
        <v>430</v>
      </c>
      <c r="I324">
        <v>572</v>
      </c>
      <c r="J324">
        <v>213</v>
      </c>
      <c r="K324">
        <v>-294</v>
      </c>
    </row>
    <row r="325" spans="2:11" x14ac:dyDescent="0.25">
      <c r="B325">
        <v>-147</v>
      </c>
      <c r="C325">
        <v>14</v>
      </c>
      <c r="D325">
        <v>347</v>
      </c>
      <c r="E325">
        <v>-671</v>
      </c>
      <c r="F325">
        <v>-177</v>
      </c>
      <c r="G325">
        <v>-497</v>
      </c>
      <c r="H325">
        <v>0</v>
      </c>
      <c r="I325">
        <v>0</v>
      </c>
      <c r="J325">
        <v>0</v>
      </c>
      <c r="K325">
        <v>321</v>
      </c>
    </row>
    <row r="326" spans="2:11" x14ac:dyDescent="0.25">
      <c r="B326">
        <v>1642</v>
      </c>
      <c r="C326">
        <v>-1189</v>
      </c>
      <c r="D326">
        <v>379</v>
      </c>
      <c r="E326">
        <v>1873</v>
      </c>
      <c r="F326">
        <v>-9470</v>
      </c>
      <c r="G326">
        <v>50</v>
      </c>
      <c r="H326">
        <v>32</v>
      </c>
      <c r="I326">
        <v>-179</v>
      </c>
      <c r="J326">
        <v>42</v>
      </c>
      <c r="K326">
        <v>-184</v>
      </c>
    </row>
    <row r="327" spans="2:11" x14ac:dyDescent="0.25">
      <c r="B327">
        <v>48</v>
      </c>
      <c r="C327">
        <v>-334</v>
      </c>
      <c r="D327">
        <v>-222</v>
      </c>
      <c r="E327">
        <v>403</v>
      </c>
      <c r="F327">
        <v>-17</v>
      </c>
      <c r="G327">
        <v>1</v>
      </c>
      <c r="H327">
        <v>16</v>
      </c>
      <c r="I327">
        <v>-191</v>
      </c>
      <c r="J327">
        <v>-6</v>
      </c>
      <c r="K327">
        <v>-153</v>
      </c>
    </row>
    <row r="328" spans="2:11" x14ac:dyDescent="0.25">
      <c r="B328">
        <v>598</v>
      </c>
      <c r="C328">
        <v>-1026</v>
      </c>
      <c r="D328">
        <v>-37</v>
      </c>
      <c r="E328">
        <v>-24</v>
      </c>
      <c r="F328">
        <v>-176</v>
      </c>
      <c r="G328">
        <v>-22</v>
      </c>
      <c r="H328">
        <v>-202</v>
      </c>
      <c r="I328">
        <v>-397</v>
      </c>
      <c r="J328">
        <v>182</v>
      </c>
      <c r="K328">
        <v>12</v>
      </c>
    </row>
    <row r="329" spans="2:11" x14ac:dyDescent="0.25">
      <c r="B329">
        <v>-174</v>
      </c>
      <c r="C329">
        <v>96</v>
      </c>
      <c r="D329">
        <v>-88</v>
      </c>
      <c r="E329">
        <v>-102</v>
      </c>
      <c r="F329">
        <v>-79</v>
      </c>
      <c r="G329">
        <v>21</v>
      </c>
      <c r="H329">
        <v>-111</v>
      </c>
      <c r="I329">
        <v>3658</v>
      </c>
      <c r="J329">
        <v>0</v>
      </c>
      <c r="K329">
        <v>22263</v>
      </c>
    </row>
    <row r="330" spans="2:11" x14ac:dyDescent="0.25">
      <c r="B330">
        <v>0</v>
      </c>
      <c r="C330">
        <v>-432</v>
      </c>
      <c r="D330">
        <v>729</v>
      </c>
      <c r="E330">
        <v>232</v>
      </c>
      <c r="F330">
        <v>-297</v>
      </c>
      <c r="G330">
        <v>124</v>
      </c>
      <c r="H330">
        <v>401</v>
      </c>
      <c r="I330">
        <v>873</v>
      </c>
      <c r="J330">
        <v>97</v>
      </c>
      <c r="K330">
        <v>437</v>
      </c>
    </row>
    <row r="331" spans="2:11" x14ac:dyDescent="0.25">
      <c r="B331">
        <v>142</v>
      </c>
      <c r="C331">
        <v>102</v>
      </c>
      <c r="D331">
        <v>-70</v>
      </c>
      <c r="E331">
        <v>-517</v>
      </c>
      <c r="F331">
        <v>-606</v>
      </c>
      <c r="G331">
        <v>-448</v>
      </c>
      <c r="H331">
        <v>0</v>
      </c>
      <c r="I331">
        <v>0</v>
      </c>
      <c r="J331">
        <v>0</v>
      </c>
      <c r="K331">
        <v>173</v>
      </c>
    </row>
    <row r="332" spans="2:11" x14ac:dyDescent="0.25">
      <c r="B332">
        <v>700</v>
      </c>
      <c r="C332">
        <v>97</v>
      </c>
      <c r="D332">
        <v>-708</v>
      </c>
      <c r="E332">
        <v>2473</v>
      </c>
      <c r="F332">
        <v>-7413</v>
      </c>
      <c r="G332">
        <v>75</v>
      </c>
      <c r="H332">
        <v>331</v>
      </c>
      <c r="I332">
        <v>-126</v>
      </c>
      <c r="J332">
        <v>-97</v>
      </c>
      <c r="K332">
        <v>-268</v>
      </c>
    </row>
    <row r="333" spans="2:11" x14ac:dyDescent="0.25">
      <c r="B333">
        <v>328</v>
      </c>
      <c r="C333">
        <v>-2258</v>
      </c>
      <c r="D333">
        <v>-1335</v>
      </c>
      <c r="E333">
        <v>2624</v>
      </c>
      <c r="F333">
        <v>-203</v>
      </c>
      <c r="G333">
        <v>-159</v>
      </c>
      <c r="H333">
        <v>232</v>
      </c>
      <c r="I333">
        <v>-56</v>
      </c>
      <c r="J333">
        <v>-305</v>
      </c>
      <c r="K333">
        <v>-228</v>
      </c>
    </row>
    <row r="334" spans="2:11" x14ac:dyDescent="0.25">
      <c r="B334">
        <v>3871</v>
      </c>
      <c r="C334">
        <v>-6663</v>
      </c>
      <c r="D334">
        <v>-326</v>
      </c>
      <c r="E334">
        <v>-92</v>
      </c>
      <c r="F334">
        <v>-177</v>
      </c>
      <c r="G334">
        <v>-391</v>
      </c>
      <c r="H334">
        <v>-357</v>
      </c>
      <c r="I334">
        <v>-2707</v>
      </c>
      <c r="J334">
        <v>462</v>
      </c>
      <c r="K334">
        <v>-62</v>
      </c>
    </row>
    <row r="335" spans="2:11" x14ac:dyDescent="0.25">
      <c r="B335">
        <v>-28</v>
      </c>
      <c r="C335">
        <v>-137</v>
      </c>
      <c r="D335">
        <v>232</v>
      </c>
      <c r="E335">
        <v>-626</v>
      </c>
      <c r="F335">
        <v>-513</v>
      </c>
      <c r="G335">
        <v>155</v>
      </c>
      <c r="H335">
        <v>-768</v>
      </c>
      <c r="I335">
        <v>23711</v>
      </c>
      <c r="J335">
        <v>0</v>
      </c>
      <c r="K335">
        <v>44494</v>
      </c>
    </row>
    <row r="336" spans="2:11" x14ac:dyDescent="0.25">
      <c r="B336">
        <v>33239</v>
      </c>
      <c r="C336">
        <v>0</v>
      </c>
      <c r="D336">
        <v>-778</v>
      </c>
      <c r="E336">
        <v>48</v>
      </c>
      <c r="F336">
        <v>-70</v>
      </c>
      <c r="G336">
        <v>-240</v>
      </c>
      <c r="H336">
        <v>-312</v>
      </c>
      <c r="I336">
        <v>793</v>
      </c>
      <c r="J336">
        <v>-36</v>
      </c>
      <c r="K336">
        <v>75</v>
      </c>
    </row>
    <row r="337" spans="2:11" x14ac:dyDescent="0.25">
      <c r="B337">
        <v>100</v>
      </c>
      <c r="C337">
        <v>237</v>
      </c>
      <c r="D337">
        <v>87</v>
      </c>
      <c r="E337">
        <v>-164</v>
      </c>
      <c r="F337">
        <v>-663</v>
      </c>
      <c r="G337">
        <v>-557</v>
      </c>
      <c r="H337">
        <v>-241</v>
      </c>
      <c r="I337">
        <v>0</v>
      </c>
      <c r="J337">
        <v>0</v>
      </c>
      <c r="K337">
        <v>0</v>
      </c>
    </row>
    <row r="338" spans="2:11" x14ac:dyDescent="0.25">
      <c r="B338">
        <v>-338</v>
      </c>
      <c r="C338">
        <v>776</v>
      </c>
      <c r="D338">
        <v>98</v>
      </c>
      <c r="E338">
        <v>-1099</v>
      </c>
      <c r="F338">
        <v>2709</v>
      </c>
      <c r="G338">
        <v>-9427</v>
      </c>
      <c r="H338">
        <v>-66</v>
      </c>
      <c r="I338">
        <v>228</v>
      </c>
      <c r="J338">
        <v>-175</v>
      </c>
      <c r="K338">
        <v>-94</v>
      </c>
    </row>
    <row r="339" spans="2:11" x14ac:dyDescent="0.25">
      <c r="B339">
        <v>-371</v>
      </c>
      <c r="C339">
        <v>288</v>
      </c>
      <c r="D339">
        <v>-2015</v>
      </c>
      <c r="E339">
        <v>-1208</v>
      </c>
      <c r="F339">
        <v>2317</v>
      </c>
      <c r="G339">
        <v>-201</v>
      </c>
      <c r="H339">
        <v>-205</v>
      </c>
      <c r="I339">
        <v>163</v>
      </c>
      <c r="J339">
        <v>-87</v>
      </c>
      <c r="K339">
        <v>-258</v>
      </c>
    </row>
    <row r="340" spans="2:11" x14ac:dyDescent="0.25">
      <c r="B340">
        <v>-269</v>
      </c>
      <c r="C340">
        <v>3442</v>
      </c>
      <c r="D340">
        <v>-5958</v>
      </c>
      <c r="E340">
        <v>-352</v>
      </c>
      <c r="F340">
        <v>-151</v>
      </c>
      <c r="G340">
        <v>-221</v>
      </c>
      <c r="H340">
        <v>-361</v>
      </c>
      <c r="I340">
        <v>-374</v>
      </c>
      <c r="J340">
        <v>-2439</v>
      </c>
      <c r="K340">
        <v>272</v>
      </c>
    </row>
    <row r="341" spans="2:11" x14ac:dyDescent="0.25">
      <c r="B341">
        <v>-144</v>
      </c>
      <c r="C341">
        <v>-113</v>
      </c>
      <c r="D341">
        <v>-117</v>
      </c>
      <c r="E341">
        <v>87</v>
      </c>
      <c r="F341">
        <v>-567</v>
      </c>
      <c r="G341">
        <v>-469</v>
      </c>
      <c r="H341">
        <v>142</v>
      </c>
      <c r="I341">
        <v>-697</v>
      </c>
      <c r="J341">
        <v>21204</v>
      </c>
      <c r="K341">
        <v>0</v>
      </c>
    </row>
    <row r="342" spans="2:11" x14ac:dyDescent="0.25">
      <c r="B342">
        <v>42443</v>
      </c>
      <c r="C342">
        <v>29732</v>
      </c>
      <c r="D342">
        <v>59001</v>
      </c>
      <c r="E342">
        <v>0</v>
      </c>
      <c r="F342">
        <v>-557</v>
      </c>
      <c r="G342">
        <v>236</v>
      </c>
      <c r="H342">
        <v>441</v>
      </c>
      <c r="I342">
        <v>-378</v>
      </c>
      <c r="J342">
        <v>272</v>
      </c>
      <c r="K342">
        <v>996</v>
      </c>
    </row>
    <row r="343" spans="2:11" x14ac:dyDescent="0.25">
      <c r="B343">
        <v>443</v>
      </c>
      <c r="C343">
        <v>520</v>
      </c>
      <c r="D343">
        <v>-15</v>
      </c>
      <c r="E343">
        <v>360</v>
      </c>
      <c r="F343">
        <v>191</v>
      </c>
      <c r="G343">
        <v>-187</v>
      </c>
      <c r="H343">
        <v>-1048</v>
      </c>
      <c r="I343">
        <v>-786</v>
      </c>
      <c r="J343">
        <v>-508</v>
      </c>
      <c r="K343">
        <v>0</v>
      </c>
    </row>
    <row r="344" spans="2:11" x14ac:dyDescent="0.25">
      <c r="B344">
        <v>0</v>
      </c>
      <c r="C344">
        <v>0</v>
      </c>
      <c r="D344">
        <v>-651</v>
      </c>
      <c r="E344">
        <v>-190</v>
      </c>
      <c r="F344">
        <v>469</v>
      </c>
      <c r="G344">
        <v>-2315</v>
      </c>
      <c r="H344">
        <v>2347</v>
      </c>
      <c r="I344">
        <v>-7258</v>
      </c>
      <c r="J344">
        <v>-43</v>
      </c>
      <c r="K344">
        <v>255</v>
      </c>
    </row>
    <row r="345" spans="2:11" x14ac:dyDescent="0.25">
      <c r="B345">
        <v>-224</v>
      </c>
      <c r="C345">
        <v>-47</v>
      </c>
      <c r="D345">
        <v>-371</v>
      </c>
      <c r="E345">
        <v>300</v>
      </c>
      <c r="F345">
        <v>-2113</v>
      </c>
      <c r="G345">
        <v>-1288</v>
      </c>
      <c r="H345">
        <v>2454</v>
      </c>
      <c r="I345">
        <v>-194</v>
      </c>
      <c r="J345">
        <v>-199</v>
      </c>
      <c r="K345">
        <v>189</v>
      </c>
    </row>
    <row r="346" spans="2:11" x14ac:dyDescent="0.25">
      <c r="B346">
        <v>-145</v>
      </c>
      <c r="C346">
        <v>-238</v>
      </c>
      <c r="D346">
        <v>-283</v>
      </c>
      <c r="E346">
        <v>3641</v>
      </c>
      <c r="F346">
        <v>-6289</v>
      </c>
      <c r="G346">
        <v>-341</v>
      </c>
      <c r="H346">
        <v>-143</v>
      </c>
      <c r="I346">
        <v>-280</v>
      </c>
      <c r="J346">
        <v>-346</v>
      </c>
      <c r="K346">
        <v>-385</v>
      </c>
    </row>
    <row r="347" spans="2:11" x14ac:dyDescent="0.25">
      <c r="B347">
        <v>-2552</v>
      </c>
      <c r="C347">
        <v>363</v>
      </c>
      <c r="D347">
        <v>-97</v>
      </c>
      <c r="E347">
        <v>-151</v>
      </c>
      <c r="F347">
        <v>-58</v>
      </c>
      <c r="G347">
        <v>122</v>
      </c>
      <c r="H347">
        <v>-599</v>
      </c>
      <c r="I347">
        <v>-491</v>
      </c>
      <c r="J347">
        <v>139</v>
      </c>
      <c r="K347">
        <v>-735</v>
      </c>
    </row>
    <row r="348" spans="2:11" x14ac:dyDescent="0.25">
      <c r="B348">
        <v>22390</v>
      </c>
      <c r="C348">
        <v>0</v>
      </c>
      <c r="D348">
        <v>39372</v>
      </c>
      <c r="E348">
        <v>32286</v>
      </c>
      <c r="F348">
        <v>68075</v>
      </c>
      <c r="G348">
        <v>60658</v>
      </c>
      <c r="H348">
        <v>0</v>
      </c>
      <c r="I348">
        <v>-362</v>
      </c>
      <c r="J348">
        <v>359</v>
      </c>
      <c r="K348">
        <v>166</v>
      </c>
    </row>
    <row r="349" spans="2:11" x14ac:dyDescent="0.25">
      <c r="B349">
        <v>-325</v>
      </c>
      <c r="C349">
        <v>51</v>
      </c>
      <c r="D349">
        <v>458</v>
      </c>
      <c r="E349">
        <v>-14</v>
      </c>
      <c r="F349">
        <v>-149</v>
      </c>
      <c r="G349">
        <v>309</v>
      </c>
      <c r="H349">
        <v>101</v>
      </c>
      <c r="I349">
        <v>70</v>
      </c>
      <c r="J349">
        <v>-92</v>
      </c>
      <c r="K349">
        <v>-740</v>
      </c>
    </row>
    <row r="350" spans="2:11" x14ac:dyDescent="0.25">
      <c r="B350">
        <v>-1191</v>
      </c>
      <c r="C350">
        <v>-965</v>
      </c>
      <c r="D350">
        <v>0</v>
      </c>
      <c r="E350">
        <v>0</v>
      </c>
      <c r="F350">
        <v>0</v>
      </c>
      <c r="G350">
        <v>-1001</v>
      </c>
      <c r="H350">
        <v>125</v>
      </c>
      <c r="I350">
        <v>161</v>
      </c>
      <c r="J350">
        <v>-1228</v>
      </c>
      <c r="K350">
        <v>2501</v>
      </c>
    </row>
    <row r="351" spans="2:11" x14ac:dyDescent="0.25">
      <c r="B351">
        <v>-10406</v>
      </c>
      <c r="C351">
        <v>-57</v>
      </c>
      <c r="D351">
        <v>153</v>
      </c>
      <c r="E351">
        <v>-128</v>
      </c>
      <c r="F351">
        <v>-68</v>
      </c>
      <c r="G351">
        <v>-238</v>
      </c>
      <c r="H351">
        <v>189</v>
      </c>
      <c r="I351">
        <v>-1232</v>
      </c>
      <c r="J351">
        <v>-803</v>
      </c>
      <c r="K351">
        <v>1496</v>
      </c>
    </row>
    <row r="352" spans="2:11" x14ac:dyDescent="0.25">
      <c r="B352">
        <v>-77</v>
      </c>
      <c r="C352">
        <v>-158</v>
      </c>
      <c r="D352">
        <v>109</v>
      </c>
      <c r="E352">
        <v>-88</v>
      </c>
      <c r="F352">
        <v>-175</v>
      </c>
      <c r="G352">
        <v>-183</v>
      </c>
      <c r="H352">
        <v>2230</v>
      </c>
      <c r="I352">
        <v>-3808</v>
      </c>
      <c r="J352">
        <v>-266</v>
      </c>
      <c r="K352">
        <v>-90</v>
      </c>
    </row>
    <row r="353" spans="2:11" x14ac:dyDescent="0.25">
      <c r="B353">
        <v>-152</v>
      </c>
      <c r="C353">
        <v>-217</v>
      </c>
      <c r="D353">
        <v>-267</v>
      </c>
      <c r="E353">
        <v>-1525</v>
      </c>
      <c r="F353">
        <v>180</v>
      </c>
      <c r="G353">
        <v>-79</v>
      </c>
      <c r="H353">
        <v>-78</v>
      </c>
      <c r="I353">
        <v>-81</v>
      </c>
      <c r="J353">
        <v>75</v>
      </c>
      <c r="K353">
        <v>-366</v>
      </c>
    </row>
    <row r="354" spans="2:11" x14ac:dyDescent="0.25">
      <c r="B354">
        <v>-301</v>
      </c>
      <c r="C354">
        <v>78</v>
      </c>
      <c r="D354">
        <v>-459</v>
      </c>
      <c r="E354">
        <v>13601</v>
      </c>
      <c r="F354">
        <v>0</v>
      </c>
      <c r="G354">
        <v>33575</v>
      </c>
      <c r="H354">
        <v>29954</v>
      </c>
      <c r="I354">
        <v>54595</v>
      </c>
      <c r="J354">
        <v>47979</v>
      </c>
      <c r="K354">
        <v>53478</v>
      </c>
    </row>
    <row r="355" spans="2:11" x14ac:dyDescent="0.25">
      <c r="B355">
        <v>0</v>
      </c>
      <c r="C355">
        <v>-406</v>
      </c>
      <c r="D355">
        <v>724</v>
      </c>
      <c r="E355">
        <v>445</v>
      </c>
      <c r="F355">
        <v>-268</v>
      </c>
      <c r="G355">
        <v>100</v>
      </c>
      <c r="H355">
        <v>406</v>
      </c>
      <c r="I355">
        <v>735</v>
      </c>
      <c r="J355">
        <v>-6</v>
      </c>
      <c r="K355">
        <v>-276</v>
      </c>
    </row>
    <row r="356" spans="2:11" x14ac:dyDescent="0.25">
      <c r="B356">
        <v>272</v>
      </c>
      <c r="C356">
        <v>236</v>
      </c>
      <c r="D356">
        <v>-153</v>
      </c>
      <c r="E356">
        <v>103</v>
      </c>
      <c r="F356">
        <v>-703</v>
      </c>
      <c r="G356">
        <v>-340</v>
      </c>
      <c r="H356">
        <v>0</v>
      </c>
      <c r="I356">
        <v>0</v>
      </c>
      <c r="J356">
        <v>0</v>
      </c>
      <c r="K356">
        <v>-129</v>
      </c>
    </row>
    <row r="357" spans="2:11" x14ac:dyDescent="0.25">
      <c r="B357">
        <v>785</v>
      </c>
      <c r="C357">
        <v>-697</v>
      </c>
      <c r="D357">
        <v>-1581</v>
      </c>
      <c r="E357">
        <v>1514</v>
      </c>
      <c r="F357">
        <v>-2416</v>
      </c>
      <c r="G357">
        <v>-40</v>
      </c>
      <c r="H357">
        <v>296</v>
      </c>
      <c r="I357">
        <v>-155</v>
      </c>
      <c r="J357">
        <v>-111</v>
      </c>
      <c r="K357">
        <v>-297</v>
      </c>
    </row>
    <row r="358" spans="2:11" x14ac:dyDescent="0.25">
      <c r="B358">
        <v>337</v>
      </c>
      <c r="C358">
        <v>-2265</v>
      </c>
      <c r="D358">
        <v>-1351</v>
      </c>
      <c r="E358">
        <v>2637</v>
      </c>
      <c r="F358">
        <v>-212</v>
      </c>
      <c r="G358">
        <v>-235</v>
      </c>
      <c r="H358">
        <v>208</v>
      </c>
      <c r="I358">
        <v>-88</v>
      </c>
      <c r="J358">
        <v>-323</v>
      </c>
      <c r="K358">
        <v>-242</v>
      </c>
    </row>
    <row r="359" spans="2:11" x14ac:dyDescent="0.25">
      <c r="B359">
        <v>3913</v>
      </c>
      <c r="C359">
        <v>-6709</v>
      </c>
      <c r="D359">
        <v>-371</v>
      </c>
      <c r="E359">
        <v>-126</v>
      </c>
      <c r="F359">
        <v>-219</v>
      </c>
      <c r="G359">
        <v>-427</v>
      </c>
      <c r="H359">
        <v>-331</v>
      </c>
      <c r="I359">
        <v>-2726</v>
      </c>
      <c r="J359">
        <v>361</v>
      </c>
      <c r="K359">
        <v>-103</v>
      </c>
    </row>
    <row r="360" spans="2:11" x14ac:dyDescent="0.25">
      <c r="B360">
        <v>-102</v>
      </c>
      <c r="C360">
        <v>-179</v>
      </c>
      <c r="D360">
        <v>179</v>
      </c>
      <c r="E360">
        <v>-620</v>
      </c>
      <c r="F360">
        <v>-524</v>
      </c>
      <c r="G360">
        <v>156</v>
      </c>
      <c r="H360">
        <v>-772</v>
      </c>
      <c r="I360">
        <v>23942</v>
      </c>
      <c r="J360">
        <v>0</v>
      </c>
      <c r="K360">
        <v>39839</v>
      </c>
    </row>
    <row r="361" spans="2:11" x14ac:dyDescent="0.25">
      <c r="B361">
        <v>26656</v>
      </c>
      <c r="C361">
        <v>64401</v>
      </c>
      <c r="D361">
        <v>56285</v>
      </c>
      <c r="E361">
        <v>64738</v>
      </c>
      <c r="F361">
        <v>48626</v>
      </c>
      <c r="G361">
        <v>0</v>
      </c>
      <c r="H361">
        <v>-873</v>
      </c>
      <c r="I361">
        <v>151</v>
      </c>
      <c r="J361">
        <v>243</v>
      </c>
      <c r="K361">
        <v>-640</v>
      </c>
    </row>
    <row r="362" spans="2:11" x14ac:dyDescent="0.25">
      <c r="B362">
        <v>114</v>
      </c>
      <c r="C362">
        <v>787</v>
      </c>
      <c r="D362">
        <v>-193</v>
      </c>
      <c r="E362">
        <v>98</v>
      </c>
      <c r="F362">
        <v>884</v>
      </c>
      <c r="G362">
        <v>164</v>
      </c>
      <c r="H362">
        <v>-324</v>
      </c>
      <c r="I362">
        <v>567</v>
      </c>
      <c r="J362">
        <v>-595</v>
      </c>
      <c r="K362">
        <v>-2296</v>
      </c>
    </row>
    <row r="363" spans="2:11" x14ac:dyDescent="0.25">
      <c r="B363">
        <v>-1711</v>
      </c>
      <c r="C363">
        <v>0</v>
      </c>
      <c r="D363">
        <v>0</v>
      </c>
      <c r="E363">
        <v>0</v>
      </c>
      <c r="F363">
        <v>-356</v>
      </c>
      <c r="G363">
        <v>1765</v>
      </c>
      <c r="H363">
        <v>-408</v>
      </c>
      <c r="I363">
        <v>-477</v>
      </c>
      <c r="J363">
        <v>4642</v>
      </c>
      <c r="K363">
        <v>-7445</v>
      </c>
    </row>
    <row r="364" spans="2:11" x14ac:dyDescent="0.25">
      <c r="B364">
        <v>-172</v>
      </c>
      <c r="C364">
        <v>938</v>
      </c>
      <c r="D364">
        <v>-287</v>
      </c>
      <c r="E364">
        <v>91</v>
      </c>
      <c r="F364">
        <v>-856</v>
      </c>
      <c r="G364">
        <v>1006</v>
      </c>
      <c r="H364">
        <v>-6674</v>
      </c>
      <c r="I364">
        <v>-4015</v>
      </c>
      <c r="J364">
        <v>7787</v>
      </c>
      <c r="K364">
        <v>-624</v>
      </c>
    </row>
    <row r="365" spans="2:11" x14ac:dyDescent="0.25">
      <c r="B365">
        <v>-698</v>
      </c>
      <c r="C365">
        <v>691</v>
      </c>
      <c r="D365">
        <v>-25</v>
      </c>
      <c r="E365">
        <v>-529</v>
      </c>
      <c r="F365">
        <v>-670</v>
      </c>
      <c r="G365">
        <v>11586</v>
      </c>
      <c r="H365">
        <v>-19871</v>
      </c>
      <c r="I365">
        <v>-1223</v>
      </c>
      <c r="J365">
        <v>-359</v>
      </c>
      <c r="K365">
        <v>-476</v>
      </c>
    </row>
    <row r="366" spans="2:11" x14ac:dyDescent="0.25">
      <c r="B366">
        <v>-775</v>
      </c>
      <c r="C366">
        <v>-1017</v>
      </c>
      <c r="D366">
        <v>-8086</v>
      </c>
      <c r="E366">
        <v>924</v>
      </c>
      <c r="F366">
        <v>-278</v>
      </c>
      <c r="G366">
        <v>-99</v>
      </c>
      <c r="H366">
        <v>56</v>
      </c>
      <c r="I366">
        <v>596</v>
      </c>
      <c r="J366">
        <v>-1857</v>
      </c>
      <c r="K366">
        <v>-1557</v>
      </c>
    </row>
    <row r="367" spans="2:11" x14ac:dyDescent="0.25">
      <c r="B367">
        <v>494</v>
      </c>
      <c r="C367">
        <v>-2300</v>
      </c>
      <c r="D367">
        <v>70820</v>
      </c>
      <c r="E367">
        <v>0</v>
      </c>
      <c r="F367">
        <v>31449</v>
      </c>
      <c r="G367">
        <v>18525</v>
      </c>
      <c r="H367">
        <v>49118</v>
      </c>
      <c r="I367">
        <v>42274</v>
      </c>
      <c r="J367">
        <v>47638</v>
      </c>
      <c r="K367">
        <v>34680</v>
      </c>
    </row>
    <row r="368" spans="2:11" x14ac:dyDescent="0.25">
      <c r="B368">
        <v>47433</v>
      </c>
      <c r="C368">
        <v>0</v>
      </c>
      <c r="D368">
        <v>-55</v>
      </c>
      <c r="E368">
        <v>-411</v>
      </c>
      <c r="F368">
        <v>1240</v>
      </c>
      <c r="G368">
        <v>-822</v>
      </c>
      <c r="H368">
        <v>581</v>
      </c>
      <c r="I368">
        <v>106</v>
      </c>
      <c r="J368">
        <v>-74</v>
      </c>
      <c r="K368">
        <v>-106</v>
      </c>
    </row>
    <row r="369" spans="2:11" x14ac:dyDescent="0.25">
      <c r="B369">
        <v>-634</v>
      </c>
      <c r="C369">
        <v>-186</v>
      </c>
      <c r="D369">
        <v>-30</v>
      </c>
      <c r="E369">
        <v>598</v>
      </c>
      <c r="F369">
        <v>-909</v>
      </c>
      <c r="G369">
        <v>-512</v>
      </c>
      <c r="H369">
        <v>-413</v>
      </c>
      <c r="I369">
        <v>0</v>
      </c>
      <c r="J369">
        <v>0</v>
      </c>
      <c r="K369">
        <v>0</v>
      </c>
    </row>
    <row r="370" spans="2:11" x14ac:dyDescent="0.25">
      <c r="B370">
        <v>-1015</v>
      </c>
      <c r="C370">
        <v>2140</v>
      </c>
      <c r="D370">
        <v>12</v>
      </c>
      <c r="E370">
        <v>-1459</v>
      </c>
      <c r="F370">
        <v>24695</v>
      </c>
      <c r="G370">
        <v>-20691</v>
      </c>
      <c r="H370">
        <v>-130</v>
      </c>
      <c r="I370">
        <v>405</v>
      </c>
      <c r="J370">
        <v>-219</v>
      </c>
      <c r="K370">
        <v>405</v>
      </c>
    </row>
    <row r="371" spans="2:11" x14ac:dyDescent="0.25">
      <c r="B371">
        <v>-237</v>
      </c>
      <c r="C371">
        <v>399</v>
      </c>
      <c r="D371">
        <v>-2607</v>
      </c>
      <c r="E371">
        <v>-1537</v>
      </c>
      <c r="F371">
        <v>2948</v>
      </c>
      <c r="G371">
        <v>-291</v>
      </c>
      <c r="H371">
        <v>-324</v>
      </c>
      <c r="I371">
        <v>310</v>
      </c>
      <c r="J371">
        <v>-161</v>
      </c>
      <c r="K371">
        <v>80</v>
      </c>
    </row>
    <row r="372" spans="2:11" x14ac:dyDescent="0.25">
      <c r="B372">
        <v>-202</v>
      </c>
      <c r="C372">
        <v>4396</v>
      </c>
      <c r="D372">
        <v>-7591</v>
      </c>
      <c r="E372">
        <v>-522</v>
      </c>
      <c r="F372">
        <v>-69</v>
      </c>
      <c r="G372">
        <v>-253</v>
      </c>
      <c r="H372">
        <v>20</v>
      </c>
      <c r="I372">
        <v>-315</v>
      </c>
      <c r="J372">
        <v>-3135</v>
      </c>
      <c r="K372">
        <v>330</v>
      </c>
    </row>
    <row r="373" spans="2:11" x14ac:dyDescent="0.25">
      <c r="B373">
        <v>-44</v>
      </c>
      <c r="C373">
        <v>-242</v>
      </c>
      <c r="D373">
        <v>413</v>
      </c>
      <c r="E373">
        <v>298</v>
      </c>
      <c r="F373">
        <v>-707</v>
      </c>
      <c r="G373">
        <v>-606</v>
      </c>
      <c r="H373">
        <v>158</v>
      </c>
      <c r="I373">
        <v>-897</v>
      </c>
      <c r="J373">
        <v>27044</v>
      </c>
      <c r="K373">
        <v>0</v>
      </c>
    </row>
    <row r="374" spans="2:11" x14ac:dyDescent="0.25">
      <c r="B374">
        <v>5835</v>
      </c>
      <c r="C374">
        <v>2378</v>
      </c>
      <c r="D374">
        <v>6828</v>
      </c>
      <c r="E374">
        <v>6556</v>
      </c>
      <c r="F374">
        <v>6513</v>
      </c>
      <c r="G374">
        <v>4886</v>
      </c>
      <c r="H374">
        <v>6117</v>
      </c>
      <c r="I374">
        <v>18061</v>
      </c>
      <c r="J374">
        <v>0</v>
      </c>
      <c r="K374">
        <v>-138</v>
      </c>
    </row>
    <row r="375" spans="2:11" x14ac:dyDescent="0.25">
      <c r="B375">
        <v>520</v>
      </c>
      <c r="C375">
        <v>433</v>
      </c>
      <c r="D375">
        <v>-186</v>
      </c>
      <c r="E375">
        <v>37</v>
      </c>
      <c r="F375">
        <v>250</v>
      </c>
      <c r="G375">
        <v>-230</v>
      </c>
      <c r="H375">
        <v>-91</v>
      </c>
      <c r="I375">
        <v>-171</v>
      </c>
      <c r="J375">
        <v>-244</v>
      </c>
      <c r="K375">
        <v>200</v>
      </c>
    </row>
    <row r="376" spans="2:11" x14ac:dyDescent="0.25">
      <c r="B376">
        <v>53</v>
      </c>
      <c r="C376">
        <v>-429</v>
      </c>
      <c r="D376">
        <v>966</v>
      </c>
      <c r="E376">
        <v>-246</v>
      </c>
      <c r="F376">
        <v>0</v>
      </c>
      <c r="G376">
        <v>0</v>
      </c>
      <c r="H376">
        <v>0</v>
      </c>
      <c r="I376">
        <v>27</v>
      </c>
      <c r="J376">
        <v>3118</v>
      </c>
      <c r="K376">
        <v>-808</v>
      </c>
    </row>
    <row r="377" spans="2:11" x14ac:dyDescent="0.25">
      <c r="B377">
        <v>196</v>
      </c>
      <c r="C377">
        <v>11608</v>
      </c>
      <c r="D377">
        <v>-13749</v>
      </c>
      <c r="E377">
        <v>-101</v>
      </c>
      <c r="F377">
        <v>190</v>
      </c>
      <c r="G377">
        <v>-105</v>
      </c>
      <c r="H377">
        <v>-26</v>
      </c>
      <c r="I377">
        <v>-149</v>
      </c>
      <c r="J377">
        <v>211</v>
      </c>
      <c r="K377">
        <v>-1384</v>
      </c>
    </row>
    <row r="378" spans="2:11" x14ac:dyDescent="0.25">
      <c r="B378">
        <v>-767</v>
      </c>
      <c r="C378">
        <v>1495</v>
      </c>
      <c r="D378">
        <v>-204</v>
      </c>
      <c r="E378">
        <v>-181</v>
      </c>
      <c r="F378">
        <v>136</v>
      </c>
      <c r="G378">
        <v>-55</v>
      </c>
      <c r="H378">
        <v>-159</v>
      </c>
      <c r="I378">
        <v>-109</v>
      </c>
      <c r="J378">
        <v>2220</v>
      </c>
      <c r="K378">
        <v>-3882</v>
      </c>
    </row>
    <row r="379" spans="2:11" x14ac:dyDescent="0.25">
      <c r="B379">
        <v>-281</v>
      </c>
      <c r="C379">
        <v>-87</v>
      </c>
      <c r="D379">
        <v>-98</v>
      </c>
      <c r="E379">
        <v>-223</v>
      </c>
      <c r="F379">
        <v>-164</v>
      </c>
      <c r="G379">
        <v>-1629</v>
      </c>
      <c r="H379">
        <v>131</v>
      </c>
      <c r="I379">
        <v>-66</v>
      </c>
      <c r="J379">
        <v>-65</v>
      </c>
      <c r="K379">
        <v>-88</v>
      </c>
    </row>
    <row r="380" spans="2:11" x14ac:dyDescent="0.25">
      <c r="B380">
        <v>143</v>
      </c>
      <c r="C380">
        <v>-363</v>
      </c>
      <c r="D380">
        <v>-304</v>
      </c>
      <c r="E380">
        <v>80</v>
      </c>
      <c r="F380">
        <v>-468</v>
      </c>
      <c r="G380">
        <v>13800</v>
      </c>
      <c r="H380">
        <v>0</v>
      </c>
      <c r="I380">
        <v>3256</v>
      </c>
      <c r="J380">
        <v>1520</v>
      </c>
      <c r="K380">
        <v>3576</v>
      </c>
    </row>
    <row r="381" spans="2:11" x14ac:dyDescent="0.25">
      <c r="B381">
        <v>3518</v>
      </c>
      <c r="C381">
        <v>3374</v>
      </c>
      <c r="D381">
        <v>2730</v>
      </c>
      <c r="E381">
        <v>3034</v>
      </c>
      <c r="F381">
        <v>9017</v>
      </c>
      <c r="G381">
        <v>17701</v>
      </c>
      <c r="H381">
        <v>0</v>
      </c>
      <c r="I381">
        <v>-171</v>
      </c>
      <c r="J381">
        <v>-165</v>
      </c>
      <c r="K381">
        <v>1458</v>
      </c>
    </row>
    <row r="382" spans="2:11" x14ac:dyDescent="0.25">
      <c r="B382">
        <v>-915</v>
      </c>
      <c r="C382">
        <v>380</v>
      </c>
      <c r="D382">
        <v>353</v>
      </c>
      <c r="E382">
        <v>-352</v>
      </c>
      <c r="F382">
        <v>358</v>
      </c>
      <c r="G382">
        <v>-362</v>
      </c>
      <c r="H382">
        <v>111</v>
      </c>
      <c r="I382">
        <v>344</v>
      </c>
      <c r="J382">
        <v>795</v>
      </c>
      <c r="K382">
        <v>-704</v>
      </c>
    </row>
    <row r="383" spans="2:11" x14ac:dyDescent="0.25">
      <c r="B383">
        <v>-1347</v>
      </c>
      <c r="C383">
        <v>-1033</v>
      </c>
      <c r="D383">
        <v>0</v>
      </c>
      <c r="E383">
        <v>0</v>
      </c>
      <c r="F383">
        <v>0</v>
      </c>
      <c r="G383">
        <v>-271</v>
      </c>
      <c r="H383">
        <v>-659</v>
      </c>
      <c r="I383">
        <v>522</v>
      </c>
      <c r="J383">
        <v>-917</v>
      </c>
      <c r="K383">
        <v>36831</v>
      </c>
    </row>
    <row r="384" spans="2:11" x14ac:dyDescent="0.25">
      <c r="B384">
        <v>-25870</v>
      </c>
      <c r="C384">
        <v>-281</v>
      </c>
      <c r="D384">
        <v>722</v>
      </c>
      <c r="E384">
        <v>-346</v>
      </c>
      <c r="F384">
        <v>343</v>
      </c>
      <c r="G384">
        <v>-530</v>
      </c>
      <c r="H384">
        <v>766</v>
      </c>
      <c r="I384">
        <v>-5016</v>
      </c>
      <c r="J384">
        <v>-2990</v>
      </c>
      <c r="K384">
        <v>5762</v>
      </c>
    </row>
    <row r="385" spans="2:11" x14ac:dyDescent="0.25">
      <c r="B385">
        <v>-528</v>
      </c>
      <c r="C385">
        <v>-638</v>
      </c>
      <c r="D385">
        <v>539</v>
      </c>
      <c r="E385">
        <v>-187</v>
      </c>
      <c r="F385">
        <v>-191</v>
      </c>
      <c r="G385">
        <v>-437</v>
      </c>
      <c r="H385">
        <v>8597</v>
      </c>
      <c r="I385">
        <v>-14776</v>
      </c>
      <c r="J385">
        <v>-1005</v>
      </c>
      <c r="K385">
        <v>-226</v>
      </c>
    </row>
    <row r="386" spans="2:11" x14ac:dyDescent="0.25">
      <c r="B386">
        <v>-438</v>
      </c>
      <c r="C386">
        <v>-339</v>
      </c>
      <c r="D386">
        <v>-628</v>
      </c>
      <c r="E386">
        <v>-6052</v>
      </c>
      <c r="F386">
        <v>534</v>
      </c>
      <c r="G386">
        <v>-194</v>
      </c>
      <c r="H386">
        <v>-335</v>
      </c>
      <c r="I386">
        <v>285</v>
      </c>
      <c r="J386">
        <v>492</v>
      </c>
      <c r="K386">
        <v>-1374</v>
      </c>
    </row>
    <row r="387" spans="2:11" x14ac:dyDescent="0.25">
      <c r="B387">
        <v>-1166</v>
      </c>
      <c r="C387">
        <v>347</v>
      </c>
      <c r="D387">
        <v>-1738</v>
      </c>
      <c r="E387">
        <v>52679</v>
      </c>
      <c r="F387">
        <v>0</v>
      </c>
      <c r="G387">
        <v>10105</v>
      </c>
      <c r="H387">
        <v>3263</v>
      </c>
      <c r="I387">
        <v>12873</v>
      </c>
      <c r="J387">
        <v>11944</v>
      </c>
      <c r="K387">
        <v>12231</v>
      </c>
    </row>
    <row r="388" spans="2:11" x14ac:dyDescent="0.25">
      <c r="B388">
        <v>8336</v>
      </c>
      <c r="C388">
        <v>12228</v>
      </c>
      <c r="D388">
        <v>36124</v>
      </c>
      <c r="E388">
        <v>55226</v>
      </c>
      <c r="F388">
        <v>17605</v>
      </c>
      <c r="G388">
        <v>0</v>
      </c>
      <c r="H388">
        <v>25</v>
      </c>
      <c r="I388">
        <v>-151</v>
      </c>
      <c r="J388">
        <v>562</v>
      </c>
      <c r="K388">
        <v>-456</v>
      </c>
    </row>
    <row r="389" spans="2:11" x14ac:dyDescent="0.25">
      <c r="B389">
        <v>319</v>
      </c>
      <c r="C389">
        <v>49</v>
      </c>
      <c r="D389">
        <v>-770</v>
      </c>
      <c r="E389">
        <v>-488</v>
      </c>
      <c r="F389">
        <v>-425</v>
      </c>
      <c r="G389">
        <v>216</v>
      </c>
      <c r="H389">
        <v>231</v>
      </c>
      <c r="I389">
        <v>725</v>
      </c>
      <c r="J389">
        <v>-429</v>
      </c>
      <c r="K389">
        <v>-1039</v>
      </c>
    </row>
    <row r="390" spans="2:11" x14ac:dyDescent="0.25">
      <c r="B390">
        <v>-876</v>
      </c>
      <c r="C390">
        <v>0</v>
      </c>
      <c r="D390">
        <v>0</v>
      </c>
      <c r="E390">
        <v>0</v>
      </c>
      <c r="F390">
        <v>-236</v>
      </c>
      <c r="G390">
        <v>1537</v>
      </c>
      <c r="H390">
        <v>877</v>
      </c>
      <c r="I390">
        <v>-153</v>
      </c>
      <c r="J390">
        <v>30737</v>
      </c>
      <c r="K390">
        <v>-23219</v>
      </c>
    </row>
    <row r="391" spans="2:11" x14ac:dyDescent="0.25">
      <c r="B391">
        <v>-349</v>
      </c>
      <c r="C391">
        <v>627</v>
      </c>
      <c r="D391">
        <v>-111</v>
      </c>
      <c r="E391">
        <v>300</v>
      </c>
      <c r="F391">
        <v>-455</v>
      </c>
      <c r="G391">
        <v>685</v>
      </c>
      <c r="H391">
        <v>-4412</v>
      </c>
      <c r="I391">
        <v>-2631</v>
      </c>
      <c r="J391">
        <v>5046</v>
      </c>
      <c r="K391">
        <v>-484</v>
      </c>
    </row>
    <row r="392" spans="2:11" x14ac:dyDescent="0.25">
      <c r="B392">
        <v>-638</v>
      </c>
      <c r="C392">
        <v>470</v>
      </c>
      <c r="D392">
        <v>37</v>
      </c>
      <c r="E392">
        <v>-160</v>
      </c>
      <c r="F392">
        <v>-360</v>
      </c>
      <c r="G392">
        <v>7554</v>
      </c>
      <c r="H392">
        <v>-12971</v>
      </c>
      <c r="I392">
        <v>-930</v>
      </c>
      <c r="J392">
        <v>-203</v>
      </c>
      <c r="K392">
        <v>-216</v>
      </c>
    </row>
    <row r="393" spans="2:11" x14ac:dyDescent="0.25">
      <c r="B393">
        <v>-265</v>
      </c>
      <c r="C393">
        <v>-499</v>
      </c>
      <c r="D393">
        <v>-5335</v>
      </c>
      <c r="E393">
        <v>302</v>
      </c>
      <c r="F393">
        <v>-233</v>
      </c>
      <c r="G393">
        <v>-130</v>
      </c>
      <c r="H393">
        <v>191</v>
      </c>
      <c r="I393">
        <v>387</v>
      </c>
      <c r="J393">
        <v>-1207</v>
      </c>
      <c r="K393">
        <v>-1032</v>
      </c>
    </row>
    <row r="394" spans="2:11" x14ac:dyDescent="0.25">
      <c r="B394">
        <v>302</v>
      </c>
      <c r="C394">
        <v>-1541</v>
      </c>
      <c r="D394">
        <v>46271</v>
      </c>
      <c r="E394">
        <v>0</v>
      </c>
      <c r="F394">
        <v>8947</v>
      </c>
      <c r="G394">
        <v>2915</v>
      </c>
      <c r="H394">
        <v>11328</v>
      </c>
      <c r="I394">
        <v>10533</v>
      </c>
      <c r="J394">
        <v>10715</v>
      </c>
      <c r="K394">
        <v>7365</v>
      </c>
    </row>
    <row r="395" spans="2:11" x14ac:dyDescent="0.25">
      <c r="B395">
        <v>10706</v>
      </c>
      <c r="C395">
        <v>31793</v>
      </c>
      <c r="D395">
        <v>44970</v>
      </c>
      <c r="E395">
        <v>17805</v>
      </c>
      <c r="F395">
        <v>56970</v>
      </c>
      <c r="G395">
        <v>0</v>
      </c>
      <c r="H395">
        <v>-129</v>
      </c>
      <c r="I395">
        <v>-92</v>
      </c>
      <c r="J395">
        <v>826</v>
      </c>
      <c r="K395">
        <v>-253</v>
      </c>
    </row>
    <row r="396" spans="2:11" x14ac:dyDescent="0.25">
      <c r="B396">
        <v>318</v>
      </c>
      <c r="C396">
        <v>377</v>
      </c>
      <c r="D396">
        <v>-120</v>
      </c>
      <c r="E396">
        <v>-162</v>
      </c>
      <c r="F396">
        <v>-357</v>
      </c>
      <c r="G396">
        <v>306</v>
      </c>
      <c r="H396">
        <v>-427</v>
      </c>
      <c r="I396">
        <v>729</v>
      </c>
      <c r="J396">
        <v>-509</v>
      </c>
      <c r="K396">
        <v>-1351</v>
      </c>
    </row>
    <row r="397" spans="2:11" x14ac:dyDescent="0.25">
      <c r="B397">
        <v>-953</v>
      </c>
      <c r="C397">
        <v>0</v>
      </c>
      <c r="D397">
        <v>0</v>
      </c>
      <c r="E397">
        <v>0</v>
      </c>
      <c r="F397">
        <v>262</v>
      </c>
      <c r="G397">
        <v>63</v>
      </c>
      <c r="H397">
        <v>-54</v>
      </c>
      <c r="I397">
        <v>85</v>
      </c>
      <c r="J397">
        <v>37034</v>
      </c>
      <c r="K397">
        <v>-30231</v>
      </c>
    </row>
    <row r="398" spans="2:11" x14ac:dyDescent="0.25">
      <c r="B398">
        <v>-237</v>
      </c>
      <c r="C398">
        <v>662</v>
      </c>
      <c r="D398">
        <v>-176</v>
      </c>
      <c r="E398">
        <v>224</v>
      </c>
      <c r="F398">
        <v>-463</v>
      </c>
      <c r="G398">
        <v>709</v>
      </c>
      <c r="H398">
        <v>-4658</v>
      </c>
      <c r="I398">
        <v>-2788</v>
      </c>
      <c r="J398">
        <v>5375</v>
      </c>
      <c r="K398">
        <v>-475</v>
      </c>
    </row>
    <row r="399" spans="2:11" x14ac:dyDescent="0.25">
      <c r="B399">
        <v>-559</v>
      </c>
      <c r="C399">
        <v>510</v>
      </c>
      <c r="D399">
        <v>-10</v>
      </c>
      <c r="E399">
        <v>-246</v>
      </c>
      <c r="F399">
        <v>-349</v>
      </c>
      <c r="G399">
        <v>8026</v>
      </c>
      <c r="H399">
        <v>-13764</v>
      </c>
      <c r="I399">
        <v>-896</v>
      </c>
      <c r="J399">
        <v>-216</v>
      </c>
      <c r="K399">
        <v>-307</v>
      </c>
    </row>
    <row r="400" spans="2:11" x14ac:dyDescent="0.25">
      <c r="B400">
        <v>-408</v>
      </c>
      <c r="C400">
        <v>-543</v>
      </c>
      <c r="D400">
        <v>-5634</v>
      </c>
      <c r="E400">
        <v>544</v>
      </c>
      <c r="F400">
        <v>-175</v>
      </c>
      <c r="G400">
        <v>-126</v>
      </c>
      <c r="H400">
        <v>159</v>
      </c>
      <c r="I400">
        <v>512</v>
      </c>
      <c r="J400">
        <v>-1280</v>
      </c>
      <c r="K400">
        <v>-1094</v>
      </c>
    </row>
    <row r="401" spans="2:11" x14ac:dyDescent="0.25">
      <c r="B401">
        <v>332</v>
      </c>
      <c r="C401">
        <v>-1603</v>
      </c>
      <c r="D401">
        <v>49096</v>
      </c>
      <c r="E401">
        <v>0</v>
      </c>
      <c r="F401">
        <v>9911</v>
      </c>
      <c r="G401">
        <v>3604</v>
      </c>
      <c r="H401">
        <v>12143</v>
      </c>
      <c r="I401">
        <v>11435</v>
      </c>
      <c r="J401">
        <v>11528</v>
      </c>
      <c r="K401">
        <v>8239</v>
      </c>
    </row>
    <row r="402" spans="2:11" x14ac:dyDescent="0.25">
      <c r="B402">
        <v>11213</v>
      </c>
      <c r="C402">
        <v>33177</v>
      </c>
      <c r="D402">
        <v>57140</v>
      </c>
      <c r="E402">
        <v>20277</v>
      </c>
      <c r="F402">
        <v>70349</v>
      </c>
      <c r="G402">
        <v>59665</v>
      </c>
      <c r="H402">
        <v>0</v>
      </c>
      <c r="I402">
        <v>252</v>
      </c>
      <c r="J402">
        <v>428</v>
      </c>
      <c r="K402">
        <v>801</v>
      </c>
    </row>
    <row r="403" spans="2:11" x14ac:dyDescent="0.25">
      <c r="B403">
        <v>-142</v>
      </c>
      <c r="C403">
        <v>951</v>
      </c>
      <c r="D403">
        <v>141</v>
      </c>
      <c r="E403">
        <v>-878</v>
      </c>
      <c r="F403">
        <v>-182</v>
      </c>
      <c r="G403">
        <v>-111</v>
      </c>
      <c r="H403">
        <v>-70</v>
      </c>
      <c r="I403">
        <v>131</v>
      </c>
      <c r="J403">
        <v>655</v>
      </c>
      <c r="K403">
        <v>-226</v>
      </c>
    </row>
    <row r="404" spans="2:11" x14ac:dyDescent="0.25">
      <c r="B404">
        <v>-1000</v>
      </c>
      <c r="C404">
        <v>-748</v>
      </c>
      <c r="D404">
        <v>0</v>
      </c>
      <c r="E404">
        <v>0</v>
      </c>
      <c r="F404">
        <v>0</v>
      </c>
      <c r="G404">
        <v>-741</v>
      </c>
      <c r="H404">
        <v>-1401</v>
      </c>
      <c r="I404">
        <v>-506</v>
      </c>
      <c r="J404">
        <v>-545</v>
      </c>
      <c r="K404">
        <v>21041</v>
      </c>
    </row>
    <row r="405" spans="2:11" x14ac:dyDescent="0.25">
      <c r="B405">
        <v>-21448</v>
      </c>
      <c r="C405">
        <v>-332</v>
      </c>
      <c r="D405">
        <v>459</v>
      </c>
      <c r="E405">
        <v>-127</v>
      </c>
      <c r="F405">
        <v>60</v>
      </c>
      <c r="G405">
        <v>-434</v>
      </c>
      <c r="H405">
        <v>511</v>
      </c>
      <c r="I405">
        <v>-3263</v>
      </c>
      <c r="J405">
        <v>-1967</v>
      </c>
      <c r="K405">
        <v>3765</v>
      </c>
    </row>
    <row r="406" spans="2:11" x14ac:dyDescent="0.25">
      <c r="B406">
        <v>-359</v>
      </c>
      <c r="C406">
        <v>-513</v>
      </c>
      <c r="D406">
        <v>343</v>
      </c>
      <c r="E406">
        <v>-8</v>
      </c>
      <c r="F406">
        <v>-253</v>
      </c>
      <c r="G406">
        <v>-337</v>
      </c>
      <c r="H406">
        <v>5627</v>
      </c>
      <c r="I406">
        <v>-9648</v>
      </c>
      <c r="J406">
        <v>-711</v>
      </c>
      <c r="K406">
        <v>-167</v>
      </c>
    </row>
    <row r="407" spans="2:11" x14ac:dyDescent="0.25">
      <c r="B407">
        <v>-185</v>
      </c>
      <c r="C407">
        <v>-332</v>
      </c>
      <c r="D407">
        <v>-435</v>
      </c>
      <c r="E407">
        <v>-3964</v>
      </c>
      <c r="F407">
        <v>230</v>
      </c>
      <c r="G407">
        <v>-156</v>
      </c>
      <c r="H407">
        <v>-86</v>
      </c>
      <c r="I407">
        <v>-20</v>
      </c>
      <c r="J407">
        <v>235</v>
      </c>
      <c r="K407">
        <v>-897</v>
      </c>
    </row>
    <row r="408" spans="2:11" x14ac:dyDescent="0.25">
      <c r="B408">
        <v>-762</v>
      </c>
      <c r="C408">
        <v>220</v>
      </c>
      <c r="D408">
        <v>-1145</v>
      </c>
      <c r="E408">
        <v>34435</v>
      </c>
      <c r="F408">
        <v>0</v>
      </c>
      <c r="G408">
        <v>6950</v>
      </c>
      <c r="H408">
        <v>2538</v>
      </c>
      <c r="I408">
        <v>8503</v>
      </c>
      <c r="J408">
        <v>8014</v>
      </c>
      <c r="K408">
        <v>8094</v>
      </c>
    </row>
    <row r="409" spans="2:11" x14ac:dyDescent="0.25">
      <c r="B409">
        <v>5799</v>
      </c>
      <c r="C409">
        <v>7851</v>
      </c>
      <c r="D409">
        <v>23197</v>
      </c>
      <c r="E409">
        <v>35676</v>
      </c>
      <c r="F409">
        <v>15475</v>
      </c>
      <c r="G409">
        <v>45074</v>
      </c>
      <c r="H409">
        <v>37472</v>
      </c>
      <c r="I409">
        <v>47137</v>
      </c>
      <c r="J409">
        <v>0</v>
      </c>
      <c r="K409">
        <v>192</v>
      </c>
    </row>
    <row r="410" spans="2:11" x14ac:dyDescent="0.25">
      <c r="B410">
        <v>653</v>
      </c>
      <c r="C410">
        <v>1227</v>
      </c>
      <c r="D410">
        <v>-160</v>
      </c>
      <c r="E410">
        <v>600</v>
      </c>
      <c r="F410">
        <v>92</v>
      </c>
      <c r="G410">
        <v>-946</v>
      </c>
      <c r="H410">
        <v>-161</v>
      </c>
      <c r="I410">
        <v>-287</v>
      </c>
      <c r="J410">
        <v>279</v>
      </c>
      <c r="K410">
        <v>263</v>
      </c>
    </row>
    <row r="411" spans="2:11" x14ac:dyDescent="0.25">
      <c r="B411">
        <v>791</v>
      </c>
      <c r="C411">
        <v>-334</v>
      </c>
      <c r="D411">
        <v>-1280</v>
      </c>
      <c r="E411">
        <v>-1061</v>
      </c>
      <c r="F411">
        <v>0</v>
      </c>
      <c r="G411">
        <v>0</v>
      </c>
      <c r="H411">
        <v>0</v>
      </c>
      <c r="I411">
        <v>-28</v>
      </c>
      <c r="J411">
        <v>621</v>
      </c>
      <c r="K411">
        <v>-98</v>
      </c>
    </row>
    <row r="412" spans="2:11" x14ac:dyDescent="0.25">
      <c r="B412">
        <v>380</v>
      </c>
      <c r="C412">
        <v>37143</v>
      </c>
      <c r="D412">
        <v>-20598</v>
      </c>
      <c r="E412">
        <v>-456</v>
      </c>
      <c r="F412">
        <v>705</v>
      </c>
      <c r="G412">
        <v>-224</v>
      </c>
      <c r="H412">
        <v>54</v>
      </c>
      <c r="I412">
        <v>-566</v>
      </c>
      <c r="J412">
        <v>780</v>
      </c>
      <c r="K412">
        <v>-5046</v>
      </c>
    </row>
    <row r="413" spans="2:11" x14ac:dyDescent="0.25">
      <c r="B413">
        <v>-3014</v>
      </c>
      <c r="C413">
        <v>5792</v>
      </c>
      <c r="D413">
        <v>-561</v>
      </c>
      <c r="E413">
        <v>-753</v>
      </c>
      <c r="F413">
        <v>528</v>
      </c>
      <c r="G413">
        <v>-43</v>
      </c>
      <c r="H413">
        <v>-431</v>
      </c>
      <c r="I413">
        <v>-437</v>
      </c>
      <c r="J413">
        <v>8651</v>
      </c>
      <c r="K413">
        <v>-14851</v>
      </c>
    </row>
    <row r="414" spans="2:11" x14ac:dyDescent="0.25">
      <c r="B414">
        <v>-1083</v>
      </c>
      <c r="C414">
        <v>-242</v>
      </c>
      <c r="D414">
        <v>-291</v>
      </c>
      <c r="E414">
        <v>-556</v>
      </c>
      <c r="F414">
        <v>-588</v>
      </c>
      <c r="G414">
        <v>-6108</v>
      </c>
      <c r="H414">
        <v>366</v>
      </c>
      <c r="I414">
        <v>-264</v>
      </c>
      <c r="J414">
        <v>-193</v>
      </c>
      <c r="K414">
        <v>-115</v>
      </c>
    </row>
    <row r="415" spans="2:11" x14ac:dyDescent="0.25">
      <c r="B415">
        <v>458</v>
      </c>
      <c r="C415">
        <v>-1382</v>
      </c>
      <c r="D415">
        <v>-1176</v>
      </c>
      <c r="E415">
        <v>345</v>
      </c>
      <c r="F415">
        <v>-1764</v>
      </c>
      <c r="G415">
        <v>52991</v>
      </c>
      <c r="H415">
        <v>0</v>
      </c>
      <c r="I415">
        <v>9734</v>
      </c>
      <c r="J415">
        <v>2796</v>
      </c>
      <c r="K415">
        <v>12804</v>
      </c>
    </row>
    <row r="416" spans="2:11" x14ac:dyDescent="0.25">
      <c r="B416">
        <v>11723</v>
      </c>
      <c r="C416">
        <v>12095</v>
      </c>
      <c r="D416">
        <v>7946</v>
      </c>
      <c r="E416">
        <v>12416</v>
      </c>
      <c r="F416">
        <v>36814</v>
      </c>
      <c r="G416">
        <v>52274</v>
      </c>
      <c r="H416">
        <v>18244</v>
      </c>
      <c r="I416">
        <v>65858</v>
      </c>
      <c r="J416">
        <v>56577</v>
      </c>
      <c r="K416">
        <v>68572</v>
      </c>
    </row>
    <row r="417" spans="2:11" x14ac:dyDescent="0.25">
      <c r="B417">
        <v>43650</v>
      </c>
      <c r="C417">
        <v>0</v>
      </c>
      <c r="D417">
        <v>-1163</v>
      </c>
      <c r="E417">
        <v>-120</v>
      </c>
      <c r="F417">
        <v>402</v>
      </c>
      <c r="G417">
        <v>-655</v>
      </c>
      <c r="H417">
        <v>-6</v>
      </c>
      <c r="I417">
        <v>808</v>
      </c>
      <c r="J417">
        <v>-542</v>
      </c>
      <c r="K417">
        <v>233</v>
      </c>
    </row>
    <row r="418" spans="2:11" x14ac:dyDescent="0.25">
      <c r="B418">
        <v>-120</v>
      </c>
      <c r="C418">
        <v>528</v>
      </c>
      <c r="D418">
        <v>403</v>
      </c>
      <c r="E418">
        <v>893</v>
      </c>
      <c r="F418">
        <v>-859</v>
      </c>
      <c r="G418">
        <v>-2585</v>
      </c>
      <c r="H418">
        <v>-2099</v>
      </c>
      <c r="I418">
        <v>0</v>
      </c>
      <c r="J418">
        <v>0</v>
      </c>
      <c r="K418">
        <v>0</v>
      </c>
    </row>
    <row r="419" spans="2:11" x14ac:dyDescent="0.25">
      <c r="B419">
        <v>329</v>
      </c>
      <c r="C419">
        <v>2886</v>
      </c>
      <c r="D419">
        <v>-386</v>
      </c>
      <c r="E419">
        <v>221</v>
      </c>
      <c r="F419">
        <v>21871</v>
      </c>
      <c r="G419">
        <v>-17734</v>
      </c>
      <c r="H419">
        <v>-424</v>
      </c>
      <c r="I419">
        <v>1106</v>
      </c>
      <c r="J419">
        <v>-369</v>
      </c>
      <c r="K419">
        <v>115</v>
      </c>
    </row>
    <row r="420" spans="2:11" x14ac:dyDescent="0.25">
      <c r="B420">
        <v>-1132</v>
      </c>
      <c r="C420">
        <v>1248</v>
      </c>
      <c r="D420">
        <v>-8245</v>
      </c>
      <c r="E420">
        <v>-4965</v>
      </c>
      <c r="F420">
        <v>9559</v>
      </c>
      <c r="G420">
        <v>-825</v>
      </c>
      <c r="H420">
        <v>-1010</v>
      </c>
      <c r="I420">
        <v>806</v>
      </c>
      <c r="J420">
        <v>-67</v>
      </c>
      <c r="K420">
        <v>-670</v>
      </c>
    </row>
    <row r="421" spans="2:11" x14ac:dyDescent="0.25">
      <c r="B421">
        <v>-886</v>
      </c>
      <c r="C421">
        <v>14259</v>
      </c>
      <c r="D421">
        <v>-24468</v>
      </c>
      <c r="E421">
        <v>-1614</v>
      </c>
      <c r="F421">
        <v>-455</v>
      </c>
      <c r="G421">
        <v>-571</v>
      </c>
      <c r="H421">
        <v>-918</v>
      </c>
      <c r="I421">
        <v>-1225</v>
      </c>
      <c r="J421">
        <v>-9983</v>
      </c>
      <c r="K421">
        <v>896</v>
      </c>
    </row>
    <row r="422" spans="2:11" x14ac:dyDescent="0.25">
      <c r="B422">
        <v>-451</v>
      </c>
      <c r="C422">
        <v>-268</v>
      </c>
      <c r="D422">
        <v>-19</v>
      </c>
      <c r="E422">
        <v>575</v>
      </c>
      <c r="F422">
        <v>-2293</v>
      </c>
      <c r="G422">
        <v>-1926</v>
      </c>
      <c r="H422">
        <v>603</v>
      </c>
      <c r="I422">
        <v>-2859</v>
      </c>
      <c r="J422">
        <v>87243</v>
      </c>
      <c r="K422">
        <v>0</v>
      </c>
    </row>
    <row r="423" spans="2:11" x14ac:dyDescent="0.25">
      <c r="B423">
        <v>14746</v>
      </c>
      <c r="C423">
        <v>3161</v>
      </c>
      <c r="D423">
        <v>20707</v>
      </c>
      <c r="E423">
        <v>18510</v>
      </c>
      <c r="F423">
        <v>19515</v>
      </c>
      <c r="G423">
        <v>11833</v>
      </c>
      <c r="H423">
        <v>20917</v>
      </c>
      <c r="I423">
        <v>61979</v>
      </c>
      <c r="J423">
        <v>42079</v>
      </c>
      <c r="K423">
        <v>18254</v>
      </c>
    </row>
    <row r="424" spans="2:11" x14ac:dyDescent="0.25">
      <c r="B424">
        <v>65420</v>
      </c>
      <c r="C424">
        <v>56261</v>
      </c>
      <c r="D424">
        <v>63228</v>
      </c>
      <c r="E424">
        <v>41782</v>
      </c>
      <c r="F424">
        <v>65130</v>
      </c>
      <c r="G424">
        <v>0</v>
      </c>
      <c r="H424">
        <v>0</v>
      </c>
      <c r="I424">
        <v>0</v>
      </c>
      <c r="J424">
        <v>0</v>
      </c>
      <c r="K424">
        <v>0</v>
      </c>
    </row>
    <row r="425" spans="2:11" x14ac:dyDescent="0.25"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</row>
    <row r="426" spans="2:11" x14ac:dyDescent="0.25"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</row>
    <row r="427" spans="2:11" x14ac:dyDescent="0.25"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</row>
    <row r="428" spans="2:11" x14ac:dyDescent="0.25"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</row>
    <row r="429" spans="2:11" x14ac:dyDescent="0.25"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</row>
    <row r="430" spans="2:11" x14ac:dyDescent="0.25"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</row>
    <row r="431" spans="2:11" x14ac:dyDescent="0.25"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</row>
    <row r="432" spans="2:11" x14ac:dyDescent="0.25">
      <c r="B432">
        <v>0</v>
      </c>
      <c r="C432">
        <v>-5</v>
      </c>
      <c r="D432">
        <v>143</v>
      </c>
      <c r="E432">
        <v>613</v>
      </c>
      <c r="F432">
        <v>-150</v>
      </c>
      <c r="G432">
        <v>21</v>
      </c>
      <c r="H432">
        <v>-134</v>
      </c>
      <c r="I432">
        <v>-239</v>
      </c>
      <c r="J432">
        <v>152</v>
      </c>
      <c r="K432">
        <v>-241</v>
      </c>
    </row>
    <row r="433" spans="2:11" x14ac:dyDescent="0.25">
      <c r="B433">
        <v>113</v>
      </c>
      <c r="C433">
        <v>-487</v>
      </c>
      <c r="D433">
        <v>247</v>
      </c>
      <c r="E433">
        <v>166</v>
      </c>
      <c r="F433">
        <v>1191</v>
      </c>
      <c r="G433">
        <v>1217</v>
      </c>
      <c r="H433">
        <v>0</v>
      </c>
      <c r="I433">
        <v>0</v>
      </c>
      <c r="J433">
        <v>0</v>
      </c>
      <c r="K433">
        <v>-140</v>
      </c>
    </row>
    <row r="434" spans="2:11" x14ac:dyDescent="0.25">
      <c r="B434">
        <v>-43</v>
      </c>
      <c r="C434">
        <v>-363</v>
      </c>
      <c r="D434">
        <v>-11</v>
      </c>
      <c r="E434">
        <v>2129</v>
      </c>
      <c r="F434">
        <v>-5322</v>
      </c>
      <c r="G434">
        <v>-228</v>
      </c>
      <c r="H434">
        <v>1726</v>
      </c>
      <c r="I434">
        <v>-120</v>
      </c>
      <c r="J434">
        <v>-112</v>
      </c>
      <c r="K434">
        <v>150</v>
      </c>
    </row>
    <row r="435" spans="2:11" x14ac:dyDescent="0.25">
      <c r="B435">
        <v>-16862</v>
      </c>
      <c r="C435">
        <v>-1459</v>
      </c>
      <c r="D435">
        <v>17207</v>
      </c>
      <c r="E435">
        <v>5837</v>
      </c>
      <c r="F435">
        <v>-720</v>
      </c>
      <c r="G435">
        <v>-242</v>
      </c>
      <c r="H435">
        <v>296</v>
      </c>
      <c r="I435">
        <v>10</v>
      </c>
      <c r="J435">
        <v>-115</v>
      </c>
      <c r="K435">
        <v>-115</v>
      </c>
    </row>
    <row r="436" spans="2:11" x14ac:dyDescent="0.25">
      <c r="B436">
        <v>4034</v>
      </c>
      <c r="C436">
        <v>-7060</v>
      </c>
      <c r="D436">
        <v>-414</v>
      </c>
      <c r="E436">
        <v>-63</v>
      </c>
      <c r="F436">
        <v>-107</v>
      </c>
      <c r="G436">
        <v>-214</v>
      </c>
      <c r="H436">
        <v>-206</v>
      </c>
      <c r="I436">
        <v>-2991</v>
      </c>
      <c r="J436">
        <v>284</v>
      </c>
      <c r="K436">
        <v>-74</v>
      </c>
    </row>
    <row r="437" spans="2:11" x14ac:dyDescent="0.25">
      <c r="B437">
        <v>-70</v>
      </c>
      <c r="C437">
        <v>58</v>
      </c>
      <c r="D437">
        <v>323</v>
      </c>
      <c r="E437">
        <v>-646</v>
      </c>
      <c r="F437">
        <v>-559</v>
      </c>
      <c r="G437">
        <v>173</v>
      </c>
      <c r="H437">
        <v>-813</v>
      </c>
      <c r="I437">
        <v>25062</v>
      </c>
      <c r="J437">
        <v>0</v>
      </c>
      <c r="K437">
        <v>4246</v>
      </c>
    </row>
    <row r="438" spans="2:11" x14ac:dyDescent="0.25">
      <c r="B438">
        <v>906</v>
      </c>
      <c r="C438">
        <v>5946</v>
      </c>
      <c r="D438">
        <v>5318</v>
      </c>
      <c r="E438">
        <v>5606</v>
      </c>
      <c r="F438">
        <v>3379</v>
      </c>
      <c r="G438">
        <v>6009</v>
      </c>
      <c r="H438">
        <v>17747</v>
      </c>
      <c r="I438">
        <v>6792</v>
      </c>
      <c r="J438">
        <v>3489</v>
      </c>
      <c r="K438">
        <v>13218</v>
      </c>
    </row>
    <row r="439" spans="2:11" x14ac:dyDescent="0.25">
      <c r="B439">
        <v>11611</v>
      </c>
      <c r="C439">
        <v>12318</v>
      </c>
      <c r="D439">
        <v>8637</v>
      </c>
      <c r="E439">
        <v>13300</v>
      </c>
      <c r="F439">
        <v>21868</v>
      </c>
      <c r="G439">
        <v>0</v>
      </c>
      <c r="H439">
        <v>0</v>
      </c>
      <c r="I439">
        <v>-161</v>
      </c>
      <c r="J439">
        <v>120</v>
      </c>
      <c r="K439">
        <v>189</v>
      </c>
    </row>
    <row r="440" spans="2:11" x14ac:dyDescent="0.25">
      <c r="B440">
        <v>-174</v>
      </c>
      <c r="C440">
        <v>72</v>
      </c>
      <c r="D440">
        <v>185</v>
      </c>
      <c r="E440">
        <v>-33</v>
      </c>
      <c r="F440">
        <v>42</v>
      </c>
      <c r="G440">
        <v>87</v>
      </c>
      <c r="H440">
        <v>215</v>
      </c>
      <c r="I440">
        <v>-30</v>
      </c>
      <c r="J440">
        <v>126</v>
      </c>
      <c r="K440">
        <v>-152</v>
      </c>
    </row>
    <row r="441" spans="2:11" x14ac:dyDescent="0.25">
      <c r="B441">
        <v>122</v>
      </c>
      <c r="C441">
        <v>-16</v>
      </c>
      <c r="D441">
        <v>0</v>
      </c>
      <c r="E441">
        <v>0</v>
      </c>
      <c r="F441">
        <v>0</v>
      </c>
      <c r="G441">
        <v>5</v>
      </c>
      <c r="H441">
        <v>-31</v>
      </c>
      <c r="I441">
        <v>-251</v>
      </c>
      <c r="J441">
        <v>0</v>
      </c>
      <c r="K441">
        <v>1659</v>
      </c>
    </row>
    <row r="442" spans="2:11" x14ac:dyDescent="0.25">
      <c r="B442">
        <v>-4180</v>
      </c>
      <c r="C442">
        <v>231</v>
      </c>
      <c r="D442">
        <v>179</v>
      </c>
      <c r="E442">
        <v>-51</v>
      </c>
      <c r="F442">
        <v>342</v>
      </c>
      <c r="G442">
        <v>108</v>
      </c>
      <c r="H442">
        <v>-122</v>
      </c>
      <c r="I442">
        <v>-4749</v>
      </c>
      <c r="J442">
        <v>3354</v>
      </c>
      <c r="K442">
        <v>1600</v>
      </c>
    </row>
    <row r="443" spans="2:11" x14ac:dyDescent="0.25">
      <c r="B443">
        <v>-473</v>
      </c>
      <c r="C443">
        <v>-206</v>
      </c>
      <c r="D443">
        <v>200</v>
      </c>
      <c r="E443">
        <v>-7</v>
      </c>
      <c r="F443">
        <v>-145</v>
      </c>
      <c r="G443">
        <v>-170</v>
      </c>
      <c r="H443">
        <v>3213</v>
      </c>
      <c r="I443">
        <v>-5559</v>
      </c>
      <c r="J443">
        <v>-333</v>
      </c>
      <c r="K443">
        <v>-89</v>
      </c>
    </row>
    <row r="444" spans="2:11" x14ac:dyDescent="0.25">
      <c r="B444">
        <v>-117</v>
      </c>
      <c r="C444">
        <v>-214</v>
      </c>
      <c r="D444">
        <v>-245</v>
      </c>
      <c r="E444">
        <v>-2298</v>
      </c>
      <c r="F444">
        <v>219</v>
      </c>
      <c r="G444">
        <v>-90</v>
      </c>
      <c r="H444">
        <v>-53</v>
      </c>
      <c r="I444">
        <v>-11</v>
      </c>
      <c r="J444">
        <v>161</v>
      </c>
      <c r="K444">
        <v>-518</v>
      </c>
    </row>
    <row r="445" spans="2:11" x14ac:dyDescent="0.25">
      <c r="B445">
        <v>-437</v>
      </c>
      <c r="C445">
        <v>134</v>
      </c>
      <c r="D445">
        <v>-648</v>
      </c>
      <c r="E445">
        <v>19779</v>
      </c>
      <c r="F445">
        <v>0</v>
      </c>
      <c r="G445">
        <v>3346</v>
      </c>
      <c r="H445">
        <v>722</v>
      </c>
      <c r="I445">
        <v>4694</v>
      </c>
      <c r="J445">
        <v>4196</v>
      </c>
      <c r="K445">
        <v>4429</v>
      </c>
    </row>
    <row r="446" spans="2:11" x14ac:dyDescent="0.25">
      <c r="B446">
        <v>2683</v>
      </c>
      <c r="C446">
        <v>4739</v>
      </c>
      <c r="D446">
        <v>14008</v>
      </c>
      <c r="E446">
        <v>5352</v>
      </c>
      <c r="F446">
        <v>2741</v>
      </c>
      <c r="G446">
        <v>10423</v>
      </c>
      <c r="H446">
        <v>9156</v>
      </c>
      <c r="I446">
        <v>9714</v>
      </c>
      <c r="J446">
        <v>6812</v>
      </c>
      <c r="K446">
        <v>10486</v>
      </c>
    </row>
    <row r="447" spans="2:11" x14ac:dyDescent="0.25">
      <c r="B447">
        <v>17257</v>
      </c>
      <c r="C447">
        <v>0</v>
      </c>
      <c r="D447">
        <v>7641</v>
      </c>
      <c r="E447">
        <v>0</v>
      </c>
      <c r="F447">
        <v>-562</v>
      </c>
      <c r="G447">
        <v>-349</v>
      </c>
      <c r="H447">
        <v>-169</v>
      </c>
      <c r="I447">
        <v>-373</v>
      </c>
      <c r="J447">
        <v>25</v>
      </c>
      <c r="K447">
        <v>529</v>
      </c>
    </row>
    <row r="448" spans="2:11" x14ac:dyDescent="0.25">
      <c r="B448">
        <v>-199</v>
      </c>
      <c r="C448">
        <v>746</v>
      </c>
      <c r="D448">
        <v>199</v>
      </c>
      <c r="E448">
        <v>36</v>
      </c>
      <c r="F448">
        <v>-363</v>
      </c>
      <c r="G448">
        <v>542</v>
      </c>
      <c r="H448">
        <v>243</v>
      </c>
      <c r="I448">
        <v>696</v>
      </c>
      <c r="J448">
        <v>257</v>
      </c>
      <c r="K448">
        <v>0</v>
      </c>
    </row>
    <row r="449" spans="2:11" x14ac:dyDescent="0.25">
      <c r="B449">
        <v>0</v>
      </c>
      <c r="C449">
        <v>0</v>
      </c>
      <c r="D449">
        <v>71</v>
      </c>
      <c r="E449">
        <v>-67</v>
      </c>
      <c r="F449">
        <v>-587</v>
      </c>
      <c r="G449">
        <v>105</v>
      </c>
      <c r="H449">
        <v>4587</v>
      </c>
      <c r="I449">
        <v>-11540</v>
      </c>
      <c r="J449">
        <v>831</v>
      </c>
      <c r="K449">
        <v>2662</v>
      </c>
    </row>
    <row r="450" spans="2:11" x14ac:dyDescent="0.25">
      <c r="B450">
        <v>51</v>
      </c>
      <c r="C450">
        <v>526</v>
      </c>
      <c r="D450">
        <v>368</v>
      </c>
      <c r="E450">
        <v>-145</v>
      </c>
      <c r="F450">
        <v>-10768</v>
      </c>
      <c r="G450">
        <v>15270</v>
      </c>
      <c r="H450">
        <v>2592</v>
      </c>
      <c r="I450">
        <v>-2813</v>
      </c>
      <c r="J450">
        <v>-482</v>
      </c>
      <c r="K450">
        <v>562</v>
      </c>
    </row>
    <row r="451" spans="2:11" x14ac:dyDescent="0.25">
      <c r="B451">
        <v>119</v>
      </c>
      <c r="C451">
        <v>-277</v>
      </c>
      <c r="D451">
        <v>-457</v>
      </c>
      <c r="E451">
        <v>8915</v>
      </c>
      <c r="F451">
        <v>-15402</v>
      </c>
      <c r="G451">
        <v>-867</v>
      </c>
      <c r="H451">
        <v>-280</v>
      </c>
      <c r="I451">
        <v>-288</v>
      </c>
      <c r="J451">
        <v>-518</v>
      </c>
      <c r="K451">
        <v>-690</v>
      </c>
    </row>
    <row r="452" spans="2:11" x14ac:dyDescent="0.25">
      <c r="B452">
        <v>-6344</v>
      </c>
      <c r="C452">
        <v>700</v>
      </c>
      <c r="D452">
        <v>-197</v>
      </c>
      <c r="E452">
        <v>15</v>
      </c>
      <c r="F452">
        <v>192</v>
      </c>
      <c r="G452">
        <v>466</v>
      </c>
      <c r="H452">
        <v>-1426</v>
      </c>
      <c r="I452">
        <v>-1200</v>
      </c>
      <c r="J452">
        <v>408</v>
      </c>
      <c r="K452">
        <v>-1755</v>
      </c>
    </row>
    <row r="453" spans="2:11" x14ac:dyDescent="0.25">
      <c r="B453">
        <v>54783</v>
      </c>
      <c r="C453">
        <v>0</v>
      </c>
      <c r="D453">
        <v>9259</v>
      </c>
      <c r="E453">
        <v>1988</v>
      </c>
      <c r="F453">
        <v>12988</v>
      </c>
      <c r="G453">
        <v>11618</v>
      </c>
      <c r="H453">
        <v>12256</v>
      </c>
      <c r="I453">
        <v>7415</v>
      </c>
      <c r="J453">
        <v>13116</v>
      </c>
      <c r="K453">
        <v>38798</v>
      </c>
    </row>
    <row r="454" spans="2:11" x14ac:dyDescent="0.25">
      <c r="B454">
        <v>14816</v>
      </c>
      <c r="C454">
        <v>7588</v>
      </c>
      <c r="D454">
        <v>28865</v>
      </c>
      <c r="E454">
        <v>25357</v>
      </c>
      <c r="F454">
        <v>26901</v>
      </c>
      <c r="G454">
        <v>18862</v>
      </c>
      <c r="H454">
        <v>29033</v>
      </c>
      <c r="I454">
        <v>47793</v>
      </c>
      <c r="J454">
        <v>0</v>
      </c>
      <c r="K454">
        <v>22283</v>
      </c>
    </row>
    <row r="455" spans="2:11" x14ac:dyDescent="0.25">
      <c r="B455">
        <v>13730</v>
      </c>
      <c r="C455">
        <v>0</v>
      </c>
      <c r="D455">
        <v>-20</v>
      </c>
      <c r="E455">
        <v>-12</v>
      </c>
      <c r="F455">
        <v>591</v>
      </c>
      <c r="G455">
        <v>-87</v>
      </c>
      <c r="H455">
        <v>-323</v>
      </c>
      <c r="I455">
        <v>-517</v>
      </c>
      <c r="J455">
        <v>-117</v>
      </c>
      <c r="K455">
        <v>103</v>
      </c>
    </row>
    <row r="456" spans="2:11" x14ac:dyDescent="0.25">
      <c r="B456">
        <v>203</v>
      </c>
      <c r="C456">
        <v>-144</v>
      </c>
      <c r="D456">
        <v>-456</v>
      </c>
      <c r="E456">
        <v>53</v>
      </c>
      <c r="F456">
        <v>787</v>
      </c>
      <c r="G456">
        <v>4909</v>
      </c>
      <c r="H456">
        <v>3400</v>
      </c>
      <c r="I456">
        <v>0</v>
      </c>
      <c r="J456">
        <v>0</v>
      </c>
      <c r="K456">
        <v>0</v>
      </c>
    </row>
    <row r="457" spans="2:11" x14ac:dyDescent="0.25">
      <c r="B457">
        <v>-109</v>
      </c>
      <c r="C457">
        <v>-24</v>
      </c>
      <c r="D457">
        <v>-351</v>
      </c>
      <c r="E457">
        <v>-21</v>
      </c>
      <c r="F457">
        <v>1704</v>
      </c>
      <c r="G457">
        <v>-4203</v>
      </c>
      <c r="H457">
        <v>1666</v>
      </c>
      <c r="I457">
        <v>528</v>
      </c>
      <c r="J457">
        <v>483</v>
      </c>
      <c r="K457">
        <v>1280</v>
      </c>
    </row>
    <row r="458" spans="2:11" x14ac:dyDescent="0.25">
      <c r="B458">
        <v>1404</v>
      </c>
      <c r="C458">
        <v>-1831</v>
      </c>
      <c r="D458">
        <v>-26039</v>
      </c>
      <c r="E458">
        <v>42498</v>
      </c>
      <c r="F458">
        <v>314</v>
      </c>
      <c r="G458">
        <v>-3780</v>
      </c>
      <c r="H458">
        <v>-58</v>
      </c>
      <c r="I458">
        <v>295</v>
      </c>
      <c r="J458">
        <v>19</v>
      </c>
      <c r="K458">
        <v>-42</v>
      </c>
    </row>
    <row r="459" spans="2:11" x14ac:dyDescent="0.25">
      <c r="B459">
        <v>16</v>
      </c>
      <c r="C459">
        <v>3027</v>
      </c>
      <c r="D459">
        <v>-5553</v>
      </c>
      <c r="E459">
        <v>-183</v>
      </c>
      <c r="F459">
        <v>25</v>
      </c>
      <c r="G459">
        <v>-16</v>
      </c>
      <c r="H459">
        <v>-152</v>
      </c>
      <c r="I459">
        <v>-52</v>
      </c>
      <c r="J459">
        <v>-2512</v>
      </c>
      <c r="K459">
        <v>319</v>
      </c>
    </row>
    <row r="460" spans="2:11" x14ac:dyDescent="0.25">
      <c r="B460">
        <v>-8</v>
      </c>
      <c r="C460">
        <v>-55</v>
      </c>
      <c r="D460">
        <v>98</v>
      </c>
      <c r="E460">
        <v>364</v>
      </c>
      <c r="F460">
        <v>-494</v>
      </c>
      <c r="G460">
        <v>-429</v>
      </c>
      <c r="H460">
        <v>141</v>
      </c>
      <c r="I460">
        <v>-614</v>
      </c>
      <c r="J460">
        <v>19459</v>
      </c>
      <c r="K460">
        <v>0</v>
      </c>
    </row>
    <row r="461" spans="2:11" x14ac:dyDescent="0.25">
      <c r="B461">
        <v>3309</v>
      </c>
      <c r="C461">
        <v>684</v>
      </c>
      <c r="D461">
        <v>4623</v>
      </c>
      <c r="E461">
        <v>4136</v>
      </c>
      <c r="F461">
        <v>4342</v>
      </c>
      <c r="G461">
        <v>2574</v>
      </c>
      <c r="H461">
        <v>4671</v>
      </c>
      <c r="I461">
        <v>13780</v>
      </c>
      <c r="J461">
        <v>5288</v>
      </c>
      <c r="K461">
        <v>2764</v>
      </c>
    </row>
    <row r="462" spans="2:11" x14ac:dyDescent="0.25">
      <c r="B462">
        <v>10279</v>
      </c>
      <c r="C462">
        <v>9034</v>
      </c>
      <c r="D462">
        <v>9575</v>
      </c>
      <c r="E462">
        <v>6708</v>
      </c>
      <c r="F462">
        <v>10344</v>
      </c>
      <c r="G462">
        <v>16981</v>
      </c>
      <c r="H462">
        <v>0</v>
      </c>
      <c r="I462">
        <v>30681</v>
      </c>
      <c r="J462">
        <v>10556</v>
      </c>
      <c r="K462">
        <v>39060</v>
      </c>
    </row>
    <row r="463" spans="2:11" x14ac:dyDescent="0.25">
      <c r="B463">
        <v>0</v>
      </c>
      <c r="C463">
        <v>217</v>
      </c>
      <c r="D463">
        <v>45</v>
      </c>
      <c r="E463">
        <v>407</v>
      </c>
      <c r="F463">
        <v>-174</v>
      </c>
      <c r="G463">
        <v>-403</v>
      </c>
      <c r="H463">
        <v>-1068</v>
      </c>
      <c r="I463">
        <v>85</v>
      </c>
      <c r="J463">
        <v>86</v>
      </c>
      <c r="K463">
        <v>-307</v>
      </c>
    </row>
    <row r="464" spans="2:11" x14ac:dyDescent="0.25">
      <c r="B464">
        <v>-724</v>
      </c>
      <c r="C464">
        <v>-381</v>
      </c>
      <c r="D464">
        <v>239</v>
      </c>
      <c r="E464">
        <v>250</v>
      </c>
      <c r="F464">
        <v>4716</v>
      </c>
      <c r="G464">
        <v>2954</v>
      </c>
      <c r="H464">
        <v>0</v>
      </c>
      <c r="I464">
        <v>0</v>
      </c>
      <c r="J464">
        <v>0</v>
      </c>
      <c r="K464">
        <v>-244</v>
      </c>
    </row>
    <row r="465" spans="2:11" x14ac:dyDescent="0.25">
      <c r="B465">
        <v>-39</v>
      </c>
      <c r="C465">
        <v>-263</v>
      </c>
      <c r="D465">
        <v>81</v>
      </c>
      <c r="E465">
        <v>1649</v>
      </c>
      <c r="F465">
        <v>-4090</v>
      </c>
      <c r="G465">
        <v>1095</v>
      </c>
      <c r="H465">
        <v>1136</v>
      </c>
      <c r="I465">
        <v>-389</v>
      </c>
      <c r="J465">
        <v>1257</v>
      </c>
      <c r="K465">
        <v>1291</v>
      </c>
    </row>
    <row r="466" spans="2:11" x14ac:dyDescent="0.25">
      <c r="B466">
        <v>-2519</v>
      </c>
      <c r="C466">
        <v>-33721</v>
      </c>
      <c r="D466">
        <v>49915</v>
      </c>
      <c r="E466">
        <v>-574</v>
      </c>
      <c r="F466">
        <v>-1863</v>
      </c>
      <c r="G466">
        <v>-45</v>
      </c>
      <c r="H466">
        <v>337</v>
      </c>
      <c r="I466">
        <v>168</v>
      </c>
      <c r="J466">
        <v>124</v>
      </c>
      <c r="K466">
        <v>147</v>
      </c>
    </row>
    <row r="467" spans="2:11" x14ac:dyDescent="0.25">
      <c r="B467">
        <v>2945</v>
      </c>
      <c r="C467">
        <v>-5384</v>
      </c>
      <c r="D467">
        <v>-220</v>
      </c>
      <c r="E467">
        <v>87</v>
      </c>
      <c r="F467">
        <v>143</v>
      </c>
      <c r="G467">
        <v>62</v>
      </c>
      <c r="H467">
        <v>66</v>
      </c>
      <c r="I467">
        <v>-2433</v>
      </c>
      <c r="J467">
        <v>343</v>
      </c>
      <c r="K467">
        <v>62</v>
      </c>
    </row>
    <row r="468" spans="2:11" x14ac:dyDescent="0.25">
      <c r="B468">
        <v>110</v>
      </c>
      <c r="C468">
        <v>309</v>
      </c>
      <c r="D468">
        <v>540</v>
      </c>
      <c r="E468">
        <v>-481</v>
      </c>
      <c r="F468">
        <v>-412</v>
      </c>
      <c r="G468">
        <v>128</v>
      </c>
      <c r="H468">
        <v>-609</v>
      </c>
      <c r="I468">
        <v>18873</v>
      </c>
      <c r="J468">
        <v>0</v>
      </c>
      <c r="K468">
        <v>3214</v>
      </c>
    </row>
    <row r="469" spans="2:11" x14ac:dyDescent="0.25">
      <c r="B469">
        <v>665</v>
      </c>
      <c r="C469">
        <v>4485</v>
      </c>
      <c r="D469">
        <v>4009</v>
      </c>
      <c r="E469">
        <v>4208</v>
      </c>
      <c r="F469">
        <v>2500</v>
      </c>
      <c r="G469">
        <v>4528</v>
      </c>
      <c r="H469">
        <v>13362</v>
      </c>
      <c r="I469">
        <v>5132</v>
      </c>
      <c r="J469">
        <v>2683</v>
      </c>
      <c r="K469">
        <v>9970</v>
      </c>
    </row>
    <row r="470" spans="2:11" x14ac:dyDescent="0.25">
      <c r="B470">
        <v>8765</v>
      </c>
      <c r="C470">
        <v>9283</v>
      </c>
      <c r="D470">
        <v>6502</v>
      </c>
      <c r="E470">
        <v>10030</v>
      </c>
      <c r="F470">
        <v>16469</v>
      </c>
      <c r="G470">
        <v>0</v>
      </c>
      <c r="H470">
        <v>31861</v>
      </c>
      <c r="I470">
        <v>11084</v>
      </c>
      <c r="J470">
        <v>41006</v>
      </c>
      <c r="K470">
        <v>73349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</row>
    <row r="474" spans="2:11" x14ac:dyDescent="0.25"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</row>
    <row r="475" spans="2:11" x14ac:dyDescent="0.25"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</row>
    <row r="476" spans="2:11" x14ac:dyDescent="0.25"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</row>
    <row r="477" spans="2:11" x14ac:dyDescent="0.25"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</row>
    <row r="478" spans="2:11" x14ac:dyDescent="0.25"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</row>
    <row r="479" spans="2:11" x14ac:dyDescent="0.25">
      <c r="B479">
        <v>0</v>
      </c>
      <c r="C479">
        <v>0</v>
      </c>
      <c r="D479">
        <v>-536</v>
      </c>
      <c r="E479">
        <v>83</v>
      </c>
      <c r="F479">
        <v>159</v>
      </c>
      <c r="G479">
        <v>-372</v>
      </c>
      <c r="H479">
        <v>11</v>
      </c>
      <c r="I479">
        <v>342</v>
      </c>
      <c r="J479">
        <v>79</v>
      </c>
      <c r="K479">
        <v>385</v>
      </c>
    </row>
    <row r="480" spans="2:11" x14ac:dyDescent="0.25">
      <c r="B480">
        <v>329</v>
      </c>
      <c r="C480">
        <v>-483</v>
      </c>
      <c r="D480">
        <v>-314</v>
      </c>
      <c r="E480">
        <v>409</v>
      </c>
      <c r="F480">
        <v>-72</v>
      </c>
      <c r="G480">
        <v>201</v>
      </c>
      <c r="H480">
        <v>-41</v>
      </c>
      <c r="I480">
        <v>0</v>
      </c>
      <c r="J480">
        <v>0</v>
      </c>
      <c r="K480">
        <v>0</v>
      </c>
    </row>
    <row r="481" spans="2:11" x14ac:dyDescent="0.25">
      <c r="B481">
        <v>94</v>
      </c>
      <c r="C481">
        <v>-53</v>
      </c>
      <c r="D481">
        <v>-564</v>
      </c>
      <c r="E481">
        <v>48</v>
      </c>
      <c r="F481">
        <v>4119</v>
      </c>
      <c r="G481">
        <v>-10379</v>
      </c>
      <c r="H481">
        <v>1284</v>
      </c>
      <c r="I481">
        <v>3206</v>
      </c>
      <c r="J481">
        <v>32</v>
      </c>
      <c r="K481">
        <v>1197</v>
      </c>
    </row>
    <row r="482" spans="2:11" x14ac:dyDescent="0.25">
      <c r="B482">
        <v>306</v>
      </c>
      <c r="C482">
        <v>-1490</v>
      </c>
      <c r="D482">
        <v>-9684</v>
      </c>
      <c r="E482">
        <v>15717</v>
      </c>
      <c r="F482">
        <v>7825</v>
      </c>
      <c r="G482">
        <v>-1988</v>
      </c>
      <c r="H482">
        <v>-396</v>
      </c>
      <c r="I482">
        <v>526</v>
      </c>
      <c r="J482">
        <v>63</v>
      </c>
      <c r="K482">
        <v>-292</v>
      </c>
    </row>
    <row r="483" spans="2:11" x14ac:dyDescent="0.25">
      <c r="B483">
        <v>-368</v>
      </c>
      <c r="C483">
        <v>8021</v>
      </c>
      <c r="D483">
        <v>-13850</v>
      </c>
      <c r="E483">
        <v>-776</v>
      </c>
      <c r="F483">
        <v>-217</v>
      </c>
      <c r="G483">
        <v>-264</v>
      </c>
      <c r="H483">
        <v>-499</v>
      </c>
      <c r="I483">
        <v>-615</v>
      </c>
      <c r="J483">
        <v>-5695</v>
      </c>
      <c r="K483">
        <v>760</v>
      </c>
    </row>
    <row r="484" spans="2:11" x14ac:dyDescent="0.25">
      <c r="B484">
        <v>-113</v>
      </c>
      <c r="C484">
        <v>38</v>
      </c>
      <c r="D484">
        <v>164</v>
      </c>
      <c r="E484">
        <v>552</v>
      </c>
      <c r="F484">
        <v>-1284</v>
      </c>
      <c r="G484">
        <v>-1074</v>
      </c>
      <c r="H484">
        <v>352</v>
      </c>
      <c r="I484">
        <v>-1579</v>
      </c>
      <c r="J484">
        <v>49260</v>
      </c>
      <c r="K484">
        <v>0</v>
      </c>
    </row>
    <row r="485" spans="2:11" x14ac:dyDescent="0.25">
      <c r="B485">
        <v>8331</v>
      </c>
      <c r="C485">
        <v>1794</v>
      </c>
      <c r="D485">
        <v>11688</v>
      </c>
      <c r="E485">
        <v>10448</v>
      </c>
      <c r="F485">
        <v>11025</v>
      </c>
      <c r="G485">
        <v>6678</v>
      </c>
      <c r="H485">
        <v>11799</v>
      </c>
      <c r="I485">
        <v>34891</v>
      </c>
      <c r="J485">
        <v>13326</v>
      </c>
      <c r="K485">
        <v>6823</v>
      </c>
    </row>
    <row r="486" spans="2:11" x14ac:dyDescent="0.25">
      <c r="B486">
        <v>25955</v>
      </c>
      <c r="C486">
        <v>22796</v>
      </c>
      <c r="D486">
        <v>24188</v>
      </c>
      <c r="E486">
        <v>16962</v>
      </c>
      <c r="F486">
        <v>26107</v>
      </c>
      <c r="G486">
        <v>42974</v>
      </c>
      <c r="H486">
        <v>0</v>
      </c>
      <c r="I486">
        <v>23267</v>
      </c>
      <c r="J486">
        <v>12365</v>
      </c>
      <c r="K486">
        <v>39714</v>
      </c>
    </row>
    <row r="487" spans="2:11" x14ac:dyDescent="0.25">
      <c r="B487">
        <v>35612</v>
      </c>
      <c r="C487">
        <v>37446</v>
      </c>
      <c r="D487">
        <v>0</v>
      </c>
      <c r="E487">
        <v>0</v>
      </c>
      <c r="F487">
        <v>-973</v>
      </c>
      <c r="G487">
        <v>-209</v>
      </c>
      <c r="H487">
        <v>395</v>
      </c>
      <c r="I487">
        <v>-745</v>
      </c>
      <c r="J487">
        <v>33</v>
      </c>
      <c r="K487">
        <v>381</v>
      </c>
    </row>
    <row r="488" spans="2:11" x14ac:dyDescent="0.25">
      <c r="B488">
        <v>-321</v>
      </c>
      <c r="C488">
        <v>291</v>
      </c>
      <c r="D488">
        <v>158</v>
      </c>
      <c r="E488">
        <v>388</v>
      </c>
      <c r="F488">
        <v>-302</v>
      </c>
      <c r="G488">
        <v>511</v>
      </c>
      <c r="H488">
        <v>-271</v>
      </c>
      <c r="I488">
        <v>-1158</v>
      </c>
      <c r="J488">
        <v>-1166</v>
      </c>
      <c r="K488">
        <v>0</v>
      </c>
    </row>
    <row r="489" spans="2:11" x14ac:dyDescent="0.25">
      <c r="B489">
        <v>0</v>
      </c>
      <c r="C489">
        <v>0</v>
      </c>
      <c r="D489">
        <v>97</v>
      </c>
      <c r="E489">
        <v>-128</v>
      </c>
      <c r="F489">
        <v>-1055</v>
      </c>
      <c r="G489">
        <v>142</v>
      </c>
      <c r="H489">
        <v>7328</v>
      </c>
      <c r="I489">
        <v>-18494</v>
      </c>
      <c r="J489">
        <v>474</v>
      </c>
      <c r="K489">
        <v>2848</v>
      </c>
    </row>
    <row r="490" spans="2:11" x14ac:dyDescent="0.25">
      <c r="B490">
        <v>28</v>
      </c>
      <c r="C490">
        <v>882</v>
      </c>
      <c r="D490">
        <v>-169</v>
      </c>
      <c r="E490">
        <v>-1086</v>
      </c>
      <c r="F490">
        <v>-6781</v>
      </c>
      <c r="G490">
        <v>14246</v>
      </c>
      <c r="H490">
        <v>2699</v>
      </c>
      <c r="I490">
        <v>-1423</v>
      </c>
      <c r="J490">
        <v>-888</v>
      </c>
      <c r="K490">
        <v>885</v>
      </c>
    </row>
    <row r="491" spans="2:11" x14ac:dyDescent="0.25">
      <c r="B491">
        <v>25</v>
      </c>
      <c r="C491">
        <v>-521</v>
      </c>
      <c r="D491">
        <v>-765</v>
      </c>
      <c r="E491">
        <v>14320</v>
      </c>
      <c r="F491">
        <v>-24658</v>
      </c>
      <c r="G491">
        <v>-1528</v>
      </c>
      <c r="H491">
        <v>-399</v>
      </c>
      <c r="I491">
        <v>-501</v>
      </c>
      <c r="J491">
        <v>-804</v>
      </c>
      <c r="K491">
        <v>-1143</v>
      </c>
    </row>
    <row r="492" spans="2:11" x14ac:dyDescent="0.25">
      <c r="B492">
        <v>-10109</v>
      </c>
      <c r="C492">
        <v>1063</v>
      </c>
      <c r="D492">
        <v>-350</v>
      </c>
      <c r="E492">
        <v>-141</v>
      </c>
      <c r="F492">
        <v>202</v>
      </c>
      <c r="G492">
        <v>770</v>
      </c>
      <c r="H492">
        <v>-2295</v>
      </c>
      <c r="I492">
        <v>-1936</v>
      </c>
      <c r="J492">
        <v>607</v>
      </c>
      <c r="K492">
        <v>-2852</v>
      </c>
    </row>
    <row r="493" spans="2:11" x14ac:dyDescent="0.25">
      <c r="B493">
        <v>87819</v>
      </c>
      <c r="C493">
        <v>0</v>
      </c>
      <c r="D493">
        <v>14847</v>
      </c>
      <c r="E493">
        <v>3204</v>
      </c>
      <c r="F493">
        <v>20826</v>
      </c>
      <c r="G493">
        <v>18623</v>
      </c>
      <c r="H493">
        <v>19656</v>
      </c>
      <c r="I493">
        <v>11923</v>
      </c>
      <c r="J493">
        <v>21030</v>
      </c>
      <c r="K493">
        <v>62196</v>
      </c>
    </row>
    <row r="494" spans="2:11" x14ac:dyDescent="0.25">
      <c r="B494">
        <v>23755</v>
      </c>
      <c r="C494">
        <v>12140</v>
      </c>
      <c r="D494">
        <v>46270</v>
      </c>
      <c r="E494">
        <v>40642</v>
      </c>
      <c r="F494">
        <v>43122</v>
      </c>
      <c r="G494">
        <v>30240</v>
      </c>
      <c r="H494">
        <v>46543</v>
      </c>
      <c r="I494">
        <v>76617</v>
      </c>
      <c r="J494">
        <v>0</v>
      </c>
      <c r="K494">
        <v>33969</v>
      </c>
    </row>
    <row r="495" spans="2:11" x14ac:dyDescent="0.25">
      <c r="B495">
        <v>20127</v>
      </c>
      <c r="C495">
        <v>60768</v>
      </c>
      <c r="D495">
        <v>43878</v>
      </c>
      <c r="E495">
        <v>45288</v>
      </c>
      <c r="F495">
        <v>0</v>
      </c>
      <c r="G495">
        <v>54948</v>
      </c>
      <c r="H495">
        <v>0</v>
      </c>
      <c r="I495">
        <v>-558</v>
      </c>
      <c r="J495">
        <v>-285</v>
      </c>
      <c r="K495">
        <v>-71</v>
      </c>
    </row>
    <row r="496" spans="2:11" x14ac:dyDescent="0.25">
      <c r="B496">
        <v>-205</v>
      </c>
      <c r="C496">
        <v>-399</v>
      </c>
      <c r="D496">
        <v>295</v>
      </c>
      <c r="E496">
        <v>307</v>
      </c>
      <c r="F496">
        <v>53</v>
      </c>
      <c r="G496">
        <v>274</v>
      </c>
      <c r="H496">
        <v>-110</v>
      </c>
      <c r="I496">
        <v>276</v>
      </c>
      <c r="J496">
        <v>104</v>
      </c>
      <c r="K496">
        <v>677</v>
      </c>
    </row>
    <row r="497" spans="2:11" x14ac:dyDescent="0.25">
      <c r="B497">
        <v>768</v>
      </c>
      <c r="C497">
        <v>483</v>
      </c>
      <c r="D497">
        <v>0</v>
      </c>
      <c r="E497">
        <v>0</v>
      </c>
      <c r="F497">
        <v>0</v>
      </c>
      <c r="G497">
        <v>223</v>
      </c>
      <c r="H497">
        <v>-6</v>
      </c>
      <c r="I497">
        <v>-268</v>
      </c>
      <c r="J497">
        <v>8</v>
      </c>
      <c r="K497">
        <v>1429</v>
      </c>
    </row>
    <row r="498" spans="2:11" x14ac:dyDescent="0.25">
      <c r="B498">
        <v>-3566</v>
      </c>
      <c r="C498">
        <v>884</v>
      </c>
      <c r="D498">
        <v>2513</v>
      </c>
      <c r="E498">
        <v>-524</v>
      </c>
      <c r="F498">
        <v>1192</v>
      </c>
      <c r="G498">
        <v>400</v>
      </c>
      <c r="H498">
        <v>-14884</v>
      </c>
      <c r="I498">
        <v>4885</v>
      </c>
      <c r="J498">
        <v>20183</v>
      </c>
      <c r="K498">
        <v>441</v>
      </c>
    </row>
    <row r="499" spans="2:11" x14ac:dyDescent="0.25">
      <c r="B499">
        <v>2916</v>
      </c>
      <c r="C499">
        <v>-95</v>
      </c>
      <c r="D499">
        <v>149</v>
      </c>
      <c r="E499">
        <v>-68</v>
      </c>
      <c r="F499">
        <v>-157</v>
      </c>
      <c r="G499">
        <v>-185</v>
      </c>
      <c r="H499">
        <v>2761</v>
      </c>
      <c r="I499">
        <v>-4792</v>
      </c>
      <c r="J499">
        <v>-197</v>
      </c>
      <c r="K499">
        <v>-102</v>
      </c>
    </row>
    <row r="500" spans="2:11" x14ac:dyDescent="0.25">
      <c r="B500">
        <v>-183</v>
      </c>
      <c r="C500">
        <v>-260</v>
      </c>
      <c r="D500">
        <v>-261</v>
      </c>
      <c r="E500">
        <v>-1977</v>
      </c>
      <c r="F500">
        <v>295</v>
      </c>
      <c r="G500">
        <v>-70</v>
      </c>
      <c r="H500">
        <v>-93</v>
      </c>
      <c r="I500">
        <v>10</v>
      </c>
      <c r="J500">
        <v>95</v>
      </c>
      <c r="K500">
        <v>-437</v>
      </c>
    </row>
    <row r="501" spans="2:11" x14ac:dyDescent="0.25">
      <c r="B501">
        <v>-367</v>
      </c>
      <c r="C501">
        <v>139</v>
      </c>
      <c r="D501">
        <v>-524</v>
      </c>
      <c r="E501">
        <v>17006</v>
      </c>
      <c r="F501">
        <v>0</v>
      </c>
      <c r="G501">
        <v>2878</v>
      </c>
      <c r="H501">
        <v>614</v>
      </c>
      <c r="I501">
        <v>4036</v>
      </c>
      <c r="J501">
        <v>3609</v>
      </c>
      <c r="K501">
        <v>3802</v>
      </c>
    </row>
    <row r="502" spans="2:11" x14ac:dyDescent="0.25">
      <c r="B502">
        <v>2293</v>
      </c>
      <c r="C502">
        <v>4080</v>
      </c>
      <c r="D502">
        <v>12046</v>
      </c>
      <c r="E502">
        <v>4599</v>
      </c>
      <c r="F502">
        <v>2363</v>
      </c>
      <c r="G502">
        <v>8963</v>
      </c>
      <c r="H502">
        <v>7873</v>
      </c>
      <c r="I502">
        <v>8351</v>
      </c>
      <c r="J502">
        <v>5852</v>
      </c>
      <c r="K502">
        <v>9013</v>
      </c>
    </row>
    <row r="503" spans="2:11" x14ac:dyDescent="0.25">
      <c r="B503">
        <v>14839</v>
      </c>
      <c r="C503">
        <v>0</v>
      </c>
      <c r="D503">
        <v>10370</v>
      </c>
      <c r="E503">
        <v>6193</v>
      </c>
      <c r="F503">
        <v>21468</v>
      </c>
      <c r="G503">
        <v>31266</v>
      </c>
      <c r="H503">
        <v>32368</v>
      </c>
      <c r="I503">
        <v>0</v>
      </c>
      <c r="J503">
        <v>20960</v>
      </c>
      <c r="K503">
        <v>29384</v>
      </c>
    </row>
    <row r="504" spans="2:11" x14ac:dyDescent="0.25">
      <c r="B504">
        <v>0</v>
      </c>
      <c r="C504">
        <v>-834</v>
      </c>
      <c r="D504">
        <v>-390</v>
      </c>
      <c r="E504">
        <v>-143</v>
      </c>
      <c r="F504">
        <v>-438</v>
      </c>
      <c r="G504">
        <v>-272</v>
      </c>
      <c r="H504">
        <v>526</v>
      </c>
      <c r="I504">
        <v>-496</v>
      </c>
      <c r="J504">
        <v>-116</v>
      </c>
      <c r="K504">
        <v>20</v>
      </c>
    </row>
    <row r="505" spans="2:11" x14ac:dyDescent="0.25">
      <c r="B505">
        <v>-26</v>
      </c>
      <c r="C505">
        <v>21</v>
      </c>
      <c r="D505">
        <v>153</v>
      </c>
      <c r="E505">
        <v>-330</v>
      </c>
      <c r="F505">
        <v>-1131</v>
      </c>
      <c r="G505">
        <v>-919</v>
      </c>
      <c r="H505">
        <v>0</v>
      </c>
      <c r="I505">
        <v>0</v>
      </c>
      <c r="J505">
        <v>0</v>
      </c>
      <c r="K505">
        <v>114</v>
      </c>
    </row>
    <row r="506" spans="2:11" x14ac:dyDescent="0.25">
      <c r="B506">
        <v>-76</v>
      </c>
      <c r="C506">
        <v>-446</v>
      </c>
      <c r="D506">
        <v>83</v>
      </c>
      <c r="E506">
        <v>3080</v>
      </c>
      <c r="F506">
        <v>-7818</v>
      </c>
      <c r="G506">
        <v>-153</v>
      </c>
      <c r="H506">
        <v>458</v>
      </c>
      <c r="I506">
        <v>-170</v>
      </c>
      <c r="J506">
        <v>101</v>
      </c>
      <c r="K506">
        <v>-525</v>
      </c>
    </row>
    <row r="507" spans="2:11" x14ac:dyDescent="0.25">
      <c r="B507">
        <v>530</v>
      </c>
      <c r="C507">
        <v>-3502</v>
      </c>
      <c r="D507">
        <v>-2115</v>
      </c>
      <c r="E507">
        <v>4071</v>
      </c>
      <c r="F507">
        <v>-338</v>
      </c>
      <c r="G507">
        <v>-806</v>
      </c>
      <c r="H507">
        <v>968</v>
      </c>
      <c r="I507">
        <v>-926</v>
      </c>
      <c r="J507">
        <v>-485</v>
      </c>
      <c r="K507">
        <v>-678</v>
      </c>
    </row>
    <row r="508" spans="2:11" x14ac:dyDescent="0.25">
      <c r="B508">
        <v>4787</v>
      </c>
      <c r="C508">
        <v>-10843</v>
      </c>
      <c r="D508">
        <v>-685</v>
      </c>
      <c r="E508">
        <v>-225</v>
      </c>
      <c r="F508">
        <v>-276</v>
      </c>
      <c r="G508">
        <v>-368</v>
      </c>
      <c r="H508">
        <v>-578</v>
      </c>
      <c r="I508">
        <v>-4252</v>
      </c>
      <c r="J508">
        <v>412</v>
      </c>
      <c r="K508">
        <v>-197</v>
      </c>
    </row>
    <row r="509" spans="2:11" x14ac:dyDescent="0.25">
      <c r="B509">
        <v>-101</v>
      </c>
      <c r="C509">
        <v>94</v>
      </c>
      <c r="D509">
        <v>231</v>
      </c>
      <c r="E509">
        <v>-978</v>
      </c>
      <c r="F509">
        <v>-822</v>
      </c>
      <c r="G509">
        <v>258</v>
      </c>
      <c r="H509">
        <v>-1212</v>
      </c>
      <c r="I509">
        <v>37181</v>
      </c>
      <c r="J509">
        <v>0</v>
      </c>
      <c r="K509">
        <v>6284</v>
      </c>
    </row>
    <row r="510" spans="2:11" x14ac:dyDescent="0.25">
      <c r="B510">
        <v>1357</v>
      </c>
      <c r="C510">
        <v>8812</v>
      </c>
      <c r="D510">
        <v>7886</v>
      </c>
      <c r="E510">
        <v>8322</v>
      </c>
      <c r="F510">
        <v>5057</v>
      </c>
      <c r="G510">
        <v>8898</v>
      </c>
      <c r="H510">
        <v>26332</v>
      </c>
      <c r="I510">
        <v>10053</v>
      </c>
      <c r="J510">
        <v>5132</v>
      </c>
      <c r="K510">
        <v>19584</v>
      </c>
    </row>
    <row r="511" spans="2:11" x14ac:dyDescent="0.25">
      <c r="B511">
        <v>17204</v>
      </c>
      <c r="C511">
        <v>18251</v>
      </c>
      <c r="D511">
        <v>12801</v>
      </c>
      <c r="E511">
        <v>19698</v>
      </c>
      <c r="F511">
        <v>32438</v>
      </c>
      <c r="G511">
        <v>0</v>
      </c>
      <c r="H511">
        <v>9317</v>
      </c>
      <c r="I511">
        <v>7353</v>
      </c>
      <c r="J511">
        <v>20370</v>
      </c>
      <c r="K511">
        <v>7236</v>
      </c>
    </row>
    <row r="512" spans="2:11" x14ac:dyDescent="0.25">
      <c r="B512">
        <v>7018</v>
      </c>
      <c r="C512">
        <v>0</v>
      </c>
      <c r="D512">
        <v>18317</v>
      </c>
      <c r="E512">
        <v>32653</v>
      </c>
      <c r="F512">
        <v>6327</v>
      </c>
      <c r="G512">
        <v>0</v>
      </c>
      <c r="H512">
        <v>-517</v>
      </c>
      <c r="I512">
        <v>1</v>
      </c>
      <c r="J512">
        <v>104</v>
      </c>
      <c r="K512">
        <v>-513</v>
      </c>
    </row>
    <row r="513" spans="2:11" x14ac:dyDescent="0.25">
      <c r="B513">
        <v>130</v>
      </c>
      <c r="C513">
        <v>617</v>
      </c>
      <c r="D513">
        <v>-283</v>
      </c>
      <c r="E513">
        <v>273</v>
      </c>
      <c r="F513">
        <v>425</v>
      </c>
      <c r="G513">
        <v>166</v>
      </c>
      <c r="H513">
        <v>65</v>
      </c>
      <c r="I513">
        <v>427</v>
      </c>
      <c r="J513">
        <v>-439</v>
      </c>
      <c r="K513">
        <v>-1881</v>
      </c>
    </row>
    <row r="514" spans="2:11" x14ac:dyDescent="0.25">
      <c r="B514">
        <v>-1367</v>
      </c>
      <c r="C514">
        <v>0</v>
      </c>
      <c r="D514">
        <v>0</v>
      </c>
      <c r="E514">
        <v>0</v>
      </c>
      <c r="F514">
        <v>12</v>
      </c>
      <c r="G514">
        <v>-94</v>
      </c>
      <c r="H514">
        <v>-661</v>
      </c>
      <c r="I514">
        <v>73</v>
      </c>
      <c r="J514">
        <v>4856</v>
      </c>
      <c r="K514">
        <v>-12279</v>
      </c>
    </row>
    <row r="515" spans="2:11" x14ac:dyDescent="0.25">
      <c r="B515">
        <v>-195</v>
      </c>
      <c r="C515">
        <v>774</v>
      </c>
      <c r="D515">
        <v>-172</v>
      </c>
      <c r="E515">
        <v>164</v>
      </c>
      <c r="F515">
        <v>-661</v>
      </c>
      <c r="G515">
        <v>835</v>
      </c>
      <c r="H515">
        <v>-5507</v>
      </c>
      <c r="I515">
        <v>-3316</v>
      </c>
      <c r="J515">
        <v>6413</v>
      </c>
      <c r="K515">
        <v>-523</v>
      </c>
    </row>
    <row r="516" spans="2:11" x14ac:dyDescent="0.25">
      <c r="B516">
        <v>-781</v>
      </c>
      <c r="C516">
        <v>-703</v>
      </c>
      <c r="D516">
        <v>-14</v>
      </c>
      <c r="E516">
        <v>-582</v>
      </c>
      <c r="F516">
        <v>-463</v>
      </c>
      <c r="G516">
        <v>5655</v>
      </c>
      <c r="H516">
        <v>-8188</v>
      </c>
      <c r="I516">
        <v>-1031</v>
      </c>
      <c r="J516">
        <v>-304</v>
      </c>
      <c r="K516">
        <v>-354</v>
      </c>
    </row>
    <row r="517" spans="2:11" x14ac:dyDescent="0.25">
      <c r="B517">
        <v>-565</v>
      </c>
      <c r="C517">
        <v>-778</v>
      </c>
      <c r="D517">
        <v>-6667</v>
      </c>
      <c r="E517">
        <v>675</v>
      </c>
      <c r="F517">
        <v>-242</v>
      </c>
      <c r="G517">
        <v>-51</v>
      </c>
      <c r="H517">
        <v>114</v>
      </c>
      <c r="I517">
        <v>493</v>
      </c>
      <c r="J517">
        <v>-1530</v>
      </c>
      <c r="K517">
        <v>-1283</v>
      </c>
    </row>
    <row r="518" spans="2:11" x14ac:dyDescent="0.25">
      <c r="B518">
        <v>407</v>
      </c>
      <c r="C518">
        <v>-1906</v>
      </c>
      <c r="D518">
        <v>58422</v>
      </c>
      <c r="E518">
        <v>0</v>
      </c>
      <c r="F518">
        <v>9871</v>
      </c>
      <c r="G518">
        <v>2133</v>
      </c>
      <c r="H518">
        <v>13853</v>
      </c>
      <c r="I518">
        <v>12387</v>
      </c>
      <c r="J518">
        <v>13079</v>
      </c>
      <c r="K518">
        <v>7946</v>
      </c>
    </row>
    <row r="519" spans="2:11" x14ac:dyDescent="0.25">
      <c r="B519">
        <v>13985</v>
      </c>
      <c r="C519">
        <v>41379</v>
      </c>
      <c r="D519">
        <v>15795</v>
      </c>
      <c r="E519">
        <v>8060</v>
      </c>
      <c r="F519">
        <v>30775</v>
      </c>
      <c r="G519">
        <v>27031</v>
      </c>
      <c r="H519">
        <v>28680</v>
      </c>
      <c r="I519">
        <v>20115</v>
      </c>
      <c r="J519">
        <v>30954</v>
      </c>
      <c r="K519">
        <v>50967</v>
      </c>
    </row>
    <row r="520" spans="2:11" x14ac:dyDescent="0.25">
      <c r="B520">
        <v>0</v>
      </c>
      <c r="C520">
        <v>14640</v>
      </c>
      <c r="D520">
        <v>11555</v>
      </c>
      <c r="E520">
        <v>32009</v>
      </c>
      <c r="F520">
        <v>11367</v>
      </c>
      <c r="G520">
        <v>11025</v>
      </c>
      <c r="H520">
        <v>0</v>
      </c>
      <c r="I520">
        <v>28782</v>
      </c>
      <c r="J520">
        <v>51306</v>
      </c>
      <c r="K520">
        <v>9938</v>
      </c>
    </row>
    <row r="521" spans="2:11" x14ac:dyDescent="0.25">
      <c r="B521">
        <v>25151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-389</v>
      </c>
    </row>
    <row r="530" spans="2:11" x14ac:dyDescent="0.25">
      <c r="B530">
        <v>-87</v>
      </c>
      <c r="C530">
        <v>242</v>
      </c>
      <c r="D530">
        <v>-433</v>
      </c>
      <c r="E530">
        <v>186</v>
      </c>
      <c r="F530">
        <v>494</v>
      </c>
      <c r="G530">
        <v>86</v>
      </c>
      <c r="H530">
        <v>145</v>
      </c>
      <c r="I530">
        <v>-30</v>
      </c>
      <c r="J530">
        <v>386</v>
      </c>
      <c r="K530">
        <v>-77</v>
      </c>
    </row>
    <row r="531" spans="2:11" x14ac:dyDescent="0.25">
      <c r="B531">
        <v>398</v>
      </c>
      <c r="C531">
        <v>-707</v>
      </c>
      <c r="D531">
        <v>-2039</v>
      </c>
      <c r="E531">
        <v>-1405</v>
      </c>
      <c r="F531">
        <v>0</v>
      </c>
      <c r="G531">
        <v>0</v>
      </c>
      <c r="H531">
        <v>0</v>
      </c>
      <c r="I531">
        <v>-14</v>
      </c>
      <c r="J531">
        <v>-88</v>
      </c>
      <c r="K531">
        <v>-652</v>
      </c>
    </row>
    <row r="532" spans="2:11" x14ac:dyDescent="0.25">
      <c r="B532">
        <v>132</v>
      </c>
      <c r="C532">
        <v>4798</v>
      </c>
      <c r="D532">
        <v>-12128</v>
      </c>
      <c r="E532">
        <v>-187</v>
      </c>
      <c r="F532">
        <v>774</v>
      </c>
      <c r="G532">
        <v>-125</v>
      </c>
      <c r="H532">
        <v>253</v>
      </c>
      <c r="I532">
        <v>-572</v>
      </c>
      <c r="J532">
        <v>823</v>
      </c>
      <c r="K532">
        <v>-5434</v>
      </c>
    </row>
    <row r="533" spans="2:11" x14ac:dyDescent="0.25">
      <c r="B533">
        <v>-3280</v>
      </c>
      <c r="C533">
        <v>6324</v>
      </c>
      <c r="D533">
        <v>-510</v>
      </c>
      <c r="E533">
        <v>302</v>
      </c>
      <c r="F533">
        <v>567</v>
      </c>
      <c r="G533">
        <v>-669</v>
      </c>
      <c r="H533">
        <v>422</v>
      </c>
      <c r="I533">
        <v>70</v>
      </c>
      <c r="J533">
        <v>7477</v>
      </c>
      <c r="K533">
        <v>-9391</v>
      </c>
    </row>
    <row r="534" spans="2:11" x14ac:dyDescent="0.25">
      <c r="B534">
        <v>-1014</v>
      </c>
      <c r="C534">
        <v>-267</v>
      </c>
      <c r="D534">
        <v>-315</v>
      </c>
      <c r="E534">
        <v>-478</v>
      </c>
      <c r="F534">
        <v>-695</v>
      </c>
      <c r="G534">
        <v>-6576</v>
      </c>
      <c r="H534">
        <v>681</v>
      </c>
      <c r="I534">
        <v>-218</v>
      </c>
      <c r="J534">
        <v>-38</v>
      </c>
      <c r="K534">
        <v>186</v>
      </c>
    </row>
    <row r="535" spans="2:11" x14ac:dyDescent="0.25">
      <c r="B535">
        <v>558</v>
      </c>
      <c r="C535">
        <v>-1510</v>
      </c>
      <c r="D535">
        <v>-1272</v>
      </c>
      <c r="E535">
        <v>392</v>
      </c>
      <c r="F535">
        <v>-1883</v>
      </c>
      <c r="G535">
        <v>57640</v>
      </c>
      <c r="H535">
        <v>0</v>
      </c>
      <c r="I535">
        <v>9741</v>
      </c>
      <c r="J535">
        <v>2110</v>
      </c>
      <c r="K535">
        <v>13669</v>
      </c>
    </row>
    <row r="536" spans="2:11" x14ac:dyDescent="0.25">
      <c r="B536">
        <v>12221</v>
      </c>
      <c r="C536">
        <v>12907</v>
      </c>
      <c r="D536">
        <v>7842</v>
      </c>
      <c r="E536">
        <v>13801</v>
      </c>
      <c r="F536">
        <v>40821</v>
      </c>
      <c r="G536">
        <v>15590</v>
      </c>
      <c r="H536">
        <v>7949</v>
      </c>
      <c r="I536">
        <v>30366</v>
      </c>
      <c r="J536">
        <v>26671</v>
      </c>
      <c r="K536">
        <v>28301</v>
      </c>
    </row>
    <row r="537" spans="2:11" x14ac:dyDescent="0.25">
      <c r="B537">
        <v>19845</v>
      </c>
      <c r="C537">
        <v>30541</v>
      </c>
      <c r="D537">
        <v>50286</v>
      </c>
      <c r="E537">
        <v>0</v>
      </c>
      <c r="F537">
        <v>14440</v>
      </c>
      <c r="G537">
        <v>11399</v>
      </c>
      <c r="H537">
        <v>31570</v>
      </c>
      <c r="I537">
        <v>11200</v>
      </c>
      <c r="J537">
        <v>10865</v>
      </c>
      <c r="K537">
        <v>0</v>
      </c>
    </row>
    <row r="538" spans="2:11" x14ac:dyDescent="0.25">
      <c r="B538">
        <v>28388</v>
      </c>
      <c r="C538">
        <v>50614</v>
      </c>
      <c r="D538">
        <v>9799</v>
      </c>
      <c r="E538">
        <v>24109</v>
      </c>
      <c r="F538">
        <v>40288</v>
      </c>
      <c r="G538">
        <v>0</v>
      </c>
      <c r="H538">
        <v>0</v>
      </c>
      <c r="I538">
        <v>0</v>
      </c>
      <c r="J538">
        <v>0</v>
      </c>
      <c r="K538">
        <v>0</v>
      </c>
    </row>
    <row r="539" spans="2:11" x14ac:dyDescent="0.25"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</row>
    <row r="540" spans="2:11" x14ac:dyDescent="0.25"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</row>
    <row r="541" spans="2:11" x14ac:dyDescent="0.25"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</row>
    <row r="542" spans="2:11" x14ac:dyDescent="0.25"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</row>
    <row r="543" spans="2:11" x14ac:dyDescent="0.25"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</row>
    <row r="544" spans="2:11" x14ac:dyDescent="0.25"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</row>
    <row r="545" spans="2:11" x14ac:dyDescent="0.25"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</row>
    <row r="546" spans="2:11" x14ac:dyDescent="0.25"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</row>
    <row r="547" spans="2:11" x14ac:dyDescent="0.25"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-398</v>
      </c>
      <c r="I547">
        <v>44</v>
      </c>
      <c r="J547">
        <v>-222</v>
      </c>
      <c r="K547">
        <v>-424</v>
      </c>
    </row>
    <row r="548" spans="2:11" x14ac:dyDescent="0.25">
      <c r="B548">
        <v>395</v>
      </c>
      <c r="C548">
        <v>-354</v>
      </c>
      <c r="D548">
        <v>50</v>
      </c>
      <c r="E548">
        <v>353</v>
      </c>
      <c r="F548">
        <v>574</v>
      </c>
      <c r="G548">
        <v>653</v>
      </c>
      <c r="H548">
        <v>168</v>
      </c>
      <c r="I548">
        <v>183</v>
      </c>
      <c r="J548">
        <v>-50</v>
      </c>
      <c r="K548">
        <v>-885</v>
      </c>
    </row>
    <row r="549" spans="2:11" x14ac:dyDescent="0.25">
      <c r="B549">
        <v>-424</v>
      </c>
      <c r="C549">
        <v>0</v>
      </c>
      <c r="D549">
        <v>0</v>
      </c>
      <c r="E549">
        <v>0</v>
      </c>
      <c r="F549">
        <v>227</v>
      </c>
      <c r="G549">
        <v>-13</v>
      </c>
      <c r="H549">
        <v>-302</v>
      </c>
      <c r="I549">
        <v>93</v>
      </c>
      <c r="J549">
        <v>2593</v>
      </c>
      <c r="K549">
        <v>-6555</v>
      </c>
    </row>
    <row r="550" spans="2:11" x14ac:dyDescent="0.25">
      <c r="B550">
        <v>-71</v>
      </c>
      <c r="C550">
        <v>431</v>
      </c>
      <c r="D550">
        <v>-83</v>
      </c>
      <c r="E550">
        <v>33</v>
      </c>
      <c r="F550">
        <v>-485</v>
      </c>
      <c r="G550">
        <v>431</v>
      </c>
      <c r="H550">
        <v>-2968</v>
      </c>
      <c r="I550">
        <v>-1756</v>
      </c>
      <c r="J550">
        <v>3438</v>
      </c>
      <c r="K550">
        <v>-298</v>
      </c>
    </row>
    <row r="551" spans="2:11" x14ac:dyDescent="0.25">
      <c r="B551">
        <v>-318</v>
      </c>
      <c r="C551">
        <v>303</v>
      </c>
      <c r="D551">
        <v>29</v>
      </c>
      <c r="E551">
        <v>-237</v>
      </c>
      <c r="F551">
        <v>-405</v>
      </c>
      <c r="G551">
        <v>5088</v>
      </c>
      <c r="H551">
        <v>-8756</v>
      </c>
      <c r="I551">
        <v>166</v>
      </c>
      <c r="J551">
        <v>1040</v>
      </c>
      <c r="K551">
        <v>-167</v>
      </c>
    </row>
    <row r="552" spans="2:11" x14ac:dyDescent="0.25">
      <c r="B552">
        <v>599</v>
      </c>
      <c r="C552">
        <v>-195</v>
      </c>
      <c r="D552">
        <v>3200</v>
      </c>
      <c r="E552">
        <v>351</v>
      </c>
      <c r="F552">
        <v>-164</v>
      </c>
      <c r="G552">
        <v>-49</v>
      </c>
      <c r="H552">
        <v>-26</v>
      </c>
      <c r="I552">
        <v>90</v>
      </c>
      <c r="J552">
        <v>-823</v>
      </c>
      <c r="K552">
        <v>-681</v>
      </c>
    </row>
    <row r="553" spans="2:11" x14ac:dyDescent="0.25">
      <c r="B553">
        <v>215</v>
      </c>
      <c r="C553">
        <v>-1019</v>
      </c>
      <c r="D553">
        <v>31164</v>
      </c>
      <c r="E553">
        <v>0</v>
      </c>
      <c r="F553">
        <v>5266</v>
      </c>
      <c r="G553">
        <v>1139</v>
      </c>
      <c r="H553">
        <v>7396</v>
      </c>
      <c r="I553">
        <v>6607</v>
      </c>
      <c r="J553">
        <v>6977</v>
      </c>
      <c r="K553">
        <v>4237</v>
      </c>
    </row>
    <row r="554" spans="2:11" x14ac:dyDescent="0.25">
      <c r="B554">
        <v>7462</v>
      </c>
      <c r="C554">
        <v>22074</v>
      </c>
      <c r="D554">
        <v>8423</v>
      </c>
      <c r="E554">
        <v>4298</v>
      </c>
      <c r="F554">
        <v>16413</v>
      </c>
      <c r="G554">
        <v>14418</v>
      </c>
      <c r="H554">
        <v>15296</v>
      </c>
      <c r="I554">
        <v>10729</v>
      </c>
      <c r="J554">
        <v>16512</v>
      </c>
      <c r="K554">
        <v>27189</v>
      </c>
    </row>
    <row r="555" spans="2:11" x14ac:dyDescent="0.25">
      <c r="B555">
        <v>0</v>
      </c>
      <c r="C555">
        <v>7816</v>
      </c>
      <c r="D555">
        <v>6167</v>
      </c>
      <c r="E555">
        <v>17080</v>
      </c>
      <c r="F555">
        <v>6080</v>
      </c>
      <c r="G555">
        <v>5896</v>
      </c>
      <c r="H555">
        <v>0</v>
      </c>
      <c r="I555">
        <v>15355</v>
      </c>
      <c r="J555">
        <v>27374</v>
      </c>
      <c r="K555">
        <v>5302</v>
      </c>
    </row>
    <row r="556" spans="2:11" x14ac:dyDescent="0.25">
      <c r="B556">
        <v>11583</v>
      </c>
      <c r="C556">
        <v>18208</v>
      </c>
      <c r="D556">
        <v>0</v>
      </c>
      <c r="E556">
        <v>17963</v>
      </c>
      <c r="F556">
        <v>0</v>
      </c>
      <c r="G556">
        <v>0</v>
      </c>
      <c r="H556">
        <v>-1055</v>
      </c>
      <c r="I556">
        <v>-114</v>
      </c>
      <c r="J556">
        <v>136</v>
      </c>
      <c r="K556">
        <v>-723</v>
      </c>
    </row>
    <row r="557" spans="2:11" x14ac:dyDescent="0.25">
      <c r="B557">
        <v>131</v>
      </c>
      <c r="C557">
        <v>1102</v>
      </c>
      <c r="D557">
        <v>322</v>
      </c>
      <c r="E557">
        <v>308</v>
      </c>
      <c r="F557">
        <v>83</v>
      </c>
      <c r="G557">
        <v>78</v>
      </c>
      <c r="H557">
        <v>-136</v>
      </c>
      <c r="I557">
        <v>434</v>
      </c>
      <c r="J557">
        <v>-560</v>
      </c>
      <c r="K557">
        <v>-2499</v>
      </c>
    </row>
    <row r="558" spans="2:11" x14ac:dyDescent="0.25">
      <c r="B558">
        <v>-1339</v>
      </c>
      <c r="C558">
        <v>0</v>
      </c>
      <c r="D558">
        <v>0</v>
      </c>
      <c r="E558">
        <v>0</v>
      </c>
      <c r="F558">
        <v>297</v>
      </c>
      <c r="G558">
        <v>-74</v>
      </c>
      <c r="H558">
        <v>-804</v>
      </c>
      <c r="I558">
        <v>133</v>
      </c>
      <c r="J558">
        <v>5698</v>
      </c>
      <c r="K558">
        <v>-14401</v>
      </c>
    </row>
    <row r="559" spans="2:11" x14ac:dyDescent="0.25">
      <c r="B559">
        <v>-130</v>
      </c>
      <c r="C559">
        <v>885</v>
      </c>
      <c r="D559">
        <v>-257</v>
      </c>
      <c r="E559">
        <v>178</v>
      </c>
      <c r="F559">
        <v>-830</v>
      </c>
      <c r="G559">
        <v>969</v>
      </c>
      <c r="H559">
        <v>-6448</v>
      </c>
      <c r="I559">
        <v>-3888</v>
      </c>
      <c r="J559">
        <v>7530</v>
      </c>
      <c r="K559">
        <v>-586</v>
      </c>
    </row>
    <row r="560" spans="2:11" x14ac:dyDescent="0.25">
      <c r="B560">
        <v>-649</v>
      </c>
      <c r="C560">
        <v>651</v>
      </c>
      <c r="D560">
        <v>-20</v>
      </c>
      <c r="E560">
        <v>-451</v>
      </c>
      <c r="F560">
        <v>-659</v>
      </c>
      <c r="G560">
        <v>11216</v>
      </c>
      <c r="H560">
        <v>-19223</v>
      </c>
      <c r="I560">
        <v>390</v>
      </c>
      <c r="J560">
        <v>3647</v>
      </c>
      <c r="K560">
        <v>-1111</v>
      </c>
    </row>
    <row r="561" spans="2:11" x14ac:dyDescent="0.25">
      <c r="B561">
        <v>207</v>
      </c>
      <c r="C561">
        <v>-754</v>
      </c>
      <c r="D561">
        <v>16205</v>
      </c>
      <c r="E561">
        <v>951</v>
      </c>
      <c r="F561">
        <v>-255</v>
      </c>
      <c r="G561">
        <v>-95</v>
      </c>
      <c r="H561">
        <v>165</v>
      </c>
      <c r="I561">
        <v>551</v>
      </c>
      <c r="J561">
        <v>-1794</v>
      </c>
      <c r="K561">
        <v>-1505</v>
      </c>
    </row>
    <row r="562" spans="2:11" x14ac:dyDescent="0.25">
      <c r="B562">
        <v>480</v>
      </c>
      <c r="C562">
        <v>-2211</v>
      </c>
      <c r="D562">
        <v>68534</v>
      </c>
      <c r="E562">
        <v>0</v>
      </c>
      <c r="F562">
        <v>11585</v>
      </c>
      <c r="G562">
        <v>2512</v>
      </c>
      <c r="H562">
        <v>16258</v>
      </c>
      <c r="I562">
        <v>14535</v>
      </c>
      <c r="J562">
        <v>15351</v>
      </c>
      <c r="K562">
        <v>9323</v>
      </c>
    </row>
    <row r="563" spans="2:11" x14ac:dyDescent="0.25">
      <c r="B563">
        <v>16417</v>
      </c>
      <c r="C563">
        <v>48540</v>
      </c>
      <c r="D563">
        <v>18533</v>
      </c>
      <c r="E563">
        <v>9453</v>
      </c>
      <c r="F563">
        <v>36101</v>
      </c>
      <c r="G563">
        <v>31704</v>
      </c>
      <c r="H563">
        <v>33647</v>
      </c>
      <c r="I563">
        <v>23594</v>
      </c>
      <c r="J563">
        <v>36308</v>
      </c>
      <c r="K563">
        <v>59789</v>
      </c>
    </row>
    <row r="564" spans="2:11" x14ac:dyDescent="0.25">
      <c r="B564">
        <v>0</v>
      </c>
      <c r="C564">
        <v>17173</v>
      </c>
      <c r="D564">
        <v>13554</v>
      </c>
      <c r="E564">
        <v>37545</v>
      </c>
      <c r="F564">
        <v>13327</v>
      </c>
      <c r="G564">
        <v>12922</v>
      </c>
      <c r="H564">
        <v>0</v>
      </c>
      <c r="I564">
        <v>33763</v>
      </c>
      <c r="J564">
        <v>60184</v>
      </c>
      <c r="K564">
        <v>11660</v>
      </c>
    </row>
    <row r="565" spans="2:11" x14ac:dyDescent="0.25">
      <c r="B565">
        <v>25482</v>
      </c>
      <c r="C565">
        <v>40041</v>
      </c>
      <c r="D565">
        <v>0</v>
      </c>
      <c r="E565">
        <v>39505</v>
      </c>
      <c r="F565">
        <v>0</v>
      </c>
      <c r="G565">
        <v>-158</v>
      </c>
      <c r="H565">
        <v>0</v>
      </c>
      <c r="I565">
        <v>-388</v>
      </c>
      <c r="J565">
        <v>29</v>
      </c>
      <c r="K565">
        <v>124</v>
      </c>
    </row>
    <row r="566" spans="2:11" x14ac:dyDescent="0.25">
      <c r="B566">
        <v>-339</v>
      </c>
      <c r="C566">
        <v>96</v>
      </c>
      <c r="D566">
        <v>389</v>
      </c>
      <c r="E566">
        <v>126</v>
      </c>
      <c r="F566">
        <v>234</v>
      </c>
      <c r="G566">
        <v>46</v>
      </c>
      <c r="H566">
        <v>105</v>
      </c>
      <c r="I566">
        <v>-115</v>
      </c>
      <c r="J566">
        <v>264</v>
      </c>
      <c r="K566">
        <v>-406</v>
      </c>
    </row>
    <row r="567" spans="2:11" x14ac:dyDescent="0.25">
      <c r="B567">
        <v>-1174</v>
      </c>
      <c r="C567">
        <v>-449</v>
      </c>
      <c r="D567">
        <v>0</v>
      </c>
      <c r="E567">
        <v>0</v>
      </c>
      <c r="F567">
        <v>0</v>
      </c>
      <c r="G567">
        <v>65</v>
      </c>
      <c r="H567">
        <v>-49</v>
      </c>
      <c r="I567">
        <v>-430</v>
      </c>
      <c r="J567">
        <v>68</v>
      </c>
      <c r="K567">
        <v>3155</v>
      </c>
    </row>
    <row r="568" spans="2:11" x14ac:dyDescent="0.25">
      <c r="B568">
        <v>-7969</v>
      </c>
      <c r="C568">
        <v>-78</v>
      </c>
      <c r="D568">
        <v>513</v>
      </c>
      <c r="E568">
        <v>-100</v>
      </c>
      <c r="F568">
        <v>135</v>
      </c>
      <c r="G568">
        <v>-395</v>
      </c>
      <c r="H568">
        <v>536</v>
      </c>
      <c r="I568">
        <v>-3595</v>
      </c>
      <c r="J568">
        <v>-2138</v>
      </c>
      <c r="K568">
        <v>4157</v>
      </c>
    </row>
    <row r="569" spans="2:11" x14ac:dyDescent="0.25">
      <c r="B569">
        <v>-349</v>
      </c>
      <c r="C569">
        <v>-363</v>
      </c>
      <c r="D569">
        <v>381</v>
      </c>
      <c r="E569">
        <v>33</v>
      </c>
      <c r="F569">
        <v>-223</v>
      </c>
      <c r="G569">
        <v>-316</v>
      </c>
      <c r="H569">
        <v>6186</v>
      </c>
      <c r="I569">
        <v>-10626</v>
      </c>
      <c r="J569">
        <v>919</v>
      </c>
      <c r="K569">
        <v>1606</v>
      </c>
    </row>
    <row r="570" spans="2:11" x14ac:dyDescent="0.25">
      <c r="B570">
        <v>-429</v>
      </c>
      <c r="C570">
        <v>583</v>
      </c>
      <c r="D570">
        <v>335</v>
      </c>
      <c r="E570">
        <v>2755</v>
      </c>
      <c r="F570">
        <v>500</v>
      </c>
      <c r="G570">
        <v>-133</v>
      </c>
      <c r="H570">
        <v>-21</v>
      </c>
      <c r="I570">
        <v>99</v>
      </c>
      <c r="J570">
        <v>357</v>
      </c>
      <c r="K570">
        <v>-992</v>
      </c>
    </row>
    <row r="571" spans="2:11" x14ac:dyDescent="0.25">
      <c r="B571">
        <v>-832</v>
      </c>
      <c r="C571">
        <v>262</v>
      </c>
      <c r="D571">
        <v>-1229</v>
      </c>
      <c r="E571">
        <v>37861</v>
      </c>
      <c r="F571">
        <v>0</v>
      </c>
      <c r="G571">
        <v>6401</v>
      </c>
      <c r="H571">
        <v>1385</v>
      </c>
      <c r="I571">
        <v>8982</v>
      </c>
      <c r="J571">
        <v>8030</v>
      </c>
      <c r="K571">
        <v>8479</v>
      </c>
    </row>
    <row r="572" spans="2:11" x14ac:dyDescent="0.25">
      <c r="B572">
        <v>5147</v>
      </c>
      <c r="C572">
        <v>9069</v>
      </c>
      <c r="D572">
        <v>26816</v>
      </c>
      <c r="E572">
        <v>10240</v>
      </c>
      <c r="F572">
        <v>5225</v>
      </c>
      <c r="G572">
        <v>19946</v>
      </c>
      <c r="H572">
        <v>17518</v>
      </c>
      <c r="I572">
        <v>18590</v>
      </c>
      <c r="J572">
        <v>13035</v>
      </c>
      <c r="K572">
        <v>20061</v>
      </c>
    </row>
    <row r="573" spans="2:11" x14ac:dyDescent="0.25">
      <c r="B573">
        <v>33031</v>
      </c>
      <c r="C573">
        <v>0</v>
      </c>
      <c r="D573">
        <v>9497</v>
      </c>
      <c r="E573">
        <v>7491</v>
      </c>
      <c r="F573">
        <v>20750</v>
      </c>
      <c r="G573">
        <v>7385</v>
      </c>
      <c r="H573">
        <v>7163</v>
      </c>
      <c r="I573">
        <v>0</v>
      </c>
      <c r="J573">
        <v>18658</v>
      </c>
      <c r="K573">
        <v>33255</v>
      </c>
    </row>
    <row r="574" spans="2:11" x14ac:dyDescent="0.25">
      <c r="B574">
        <v>6444</v>
      </c>
      <c r="C574">
        <v>14076</v>
      </c>
      <c r="D574">
        <v>22121</v>
      </c>
      <c r="E574">
        <v>0</v>
      </c>
      <c r="F574">
        <v>21825</v>
      </c>
      <c r="G574">
        <v>0</v>
      </c>
      <c r="H574">
        <v>12710</v>
      </c>
      <c r="I574">
        <v>29254</v>
      </c>
      <c r="J574">
        <v>0</v>
      </c>
      <c r="K574">
        <v>-783</v>
      </c>
    </row>
    <row r="575" spans="2:11" x14ac:dyDescent="0.25">
      <c r="B575">
        <v>-496</v>
      </c>
      <c r="C575">
        <v>-491</v>
      </c>
      <c r="D575">
        <v>-289</v>
      </c>
      <c r="E575">
        <v>-81</v>
      </c>
      <c r="F575">
        <v>397</v>
      </c>
      <c r="G575">
        <v>-286</v>
      </c>
      <c r="H575">
        <v>1153</v>
      </c>
      <c r="I575">
        <v>-115</v>
      </c>
      <c r="J575">
        <v>1043</v>
      </c>
      <c r="K575">
        <v>951</v>
      </c>
    </row>
    <row r="576" spans="2:11" x14ac:dyDescent="0.25">
      <c r="B576">
        <v>-588</v>
      </c>
      <c r="C576">
        <v>25</v>
      </c>
      <c r="D576">
        <v>77</v>
      </c>
      <c r="E576">
        <v>29</v>
      </c>
      <c r="F576">
        <v>0</v>
      </c>
      <c r="G576">
        <v>0</v>
      </c>
      <c r="H576">
        <v>0</v>
      </c>
      <c r="I576">
        <v>385</v>
      </c>
      <c r="J576">
        <v>-6</v>
      </c>
      <c r="K576">
        <v>-6</v>
      </c>
    </row>
    <row r="577" spans="2:11" x14ac:dyDescent="0.25">
      <c r="B577">
        <v>35</v>
      </c>
      <c r="C577">
        <v>-242</v>
      </c>
      <c r="D577">
        <v>569</v>
      </c>
      <c r="E577">
        <v>-117</v>
      </c>
      <c r="F577">
        <v>-158</v>
      </c>
      <c r="G577">
        <v>-182</v>
      </c>
      <c r="H577">
        <v>-207</v>
      </c>
      <c r="I577">
        <v>-393</v>
      </c>
      <c r="J577">
        <v>-73</v>
      </c>
      <c r="K577">
        <v>281</v>
      </c>
    </row>
    <row r="578" spans="2:11" x14ac:dyDescent="0.25">
      <c r="B578">
        <v>134</v>
      </c>
      <c r="C578">
        <v>-317</v>
      </c>
      <c r="D578">
        <v>15</v>
      </c>
      <c r="E578">
        <v>-31</v>
      </c>
      <c r="F578">
        <v>-138</v>
      </c>
      <c r="G578">
        <v>-165</v>
      </c>
      <c r="H578">
        <v>-122</v>
      </c>
      <c r="I578">
        <v>-298</v>
      </c>
      <c r="J578">
        <v>-477</v>
      </c>
      <c r="K578">
        <v>768</v>
      </c>
    </row>
    <row r="579" spans="2:11" x14ac:dyDescent="0.25">
      <c r="B579">
        <v>32</v>
      </c>
      <c r="C579">
        <v>-67</v>
      </c>
      <c r="D579">
        <v>-121</v>
      </c>
      <c r="E579">
        <v>-79</v>
      </c>
      <c r="F579">
        <v>-224</v>
      </c>
      <c r="G579">
        <v>328</v>
      </c>
      <c r="H579">
        <v>-1874</v>
      </c>
      <c r="I579">
        <v>-3154</v>
      </c>
      <c r="J579">
        <v>-776</v>
      </c>
      <c r="K579">
        <v>-807</v>
      </c>
    </row>
    <row r="580" spans="2:11" x14ac:dyDescent="0.25">
      <c r="B580">
        <v>-2485</v>
      </c>
      <c r="C580">
        <v>-5211</v>
      </c>
      <c r="D580">
        <v>-7085</v>
      </c>
      <c r="E580">
        <v>12097</v>
      </c>
      <c r="F580">
        <v>-2219</v>
      </c>
      <c r="G580">
        <v>-2767</v>
      </c>
      <c r="H580">
        <v>0</v>
      </c>
      <c r="I580">
        <v>-476</v>
      </c>
      <c r="J580">
        <v>-97</v>
      </c>
      <c r="K580">
        <v>-659</v>
      </c>
    </row>
    <row r="581" spans="2:11" x14ac:dyDescent="0.25">
      <c r="B581">
        <v>-580</v>
      </c>
      <c r="C581">
        <v>-608</v>
      </c>
      <c r="D581">
        <v>-376</v>
      </c>
      <c r="E581">
        <v>-663</v>
      </c>
      <c r="F581">
        <v>-1968</v>
      </c>
      <c r="G581">
        <v>-755</v>
      </c>
      <c r="H581">
        <v>-385</v>
      </c>
      <c r="I581">
        <v>-1459</v>
      </c>
      <c r="J581">
        <v>-1288</v>
      </c>
      <c r="K581">
        <v>-1369</v>
      </c>
    </row>
    <row r="582" spans="2:11" x14ac:dyDescent="0.25">
      <c r="B582">
        <v>-958</v>
      </c>
      <c r="C582">
        <v>-1473</v>
      </c>
      <c r="D582">
        <v>-2409</v>
      </c>
      <c r="E582">
        <v>0</v>
      </c>
      <c r="F582">
        <v>-702</v>
      </c>
      <c r="G582">
        <v>-548</v>
      </c>
      <c r="H582">
        <v>-1515</v>
      </c>
      <c r="I582">
        <v>-553</v>
      </c>
      <c r="J582">
        <v>-545</v>
      </c>
      <c r="K582">
        <v>0</v>
      </c>
    </row>
    <row r="583" spans="2:11" x14ac:dyDescent="0.25">
      <c r="B583">
        <v>-1374</v>
      </c>
      <c r="C583">
        <v>-2436</v>
      </c>
      <c r="D583">
        <v>-471</v>
      </c>
      <c r="E583">
        <v>-1029</v>
      </c>
      <c r="F583">
        <v>-1618</v>
      </c>
      <c r="G583">
        <v>0</v>
      </c>
      <c r="H583">
        <v>-1598</v>
      </c>
      <c r="I583">
        <v>0</v>
      </c>
      <c r="J583">
        <v>-854</v>
      </c>
      <c r="K583">
        <v>-1898</v>
      </c>
    </row>
    <row r="584" spans="2:11" x14ac:dyDescent="0.25">
      <c r="B584">
        <v>-1050</v>
      </c>
      <c r="C584">
        <v>0</v>
      </c>
      <c r="D584">
        <v>-1404</v>
      </c>
      <c r="E584">
        <v>-1600</v>
      </c>
      <c r="F584">
        <v>-1217</v>
      </c>
      <c r="G584">
        <v>-456</v>
      </c>
      <c r="H584">
        <v>-615</v>
      </c>
      <c r="I584">
        <v>725</v>
      </c>
      <c r="J584">
        <v>344</v>
      </c>
      <c r="K584">
        <v>-836</v>
      </c>
    </row>
    <row r="585" spans="2:11" x14ac:dyDescent="0.25">
      <c r="B585">
        <v>516</v>
      </c>
      <c r="C585">
        <v>928</v>
      </c>
      <c r="D585">
        <v>-2138</v>
      </c>
      <c r="E585">
        <v>779</v>
      </c>
      <c r="F585">
        <v>-463</v>
      </c>
      <c r="G585">
        <v>-9</v>
      </c>
      <c r="H585">
        <v>-251</v>
      </c>
      <c r="I585">
        <v>0</v>
      </c>
      <c r="J585">
        <v>0</v>
      </c>
      <c r="K585">
        <v>0</v>
      </c>
    </row>
    <row r="586" spans="2:11" x14ac:dyDescent="0.25">
      <c r="B586">
        <v>557</v>
      </c>
      <c r="C586">
        <v>68</v>
      </c>
      <c r="D586">
        <v>47</v>
      </c>
      <c r="E586">
        <v>294</v>
      </c>
      <c r="F586">
        <v>22</v>
      </c>
      <c r="G586">
        <v>-15</v>
      </c>
      <c r="H586">
        <v>149</v>
      </c>
      <c r="I586">
        <v>-95</v>
      </c>
      <c r="J586">
        <v>-126</v>
      </c>
      <c r="K586">
        <v>20</v>
      </c>
    </row>
    <row r="587" spans="2:11" x14ac:dyDescent="0.25">
      <c r="B587">
        <v>-367</v>
      </c>
      <c r="C587">
        <v>-30</v>
      </c>
      <c r="D587">
        <v>14</v>
      </c>
      <c r="E587">
        <v>-20</v>
      </c>
      <c r="F587">
        <v>18</v>
      </c>
      <c r="G587">
        <v>40</v>
      </c>
      <c r="H587">
        <v>157</v>
      </c>
      <c r="I587">
        <v>-39</v>
      </c>
      <c r="J587">
        <v>-71</v>
      </c>
      <c r="K587">
        <v>104</v>
      </c>
    </row>
    <row r="588" spans="2:11" x14ac:dyDescent="0.25">
      <c r="B588">
        <v>-191</v>
      </c>
      <c r="C588">
        <v>52</v>
      </c>
      <c r="D588">
        <v>-80</v>
      </c>
      <c r="E588">
        <v>104</v>
      </c>
      <c r="F588">
        <v>-48</v>
      </c>
      <c r="G588">
        <v>-142</v>
      </c>
      <c r="H588">
        <v>56</v>
      </c>
      <c r="I588">
        <v>-330</v>
      </c>
      <c r="J588">
        <v>-22</v>
      </c>
      <c r="K588">
        <v>-1393</v>
      </c>
    </row>
    <row r="589" spans="2:11" x14ac:dyDescent="0.25">
      <c r="B589">
        <v>-278</v>
      </c>
      <c r="C589">
        <v>-533</v>
      </c>
      <c r="D589">
        <v>-2487</v>
      </c>
      <c r="E589">
        <v>-1802</v>
      </c>
      <c r="F589">
        <v>-3162</v>
      </c>
      <c r="G589">
        <v>-2361</v>
      </c>
      <c r="H589">
        <v>10695</v>
      </c>
      <c r="I589">
        <v>-2815</v>
      </c>
      <c r="J589">
        <v>268</v>
      </c>
      <c r="K589">
        <v>0</v>
      </c>
    </row>
    <row r="590" spans="2:11" x14ac:dyDescent="0.25">
      <c r="B590">
        <v>49</v>
      </c>
      <c r="C590">
        <v>14</v>
      </c>
      <c r="D590">
        <v>58</v>
      </c>
      <c r="E590">
        <v>60</v>
      </c>
      <c r="F590">
        <v>56</v>
      </c>
      <c r="G590">
        <v>39</v>
      </c>
      <c r="H590">
        <v>48</v>
      </c>
      <c r="I590">
        <v>200</v>
      </c>
      <c r="J590">
        <v>64</v>
      </c>
      <c r="K590">
        <v>19</v>
      </c>
    </row>
    <row r="591" spans="2:11" x14ac:dyDescent="0.25">
      <c r="B591">
        <v>119</v>
      </c>
      <c r="C591">
        <v>117</v>
      </c>
      <c r="D591">
        <v>139</v>
      </c>
      <c r="E591">
        <v>75</v>
      </c>
      <c r="F591">
        <v>118</v>
      </c>
      <c r="G591">
        <v>229</v>
      </c>
      <c r="H591">
        <v>0</v>
      </c>
      <c r="I591">
        <v>61</v>
      </c>
      <c r="J591">
        <v>53</v>
      </c>
      <c r="K591">
        <v>148</v>
      </c>
    </row>
    <row r="592" spans="2:11" x14ac:dyDescent="0.25">
      <c r="B592">
        <v>34</v>
      </c>
      <c r="C592">
        <v>22</v>
      </c>
      <c r="D592">
        <v>0</v>
      </c>
      <c r="E592">
        <v>121</v>
      </c>
      <c r="F592">
        <v>234</v>
      </c>
      <c r="G592">
        <v>38</v>
      </c>
      <c r="H592">
        <v>103</v>
      </c>
      <c r="I592">
        <v>154</v>
      </c>
      <c r="J592">
        <v>0</v>
      </c>
      <c r="K592">
        <v>158</v>
      </c>
    </row>
    <row r="593" spans="2:11" x14ac:dyDescent="0.25">
      <c r="B593">
        <v>0</v>
      </c>
      <c r="C593">
        <v>90</v>
      </c>
      <c r="D593">
        <v>186</v>
      </c>
      <c r="E593">
        <v>101</v>
      </c>
      <c r="F593">
        <v>-8520</v>
      </c>
      <c r="G593">
        <v>0</v>
      </c>
      <c r="H593">
        <v>-1329</v>
      </c>
      <c r="I593">
        <v>-936</v>
      </c>
      <c r="J593">
        <v>-585</v>
      </c>
      <c r="K593">
        <v>189</v>
      </c>
    </row>
    <row r="594" spans="2:11" x14ac:dyDescent="0.25">
      <c r="B594">
        <v>-1163</v>
      </c>
      <c r="C594">
        <v>762</v>
      </c>
      <c r="D594">
        <v>29</v>
      </c>
      <c r="E594">
        <v>1105</v>
      </c>
      <c r="F594">
        <v>393</v>
      </c>
      <c r="G594">
        <v>1021</v>
      </c>
      <c r="H594">
        <v>382</v>
      </c>
      <c r="I594">
        <v>369</v>
      </c>
      <c r="J594">
        <v>8</v>
      </c>
      <c r="K594">
        <v>-472</v>
      </c>
    </row>
    <row r="595" spans="2:11" x14ac:dyDescent="0.25">
      <c r="B595">
        <v>-346</v>
      </c>
      <c r="C595">
        <v>0</v>
      </c>
      <c r="D595">
        <v>0</v>
      </c>
      <c r="E595">
        <v>0</v>
      </c>
      <c r="F595">
        <v>410</v>
      </c>
      <c r="G595">
        <v>-45</v>
      </c>
      <c r="H595">
        <v>-286</v>
      </c>
      <c r="I595">
        <v>-101</v>
      </c>
      <c r="J595">
        <v>1254</v>
      </c>
      <c r="K595">
        <v>-3116</v>
      </c>
    </row>
    <row r="596" spans="2:11" x14ac:dyDescent="0.25">
      <c r="B596">
        <v>-48</v>
      </c>
      <c r="C596">
        <v>65</v>
      </c>
      <c r="D596">
        <v>-295</v>
      </c>
      <c r="E596">
        <v>-352</v>
      </c>
      <c r="F596">
        <v>-523</v>
      </c>
      <c r="G596">
        <v>177</v>
      </c>
      <c r="H596">
        <v>-1385</v>
      </c>
      <c r="I596">
        <v>-859</v>
      </c>
      <c r="J596">
        <v>1644</v>
      </c>
      <c r="K596">
        <v>-132</v>
      </c>
    </row>
    <row r="597" spans="2:11" x14ac:dyDescent="0.25">
      <c r="B597">
        <v>-117</v>
      </c>
      <c r="C597">
        <v>31</v>
      </c>
      <c r="D597">
        <v>-201</v>
      </c>
      <c r="E597">
        <v>-386</v>
      </c>
      <c r="F597">
        <v>-378</v>
      </c>
      <c r="G597">
        <v>2452</v>
      </c>
      <c r="H597">
        <v>-4215</v>
      </c>
      <c r="I597">
        <v>-225</v>
      </c>
      <c r="J597">
        <v>-164</v>
      </c>
      <c r="K597">
        <v>-286</v>
      </c>
    </row>
    <row r="598" spans="2:11" x14ac:dyDescent="0.25">
      <c r="B598">
        <v>-440</v>
      </c>
      <c r="C598">
        <v>-431</v>
      </c>
      <c r="D598">
        <v>-1691</v>
      </c>
      <c r="E598">
        <v>-295</v>
      </c>
      <c r="F598">
        <v>-988</v>
      </c>
      <c r="G598">
        <v>444</v>
      </c>
      <c r="H598">
        <v>-733</v>
      </c>
      <c r="I598">
        <v>-1244</v>
      </c>
      <c r="J598">
        <v>-9508</v>
      </c>
      <c r="K598">
        <v>-3776</v>
      </c>
    </row>
    <row r="599" spans="2:11" x14ac:dyDescent="0.25">
      <c r="B599">
        <v>21176</v>
      </c>
      <c r="C599">
        <v>-2113</v>
      </c>
      <c r="D599">
        <v>14988</v>
      </c>
      <c r="E599">
        <v>0</v>
      </c>
      <c r="F599">
        <v>2523</v>
      </c>
      <c r="G599">
        <v>550</v>
      </c>
      <c r="H599">
        <v>3550</v>
      </c>
      <c r="I599">
        <v>3184</v>
      </c>
      <c r="J599">
        <v>3362</v>
      </c>
      <c r="K599">
        <v>2034</v>
      </c>
    </row>
    <row r="600" spans="2:11" x14ac:dyDescent="0.25">
      <c r="B600">
        <v>3583</v>
      </c>
      <c r="C600">
        <v>10614</v>
      </c>
      <c r="D600">
        <v>4044</v>
      </c>
      <c r="E600">
        <v>2059</v>
      </c>
      <c r="F600">
        <v>7895</v>
      </c>
      <c r="G600">
        <v>6926</v>
      </c>
      <c r="H600">
        <v>7357</v>
      </c>
      <c r="I600">
        <v>5149</v>
      </c>
      <c r="J600">
        <v>7934</v>
      </c>
      <c r="K600">
        <v>13085</v>
      </c>
    </row>
    <row r="601" spans="2:11" x14ac:dyDescent="0.25">
      <c r="B601">
        <v>0</v>
      </c>
      <c r="C601">
        <v>3754</v>
      </c>
      <c r="D601">
        <v>2965</v>
      </c>
      <c r="E601">
        <v>8219</v>
      </c>
      <c r="F601">
        <v>2914</v>
      </c>
      <c r="G601">
        <v>2813</v>
      </c>
      <c r="H601">
        <v>0</v>
      </c>
      <c r="I601">
        <v>7377</v>
      </c>
      <c r="J601">
        <v>13163</v>
      </c>
      <c r="K601">
        <v>2555</v>
      </c>
    </row>
    <row r="602" spans="2:11" x14ac:dyDescent="0.25">
      <c r="B602">
        <v>5574</v>
      </c>
      <c r="C602">
        <v>8756</v>
      </c>
      <c r="D602">
        <v>0</v>
      </c>
      <c r="E602">
        <v>8638</v>
      </c>
      <c r="F602">
        <v>0</v>
      </c>
      <c r="G602">
        <v>4677</v>
      </c>
      <c r="H602">
        <v>10273</v>
      </c>
      <c r="I602">
        <v>5674</v>
      </c>
      <c r="J602">
        <v>6172</v>
      </c>
      <c r="K602">
        <v>-4647</v>
      </c>
    </row>
    <row r="603" spans="2:11" x14ac:dyDescent="0.25">
      <c r="B603">
        <v>0</v>
      </c>
      <c r="C603">
        <v>-1055</v>
      </c>
      <c r="D603">
        <v>-1703</v>
      </c>
      <c r="E603">
        <v>-766</v>
      </c>
      <c r="F603">
        <v>-72</v>
      </c>
      <c r="G603">
        <v>-514</v>
      </c>
      <c r="H603">
        <v>767</v>
      </c>
      <c r="I603">
        <v>181</v>
      </c>
      <c r="J603">
        <v>1058</v>
      </c>
      <c r="K603">
        <v>-793</v>
      </c>
    </row>
    <row r="604" spans="2:11" x14ac:dyDescent="0.25">
      <c r="B604">
        <v>283</v>
      </c>
      <c r="C604">
        <v>-116</v>
      </c>
      <c r="D604">
        <v>80</v>
      </c>
      <c r="E604">
        <v>438</v>
      </c>
      <c r="F604">
        <v>-366</v>
      </c>
      <c r="G604">
        <v>-272</v>
      </c>
      <c r="H604">
        <v>0</v>
      </c>
      <c r="I604">
        <v>0</v>
      </c>
      <c r="J604">
        <v>0</v>
      </c>
      <c r="K604">
        <v>420</v>
      </c>
    </row>
    <row r="605" spans="2:11" x14ac:dyDescent="0.25">
      <c r="B605">
        <v>7</v>
      </c>
      <c r="C605">
        <v>-134</v>
      </c>
      <c r="D605">
        <v>246</v>
      </c>
      <c r="E605">
        <v>973</v>
      </c>
      <c r="F605">
        <v>-2440</v>
      </c>
      <c r="G605">
        <v>11</v>
      </c>
      <c r="H605">
        <v>58</v>
      </c>
      <c r="I605">
        <v>-100</v>
      </c>
      <c r="J605">
        <v>128</v>
      </c>
      <c r="K605">
        <v>-353</v>
      </c>
    </row>
    <row r="606" spans="2:11" x14ac:dyDescent="0.25">
      <c r="B606">
        <v>143</v>
      </c>
      <c r="C606">
        <v>-1061</v>
      </c>
      <c r="D606">
        <v>-675</v>
      </c>
      <c r="E606">
        <v>1285</v>
      </c>
      <c r="F606">
        <v>-72</v>
      </c>
      <c r="G606">
        <v>-39</v>
      </c>
      <c r="H606">
        <v>45</v>
      </c>
      <c r="I606">
        <v>-34</v>
      </c>
      <c r="J606">
        <v>31</v>
      </c>
      <c r="K606">
        <v>-256</v>
      </c>
    </row>
    <row r="607" spans="2:11" x14ac:dyDescent="0.25">
      <c r="B607">
        <v>1943</v>
      </c>
      <c r="C607">
        <v>-3304</v>
      </c>
      <c r="D607">
        <v>-134</v>
      </c>
      <c r="E607">
        <v>-162</v>
      </c>
      <c r="F607">
        <v>-227</v>
      </c>
      <c r="G607">
        <v>-78</v>
      </c>
      <c r="H607">
        <v>-309</v>
      </c>
      <c r="I607">
        <v>-1290</v>
      </c>
      <c r="J607">
        <v>-699</v>
      </c>
      <c r="K607">
        <v>-773</v>
      </c>
    </row>
    <row r="608" spans="2:11" x14ac:dyDescent="0.25">
      <c r="B608">
        <v>759</v>
      </c>
      <c r="C608">
        <v>-182</v>
      </c>
      <c r="D608">
        <v>-2138</v>
      </c>
      <c r="E608">
        <v>-3937</v>
      </c>
      <c r="F608">
        <v>-7518</v>
      </c>
      <c r="G608">
        <v>22263</v>
      </c>
      <c r="H608">
        <v>-2408</v>
      </c>
      <c r="I608">
        <v>11787</v>
      </c>
      <c r="J608">
        <v>0</v>
      </c>
      <c r="K608">
        <v>1980</v>
      </c>
    </row>
    <row r="609" spans="2:11" x14ac:dyDescent="0.25">
      <c r="B609">
        <v>432</v>
      </c>
      <c r="C609">
        <v>2778</v>
      </c>
      <c r="D609">
        <v>2499</v>
      </c>
      <c r="E609">
        <v>2639</v>
      </c>
      <c r="F609">
        <v>1589</v>
      </c>
      <c r="G609">
        <v>2815</v>
      </c>
      <c r="H609">
        <v>8338</v>
      </c>
      <c r="I609">
        <v>3183</v>
      </c>
      <c r="J609">
        <v>1614</v>
      </c>
      <c r="K609">
        <v>6206</v>
      </c>
    </row>
    <row r="610" spans="2:11" x14ac:dyDescent="0.25">
      <c r="B610">
        <v>5446</v>
      </c>
      <c r="C610">
        <v>5786</v>
      </c>
      <c r="D610">
        <v>4048</v>
      </c>
      <c r="E610">
        <v>6229</v>
      </c>
      <c r="F610">
        <v>10284</v>
      </c>
      <c r="G610">
        <v>0</v>
      </c>
      <c r="H610">
        <v>2952</v>
      </c>
      <c r="I610">
        <v>2328</v>
      </c>
      <c r="J610">
        <v>6475</v>
      </c>
      <c r="K610">
        <v>2292</v>
      </c>
    </row>
    <row r="611" spans="2:11" x14ac:dyDescent="0.25">
      <c r="B611">
        <v>2213</v>
      </c>
      <c r="C611">
        <v>0</v>
      </c>
      <c r="D611">
        <v>5806</v>
      </c>
      <c r="E611">
        <v>10352</v>
      </c>
      <c r="F611">
        <v>2017</v>
      </c>
      <c r="G611">
        <v>4387</v>
      </c>
      <c r="H611">
        <v>6885</v>
      </c>
      <c r="I611">
        <v>0</v>
      </c>
      <c r="J611">
        <v>6793</v>
      </c>
      <c r="K611">
        <v>0</v>
      </c>
    </row>
    <row r="612" spans="2:11" x14ac:dyDescent="0.25">
      <c r="B612">
        <v>3665</v>
      </c>
      <c r="C612">
        <v>8085</v>
      </c>
      <c r="D612">
        <v>4462</v>
      </c>
      <c r="E612">
        <v>5001</v>
      </c>
      <c r="F612">
        <v>1264</v>
      </c>
      <c r="G612">
        <v>9225</v>
      </c>
      <c r="H612">
        <v>0</v>
      </c>
      <c r="I612">
        <v>-1702</v>
      </c>
      <c r="J612">
        <v>-1936</v>
      </c>
      <c r="K612">
        <v>-861</v>
      </c>
    </row>
    <row r="613" spans="2:11" x14ac:dyDescent="0.25">
      <c r="B613">
        <v>-391</v>
      </c>
      <c r="C613">
        <v>-1354</v>
      </c>
      <c r="D613">
        <v>1072</v>
      </c>
      <c r="E613">
        <v>296</v>
      </c>
      <c r="F613">
        <v>-405</v>
      </c>
      <c r="G613">
        <v>146</v>
      </c>
      <c r="H613">
        <v>-662</v>
      </c>
      <c r="I613">
        <v>-342</v>
      </c>
      <c r="J613">
        <v>1899</v>
      </c>
      <c r="K613">
        <v>-212</v>
      </c>
    </row>
    <row r="614" spans="2:11" x14ac:dyDescent="0.25">
      <c r="B614">
        <v>-349</v>
      </c>
      <c r="C614">
        <v>-267</v>
      </c>
      <c r="D614">
        <v>0</v>
      </c>
      <c r="E614">
        <v>0</v>
      </c>
      <c r="F614">
        <v>0</v>
      </c>
      <c r="G614">
        <v>543</v>
      </c>
      <c r="H614">
        <v>12</v>
      </c>
      <c r="I614">
        <v>-251</v>
      </c>
      <c r="J614">
        <v>211</v>
      </c>
      <c r="K614">
        <v>933</v>
      </c>
    </row>
    <row r="615" spans="2:11" x14ac:dyDescent="0.25">
      <c r="B615">
        <v>-2296</v>
      </c>
      <c r="C615">
        <v>149</v>
      </c>
      <c r="D615">
        <v>66</v>
      </c>
      <c r="E615">
        <v>-239</v>
      </c>
      <c r="F615">
        <v>12</v>
      </c>
      <c r="G615">
        <v>-390</v>
      </c>
      <c r="H615">
        <v>163</v>
      </c>
      <c r="I615">
        <v>-1029</v>
      </c>
      <c r="J615">
        <v>-633</v>
      </c>
      <c r="K615">
        <v>1225</v>
      </c>
    </row>
    <row r="616" spans="2:11" x14ac:dyDescent="0.25">
      <c r="B616">
        <v>-75</v>
      </c>
      <c r="C616">
        <v>9</v>
      </c>
      <c r="D616">
        <v>23</v>
      </c>
      <c r="E616">
        <v>-202</v>
      </c>
      <c r="F616">
        <v>-54</v>
      </c>
      <c r="G616">
        <v>-288</v>
      </c>
      <c r="H616">
        <v>1876</v>
      </c>
      <c r="I616">
        <v>-3158</v>
      </c>
      <c r="J616">
        <v>-111</v>
      </c>
      <c r="K616">
        <v>-146</v>
      </c>
    </row>
    <row r="617" spans="2:11" x14ac:dyDescent="0.25">
      <c r="B617">
        <v>-328</v>
      </c>
      <c r="C617">
        <v>-153</v>
      </c>
      <c r="D617">
        <v>-434</v>
      </c>
      <c r="E617">
        <v>-1254</v>
      </c>
      <c r="F617">
        <v>-1388</v>
      </c>
      <c r="G617">
        <v>-1704</v>
      </c>
      <c r="H617">
        <v>2113</v>
      </c>
      <c r="I617">
        <v>-1129</v>
      </c>
      <c r="J617">
        <v>-3644</v>
      </c>
      <c r="K617">
        <v>-9398</v>
      </c>
    </row>
    <row r="618" spans="2:11" x14ac:dyDescent="0.25">
      <c r="B618">
        <v>-18378</v>
      </c>
      <c r="C618">
        <v>51164</v>
      </c>
      <c r="D618">
        <v>-1807</v>
      </c>
      <c r="E618">
        <v>11252</v>
      </c>
      <c r="F618">
        <v>0</v>
      </c>
      <c r="G618">
        <v>1909</v>
      </c>
      <c r="H618">
        <v>418</v>
      </c>
      <c r="I618">
        <v>2657</v>
      </c>
      <c r="J618">
        <v>2388</v>
      </c>
      <c r="K618">
        <v>2513</v>
      </c>
    </row>
    <row r="619" spans="2:11" x14ac:dyDescent="0.25">
      <c r="B619">
        <v>1524</v>
      </c>
      <c r="C619">
        <v>2681</v>
      </c>
      <c r="D619">
        <v>7972</v>
      </c>
      <c r="E619">
        <v>3047</v>
      </c>
      <c r="F619">
        <v>1543</v>
      </c>
      <c r="G619">
        <v>5928</v>
      </c>
      <c r="H619">
        <v>5209</v>
      </c>
      <c r="I619">
        <v>5531</v>
      </c>
      <c r="J619">
        <v>3864</v>
      </c>
      <c r="K619">
        <v>5949</v>
      </c>
    </row>
    <row r="620" spans="2:11" x14ac:dyDescent="0.25">
      <c r="B620">
        <v>9825</v>
      </c>
      <c r="C620">
        <v>0</v>
      </c>
      <c r="D620">
        <v>2816</v>
      </c>
      <c r="E620">
        <v>2224</v>
      </c>
      <c r="F620">
        <v>6175</v>
      </c>
      <c r="G620">
        <v>2187</v>
      </c>
      <c r="H620">
        <v>2117</v>
      </c>
      <c r="I620">
        <v>0</v>
      </c>
      <c r="J620">
        <v>5544</v>
      </c>
      <c r="K620">
        <v>9883</v>
      </c>
    </row>
    <row r="621" spans="2:11" x14ac:dyDescent="0.25">
      <c r="B621">
        <v>1925</v>
      </c>
      <c r="C621">
        <v>4193</v>
      </c>
      <c r="D621">
        <v>6575</v>
      </c>
      <c r="E621">
        <v>0</v>
      </c>
      <c r="F621">
        <v>6488</v>
      </c>
      <c r="G621">
        <v>0</v>
      </c>
      <c r="H621">
        <v>3499</v>
      </c>
      <c r="I621">
        <v>7720</v>
      </c>
      <c r="J621">
        <v>4261</v>
      </c>
      <c r="K621">
        <v>12125</v>
      </c>
    </row>
    <row r="622" spans="2:11" x14ac:dyDescent="0.25">
      <c r="B622">
        <v>2293</v>
      </c>
      <c r="C622">
        <v>18099</v>
      </c>
      <c r="D622">
        <v>18536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</row>
    <row r="623" spans="2:11" x14ac:dyDescent="0.25"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</row>
    <row r="624" spans="2:11" x14ac:dyDescent="0.25"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</row>
    <row r="625" spans="2:11" x14ac:dyDescent="0.25"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</row>
    <row r="626" spans="2:11" x14ac:dyDescent="0.25"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</row>
    <row r="627" spans="2:11" x14ac:dyDescent="0.25"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</row>
    <row r="628" spans="2:11" x14ac:dyDescent="0.25"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</row>
    <row r="629" spans="2:11" x14ac:dyDescent="0.25"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</row>
    <row r="630" spans="2:11" x14ac:dyDescent="0.25"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</row>
    <row r="631" spans="2:11" x14ac:dyDescent="0.25"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</row>
    <row r="632" spans="2:11" x14ac:dyDescent="0.25"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</row>
    <row r="633" spans="2:11" x14ac:dyDescent="0.25"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</row>
    <row r="634" spans="2:11" x14ac:dyDescent="0.25"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</row>
    <row r="635" spans="2:11" x14ac:dyDescent="0.25"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</row>
    <row r="636" spans="2:11" x14ac:dyDescent="0.25"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</row>
    <row r="637" spans="2:11" x14ac:dyDescent="0.25"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</row>
    <row r="638" spans="2:11" x14ac:dyDescent="0.25"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</row>
    <row r="639" spans="2:11" x14ac:dyDescent="0.25"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</row>
    <row r="640" spans="2:11" x14ac:dyDescent="0.25"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</row>
    <row r="641" spans="2:11" x14ac:dyDescent="0.25"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</row>
    <row r="642" spans="2:11" x14ac:dyDescent="0.25">
      <c r="B642">
        <v>0</v>
      </c>
      <c r="C642">
        <v>-509</v>
      </c>
      <c r="D642">
        <v>316</v>
      </c>
      <c r="E642">
        <v>-459</v>
      </c>
      <c r="F642">
        <v>66</v>
      </c>
      <c r="G642">
        <v>-765</v>
      </c>
      <c r="H642">
        <v>232</v>
      </c>
      <c r="I642">
        <v>250</v>
      </c>
      <c r="J642">
        <v>933</v>
      </c>
      <c r="K642">
        <v>-416</v>
      </c>
    </row>
    <row r="643" spans="2:11" x14ac:dyDescent="0.25">
      <c r="B643">
        <v>-158</v>
      </c>
      <c r="C643">
        <v>-293</v>
      </c>
      <c r="D643">
        <v>423</v>
      </c>
      <c r="E643">
        <v>-17</v>
      </c>
      <c r="F643">
        <v>132</v>
      </c>
      <c r="G643">
        <v>104</v>
      </c>
      <c r="H643">
        <v>0</v>
      </c>
      <c r="I643">
        <v>0</v>
      </c>
      <c r="J643">
        <v>0</v>
      </c>
      <c r="K643">
        <v>121</v>
      </c>
    </row>
    <row r="644" spans="2:11" x14ac:dyDescent="0.25">
      <c r="B644">
        <v>-17</v>
      </c>
      <c r="C644">
        <v>70</v>
      </c>
      <c r="D644">
        <v>-170</v>
      </c>
      <c r="E644">
        <v>-356</v>
      </c>
      <c r="F644">
        <v>960</v>
      </c>
      <c r="G644">
        <v>38</v>
      </c>
      <c r="H644">
        <v>-110</v>
      </c>
      <c r="I644">
        <v>0</v>
      </c>
      <c r="J644">
        <v>-212</v>
      </c>
      <c r="K644">
        <v>-21</v>
      </c>
    </row>
    <row r="645" spans="2:11" x14ac:dyDescent="0.25">
      <c r="B645">
        <v>-68</v>
      </c>
      <c r="C645">
        <v>420</v>
      </c>
      <c r="D645">
        <v>265</v>
      </c>
      <c r="E645">
        <v>-491</v>
      </c>
      <c r="F645">
        <v>39</v>
      </c>
      <c r="G645">
        <v>95</v>
      </c>
      <c r="H645">
        <v>-85</v>
      </c>
      <c r="I645">
        <v>2</v>
      </c>
      <c r="J645">
        <v>-140</v>
      </c>
      <c r="K645">
        <v>2</v>
      </c>
    </row>
    <row r="646" spans="2:11" x14ac:dyDescent="0.25">
      <c r="B646">
        <v>-709</v>
      </c>
      <c r="C646">
        <v>1251</v>
      </c>
      <c r="D646">
        <v>71</v>
      </c>
      <c r="E646">
        <v>-32</v>
      </c>
      <c r="F646">
        <v>-1</v>
      </c>
      <c r="G646">
        <v>-164</v>
      </c>
      <c r="H646">
        <v>-11</v>
      </c>
      <c r="I646">
        <v>531</v>
      </c>
      <c r="J646">
        <v>679</v>
      </c>
      <c r="K646">
        <v>664</v>
      </c>
    </row>
    <row r="647" spans="2:11" x14ac:dyDescent="0.25">
      <c r="B647">
        <v>-356</v>
      </c>
      <c r="C647">
        <v>-51</v>
      </c>
      <c r="D647">
        <v>231</v>
      </c>
      <c r="E647">
        <v>-855</v>
      </c>
      <c r="F647">
        <v>1521</v>
      </c>
      <c r="G647">
        <v>2769</v>
      </c>
      <c r="H647">
        <v>688</v>
      </c>
      <c r="I647">
        <v>-4430</v>
      </c>
      <c r="J647">
        <v>0</v>
      </c>
      <c r="K647">
        <v>-744</v>
      </c>
    </row>
    <row r="648" spans="2:11" x14ac:dyDescent="0.25">
      <c r="B648">
        <v>-158</v>
      </c>
      <c r="C648">
        <v>-1044</v>
      </c>
      <c r="D648">
        <v>-935</v>
      </c>
      <c r="E648">
        <v>-989</v>
      </c>
      <c r="F648">
        <v>-602</v>
      </c>
      <c r="G648">
        <v>-1051</v>
      </c>
      <c r="H648">
        <v>-3139</v>
      </c>
      <c r="I648">
        <v>-1208</v>
      </c>
      <c r="J648">
        <v>-609</v>
      </c>
      <c r="K648">
        <v>-2338</v>
      </c>
    </row>
    <row r="649" spans="2:11" x14ac:dyDescent="0.25">
      <c r="B649">
        <v>-2057</v>
      </c>
      <c r="C649">
        <v>-2179</v>
      </c>
      <c r="D649">
        <v>-1536</v>
      </c>
      <c r="E649">
        <v>-2352</v>
      </c>
      <c r="F649">
        <v>-3861</v>
      </c>
      <c r="G649">
        <v>0</v>
      </c>
      <c r="H649">
        <v>-1107</v>
      </c>
      <c r="I649">
        <v>-875</v>
      </c>
      <c r="J649">
        <v>-2421</v>
      </c>
      <c r="K649">
        <v>-863</v>
      </c>
    </row>
    <row r="650" spans="2:11" x14ac:dyDescent="0.25">
      <c r="B650">
        <v>-833</v>
      </c>
      <c r="C650">
        <v>0</v>
      </c>
      <c r="D650">
        <v>-2180</v>
      </c>
      <c r="E650">
        <v>-3890</v>
      </c>
      <c r="F650">
        <v>-752</v>
      </c>
      <c r="G650">
        <v>-1649</v>
      </c>
      <c r="H650">
        <v>-2589</v>
      </c>
      <c r="I650">
        <v>0</v>
      </c>
      <c r="J650">
        <v>-2554</v>
      </c>
      <c r="K650">
        <v>0</v>
      </c>
    </row>
    <row r="651" spans="2:11" x14ac:dyDescent="0.25">
      <c r="B651">
        <v>-1379</v>
      </c>
      <c r="C651">
        <v>-3032</v>
      </c>
      <c r="D651">
        <v>-1675</v>
      </c>
      <c r="E651">
        <v>304</v>
      </c>
      <c r="F651">
        <v>457</v>
      </c>
      <c r="G651">
        <v>20</v>
      </c>
      <c r="H651">
        <v>569</v>
      </c>
      <c r="I651">
        <v>1977</v>
      </c>
      <c r="J651">
        <v>0</v>
      </c>
      <c r="K651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DG401"/>
  <sheetViews>
    <sheetView tabSelected="1" topLeftCell="Q1" workbookViewId="0">
      <selection activeCell="Z30" sqref="Z30"/>
    </sheetView>
  </sheetViews>
  <sheetFormatPr defaultRowHeight="15" x14ac:dyDescent="0.25"/>
  <cols>
    <col min="3" max="3" bestFit="true" customWidth="true" width="19.28515625" collapsed="true"/>
    <col min="4" max="4" customWidth="true" width="11.28515625" collapsed="true"/>
    <col min="5" max="5" bestFit="true" customWidth="true" width="10.5703125" collapsed="true"/>
    <col min="6" max="6" bestFit="true" customWidth="true" width="16.7109375" collapsed="true"/>
    <col min="7" max="7" bestFit="true" customWidth="true" width="10.5703125" collapsed="true"/>
    <col min="8" max="8" customWidth="true" width="11.0" collapsed="true"/>
    <col min="9" max="9" bestFit="true" customWidth="true" width="10.5703125" collapsed="true"/>
    <col min="10" max="10" bestFit="true" customWidth="true" width="16.7109375" collapsed="true"/>
    <col min="11" max="11" bestFit="true" customWidth="true" width="10.5703125" collapsed="true"/>
    <col min="12" max="12" customWidth="true" width="16.7109375" collapsed="true"/>
    <col min="13" max="13" customWidth="true" width="10.28515625" collapsed="true"/>
    <col min="14" max="14" bestFit="true" customWidth="true" width="16.7109375" collapsed="true"/>
    <col min="16" max="16" customWidth="true" width="14.7109375" collapsed="true"/>
    <col min="17" max="17" bestFit="true" customWidth="true" width="15.7109375" collapsed="true"/>
    <col min="18" max="18" customWidth="true" width="8.5703125" collapsed="true"/>
    <col min="19" max="19" bestFit="true" customWidth="true" width="10.140625" collapsed="true"/>
    <col min="20" max="20" bestFit="true" customWidth="true" width="10.5703125" collapsed="true"/>
    <col min="21" max="21" bestFit="true" customWidth="true" width="12.28515625" collapsed="true"/>
    <col min="22" max="23" bestFit="true" customWidth="true" width="11.5703125" collapsed="true"/>
    <col min="24" max="24" customWidth="true" width="11.42578125" collapsed="true"/>
    <col min="25" max="25" customWidth="true" width="10.0" collapsed="true"/>
    <col min="26" max="26" customWidth="true" width="12.42578125" collapsed="true"/>
    <col min="27" max="27" bestFit="true" customWidth="true" width="15.7109375" collapsed="true"/>
    <col min="28" max="28" bestFit="true" customWidth="true" width="15.28515625" collapsed="true"/>
    <col min="29" max="29" bestFit="true" customWidth="true" width="20.7109375" collapsed="true"/>
    <col min="30" max="30" bestFit="true" customWidth="true" width="12.85546875" collapsed="true"/>
    <col min="31" max="31" bestFit="true" customWidth="true" width="10.7109375" collapsed="true"/>
    <col min="33" max="33" bestFit="true" customWidth="true" width="10.5703125" collapsed="true"/>
    <col min="34" max="34" bestFit="true" customWidth="true" width="11.28515625" collapsed="true"/>
    <col min="52" max="56" bestFit="true" customWidth="true" width="10.5703125" collapsed="true"/>
    <col min="57" max="57" bestFit="true" customWidth="true" width="11.5703125" collapsed="true"/>
    <col min="58" max="58" bestFit="true" customWidth="true" width="10.5703125" collapsed="true"/>
    <col min="59" max="59" bestFit="true" customWidth="true" width="9.5703125" collapsed="true"/>
    <col min="60" max="62" bestFit="true" customWidth="true" width="10.5703125" collapsed="true"/>
    <col min="63" max="63" bestFit="true" customWidth="true" width="11.5703125" collapsed="true"/>
    <col min="64" max="66" bestFit="true" customWidth="true" width="10.5703125" collapsed="true"/>
    <col min="67" max="67" bestFit="true" customWidth="true" width="9.5703125" collapsed="true"/>
    <col min="68" max="71" bestFit="true" customWidth="true" width="10.5703125" collapsed="true"/>
    <col min="72" max="72" bestFit="true" customWidth="true" width="9.28515625" collapsed="true"/>
    <col min="73" max="73" bestFit="true" customWidth="true" width="11.5703125" collapsed="true"/>
    <col min="103" max="103" bestFit="true" customWidth="true" width="9.5703125" collapsed="true"/>
  </cols>
  <sheetData>
    <row ht="15.75" r="1" spans="2:110" thickBot="1" x14ac:dyDescent="0.3">
      <c r="M1" s="6"/>
      <c r="N1" s="6"/>
      <c r="P1" s="6"/>
      <c r="Q1" s="6"/>
      <c r="CS1" t="s">
        <v>288</v>
      </c>
      <c r="CU1" s="355" t="s">
        <v>289</v>
      </c>
      <c r="CV1" s="355" t="s">
        <v>290</v>
      </c>
      <c r="CW1" s="355" t="s">
        <v>228</v>
      </c>
      <c r="CX1" s="355" t="s">
        <v>333</v>
      </c>
      <c r="CY1" s="355" t="s">
        <v>291</v>
      </c>
      <c r="CZ1" s="355" t="s">
        <v>292</v>
      </c>
      <c r="DA1" s="355" t="s">
        <v>291</v>
      </c>
      <c r="DB1" s="355" t="s">
        <v>292</v>
      </c>
      <c r="DC1" s="355" t="s">
        <v>293</v>
      </c>
      <c r="DD1" s="355" t="s">
        <v>294</v>
      </c>
      <c r="DE1" s="355" t="s">
        <v>334</v>
      </c>
      <c r="DF1" t="s">
        <v>295</v>
      </c>
    </row>
    <row ht="15.75" r="2" spans="2:110" thickBot="1" x14ac:dyDescent="0.3">
      <c r="B2" s="386" t="s">
        <v>296</v>
      </c>
      <c r="C2" s="387"/>
      <c r="D2" s="388" t="s">
        <v>336</v>
      </c>
      <c r="E2" s="389"/>
      <c r="F2" s="389"/>
      <c r="G2" s="387"/>
      <c r="H2" s="388" t="s">
        <v>337</v>
      </c>
      <c r="I2" s="389"/>
      <c r="J2" s="389"/>
      <c r="K2" s="387"/>
      <c r="L2" s="388" t="s">
        <v>368</v>
      </c>
      <c r="M2" s="389"/>
      <c r="N2" s="387"/>
      <c r="O2" s="389" t="s">
        <v>297</v>
      </c>
      <c r="P2" s="389"/>
      <c r="Q2" s="389"/>
      <c r="R2" s="388" t="s">
        <v>298</v>
      </c>
      <c r="S2" s="387"/>
      <c r="T2" s="300"/>
      <c r="U2" s="390"/>
      <c r="V2" s="390"/>
      <c r="W2" s="390"/>
      <c r="X2" s="390"/>
      <c r="Y2" s="390"/>
      <c r="Z2" s="390"/>
      <c r="AA2" s="390"/>
      <c r="AB2" s="390"/>
      <c r="AC2" s="390"/>
      <c r="AD2" s="383" t="s">
        <v>243</v>
      </c>
      <c r="AE2" s="384"/>
      <c r="AF2" s="384"/>
      <c r="AG2" s="384"/>
      <c r="AH2" s="384"/>
      <c r="AI2" s="385"/>
      <c r="CS2">
        <v>20</v>
      </c>
      <c r="CU2">
        <v>1</v>
      </c>
      <c r="CV2">
        <v>1</v>
      </c>
      <c r="CW2">
        <f>MOD(ROW()-2,$CS$2)+1</f>
        <v>1</v>
      </c>
      <c r="CX2" s="355" t="str">
        <f>IF(CV2&lt;=CW2,CONCATENATE(CV2,"_",CW2),CONCATENATE(CW2,"_",CV2))</f>
        <v>1_1</v>
      </c>
      <c r="CY2" s="246">
        <f ref="CY2:CY65" si="0" t="shared">VLOOKUP($CV2,$B$67:$V$86,MATCH($CW2,$B$66:$V$66,0),0)</f>
        <v>41542.024792183634</v>
      </c>
      <c r="CZ2" s="246">
        <f ref="CZ2:CZ65" si="1" t="shared">VLOOKUP($CV2,$Z$41:$AT$60,MATCH($CW2,$Z$40:$AT$40,0),0)</f>
        <v>19736.642857142899</v>
      </c>
      <c r="DA2" s="246">
        <f>AVERAGEIF($CX$2:$CX$401,$CX2,$CY$2:$CY$401)</f>
        <v>41542.024792183634</v>
      </c>
      <c r="DB2" s="246">
        <f>AVERAGEIF($CX$2:$CX$401,$CX2,$CZ$2:$CZ$401)</f>
        <v>19736.642857142899</v>
      </c>
      <c r="DC2" s="301">
        <f>DB2-DA2</f>
        <v>-21805.381935040736</v>
      </c>
      <c r="DD2" s="302">
        <f>IF(CY2&gt;0,DC2/CY2,0)</f>
        <v>-0.52489935298347667</v>
      </c>
      <c r="DE2" s="357">
        <f>DA2/DB2</f>
        <v>2.1048171714344588</v>
      </c>
      <c r="DF2">
        <v>5000</v>
      </c>
    </row>
    <row r="3" spans="2:110" x14ac:dyDescent="0.25">
      <c r="B3" s="303" t="s">
        <v>299</v>
      </c>
      <c r="C3" s="304" t="s">
        <v>249</v>
      </c>
      <c r="D3" s="305" t="s">
        <v>300</v>
      </c>
      <c r="E3" s="306" t="s">
        <v>301</v>
      </c>
      <c r="F3" s="306" t="s">
        <v>335</v>
      </c>
      <c r="G3" s="361" t="s">
        <v>292</v>
      </c>
      <c r="H3" s="306" t="s">
        <v>300</v>
      </c>
      <c r="I3" s="306" t="s">
        <v>301</v>
      </c>
      <c r="J3" s="306" t="s">
        <v>335</v>
      </c>
      <c r="K3" s="361" t="s">
        <v>292</v>
      </c>
      <c r="L3" s="306" t="str">
        <f>H3</f>
        <v>SURVEY</v>
      </c>
      <c r="M3" s="306" t="s">
        <v>335</v>
      </c>
      <c r="N3" s="361" t="s">
        <v>292</v>
      </c>
      <c r="O3" s="307" t="str">
        <f>L3</f>
        <v>SURVEY</v>
      </c>
      <c r="P3" s="307" t="s">
        <v>335</v>
      </c>
      <c r="Q3" s="307" t="s">
        <v>292</v>
      </c>
      <c r="R3" s="362" t="s">
        <v>338</v>
      </c>
      <c r="S3" s="362" t="s">
        <v>339</v>
      </c>
      <c r="T3" s="372" t="s">
        <v>244</v>
      </c>
      <c r="U3" s="308"/>
      <c r="V3" s="308"/>
      <c r="W3" s="308"/>
      <c r="X3" s="308"/>
      <c r="Y3" s="309"/>
      <c r="Z3" s="308"/>
      <c r="AA3" s="308"/>
      <c r="AB3" s="308"/>
      <c r="AC3" s="308"/>
      <c r="AD3" s="376" t="s">
        <v>302</v>
      </c>
      <c r="AE3" s="377" t="s">
        <v>245</v>
      </c>
      <c r="AF3" s="378" t="s">
        <v>246</v>
      </c>
      <c r="AG3" s="378" t="s">
        <v>303</v>
      </c>
      <c r="AH3" s="378" t="s">
        <v>304</v>
      </c>
      <c r="AI3" s="379" t="s">
        <v>305</v>
      </c>
      <c r="AK3" s="310"/>
      <c r="CU3">
        <v>2</v>
      </c>
      <c r="CV3">
        <f>IF(CW2&lt;$CS$2,CV2,CV2+1)</f>
        <v>1</v>
      </c>
      <c r="CW3">
        <f ref="CW3:CW66" si="2" t="shared">MOD(ROW()-2,$CS$2)+1</f>
        <v>2</v>
      </c>
      <c r="CX3" s="355" t="str">
        <f ref="CX3:CX66" si="3" t="shared">IF(CV3&lt;=CW3,CONCATENATE(CV3,"_",CW3),CONCATENATE(CW3,"_",CV3))</f>
        <v>1_2</v>
      </c>
      <c r="CY3" s="246">
        <f si="0" t="shared"/>
        <v>188.82318279856278</v>
      </c>
      <c r="CZ3" s="246">
        <f si="1" t="shared"/>
        <v>6949.1428571428596</v>
      </c>
      <c r="DA3" s="246">
        <f ref="DA3:DA66" si="4" t="shared">AVERAGEIF($CX$2:$CX$401,$CX3,$CY$2:$CY$401)</f>
        <v>231.75416688520261</v>
      </c>
      <c r="DB3" s="246">
        <f ref="DB3:DB66" si="5" t="shared">AVERAGEIF($CX$2:$CX$401,$CX3,$CZ$2:$CZ$401)</f>
        <v>6770.8571428571449</v>
      </c>
      <c r="DC3" s="301">
        <f ref="DC3:DC66" si="6" t="shared">DB3-DA3</f>
        <v>6539.1029759719422</v>
      </c>
      <c r="DD3" s="302">
        <f ref="DD3:DD66" si="7" t="shared">IF(CY3&gt;0,DC3/CY3,0)</f>
        <v>34.630826994097859</v>
      </c>
      <c r="DE3" s="357">
        <f ref="DE3:DE66" si="8" t="shared">DA3/DB3</f>
        <v>3.42281873617271E-2</v>
      </c>
      <c r="DF3">
        <v>10000</v>
      </c>
    </row>
    <row r="4" spans="2:110" x14ac:dyDescent="0.25">
      <c r="B4" s="311">
        <v>1</v>
      </c>
      <c r="C4" s="312" t="s">
        <v>306</v>
      </c>
      <c r="D4" s="313">
        <f ca="1">SUMIF(survey_other_auto_dist!$A:$B,Calibration_OD!$B4,survey_other_auto_dist!$C:$C)</f>
        <v>23439.973794999987</v>
      </c>
      <c r="E4" s="314">
        <f ref="E4:E23" si="9" t="shared">X41</f>
        <v>89218.391633141888</v>
      </c>
      <c r="F4" s="314">
        <f ref="F4:F23" si="10" t="shared">X67</f>
        <v>77624.768662245537</v>
      </c>
      <c r="G4" s="315">
        <f ref="G4:G23" si="11" t="shared">AV41</f>
        <v>96389.857142857174</v>
      </c>
      <c r="H4" s="314">
        <f>SUMIF(survey_other_auto_dist!$B:$B,Calibration_OD!$B4,survey_other_auto_dist!$C:$C)</f>
        <v>22595.620611071412</v>
      </c>
      <c r="I4" s="314">
        <f>$AZ$68</f>
        <v>88673.679172823817</v>
      </c>
      <c r="J4" s="314">
        <f>$AZ$69</f>
        <v>77150.839711659879</v>
      </c>
      <c r="K4" s="315">
        <f>$AZ$70</f>
        <v>91069.071428571435</v>
      </c>
      <c r="L4" s="314">
        <f ca="1">(H4+D4)/2</f>
        <v>23017.797203035698</v>
      </c>
      <c r="M4" s="314">
        <f ref="M4:M23" si="12" t="shared">(J4+F4)/2</f>
        <v>77387.804186952708</v>
      </c>
      <c r="N4" s="315">
        <f ref="N4:N23" si="13" t="shared">(K4+G4)/2</f>
        <v>93729.464285714304</v>
      </c>
      <c r="O4" s="295">
        <f ca="1">L4/L$24</f>
        <v>1.2586033718590524E-2</v>
      </c>
      <c r="P4" s="295">
        <f>M4/M$24</f>
        <v>3.5062779373446207E-2</v>
      </c>
      <c r="Q4" s="295">
        <f>N4/N$24</f>
        <v>4.2466840370635334E-2</v>
      </c>
      <c r="R4" s="363">
        <f>Q4-P4</f>
        <v>7.4040609971891269E-3</v>
      </c>
      <c r="S4" s="369">
        <f ref="S4:S23" si="14" t="shared">(N4-M4)/N4</f>
        <v>0.17434923183757381</v>
      </c>
      <c r="T4" s="373">
        <f>P4/Q4</f>
        <v>0.82565076816242644</v>
      </c>
      <c r="U4" s="320"/>
      <c r="V4" s="321"/>
      <c r="W4" s="321"/>
      <c r="X4" s="322"/>
      <c r="Y4" s="323"/>
      <c r="Z4" s="323"/>
      <c r="AA4" s="316"/>
      <c r="AB4" s="324"/>
      <c r="AC4" s="324"/>
      <c r="AD4" s="325">
        <v>201</v>
      </c>
      <c r="AE4" s="326">
        <f ref="AE4:AE28" si="15" t="shared">LN(T4)</f>
        <v>-0.19158339370062219</v>
      </c>
      <c r="AF4" s="327">
        <f ref="AF4:AF23" si="16" t="shared">AE4-AE$4</f>
        <v>0</v>
      </c>
      <c r="AG4" s="6">
        <f>VLOOKUP($AD4,Calibration!$N:$Q,3,FALSE)</f>
        <v>0</v>
      </c>
      <c r="AH4" s="328">
        <f>AG4+AF4*AI4</f>
        <v>0</v>
      </c>
      <c r="AI4" s="329">
        <v>1</v>
      </c>
      <c r="CU4">
        <v>3</v>
      </c>
      <c r="CV4">
        <f ref="CV4:CV67" si="17" t="shared">IF(CW3&lt;$CS$2,CV3,CV3+1)</f>
        <v>1</v>
      </c>
      <c r="CW4">
        <f si="2" t="shared"/>
        <v>3</v>
      </c>
      <c r="CX4" s="355" t="str">
        <f si="3" t="shared"/>
        <v>1_3</v>
      </c>
      <c r="CY4" s="246">
        <f si="0" t="shared"/>
        <v>8248.4325047068451</v>
      </c>
      <c r="CZ4" s="246">
        <f si="1" t="shared"/>
        <v>13171.5</v>
      </c>
      <c r="DA4" s="246">
        <f si="4" t="shared"/>
        <v>8274.1471760273489</v>
      </c>
      <c r="DB4" s="246">
        <f si="5" t="shared"/>
        <v>12798.5</v>
      </c>
      <c r="DC4" s="301">
        <f si="6" t="shared"/>
        <v>4524.3528239726511</v>
      </c>
      <c r="DD4" s="302">
        <f si="7" t="shared"/>
        <v>0.54851061961056191</v>
      </c>
      <c r="DE4" s="357">
        <f si="8" t="shared"/>
        <v>0.64649350908523251</v>
      </c>
      <c r="DF4">
        <v>15000</v>
      </c>
    </row>
    <row r="5" spans="2:110" x14ac:dyDescent="0.25">
      <c r="B5" s="330">
        <v>2</v>
      </c>
      <c r="C5" s="312" t="s">
        <v>307</v>
      </c>
      <c r="D5" s="331">
        <f ca="1">SUMIF(survey_other_auto_dist!$A:$B,Calibration_OD!$B5,survey_other_auto_dist!$C:$C)</f>
        <v>21185.835789928577</v>
      </c>
      <c r="E5" s="332">
        <f si="9" t="shared"/>
        <v>42167.454893987662</v>
      </c>
      <c r="F5" s="332">
        <f si="10" t="shared"/>
        <v>36687.939238814499</v>
      </c>
      <c r="G5" s="333">
        <f si="11" t="shared"/>
        <v>46746.642857142848</v>
      </c>
      <c r="H5" s="332">
        <f>SUMIF(survey_other_auto_dist!$B:$B,Calibration_OD!$B5,survey_other_auto_dist!$C:$C)</f>
        <v>21446.296717285717</v>
      </c>
      <c r="I5" s="332">
        <f>$BA$68</f>
        <v>41520.875202031151</v>
      </c>
      <c r="J5" s="332">
        <f>$BA$69</f>
        <v>36125.380352792337</v>
      </c>
      <c r="K5" s="333">
        <f>$BA$70</f>
        <v>44190.857142857145</v>
      </c>
      <c r="L5" s="332">
        <f ca="1" ref="L5:L23" si="18" t="shared">(H5+D5)/2</f>
        <v>21316.066253607147</v>
      </c>
      <c r="M5" s="332">
        <f si="12" t="shared"/>
        <v>36406.659795803418</v>
      </c>
      <c r="N5" s="333">
        <f si="13" t="shared"/>
        <v>45468.75</v>
      </c>
      <c r="O5" s="295">
        <f ca="1" ref="O5:O24" si="19" t="shared">L5/L$24</f>
        <v>1.1655534465314797E-2</v>
      </c>
      <c r="P5" s="295">
        <f ref="P5:P23" si="20" t="shared">M5/M$24</f>
        <v>1.6495088516280523E-2</v>
      </c>
      <c r="Q5" s="295">
        <f ref="Q5:Q23" si="21" t="shared">N5/N$24</f>
        <v>2.0600930164460823E-2</v>
      </c>
      <c r="R5" s="317">
        <f ref="R5:R23" si="22" t="shared">Q5-P5</f>
        <v>4.1058416481803001E-3</v>
      </c>
      <c r="S5" s="338">
        <f si="14" t="shared"/>
        <v>0.19930370208542311</v>
      </c>
      <c r="T5" s="374">
        <f ref="T5:T23" si="23" t="shared">P5/Q5</f>
        <v>0.80069629791457719</v>
      </c>
      <c r="U5" s="320"/>
      <c r="V5" s="321"/>
      <c r="W5" s="321"/>
      <c r="X5" s="322"/>
      <c r="Y5" s="323"/>
      <c r="Z5" s="323"/>
      <c r="AA5" s="316"/>
      <c r="AB5" s="324"/>
      <c r="AC5" s="324"/>
      <c r="AD5" s="325">
        <v>202</v>
      </c>
      <c r="AE5" s="334">
        <f si="15" t="shared"/>
        <v>-0.22227355747540009</v>
      </c>
      <c r="AF5" s="327">
        <f si="16" t="shared"/>
        <v>-3.0690163774777901E-2</v>
      </c>
      <c r="AG5" s="6">
        <f>VLOOKUP($AD5,Calibration!$N:$Q,3,FALSE)</f>
        <v>-6.2169386706100003</v>
      </c>
      <c r="AH5" s="328">
        <f ref="AH5:AH23" si="24" t="shared">AG5+AF5*AI5</f>
        <v>-6.2476288343847779</v>
      </c>
      <c r="AI5" s="329">
        <v>1</v>
      </c>
      <c r="AK5" s="301"/>
      <c r="CU5">
        <v>4</v>
      </c>
      <c r="CV5">
        <f si="17" t="shared"/>
        <v>1</v>
      </c>
      <c r="CW5">
        <f si="2" t="shared"/>
        <v>4</v>
      </c>
      <c r="CX5" s="355" t="str">
        <f si="3" t="shared"/>
        <v>1_4</v>
      </c>
      <c r="CY5" s="246">
        <f si="0" t="shared"/>
        <v>3260.1931554238372</v>
      </c>
      <c r="CZ5" s="246">
        <f si="1" t="shared"/>
        <v>5279.6428571428596</v>
      </c>
      <c r="DA5" s="246">
        <f si="4" t="shared"/>
        <v>3203.4879598043435</v>
      </c>
      <c r="DB5" s="246">
        <f si="5" t="shared"/>
        <v>5206.5</v>
      </c>
      <c r="DC5" s="301">
        <f si="6" t="shared"/>
        <v>2003.0120401956565</v>
      </c>
      <c r="DD5" s="302">
        <f si="7" t="shared"/>
        <v>0.61438446886600417</v>
      </c>
      <c r="DE5" s="357">
        <f si="8" t="shared"/>
        <v>0.6152862690491393</v>
      </c>
      <c r="DF5">
        <v>20000</v>
      </c>
    </row>
    <row r="6" spans="2:110" x14ac:dyDescent="0.25">
      <c r="B6" s="330">
        <v>3</v>
      </c>
      <c r="C6" s="312" t="s">
        <v>308</v>
      </c>
      <c r="D6" s="331">
        <f ca="1">SUMIF(survey_other_auto_dist!$A:$B,Calibration_OD!$B6,survey_other_auto_dist!$C:$C)</f>
        <v>63306.738874214279</v>
      </c>
      <c r="E6" s="332">
        <f si="9" t="shared"/>
        <v>133401.44294407062</v>
      </c>
      <c r="F6" s="332">
        <f si="10" t="shared"/>
        <v>116066.38449976909</v>
      </c>
      <c r="G6" s="333">
        <f si="11" t="shared"/>
        <v>104310.49999999999</v>
      </c>
      <c r="H6" s="332">
        <f>SUMIF(survey_other_auto_dist!$B:$B,Calibration_OD!$B6,survey_other_auto_dist!$C:$C)</f>
        <v>64148.198757285725</v>
      </c>
      <c r="I6" s="332">
        <f>$BB$68</f>
        <v>132894.32106733543</v>
      </c>
      <c r="J6" s="332">
        <f>$BB$69</f>
        <v>115625.16136578795</v>
      </c>
      <c r="K6" s="333">
        <f>$BB$70</f>
        <v>104383.50000000004</v>
      </c>
      <c r="L6" s="332">
        <f ca="1" si="18" t="shared"/>
        <v>63727.468815750006</v>
      </c>
      <c r="M6" s="332">
        <f si="12" t="shared"/>
        <v>115845.77293277852</v>
      </c>
      <c r="N6" s="333">
        <f si="13" t="shared"/>
        <v>104347.00000000001</v>
      </c>
      <c r="O6" s="295">
        <f ca="1" si="19" t="shared"/>
        <v>3.4845909199759308E-2</v>
      </c>
      <c r="P6" s="295">
        <f si="20" t="shared"/>
        <v>5.2487272644094168E-2</v>
      </c>
      <c r="Q6" s="295">
        <f si="21" t="shared"/>
        <v>4.7277421522935952E-2</v>
      </c>
      <c r="R6" s="317">
        <f si="22" t="shared"/>
        <v>-5.2098511211582169E-3</v>
      </c>
      <c r="S6" s="338">
        <f si="14" t="shared"/>
        <v>-0.11019744633557749</v>
      </c>
      <c r="T6" s="374">
        <f si="23" t="shared"/>
        <v>1.1101974463355777</v>
      </c>
      <c r="U6" s="320"/>
      <c r="V6" s="321"/>
      <c r="W6" s="321"/>
      <c r="X6" s="322"/>
      <c r="Y6" s="323"/>
      <c r="Z6" s="323"/>
      <c r="AA6" s="316"/>
      <c r="AB6" s="324"/>
      <c r="AC6" s="324"/>
      <c r="AD6" s="325">
        <v>203</v>
      </c>
      <c r="AE6" s="334">
        <f si="15" t="shared"/>
        <v>0.10453787908714739</v>
      </c>
      <c r="AF6" s="327">
        <f si="16" t="shared"/>
        <v>0.29612127278776956</v>
      </c>
      <c r="AG6" s="6">
        <f>VLOOKUP($AD6,Calibration!$N:$Q,3,FALSE)</f>
        <v>0.42142888119999999</v>
      </c>
      <c r="AH6" s="328">
        <f si="24" t="shared"/>
        <v>0.71755015398776956</v>
      </c>
      <c r="AI6" s="329">
        <v>1</v>
      </c>
      <c r="CU6">
        <v>5</v>
      </c>
      <c r="CV6">
        <f si="17" t="shared"/>
        <v>1</v>
      </c>
      <c r="CW6">
        <f si="2" t="shared"/>
        <v>5</v>
      </c>
      <c r="CX6" s="355" t="str">
        <f si="3" t="shared"/>
        <v>1_5</v>
      </c>
      <c r="CY6" s="246">
        <f si="0" t="shared"/>
        <v>3301.817519325868</v>
      </c>
      <c r="CZ6" s="246">
        <f si="1" t="shared"/>
        <v>4747.6428571428596</v>
      </c>
      <c r="DA6" s="246">
        <f si="4" t="shared"/>
        <v>3243.0963212930506</v>
      </c>
      <c r="DB6" s="246">
        <f si="5" t="shared"/>
        <v>4709.8571428571449</v>
      </c>
      <c r="DC6" s="301">
        <f si="6" t="shared"/>
        <v>1466.7608215640944</v>
      </c>
      <c r="DD6" s="302">
        <f si="7" t="shared"/>
        <v>0.44422831152206221</v>
      </c>
      <c r="DE6" s="357">
        <f si="8" t="shared"/>
        <v>0.68857636716464998</v>
      </c>
      <c r="DF6">
        <v>25000</v>
      </c>
    </row>
    <row r="7" spans="2:110" x14ac:dyDescent="0.25">
      <c r="B7" s="330">
        <v>4</v>
      </c>
      <c r="C7" s="312" t="s">
        <v>309</v>
      </c>
      <c r="D7" s="331">
        <f ca="1">SUMIF(survey_other_auto_dist!$A:$B,Calibration_OD!$B7,survey_other_auto_dist!$C:$C)</f>
        <v>19954.084703928569</v>
      </c>
      <c r="E7" s="332">
        <f si="9" t="shared"/>
        <v>51396.380500207728</v>
      </c>
      <c r="F7" s="332">
        <f si="10" t="shared"/>
        <v>44717.597721447215</v>
      </c>
      <c r="G7" s="333">
        <f si="11" t="shared"/>
        <v>41077.571428571398</v>
      </c>
      <c r="H7" s="332">
        <f>SUMIF(survey_other_auto_dist!$B:$B,Calibration_OD!$B7,survey_other_auto_dist!$C:$C)</f>
        <v>20321.285524571438</v>
      </c>
      <c r="I7" s="332">
        <f>$BC$68</f>
        <v>51691.440536574977</v>
      </c>
      <c r="J7" s="332">
        <f>$BC$69</f>
        <v>44974.31572146072</v>
      </c>
      <c r="K7" s="333">
        <f>$BC$70</f>
        <v>41475.642857142833</v>
      </c>
      <c r="L7" s="332">
        <f ca="1" si="18" t="shared"/>
        <v>20137.685114250002</v>
      </c>
      <c r="M7" s="332">
        <f si="12" t="shared"/>
        <v>44845.956721453971</v>
      </c>
      <c r="N7" s="333">
        <f si="13" t="shared"/>
        <v>41276.607142857116</v>
      </c>
      <c r="O7" s="295">
        <f ca="1" si="19" t="shared"/>
        <v>1.1011200664713576E-2</v>
      </c>
      <c r="P7" s="295">
        <f si="20" t="shared"/>
        <v>2.0318755685544598E-2</v>
      </c>
      <c r="Q7" s="295">
        <f si="21" t="shared"/>
        <v>1.870155878874797E-2</v>
      </c>
      <c r="R7" s="317">
        <f si="22" t="shared"/>
        <v>-1.6171968967966278E-3</v>
      </c>
      <c r="S7" s="338">
        <f si="14" t="shared"/>
        <v>-8.6473909210692687E-2</v>
      </c>
      <c r="T7" s="374">
        <f si="23" t="shared"/>
        <v>1.086473909210693</v>
      </c>
      <c r="U7" s="320"/>
      <c r="V7" s="321"/>
      <c r="W7" s="321"/>
      <c r="X7" s="322"/>
      <c r="Y7" s="323"/>
      <c r="Z7" s="323"/>
      <c r="AA7" s="316"/>
      <c r="AB7" s="324"/>
      <c r="AC7" s="324"/>
      <c r="AD7" s="325">
        <v>204</v>
      </c>
      <c r="AE7" s="334">
        <f si="15" t="shared"/>
        <v>8.2937506814136433E-2</v>
      </c>
      <c r="AF7" s="327">
        <f si="16" t="shared"/>
        <v>0.27452090051475864</v>
      </c>
      <c r="AG7" s="6">
        <f>VLOOKUP($AD7,Calibration!$N:$Q,3,FALSE)</f>
        <v>0.91642162899000001</v>
      </c>
      <c r="AH7" s="328">
        <f si="24" t="shared"/>
        <v>1.1909425295047587</v>
      </c>
      <c r="AI7" s="329">
        <v>1</v>
      </c>
      <c r="CU7">
        <v>6</v>
      </c>
      <c r="CV7">
        <f si="17" t="shared"/>
        <v>1</v>
      </c>
      <c r="CW7">
        <f si="2" t="shared"/>
        <v>6</v>
      </c>
      <c r="CX7" s="355" t="str">
        <f si="3" t="shared"/>
        <v>1_6</v>
      </c>
      <c r="CY7" s="246">
        <f si="0" t="shared"/>
        <v>8488.9548401653683</v>
      </c>
      <c r="CZ7" s="246">
        <f si="1" t="shared"/>
        <v>13420.857142857099</v>
      </c>
      <c r="DA7" s="246">
        <f si="4" t="shared"/>
        <v>8524.9960370866793</v>
      </c>
      <c r="DB7" s="246">
        <f si="5" t="shared"/>
        <v>13296.21428571425</v>
      </c>
      <c r="DC7" s="301">
        <f si="6" t="shared"/>
        <v>4771.2182486275706</v>
      </c>
      <c r="DD7" s="302">
        <f si="7" t="shared"/>
        <v>0.56205013908810297</v>
      </c>
      <c r="DE7" s="357">
        <f si="8" t="shared"/>
        <v>0.64115964543728254</v>
      </c>
      <c r="DF7">
        <v>30000</v>
      </c>
    </row>
    <row r="8" spans="2:110" x14ac:dyDescent="0.25">
      <c r="B8" s="330">
        <v>5</v>
      </c>
      <c r="C8" s="312" t="s">
        <v>310</v>
      </c>
      <c r="D8" s="331">
        <f ca="1">SUMIF(survey_other_auto_dist!$A:$B,Calibration_OD!$B8,survey_other_auto_dist!$C:$C)</f>
        <v>31174.312857285731</v>
      </c>
      <c r="E8" s="332">
        <f si="9" t="shared"/>
        <v>51850.261674230613</v>
      </c>
      <c r="F8" s="332">
        <f si="10" t="shared"/>
        <v>45112.498598819555</v>
      </c>
      <c r="G8" s="333">
        <f si="11" t="shared"/>
        <v>40617.428571428565</v>
      </c>
      <c r="H8" s="332">
        <f>SUMIF(survey_other_auto_dist!$B:$B,Calibration_OD!$B8,survey_other_auto_dist!$C:$C)</f>
        <v>31282.624646357144</v>
      </c>
      <c r="I8" s="332">
        <f>$BD$68</f>
        <v>51863.577612949193</v>
      </c>
      <c r="J8" s="332">
        <f>$BD$69</f>
        <v>45124.084177124983</v>
      </c>
      <c r="K8" s="333">
        <f>$BD$70</f>
        <v>39763.285714285739</v>
      </c>
      <c r="L8" s="332">
        <f ca="1" si="18" t="shared"/>
        <v>31228.468751821438</v>
      </c>
      <c r="M8" s="332">
        <f si="12" t="shared"/>
        <v>45118.291387972269</v>
      </c>
      <c r="N8" s="333">
        <f si="13" t="shared"/>
        <v>40190.357142857152</v>
      </c>
      <c r="O8" s="295">
        <f ca="1" si="19" t="shared"/>
        <v>1.7075594038101039E-2</v>
      </c>
      <c r="P8" s="295">
        <f si="20" t="shared"/>
        <v>2.0442144770274336E-2</v>
      </c>
      <c r="Q8" s="295">
        <f si="21" t="shared"/>
        <v>1.8209401859183273E-2</v>
      </c>
      <c r="R8" s="317">
        <f si="22" t="shared"/>
        <v>-2.2327429110910631E-3</v>
      </c>
      <c r="S8" s="338">
        <f si="14" t="shared"/>
        <v>-0.12261484085843552</v>
      </c>
      <c r="T8" s="374">
        <f si="23" t="shared"/>
        <v>1.1226148408584358</v>
      </c>
      <c r="U8" s="320"/>
      <c r="V8" s="321"/>
      <c r="W8" s="321"/>
      <c r="X8" s="322"/>
      <c r="Y8" s="323"/>
      <c r="Z8" s="323"/>
      <c r="AA8" s="316"/>
      <c r="AB8" s="324"/>
      <c r="AC8" s="324"/>
      <c r="AD8" s="325">
        <v>205</v>
      </c>
      <c r="AE8" s="334">
        <f si="15" t="shared"/>
        <v>0.11566064351557348</v>
      </c>
      <c r="AF8" s="327">
        <f si="16" t="shared"/>
        <v>0.30724403721619564</v>
      </c>
      <c r="AG8" s="6">
        <f>VLOOKUP($AD8,Calibration!$N:$Q,3,FALSE)</f>
        <v>-0.56799444445000002</v>
      </c>
      <c r="AH8" s="328">
        <f si="24" t="shared"/>
        <v>-0.26075040723380438</v>
      </c>
      <c r="AI8" s="329">
        <v>1</v>
      </c>
      <c r="CU8">
        <v>7</v>
      </c>
      <c r="CV8">
        <f si="17" t="shared"/>
        <v>1</v>
      </c>
      <c r="CW8">
        <f si="2" t="shared"/>
        <v>7</v>
      </c>
      <c r="CX8" s="355" t="str">
        <f si="3" t="shared"/>
        <v>1_7</v>
      </c>
      <c r="CY8" s="246">
        <f si="0" t="shared"/>
        <v>2987.0850148988925</v>
      </c>
      <c r="CZ8" s="246">
        <f si="1" t="shared"/>
        <v>4224.4285714285697</v>
      </c>
      <c r="DA8" s="246">
        <f si="4" t="shared"/>
        <v>2962.7881302653982</v>
      </c>
      <c r="DB8" s="246">
        <f si="5" t="shared"/>
        <v>3983.1071428571399</v>
      </c>
      <c r="DC8" s="301">
        <f si="6" t="shared"/>
        <v>1020.3190125917417</v>
      </c>
      <c r="DD8" s="302">
        <f si="7" t="shared"/>
        <v>0.34157682406179446</v>
      </c>
      <c r="DE8" s="357">
        <f si="8" t="shared"/>
        <v>0.74383842161477676</v>
      </c>
      <c r="DF8">
        <v>35000</v>
      </c>
    </row>
    <row r="9" spans="2:110" x14ac:dyDescent="0.25">
      <c r="B9" s="330">
        <v>6</v>
      </c>
      <c r="C9" s="312" t="s">
        <v>311</v>
      </c>
      <c r="D9" s="331">
        <f ca="1">SUMIF(survey_other_auto_dist!$A:$B,Calibration_OD!$B9,survey_other_auto_dist!$C:$C)</f>
        <v>120697.58899085711</v>
      </c>
      <c r="E9" s="332">
        <f si="9" t="shared"/>
        <v>112656.03546193457</v>
      </c>
      <c r="F9" s="332">
        <f si="10" t="shared"/>
        <v>98016.771330026299</v>
      </c>
      <c r="G9" s="333">
        <f si="11" t="shared"/>
        <v>107766.85714285714</v>
      </c>
      <c r="H9" s="332">
        <f>SUMIF(survey_other_auto_dist!$B:$B,Calibration_OD!$B9,survey_other_auto_dist!$C:$C)</f>
        <v>121129.13618792853</v>
      </c>
      <c r="I9" s="332">
        <f>$BE$68</f>
        <v>111950.10843897084</v>
      </c>
      <c r="J9" s="332">
        <f>$BE$69</f>
        <v>97402.577094432927</v>
      </c>
      <c r="K9" s="333">
        <f>$BE$70</f>
        <v>103026.28571428565</v>
      </c>
      <c r="L9" s="332">
        <f ca="1" si="18" t="shared"/>
        <v>120913.36258939281</v>
      </c>
      <c r="M9" s="332">
        <f si="12" t="shared"/>
        <v>97709.674212229613</v>
      </c>
      <c r="N9" s="333">
        <f si="13" t="shared"/>
        <v>105396.57142857139</v>
      </c>
      <c r="O9" s="295">
        <f ca="1" si="19" t="shared"/>
        <v>6.6114912958636848E-2</v>
      </c>
      <c r="P9" s="295">
        <f si="20" t="shared"/>
        <v>4.4270189412252622E-2</v>
      </c>
      <c r="Q9" s="295">
        <f si="21" t="shared"/>
        <v>4.7752960166567285E-2</v>
      </c>
      <c r="R9" s="317">
        <f si="22" t="shared"/>
        <v>3.4827707543146624E-3</v>
      </c>
      <c r="S9" s="338">
        <f si="14" t="shared"/>
        <v>7.2933086078149009E-2</v>
      </c>
      <c r="T9" s="374">
        <f si="23" t="shared"/>
        <v>0.92706691392185125</v>
      </c>
      <c r="U9" s="320"/>
      <c r="V9" s="321"/>
      <c r="W9" s="321"/>
      <c r="X9" s="322"/>
      <c r="Y9" s="323"/>
      <c r="Z9" s="323"/>
      <c r="AA9" s="316"/>
      <c r="AB9" s="324"/>
      <c r="AC9" s="324"/>
      <c r="AD9" s="325">
        <v>206</v>
      </c>
      <c r="AE9" s="334">
        <f si="15" t="shared"/>
        <v>-7.5729532718403242E-2</v>
      </c>
      <c r="AF9" s="327">
        <f si="16" t="shared"/>
        <v>0.11585386098221895</v>
      </c>
      <c r="AG9" s="6">
        <f>VLOOKUP($AD9,Calibration!$N:$Q,3,FALSE)</f>
        <v>-2.0533642130700001</v>
      </c>
      <c r="AH9" s="328">
        <f si="24" t="shared"/>
        <v>-1.9375103520877812</v>
      </c>
      <c r="AI9" s="329">
        <v>1</v>
      </c>
      <c r="CU9">
        <v>8</v>
      </c>
      <c r="CV9">
        <f si="17" t="shared"/>
        <v>1</v>
      </c>
      <c r="CW9">
        <f si="2" t="shared"/>
        <v>8</v>
      </c>
      <c r="CX9" s="355" t="str">
        <f si="3" t="shared"/>
        <v>1_8</v>
      </c>
      <c r="CY9" s="246">
        <f si="0" t="shared"/>
        <v>112.67515861702682</v>
      </c>
      <c r="CZ9" s="246">
        <f si="1" t="shared"/>
        <v>1050.57142857143</v>
      </c>
      <c r="DA9" s="246">
        <f si="4" t="shared"/>
        <v>103.10401371751573</v>
      </c>
      <c r="DB9" s="246">
        <f si="5" t="shared"/>
        <v>991.00000000000045</v>
      </c>
      <c r="DC9" s="301">
        <f si="6" t="shared"/>
        <v>887.89598628248473</v>
      </c>
      <c r="DD9" s="302">
        <f si="7" t="shared"/>
        <v>7.8801396614880019</v>
      </c>
      <c r="DE9" s="357">
        <f si="8" t="shared"/>
        <v>0.10404037711151935</v>
      </c>
      <c r="DF9">
        <v>40000</v>
      </c>
    </row>
    <row r="10" spans="2:110" x14ac:dyDescent="0.25">
      <c r="B10" s="330">
        <v>7</v>
      </c>
      <c r="C10" s="312" t="s">
        <v>312</v>
      </c>
      <c r="D10" s="331">
        <f ca="1">SUMIF(survey_other_auto_dist!$A:$B,Calibration_OD!$B10,survey_other_auto_dist!$C:$C)</f>
        <v>123106.90060835706</v>
      </c>
      <c r="E10" s="332">
        <f si="9" t="shared"/>
        <v>260778.11423656106</v>
      </c>
      <c r="F10" s="332">
        <f si="10" t="shared"/>
        <v>226890.89569140016</v>
      </c>
      <c r="G10" s="333">
        <f si="11" t="shared"/>
        <v>219357.14285714272</v>
      </c>
      <c r="H10" s="332">
        <f>SUMIF(survey_other_auto_dist!$B:$B,Calibration_OD!$B10,survey_other_auto_dist!$C:$C)</f>
        <v>121862.49450085714</v>
      </c>
      <c r="I10" s="332">
        <f>$BF$68</f>
        <v>261565.79423832186</v>
      </c>
      <c r="J10" s="332">
        <f>$BF$69</f>
        <v>227576.21938752756</v>
      </c>
      <c r="K10" s="333">
        <f>$BF$70</f>
        <v>221294.99999999988</v>
      </c>
      <c r="L10" s="332">
        <f ca="1" si="18" t="shared"/>
        <v>122484.69755460709</v>
      </c>
      <c r="M10" s="332">
        <f si="12" t="shared"/>
        <v>227233.55753946386</v>
      </c>
      <c r="N10" s="333">
        <f si="13" t="shared"/>
        <v>220326.0714285713</v>
      </c>
      <c r="O10" s="295">
        <f ca="1" si="19" t="shared"/>
        <v>6.6974112241736758E-2</v>
      </c>
      <c r="P10" s="295">
        <f si="20" t="shared"/>
        <v>0.10295472494608905</v>
      </c>
      <c r="Q10" s="295">
        <f si="21" t="shared"/>
        <v>9.9825088899738942E-2</v>
      </c>
      <c r="R10" s="317">
        <f si="22" t="shared"/>
        <v>-3.1296360463501094E-3</v>
      </c>
      <c r="S10" s="338">
        <f si="14" t="shared"/>
        <v>-3.1351197187446465E-2</v>
      </c>
      <c r="T10" s="374">
        <f si="23" t="shared"/>
        <v>1.0313511971874467</v>
      </c>
      <c r="U10" s="320"/>
      <c r="V10" s="321"/>
      <c r="W10" s="321"/>
      <c r="X10" s="322"/>
      <c r="Y10" s="323"/>
      <c r="Z10" s="323"/>
      <c r="AA10" s="316"/>
      <c r="AB10" s="324"/>
      <c r="AC10" s="324"/>
      <c r="AD10" s="325">
        <v>207</v>
      </c>
      <c r="AE10" s="334">
        <f si="15" t="shared"/>
        <v>3.0869784458269676E-2</v>
      </c>
      <c r="AF10" s="327">
        <f si="16" t="shared"/>
        <v>0.22245317815889187</v>
      </c>
      <c r="AG10" s="6">
        <f>VLOOKUP($AD10,Calibration!$N:$Q,3,FALSE)</f>
        <v>-0.40548595943999999</v>
      </c>
      <c r="AH10" s="328">
        <f si="24" t="shared"/>
        <v>-0.18303278128110811</v>
      </c>
      <c r="AI10" s="329">
        <v>1</v>
      </c>
      <c r="CU10">
        <v>9</v>
      </c>
      <c r="CV10">
        <f si="17" t="shared"/>
        <v>1</v>
      </c>
      <c r="CW10">
        <f si="2" t="shared"/>
        <v>9</v>
      </c>
      <c r="CX10" s="355" t="str">
        <f si="3" t="shared"/>
        <v>1_9</v>
      </c>
      <c r="CY10" s="246">
        <f si="0" t="shared"/>
        <v>3487.2527694086102</v>
      </c>
      <c r="CZ10" s="246">
        <f si="1" t="shared"/>
        <v>4966.8571428571404</v>
      </c>
      <c r="DA10" s="246">
        <f si="4" t="shared"/>
        <v>3417.3618014727163</v>
      </c>
      <c r="DB10" s="246">
        <f si="5" t="shared"/>
        <v>4648.5357142857156</v>
      </c>
      <c r="DC10" s="301">
        <f si="6" t="shared"/>
        <v>1231.1739128129993</v>
      </c>
      <c r="DD10" s="302">
        <f si="7" t="shared"/>
        <v>0.35304980574201089</v>
      </c>
      <c r="DE10" s="357">
        <f si="8" t="shared"/>
        <v>0.73514801466849033</v>
      </c>
      <c r="DF10">
        <v>45000</v>
      </c>
    </row>
    <row r="11" spans="2:110" x14ac:dyDescent="0.25">
      <c r="B11" s="330">
        <v>8</v>
      </c>
      <c r="C11" s="312" t="s">
        <v>313</v>
      </c>
      <c r="D11" s="331">
        <f ca="1">SUMIF(survey_other_auto_dist!$A:$B,Calibration_OD!$B11,survey_other_auto_dist!$C:$C)</f>
        <v>7812.7705654285655</v>
      </c>
      <c r="E11" s="332">
        <f si="9" t="shared"/>
        <v>10156.346092334525</v>
      </c>
      <c r="F11" s="332">
        <f si="10" t="shared"/>
        <v>8836.5638680523862</v>
      </c>
      <c r="G11" s="333">
        <f si="11" t="shared"/>
        <v>8523.4285714285761</v>
      </c>
      <c r="H11" s="332">
        <f>SUMIF(survey_other_auto_dist!$B:$B,Calibration_OD!$B11,survey_other_auto_dist!$C:$C)</f>
        <v>8485.3298781428512</v>
      </c>
      <c r="I11" s="332">
        <f>$BG$68</f>
        <v>10176.983034082925</v>
      </c>
      <c r="J11" s="332">
        <f>$BG$69</f>
        <v>8854.5191102372337</v>
      </c>
      <c r="K11" s="333">
        <f>$BG$70</f>
        <v>8812.1428571428623</v>
      </c>
      <c r="L11" s="332">
        <f ca="1" si="18" t="shared"/>
        <v>8149.0502217857083</v>
      </c>
      <c r="M11" s="332">
        <f si="12" t="shared"/>
        <v>8845.541489144809</v>
      </c>
      <c r="N11" s="333">
        <f si="13" t="shared"/>
        <v>8667.7857142857192</v>
      </c>
      <c r="O11" s="295">
        <f ca="1" si="19" t="shared"/>
        <v>4.4558660397075638E-3</v>
      </c>
      <c r="P11" s="295">
        <f si="20" t="shared"/>
        <v>4.0077279996637927E-3</v>
      </c>
      <c r="Q11" s="295">
        <f si="21" t="shared"/>
        <v>3.9271906129047154E-3</v>
      </c>
      <c r="R11" s="317">
        <f si="22" t="shared"/>
        <v>-8.0537386759077338E-5</v>
      </c>
      <c r="S11" s="338">
        <f si="14" t="shared"/>
        <v>-2.0507633750811757E-2</v>
      </c>
      <c r="T11" s="374">
        <f si="23" t="shared"/>
        <v>1.0205076337508121</v>
      </c>
      <c r="U11" s="320"/>
      <c r="V11" s="321"/>
      <c r="W11" s="321"/>
      <c r="X11" s="322"/>
      <c r="Y11" s="323"/>
      <c r="Z11" s="323"/>
      <c r="AA11" s="316"/>
      <c r="AB11" s="324"/>
      <c r="AC11" s="324"/>
      <c r="AD11" s="325">
        <v>208</v>
      </c>
      <c r="AE11" s="334">
        <f si="15" t="shared"/>
        <v>2.0300183642343993E-2</v>
      </c>
      <c r="AF11" s="327">
        <f si="16" t="shared"/>
        <v>0.21188357734296617</v>
      </c>
      <c r="AG11" s="6">
        <f>VLOOKUP($AD11,Calibration!$N:$Q,3,FALSE)</f>
        <v>-0.97788986240999998</v>
      </c>
      <c r="AH11" s="328">
        <f si="24" t="shared"/>
        <v>-0.76600628506703383</v>
      </c>
      <c r="AI11" s="329">
        <v>1</v>
      </c>
      <c r="CU11">
        <v>10</v>
      </c>
      <c r="CV11">
        <f si="17" t="shared"/>
        <v>1</v>
      </c>
      <c r="CW11">
        <f si="2" t="shared"/>
        <v>10</v>
      </c>
      <c r="CX11" s="355" t="str">
        <f si="3" t="shared"/>
        <v>1_10</v>
      </c>
      <c r="CY11" s="246">
        <f si="0" t="shared"/>
        <v>1965.4941307857962</v>
      </c>
      <c r="CZ11" s="246">
        <f si="1" t="shared"/>
        <v>3599</v>
      </c>
      <c r="DA11" s="246">
        <f si="4" t="shared"/>
        <v>1996.6579498395506</v>
      </c>
      <c r="DB11" s="246">
        <f si="5" t="shared"/>
        <v>3451.9285714285697</v>
      </c>
      <c r="DC11" s="301">
        <f si="6" t="shared"/>
        <v>1455.2706215890191</v>
      </c>
      <c r="DD11" s="302">
        <f si="7" t="shared"/>
        <v>0.74040954831404571</v>
      </c>
      <c r="DE11" s="357">
        <f si="8" t="shared"/>
        <v>0.57841809542809863</v>
      </c>
      <c r="DF11">
        <v>50000</v>
      </c>
    </row>
    <row r="12" spans="2:110" x14ac:dyDescent="0.25">
      <c r="B12" s="330">
        <v>9</v>
      </c>
      <c r="C12" s="312" t="s">
        <v>314</v>
      </c>
      <c r="D12" s="331">
        <f ca="1">SUMIF(survey_other_auto_dist!$A:$B,Calibration_OD!$B12,survey_other_auto_dist!$C:$C)</f>
        <v>159509.38871799989</v>
      </c>
      <c r="E12" s="332">
        <f si="9" t="shared"/>
        <v>204835.37894000433</v>
      </c>
      <c r="F12" s="332">
        <f si="10" t="shared"/>
        <v>178217.72633429506</v>
      </c>
      <c r="G12" s="333">
        <f si="11" t="shared"/>
        <v>172945.14285714328</v>
      </c>
      <c r="H12" s="332">
        <f>SUMIF(survey_other_auto_dist!$B:$B,Calibration_OD!$B12,survey_other_auto_dist!$C:$C)</f>
        <v>158854.88676349988</v>
      </c>
      <c r="I12" s="332">
        <f>$BH$68</f>
        <v>204975.19730590936</v>
      </c>
      <c r="J12" s="332">
        <f>$BH$69</f>
        <v>178339.37578469905</v>
      </c>
      <c r="K12" s="333">
        <f>$BH$70</f>
        <v>175249.00000000041</v>
      </c>
      <c r="L12" s="332">
        <f ca="1" si="18" t="shared"/>
        <v>159182.13774074987</v>
      </c>
      <c r="M12" s="332">
        <f si="12" t="shared"/>
        <v>178278.55105949705</v>
      </c>
      <c r="N12" s="333">
        <f si="13" t="shared"/>
        <v>174097.07142857183</v>
      </c>
      <c r="O12" s="295">
        <f ca="1" si="19" t="shared"/>
        <v>8.7040116624981456E-2</v>
      </c>
      <c r="P12" s="295">
        <f si="20" t="shared"/>
        <v>8.0774245612601242E-2</v>
      </c>
      <c r="Q12" s="295">
        <f si="21" t="shared"/>
        <v>7.8879705519442608E-2</v>
      </c>
      <c r="R12" s="317">
        <f si="22" t="shared"/>
        <v>-1.8945400931586337E-3</v>
      </c>
      <c r="S12" s="338">
        <f si="14" t="shared"/>
        <v>-2.4018092875507074E-2</v>
      </c>
      <c r="T12" s="374">
        <f si="23" t="shared"/>
        <v>1.0240180928755072</v>
      </c>
      <c r="U12" s="320"/>
      <c r="V12" s="321"/>
      <c r="W12" s="321"/>
      <c r="X12" s="322"/>
      <c r="Y12" s="323"/>
      <c r="Z12" s="323"/>
      <c r="AA12" s="316"/>
      <c r="AB12" s="324"/>
      <c r="AC12" s="324"/>
      <c r="AD12" s="325">
        <v>209</v>
      </c>
      <c r="AE12" s="334">
        <f si="15" t="shared"/>
        <v>2.3734195284961672E-2</v>
      </c>
      <c r="AF12" s="327">
        <f si="16" t="shared"/>
        <v>0.21531758898558387</v>
      </c>
      <c r="AG12" s="6">
        <f>VLOOKUP($AD12,Calibration!$N:$Q,3,FALSE)</f>
        <v>-3.1743365959999999E-2</v>
      </c>
      <c r="AH12" s="328">
        <f si="24" t="shared"/>
        <v>0.18357422302558388</v>
      </c>
      <c r="AI12" s="329">
        <v>1</v>
      </c>
      <c r="CU12">
        <v>11</v>
      </c>
      <c r="CV12">
        <f si="17" t="shared"/>
        <v>1</v>
      </c>
      <c r="CW12">
        <f si="2" t="shared"/>
        <v>11</v>
      </c>
      <c r="CX12" s="355" t="str">
        <f si="3" t="shared"/>
        <v>1_11</v>
      </c>
      <c r="CY12" s="246">
        <f si="0" t="shared"/>
        <v>1354.3234014699869</v>
      </c>
      <c r="CZ12" s="246">
        <f si="1" t="shared"/>
        <v>5239.3571428571404</v>
      </c>
      <c r="DA12" s="246">
        <f si="4" t="shared"/>
        <v>1335.0607986159985</v>
      </c>
      <c r="DB12" s="246">
        <f si="5" t="shared"/>
        <v>4946.7142857142853</v>
      </c>
      <c r="DC12" s="301">
        <f si="6" t="shared"/>
        <v>3611.6534870982869</v>
      </c>
      <c r="DD12" s="302">
        <f si="7" t="shared"/>
        <v>2.666758532842441</v>
      </c>
      <c r="DE12" s="357">
        <f si="8" t="shared"/>
        <v>0.26988839894625555</v>
      </c>
      <c r="DF12">
        <v>55000</v>
      </c>
    </row>
    <row r="13" spans="2:110" x14ac:dyDescent="0.25">
      <c r="B13" s="330">
        <v>10</v>
      </c>
      <c r="C13" s="312" t="s">
        <v>315</v>
      </c>
      <c r="D13" s="331">
        <f ca="1">SUMIF(survey_other_auto_dist!$A:$B,Calibration_OD!$B13,survey_other_auto_dist!$C:$C)</f>
        <v>103802.09562471429</v>
      </c>
      <c r="E13" s="332">
        <f si="9" t="shared"/>
        <v>86165.297030566857</v>
      </c>
      <c r="F13" s="332">
        <f si="10" t="shared"/>
        <v>74968.413196846173</v>
      </c>
      <c r="G13" s="333">
        <f si="11" t="shared"/>
        <v>69078.071428571449</v>
      </c>
      <c r="H13" s="332">
        <f>SUMIF(survey_other_auto_dist!$B:$B,Calibration_OD!$B13,survey_other_auto_dist!$C:$C)</f>
        <v>103900.37970121425</v>
      </c>
      <c r="I13" s="332">
        <f>$BI$68</f>
        <v>85564.78451915906</v>
      </c>
      <c r="J13" s="332">
        <f>$BI$69</f>
        <v>74445.935219788589</v>
      </c>
      <c r="K13" s="333">
        <f>$BI$70</f>
        <v>70553.214285714319</v>
      </c>
      <c r="L13" s="332">
        <f ca="1" si="18" t="shared"/>
        <v>103851.23766296427</v>
      </c>
      <c r="M13" s="332">
        <f si="12" t="shared"/>
        <v>74707.174208317389</v>
      </c>
      <c r="N13" s="333">
        <f si="13" t="shared"/>
        <v>69815.642857142884</v>
      </c>
      <c r="O13" s="295">
        <f ca="1" si="19" t="shared"/>
        <v>5.6785415537983934E-2</v>
      </c>
      <c r="P13" s="295">
        <f si="20" t="shared"/>
        <v>3.3848242554496345E-2</v>
      </c>
      <c r="Q13" s="295">
        <f si="21" t="shared"/>
        <v>3.1631993025692126E-2</v>
      </c>
      <c r="R13" s="317">
        <f si="22" t="shared"/>
        <v>-2.2162495288042192E-3</v>
      </c>
      <c r="S13" s="338">
        <f si="14" t="shared"/>
        <v>-7.0063543798967523E-2</v>
      </c>
      <c r="T13" s="374">
        <f si="23" t="shared"/>
        <v>1.0700635437989676</v>
      </c>
      <c r="U13" s="320"/>
      <c r="V13" s="321"/>
      <c r="W13" s="321"/>
      <c r="X13" s="322"/>
      <c r="Y13" s="323"/>
      <c r="Z13" s="323"/>
      <c r="AA13" s="316"/>
      <c r="AB13" s="324"/>
      <c r="AC13" s="324"/>
      <c r="AD13" s="325">
        <v>210</v>
      </c>
      <c r="AE13" s="334">
        <f si="15" t="shared"/>
        <v>6.7718033438500011E-2</v>
      </c>
      <c r="AF13" s="327">
        <f si="16" t="shared"/>
        <v>0.25930142713912219</v>
      </c>
      <c r="AG13" s="6">
        <f>VLOOKUP($AD13,Calibration!$N:$Q,3,FALSE)</f>
        <v>0.15622447707000001</v>
      </c>
      <c r="AH13" s="328">
        <f si="24" t="shared"/>
        <v>0.41552590420912217</v>
      </c>
      <c r="AI13" s="329">
        <v>1</v>
      </c>
      <c r="CU13">
        <v>12</v>
      </c>
      <c r="CV13">
        <f si="17" t="shared"/>
        <v>1</v>
      </c>
      <c r="CW13">
        <f si="2" t="shared"/>
        <v>12</v>
      </c>
      <c r="CX13" s="355" t="str">
        <f si="3" t="shared"/>
        <v>1_12</v>
      </c>
      <c r="CY13" s="246">
        <f si="0" t="shared"/>
        <v>409.19049416948081</v>
      </c>
      <c r="CZ13" s="246">
        <f si="1" t="shared"/>
        <v>6989.8571428571404</v>
      </c>
      <c r="DA13" s="246">
        <f si="4" t="shared"/>
        <v>323.4050605777237</v>
      </c>
      <c r="DB13" s="246">
        <f si="5" t="shared"/>
        <v>6575.1428571428551</v>
      </c>
      <c r="DC13" s="301">
        <f si="6" t="shared"/>
        <v>6251.7377965651312</v>
      </c>
      <c r="DD13" s="302">
        <f si="7" t="shared"/>
        <v>15.278306523845472</v>
      </c>
      <c r="DE13" s="357">
        <f si="8" t="shared"/>
        <v>4.9186012776345253E-2</v>
      </c>
      <c r="DF13">
        <v>60000</v>
      </c>
    </row>
    <row r="14" spans="2:110" x14ac:dyDescent="0.25">
      <c r="B14" s="330">
        <v>11</v>
      </c>
      <c r="C14" s="312" t="s">
        <v>316</v>
      </c>
      <c r="D14" s="331">
        <f ca="1">SUMIF(survey_other_auto_dist!$A:$B,Calibration_OD!$B14,survey_other_auto_dist!$C:$C)</f>
        <v>165757.8188310003</v>
      </c>
      <c r="E14" s="332">
        <f si="9" t="shared"/>
        <v>196661.81329999756</v>
      </c>
      <c r="F14" s="332">
        <f si="10" t="shared"/>
        <v>171106.2874220123</v>
      </c>
      <c r="G14" s="333">
        <f si="11" t="shared"/>
        <v>172177.92857142902</v>
      </c>
      <c r="H14" s="332">
        <f>SUMIF(survey_other_auto_dist!$B:$B,Calibration_OD!$B14,survey_other_auto_dist!$C:$C)</f>
        <v>165412.6542701431</v>
      </c>
      <c r="I14" s="332">
        <f>$BJ$68</f>
        <v>195653.34237299277</v>
      </c>
      <c r="J14" s="332">
        <f>$BJ$69</f>
        <v>170228.86382158202</v>
      </c>
      <c r="K14" s="333">
        <f>$BJ$70</f>
        <v>173148.78571428612</v>
      </c>
      <c r="L14" s="332">
        <f ca="1" si="18" t="shared"/>
        <v>165585.23655057169</v>
      </c>
      <c r="M14" s="332">
        <f si="12" t="shared"/>
        <v>170667.57562179718</v>
      </c>
      <c r="N14" s="333">
        <f si="13" t="shared"/>
        <v>172663.35714285757</v>
      </c>
      <c r="O14" s="295">
        <f ca="1" si="19" t="shared"/>
        <v>9.0541303850371374E-2</v>
      </c>
      <c r="P14" s="295">
        <f si="20" t="shared"/>
        <v>7.73258734124532E-2</v>
      </c>
      <c r="Q14" s="295">
        <f si="21" t="shared"/>
        <v>7.8230119861693287E-2</v>
      </c>
      <c r="R14" s="317">
        <f si="22" t="shared"/>
        <v>9.0424644924008701E-4</v>
      </c>
      <c r="S14" s="338">
        <f si="14" t="shared"/>
        <v>1.1558801786815284E-2</v>
      </c>
      <c r="T14" s="374">
        <f si="23" t="shared"/>
        <v>0.9884411982131851</v>
      </c>
      <c r="U14" s="320"/>
      <c r="V14" s="321"/>
      <c r="W14" s="321"/>
      <c r="X14" s="322"/>
      <c r="Y14" s="323"/>
      <c r="Z14" s="323"/>
      <c r="AA14" s="316"/>
      <c r="AB14" s="324"/>
      <c r="AC14" s="324"/>
      <c r="AD14" s="325">
        <v>211</v>
      </c>
      <c r="AE14" s="334">
        <f si="15" t="shared"/>
        <v>-1.1626124015190399E-2</v>
      </c>
      <c r="AF14" s="327">
        <f si="16" t="shared"/>
        <v>0.1799572696854318</v>
      </c>
      <c r="AG14" s="6">
        <f>VLOOKUP($AD14,Calibration!$N:$Q,3,FALSE)</f>
        <v>-1.01407339219</v>
      </c>
      <c r="AH14" s="328">
        <f si="24" t="shared"/>
        <v>-0.83411612250456824</v>
      </c>
      <c r="AI14" s="329">
        <v>1</v>
      </c>
      <c r="CU14">
        <v>13</v>
      </c>
      <c r="CV14">
        <f si="17" t="shared"/>
        <v>1</v>
      </c>
      <c r="CW14">
        <f si="2" t="shared"/>
        <v>13</v>
      </c>
      <c r="CX14" s="355" t="str">
        <f si="3" t="shared"/>
        <v>1_13</v>
      </c>
      <c r="CY14" s="246">
        <f si="0" t="shared"/>
        <v>899.04273601216403</v>
      </c>
      <c r="CZ14" s="246">
        <f si="1" t="shared"/>
        <v>364.5</v>
      </c>
      <c r="DA14" s="246">
        <f si="4" t="shared"/>
        <v>900.77989076118831</v>
      </c>
      <c r="DB14" s="246">
        <f si="5" t="shared"/>
        <v>325.142857142857</v>
      </c>
      <c r="DC14" s="301">
        <f si="6" t="shared"/>
        <v>-575.63703361833132</v>
      </c>
      <c r="DD14" s="302">
        <f si="7" t="shared"/>
        <v>-0.64027772046927811</v>
      </c>
      <c r="DE14" s="357">
        <f si="8" t="shared"/>
        <v>2.7704126693006681</v>
      </c>
      <c r="DF14">
        <v>65000</v>
      </c>
    </row>
    <row r="15" spans="2:110" x14ac:dyDescent="0.25">
      <c r="B15" s="330">
        <v>12</v>
      </c>
      <c r="C15" s="312" t="s">
        <v>317</v>
      </c>
      <c r="D15" s="331">
        <f ca="1">SUMIF(survey_other_auto_dist!$A:$B,Calibration_OD!$B15,survey_other_auto_dist!$C:$C)</f>
        <v>344304.4945957145</v>
      </c>
      <c r="E15" s="332">
        <f si="9" t="shared"/>
        <v>414114.35487215751</v>
      </c>
      <c r="F15" s="332">
        <f si="10" t="shared"/>
        <v>360301.61952308944</v>
      </c>
      <c r="G15" s="333">
        <f si="11" t="shared"/>
        <v>369827.42857142875</v>
      </c>
      <c r="H15" s="332">
        <f>SUMIF(survey_other_auto_dist!$B:$B,Calibration_OD!$B15,survey_other_auto_dist!$C:$C)</f>
        <v>340864.05928542867</v>
      </c>
      <c r="I15" s="332">
        <f>$BK$68</f>
        <v>412745.00721886341</v>
      </c>
      <c r="J15" s="332">
        <f>$BK$69</f>
        <v>359110.21388508804</v>
      </c>
      <c r="K15" s="333">
        <f>$BK$70</f>
        <v>368661.00000000023</v>
      </c>
      <c r="L15" s="332">
        <f ca="1" si="18" t="shared"/>
        <v>342584.27694057161</v>
      </c>
      <c r="M15" s="332">
        <f si="12" t="shared"/>
        <v>359705.91670408874</v>
      </c>
      <c r="N15" s="333">
        <f si="13" t="shared"/>
        <v>369244.21428571449</v>
      </c>
      <c r="O15" s="295">
        <f ca="1" si="19" t="shared"/>
        <v>0.1873236271481413</v>
      </c>
      <c r="P15" s="295">
        <f si="20" t="shared"/>
        <v>0.16297515259962714</v>
      </c>
      <c r="Q15" s="295">
        <f si="21" t="shared"/>
        <v>0.16729675375133937</v>
      </c>
      <c r="R15" s="317">
        <f si="22" t="shared"/>
        <v>4.3216011517122344E-3</v>
      </c>
      <c r="S15" s="338">
        <f si="14" t="shared"/>
        <v>2.5831948646987304E-2</v>
      </c>
      <c r="T15" s="374">
        <f si="23" t="shared"/>
        <v>0.97416805135301299</v>
      </c>
      <c r="U15" s="320"/>
      <c r="V15" s="321"/>
      <c r="W15" s="321"/>
      <c r="X15" s="322"/>
      <c r="Y15" s="323"/>
      <c r="Z15" s="323"/>
      <c r="AA15" s="316"/>
      <c r="AB15" s="324"/>
      <c r="AC15" s="324"/>
      <c r="AD15" s="325">
        <v>212</v>
      </c>
      <c r="AE15" s="334">
        <f si="15" t="shared"/>
        <v>-2.6171452899032107E-2</v>
      </c>
      <c r="AF15" s="327">
        <f si="16" t="shared"/>
        <v>0.16541194080159008</v>
      </c>
      <c r="AG15" s="6">
        <f>VLOOKUP($AD15,Calibration!$N:$Q,3,FALSE)</f>
        <v>-0.62809360730999997</v>
      </c>
      <c r="AH15" s="328">
        <f si="24" t="shared"/>
        <v>-0.46268166650840992</v>
      </c>
      <c r="AI15" s="329">
        <v>1</v>
      </c>
      <c r="CU15">
        <v>14</v>
      </c>
      <c r="CV15">
        <f si="17" t="shared"/>
        <v>1</v>
      </c>
      <c r="CW15">
        <f si="2" t="shared"/>
        <v>14</v>
      </c>
      <c r="CX15" s="355" t="str">
        <f si="3" t="shared"/>
        <v>1_14</v>
      </c>
      <c r="CY15" s="246">
        <f si="0" t="shared"/>
        <v>0</v>
      </c>
      <c r="CZ15" s="246">
        <f si="1" t="shared"/>
        <v>1645.7142857142901</v>
      </c>
      <c r="DA15" s="246">
        <f si="4" t="shared"/>
        <v>0</v>
      </c>
      <c r="DB15" s="246">
        <f si="5" t="shared"/>
        <v>1557.2857142857151</v>
      </c>
      <c r="DC15" s="301">
        <f si="6" t="shared"/>
        <v>1557.2857142857151</v>
      </c>
      <c r="DD15" s="302">
        <f si="7" t="shared"/>
        <v>0</v>
      </c>
      <c r="DE15" s="357">
        <f si="8" t="shared"/>
        <v>0</v>
      </c>
      <c r="DF15">
        <v>70000</v>
      </c>
    </row>
    <row r="16" spans="2:110" x14ac:dyDescent="0.25">
      <c r="B16" s="330">
        <v>13</v>
      </c>
      <c r="C16" s="312" t="s">
        <v>318</v>
      </c>
      <c r="D16" s="331">
        <f ca="1">SUMIF(survey_other_auto_dist!$A:$B,Calibration_OD!$B16,survey_other_auto_dist!$C:$C)</f>
        <v>214893.46087192817</v>
      </c>
      <c r="E16" s="332">
        <f si="9" t="shared"/>
        <v>326833.13725710992</v>
      </c>
      <c r="F16" s="332">
        <f si="10" t="shared"/>
        <v>284362.29578156612</v>
      </c>
      <c r="G16" s="333">
        <f si="11" t="shared"/>
        <v>270197.14285714325</v>
      </c>
      <c r="H16" s="332">
        <f>SUMIF(survey_other_auto_dist!$B:$B,Calibration_OD!$B16,survey_other_auto_dist!$C:$C)</f>
        <v>215677.07567828527</v>
      </c>
      <c r="I16" s="332">
        <f>$BL$68</f>
        <v>326531.09516496427</v>
      </c>
      <c r="J16" s="332">
        <f>$BL$69</f>
        <v>284099.50301989581</v>
      </c>
      <c r="K16" s="333">
        <f>$BL$70</f>
        <v>270363.42857142893</v>
      </c>
      <c r="L16" s="332">
        <f ca="1" si="18" t="shared"/>
        <v>215285.26827510673</v>
      </c>
      <c r="M16" s="332">
        <f si="12" t="shared"/>
        <v>284230.89940073097</v>
      </c>
      <c r="N16" s="333">
        <f si="13" t="shared"/>
        <v>270280.28571428609</v>
      </c>
      <c r="O16" s="295">
        <f ca="1" si="19" t="shared"/>
        <v>0.11771707004478026</v>
      </c>
      <c r="P16" s="295">
        <f si="20" t="shared"/>
        <v>0.12877901655832522</v>
      </c>
      <c r="Q16" s="295">
        <f si="21" t="shared"/>
        <v>0.12245828818321433</v>
      </c>
      <c r="R16" s="317">
        <f si="22" t="shared"/>
        <v>-6.3207283751108845E-3</v>
      </c>
      <c r="S16" s="338">
        <f si="14" t="shared"/>
        <v>-5.1615357922153833E-2</v>
      </c>
      <c r="T16" s="374">
        <f si="23" t="shared"/>
        <v>1.0516153579221539</v>
      </c>
      <c r="U16" s="320"/>
      <c r="V16" s="321"/>
      <c r="W16" s="321"/>
      <c r="X16" s="322"/>
      <c r="Y16" s="323"/>
      <c r="Z16" s="323"/>
      <c r="AA16" s="316"/>
      <c r="AB16" s="324"/>
      <c r="AC16" s="324"/>
      <c r="AD16" s="325">
        <v>213</v>
      </c>
      <c r="AE16" s="334">
        <f si="15" t="shared"/>
        <v>5.0327418105244499E-2</v>
      </c>
      <c r="AF16" s="327">
        <f si="16" t="shared"/>
        <v>0.24191081180586668</v>
      </c>
      <c r="AG16" s="6">
        <f>VLOOKUP($AD16,Calibration!$N:$Q,3,FALSE)</f>
        <v>0.10418431307999999</v>
      </c>
      <c r="AH16" s="328">
        <f si="24" t="shared"/>
        <v>0.34609512488586669</v>
      </c>
      <c r="AI16" s="329">
        <v>1</v>
      </c>
      <c r="CU16">
        <v>15</v>
      </c>
      <c r="CV16">
        <f si="17" t="shared"/>
        <v>1</v>
      </c>
      <c r="CW16">
        <f si="2" t="shared"/>
        <v>15</v>
      </c>
      <c r="CX16" s="355" t="str">
        <f si="3" t="shared"/>
        <v>1_15</v>
      </c>
      <c r="CY16" s="246">
        <f si="0" t="shared"/>
        <v>308.96358599281479</v>
      </c>
      <c r="CZ16" s="246">
        <f si="1" t="shared"/>
        <v>778.21428571428601</v>
      </c>
      <c r="DA16" s="246">
        <f si="4" t="shared"/>
        <v>298.22111186743564</v>
      </c>
      <c r="DB16" s="246">
        <f si="5" t="shared"/>
        <v>737.75</v>
      </c>
      <c r="DC16" s="301">
        <f si="6" t="shared"/>
        <v>439.52888813256436</v>
      </c>
      <c r="DD16" s="302">
        <f si="7" t="shared"/>
        <v>1.422591231002821</v>
      </c>
      <c r="DE16" s="357">
        <f si="8" t="shared"/>
        <v>0.40423058199584633</v>
      </c>
      <c r="DF16">
        <v>75000</v>
      </c>
    </row>
    <row r="17" spans="2:110" x14ac:dyDescent="0.25">
      <c r="B17" s="330">
        <v>14</v>
      </c>
      <c r="C17" s="312" t="s">
        <v>319</v>
      </c>
      <c r="D17" s="331">
        <f ca="1">SUMIF(survey_other_auto_dist!$A:$B,Calibration_OD!$B17,survey_other_auto_dist!$C:$C)</f>
        <v>54966.778106857171</v>
      </c>
      <c r="E17" s="332">
        <f si="9" t="shared"/>
        <v>65287.556753383396</v>
      </c>
      <c r="F17" s="332">
        <f si="10" t="shared"/>
        <v>56803.663423383558</v>
      </c>
      <c r="G17" s="333">
        <f si="11" t="shared"/>
        <v>57284.357142857094</v>
      </c>
      <c r="H17" s="332">
        <f>SUMIF(survey_other_auto_dist!$B:$B,Calibration_OD!$B17,survey_other_auto_dist!$C:$C)</f>
        <v>55222.793822285741</v>
      </c>
      <c r="I17" s="332">
        <f>$BM$68</f>
        <v>65329.697818623303</v>
      </c>
      <c r="J17" s="332">
        <f>$BM$69</f>
        <v>56840.328402213032</v>
      </c>
      <c r="K17" s="333">
        <f>$BM$70</f>
        <v>58049.428571428536</v>
      </c>
      <c r="L17" s="332">
        <f ca="1" si="18" t="shared"/>
        <v>55094.785964571456</v>
      </c>
      <c r="M17" s="332">
        <f si="12" t="shared"/>
        <v>56821.995912798295</v>
      </c>
      <c r="N17" s="333">
        <f si="13" t="shared"/>
        <v>57666.892857142811</v>
      </c>
      <c r="O17" s="295">
        <f ca="1" si="19" t="shared"/>
        <v>3.0125594893032254E-2</v>
      </c>
      <c r="P17" s="295">
        <f si="20" t="shared"/>
        <v>2.5744846066910489E-2</v>
      </c>
      <c r="Q17" s="295">
        <f si="21" t="shared"/>
        <v>2.6127651025186393E-2</v>
      </c>
      <c r="R17" s="317">
        <f si="22" t="shared"/>
        <v>3.8280495827590355E-4</v>
      </c>
      <c r="S17" s="338">
        <f si="14" t="shared"/>
        <v>1.4651334630384285E-2</v>
      </c>
      <c r="T17" s="374">
        <f si="23" t="shared"/>
        <v>0.98534866536961596</v>
      </c>
      <c r="U17" s="320"/>
      <c r="V17" s="321"/>
      <c r="W17" s="321"/>
      <c r="X17" s="322"/>
      <c r="Y17" s="323"/>
      <c r="Z17" s="323"/>
      <c r="AA17" s="316"/>
      <c r="AB17" s="324"/>
      <c r="AC17" s="324"/>
      <c r="AD17" s="325">
        <v>214</v>
      </c>
      <c r="AE17" s="334">
        <f si="15" t="shared"/>
        <v>-1.4759725449882346E-2</v>
      </c>
      <c r="AF17" s="327">
        <f si="16" t="shared"/>
        <v>0.17682366825073983</v>
      </c>
      <c r="AG17" s="6">
        <f>VLOOKUP($AD17,Calibration!$N:$Q,3,FALSE)</f>
        <v>-2.4233362293799998</v>
      </c>
      <c r="AH17" s="328">
        <f si="24" t="shared"/>
        <v>-2.24651256112926</v>
      </c>
      <c r="AI17" s="329">
        <v>1</v>
      </c>
      <c r="CU17">
        <v>16</v>
      </c>
      <c r="CV17">
        <f si="17" t="shared"/>
        <v>1</v>
      </c>
      <c r="CW17">
        <f si="2" t="shared"/>
        <v>16</v>
      </c>
      <c r="CX17" s="355" t="str">
        <f si="3" t="shared"/>
        <v>1_16</v>
      </c>
      <c r="CY17" s="246">
        <f si="0" t="shared"/>
        <v>539.38976946651985</v>
      </c>
      <c r="CZ17" s="246">
        <f si="1" t="shared"/>
        <v>1067.7142857142901</v>
      </c>
      <c r="DA17" s="246">
        <f si="4" t="shared"/>
        <v>506.38074855231264</v>
      </c>
      <c r="DB17" s="246">
        <f si="5" t="shared"/>
        <v>994.32142857143049</v>
      </c>
      <c r="DC17" s="301">
        <f si="6" t="shared"/>
        <v>487.94068001911785</v>
      </c>
      <c r="DD17" s="302">
        <f si="7" t="shared"/>
        <v>0.90461611925215524</v>
      </c>
      <c r="DE17" s="357">
        <f si="8" t="shared"/>
        <v>0.50927268989852115</v>
      </c>
      <c r="DF17">
        <v>80000</v>
      </c>
    </row>
    <row r="18" spans="2:110" x14ac:dyDescent="0.25">
      <c r="B18" s="330">
        <v>15</v>
      </c>
      <c r="C18" s="312" t="s">
        <v>320</v>
      </c>
      <c r="D18" s="331">
        <f ca="1">SUMIF(survey_other_auto_dist!$A:$B,Calibration_OD!$B18,survey_other_auto_dist!$C:$C)</f>
        <v>60407.060329428532</v>
      </c>
      <c r="E18" s="332">
        <f si="9" t="shared"/>
        <v>99342.196391561345</v>
      </c>
      <c r="F18" s="332">
        <f si="10" t="shared"/>
        <v>86433.019830742589</v>
      </c>
      <c r="G18" s="333">
        <f si="11" t="shared"/>
        <v>84368.428571428551</v>
      </c>
      <c r="H18" s="332">
        <f>SUMIF(survey_other_auto_dist!$B:$B,Calibration_OD!$B18,survey_other_auto_dist!$C:$C)</f>
        <v>61234.069451071387</v>
      </c>
      <c r="I18" s="332">
        <f>$BN$68</f>
        <v>100181.91874650751</v>
      </c>
      <c r="J18" s="332">
        <f>$BN$69</f>
        <v>87163.623155349022</v>
      </c>
      <c r="K18" s="333">
        <f>$BN$70</f>
        <v>85258.071428571391</v>
      </c>
      <c r="L18" s="332">
        <f ca="1" si="18" t="shared"/>
        <v>60820.56489024996</v>
      </c>
      <c r="M18" s="332">
        <f si="12" t="shared"/>
        <v>86798.321493045805</v>
      </c>
      <c r="N18" s="333">
        <f si="13" t="shared"/>
        <v>84813.249999999971</v>
      </c>
      <c r="O18" s="295">
        <f ca="1" si="19" t="shared"/>
        <v>3.3256426483393144E-2</v>
      </c>
      <c r="P18" s="295">
        <f si="20" t="shared"/>
        <v>3.9326485981485221E-2</v>
      </c>
      <c r="Q18" s="295">
        <f si="21" t="shared"/>
        <v>3.8427092019704887E-2</v>
      </c>
      <c r="R18" s="317">
        <f si="22" t="shared"/>
        <v>-8.9939396178033426E-4</v>
      </c>
      <c r="S18" s="338">
        <f si="14" t="shared"/>
        <v>-2.340520488303225E-2</v>
      </c>
      <c r="T18" s="374">
        <f si="23" t="shared"/>
        <v>1.0234052048830324</v>
      </c>
      <c r="U18" s="320"/>
      <c r="V18" s="321"/>
      <c r="W18" s="321"/>
      <c r="X18" s="322"/>
      <c r="Y18" s="323"/>
      <c r="Z18" s="323"/>
      <c r="AA18" s="316"/>
      <c r="AB18" s="324"/>
      <c r="AC18" s="324"/>
      <c r="AD18" s="325">
        <v>215</v>
      </c>
      <c r="AE18" s="334">
        <f si="15" t="shared"/>
        <v>2.3135503249511791E-2</v>
      </c>
      <c r="AF18" s="327">
        <f si="16" t="shared"/>
        <v>0.21471889695013399</v>
      </c>
      <c r="AG18" s="6">
        <f>VLOOKUP($AD18,Calibration!$N:$Q,3,FALSE)</f>
        <v>-1.56405201293</v>
      </c>
      <c r="AH18" s="328">
        <f si="24" t="shared"/>
        <v>-1.349333115979866</v>
      </c>
      <c r="AI18" s="329">
        <v>1</v>
      </c>
      <c r="CU18">
        <v>17</v>
      </c>
      <c r="CV18">
        <f si="17" t="shared"/>
        <v>1</v>
      </c>
      <c r="CW18">
        <f si="2" t="shared"/>
        <v>17</v>
      </c>
      <c r="CX18" s="355" t="str">
        <f si="3" t="shared"/>
        <v>1_17</v>
      </c>
      <c r="CY18" s="246">
        <f si="0" t="shared"/>
        <v>0</v>
      </c>
      <c r="CZ18" s="246">
        <f si="1" t="shared"/>
        <v>1111.42857142857</v>
      </c>
      <c r="DA18" s="246">
        <f si="4" t="shared"/>
        <v>0</v>
      </c>
      <c r="DB18" s="246">
        <f si="5" t="shared"/>
        <v>1042.6428571428564</v>
      </c>
      <c r="DC18" s="301">
        <f si="6" t="shared"/>
        <v>1042.6428571428564</v>
      </c>
      <c r="DD18" s="302">
        <f si="7" t="shared"/>
        <v>0</v>
      </c>
      <c r="DE18" s="357">
        <f si="8" t="shared"/>
        <v>0</v>
      </c>
      <c r="DF18">
        <v>85000</v>
      </c>
    </row>
    <row r="19" spans="2:110" x14ac:dyDescent="0.25">
      <c r="B19" s="330">
        <v>16</v>
      </c>
      <c r="C19" s="312" t="s">
        <v>321</v>
      </c>
      <c r="D19" s="331">
        <f ca="1">SUMIF(survey_other_auto_dist!$A:$B,Calibration_OD!$B19,survey_other_auto_dist!$C:$C)</f>
        <v>38206.740763928552</v>
      </c>
      <c r="E19" s="332">
        <f si="9" t="shared"/>
        <v>36984.244347238026</v>
      </c>
      <c r="F19" s="332">
        <f si="10" t="shared"/>
        <v>32178.269065947439</v>
      </c>
      <c r="G19" s="333">
        <f si="11" t="shared"/>
        <v>28528.571428571449</v>
      </c>
      <c r="H19" s="332">
        <f>SUMIF(survey_other_auto_dist!$B:$B,Calibration_OD!$B19,survey_other_auto_dist!$C:$C)</f>
        <v>38266.628849214314</v>
      </c>
      <c r="I19" s="332">
        <f>$BO$68</f>
        <v>37733.744294275581</v>
      </c>
      <c r="J19" s="332">
        <f>$BO$69</f>
        <v>32830.374074076099</v>
      </c>
      <c r="K19" s="333">
        <f>$BO$70</f>
        <v>29591.285714285728</v>
      </c>
      <c r="L19" s="332">
        <f ca="1" si="18" t="shared"/>
        <v>38236.684806571429</v>
      </c>
      <c r="M19" s="332">
        <f si="12" t="shared"/>
        <v>32504.321570011769</v>
      </c>
      <c r="N19" s="333">
        <f si="13" t="shared"/>
        <v>29059.928571428587</v>
      </c>
      <c r="O19" s="295">
        <f ca="1" si="19" t="shared"/>
        <v>2.0907656802152931E-2</v>
      </c>
      <c r="P19" s="295">
        <f si="20" t="shared"/>
        <v>1.4727021497335867E-2</v>
      </c>
      <c r="Q19" s="295">
        <f si="21" t="shared"/>
        <v>1.3166439787419274E-2</v>
      </c>
      <c r="R19" s="317">
        <f si="22" t="shared"/>
        <v>-1.5605817099165926E-3</v>
      </c>
      <c r="S19" s="338">
        <f si="14" t="shared"/>
        <v>-0.11852723554075327</v>
      </c>
      <c r="T19" s="374">
        <f si="23" t="shared"/>
        <v>1.1185272355407534</v>
      </c>
      <c r="U19" s="320"/>
      <c r="V19" s="321"/>
      <c r="W19" s="321"/>
      <c r="X19" s="322"/>
      <c r="Y19" s="323"/>
      <c r="Z19" s="323"/>
      <c r="AA19" s="316"/>
      <c r="AB19" s="324"/>
      <c r="AC19" s="324"/>
      <c r="AD19" s="325">
        <v>216</v>
      </c>
      <c r="AE19" s="334">
        <f si="15" t="shared"/>
        <v>0.1120128517103765</v>
      </c>
      <c r="AF19" s="327">
        <f si="16" t="shared"/>
        <v>0.30359624541099872</v>
      </c>
      <c r="AG19" s="6">
        <f>VLOOKUP($AD19,Calibration!$N:$Q,3,FALSE)</f>
        <v>-0.52108912330000001</v>
      </c>
      <c r="AH19" s="328">
        <f si="24" t="shared"/>
        <v>-0.21749287788900129</v>
      </c>
      <c r="AI19" s="329">
        <v>1</v>
      </c>
      <c r="CU19">
        <v>18</v>
      </c>
      <c r="CV19">
        <f si="17" t="shared"/>
        <v>1</v>
      </c>
      <c r="CW19">
        <f si="2" t="shared"/>
        <v>18</v>
      </c>
      <c r="CX19" s="355" t="str">
        <f si="3" t="shared"/>
        <v>1_18</v>
      </c>
      <c r="CY19" s="246">
        <f si="0" t="shared"/>
        <v>85.325893401380071</v>
      </c>
      <c r="CZ19" s="246">
        <f si="1" t="shared"/>
        <v>479.21428571428601</v>
      </c>
      <c r="DA19" s="246">
        <f si="4" t="shared"/>
        <v>82.125345948851944</v>
      </c>
      <c r="DB19" s="246">
        <f si="5" t="shared"/>
        <v>446.2857142857145</v>
      </c>
      <c r="DC19" s="301">
        <f si="6" t="shared"/>
        <v>364.16036833686258</v>
      </c>
      <c r="DD19" s="302">
        <f si="7" t="shared"/>
        <v>4.2678764185195464</v>
      </c>
      <c r="DE19" s="357">
        <f si="8" t="shared"/>
        <v>0.18401966121701771</v>
      </c>
      <c r="DF19">
        <v>90000</v>
      </c>
    </row>
    <row r="20" spans="2:110" x14ac:dyDescent="0.25">
      <c r="B20" s="330">
        <v>17</v>
      </c>
      <c r="C20" s="312" t="s">
        <v>322</v>
      </c>
      <c r="D20" s="331">
        <f ca="1">SUMIF(survey_other_auto_dist!$A:$B,Calibration_OD!$B20,survey_other_auto_dist!$C:$C)</f>
        <v>33572.135227500017</v>
      </c>
      <c r="E20" s="332">
        <f si="9" t="shared"/>
        <v>48022.847930081698</v>
      </c>
      <c r="F20" s="332">
        <f si="10" t="shared"/>
        <v>41782.44409967641</v>
      </c>
      <c r="G20" s="333">
        <f si="11" t="shared"/>
        <v>42381.571428571478</v>
      </c>
      <c r="H20" s="332">
        <f>SUMIF(survey_other_auto_dist!$B:$B,Calibration_OD!$B20,survey_other_auto_dist!$C:$C)</f>
        <v>34225.248438500028</v>
      </c>
      <c r="I20" s="332">
        <f>$BP$68</f>
        <v>48530.48423436335</v>
      </c>
      <c r="J20" s="332">
        <f>$BP$69</f>
        <v>42224.114813114633</v>
      </c>
      <c r="K20" s="333">
        <f>$BP$70</f>
        <v>43290.571428571471</v>
      </c>
      <c r="L20" s="332">
        <f ca="1" si="18" t="shared"/>
        <v>33898.691833000019</v>
      </c>
      <c r="M20" s="332">
        <f si="12" t="shared"/>
        <v>42003.279456395525</v>
      </c>
      <c r="N20" s="333">
        <f si="13" t="shared"/>
        <v>42836.071428571478</v>
      </c>
      <c r="O20" s="295">
        <f ca="1" si="19" t="shared"/>
        <v>1.8535660674340235E-2</v>
      </c>
      <c r="P20" s="295">
        <f si="20" t="shared"/>
        <v>1.9030798664127262E-2</v>
      </c>
      <c r="Q20" s="295">
        <f si="21" t="shared"/>
        <v>1.9408119115213344E-2</v>
      </c>
      <c r="R20" s="317">
        <f si="22" t="shared"/>
        <v>3.7732045108608211E-4</v>
      </c>
      <c r="S20" s="338">
        <f si="14" t="shared"/>
        <v>1.9441371358356753E-2</v>
      </c>
      <c r="T20" s="374">
        <f si="23" t="shared"/>
        <v>0.98055862864164334</v>
      </c>
      <c r="U20" s="320"/>
      <c r="V20" s="321"/>
      <c r="W20" s="321"/>
      <c r="X20" s="322"/>
      <c r="Y20" s="323"/>
      <c r="Z20" s="323"/>
      <c r="AA20" s="316"/>
      <c r="AB20" s="324"/>
      <c r="AC20" s="324"/>
      <c r="AD20" s="325">
        <v>217</v>
      </c>
      <c r="AE20" s="334">
        <f si="15" t="shared"/>
        <v>-1.9632840496298008E-2</v>
      </c>
      <c r="AF20" s="327">
        <f si="16" t="shared"/>
        <v>0.17195055320432417</v>
      </c>
      <c r="AG20" s="6">
        <f>VLOOKUP($AD20,Calibration!$N:$Q,3,FALSE)</f>
        <v>-3.00684424117</v>
      </c>
      <c r="AH20" s="328">
        <f si="24" t="shared"/>
        <v>-2.8348936879656756</v>
      </c>
      <c r="AI20" s="329">
        <v>1</v>
      </c>
      <c r="CU20">
        <v>19</v>
      </c>
      <c r="CV20">
        <f si="17" t="shared"/>
        <v>1</v>
      </c>
      <c r="CW20">
        <f si="2" t="shared"/>
        <v>19</v>
      </c>
      <c r="CX20" s="355" t="str">
        <f si="3" t="shared"/>
        <v>1_19</v>
      </c>
      <c r="CY20" s="246">
        <f si="0" t="shared"/>
        <v>445.77971341874093</v>
      </c>
      <c r="CZ20" s="246">
        <f si="1" t="shared"/>
        <v>1363.8571428571399</v>
      </c>
      <c r="DA20" s="246">
        <f si="4" t="shared"/>
        <v>442.41288205375923</v>
      </c>
      <c r="DB20" s="246">
        <f si="5" t="shared"/>
        <v>1309.6071428571399</v>
      </c>
      <c r="DC20" s="301">
        <f si="6" t="shared"/>
        <v>867.19426080338076</v>
      </c>
      <c r="DD20" s="302">
        <f si="7" t="shared"/>
        <v>1.9453425867066907</v>
      </c>
      <c r="DE20" s="357">
        <f si="8" t="shared"/>
        <v>0.3378210667731677</v>
      </c>
      <c r="DF20">
        <v>95000</v>
      </c>
    </row>
    <row r="21" spans="2:110" x14ac:dyDescent="0.25">
      <c r="B21" s="330">
        <v>18</v>
      </c>
      <c r="C21" s="312" t="s">
        <v>323</v>
      </c>
      <c r="D21" s="331">
        <f ca="1">SUMIF(survey_other_auto_dist!$A:$B,Calibration_OD!$B21,survey_other_auto_dist!$C:$C)</f>
        <v>61989.92826585711</v>
      </c>
      <c r="E21" s="332">
        <f si="9" t="shared"/>
        <v>100499.19936660411</v>
      </c>
      <c r="F21" s="332">
        <f si="10" t="shared"/>
        <v>87439.674250702621</v>
      </c>
      <c r="G21" s="333">
        <f si="11" t="shared"/>
        <v>87587.499999999985</v>
      </c>
      <c r="H21" s="332">
        <f>SUMIF(survey_other_auto_dist!$B:$B,Calibration_OD!$B21,survey_other_auto_dist!$C:$C)</f>
        <v>64422.460326857101</v>
      </c>
      <c r="I21" s="332">
        <f>$BQ$68</f>
        <v>101653.06714116494</v>
      </c>
      <c r="J21" s="332">
        <f>$BQ$69</f>
        <v>88443.600878694313</v>
      </c>
      <c r="K21" s="333">
        <f>$BQ$70</f>
        <v>89477.357142857087</v>
      </c>
      <c r="L21" s="332">
        <f ca="1" si="18" t="shared"/>
        <v>63206.194296357105</v>
      </c>
      <c r="M21" s="332">
        <f si="12" t="shared"/>
        <v>87941.637564698467</v>
      </c>
      <c r="N21" s="333">
        <f si="13" t="shared"/>
        <v>88532.428571428536</v>
      </c>
      <c r="O21" s="295">
        <f ca="1" si="19" t="shared"/>
        <v>3.4560878507210853E-2</v>
      </c>
      <c r="P21" s="295">
        <f si="20" t="shared"/>
        <v>3.9844498342678836E-2</v>
      </c>
      <c r="Q21" s="295">
        <f si="21" t="shared"/>
        <v>4.0112173268236219E-2</v>
      </c>
      <c r="R21" s="317">
        <f si="22" t="shared"/>
        <v>2.676749255573832E-4</v>
      </c>
      <c r="S21" s="338">
        <f si="14" t="shared"/>
        <v>6.6731593864887036E-3</v>
      </c>
      <c r="T21" s="374">
        <f si="23" t="shared"/>
        <v>0.99332684061351151</v>
      </c>
      <c r="U21" s="320"/>
      <c r="V21" s="321"/>
      <c r="W21" s="321"/>
      <c r="X21" s="322"/>
      <c r="Y21" s="323"/>
      <c r="Z21" s="323"/>
      <c r="AA21" s="316"/>
      <c r="AB21" s="324"/>
      <c r="AC21" s="324"/>
      <c r="AD21" s="325">
        <v>218</v>
      </c>
      <c r="AE21" s="334">
        <f si="15" t="shared"/>
        <v>-6.6955244672809219E-3</v>
      </c>
      <c r="AF21" s="327">
        <f si="16" t="shared"/>
        <v>0.18488786923334127</v>
      </c>
      <c r="AG21" s="6">
        <f>VLOOKUP($AD21,Calibration!$N:$Q,3,FALSE)</f>
        <v>-0.99555441392999999</v>
      </c>
      <c r="AH21" s="328">
        <f si="24" t="shared"/>
        <v>-0.81066654469665878</v>
      </c>
      <c r="AI21" s="329">
        <v>1</v>
      </c>
      <c r="CU21">
        <v>20</v>
      </c>
      <c r="CV21">
        <f si="17" t="shared"/>
        <v>1</v>
      </c>
      <c r="CW21">
        <f si="2" t="shared"/>
        <v>20</v>
      </c>
      <c r="CX21" s="355" t="str">
        <f si="3" t="shared"/>
        <v>1_20</v>
      </c>
      <c r="CY21" s="246">
        <f si="0" t="shared"/>
        <v>0</v>
      </c>
      <c r="CZ21" s="246">
        <f si="1" t="shared"/>
        <v>203.71428571428601</v>
      </c>
      <c r="DA21" s="246">
        <f si="4" t="shared"/>
        <v>0</v>
      </c>
      <c r="DB21" s="246">
        <f si="5" t="shared"/>
        <v>201.4285714285715</v>
      </c>
      <c r="DC21" s="301">
        <f si="6" t="shared"/>
        <v>201.4285714285715</v>
      </c>
      <c r="DD21" s="302">
        <f si="7" t="shared"/>
        <v>0</v>
      </c>
      <c r="DE21" s="357">
        <f si="8" t="shared"/>
        <v>0</v>
      </c>
      <c r="DF21">
        <v>100000</v>
      </c>
    </row>
    <row r="22" spans="2:110" x14ac:dyDescent="0.25">
      <c r="B22" s="330">
        <v>19</v>
      </c>
      <c r="C22" s="312" t="s">
        <v>324</v>
      </c>
      <c r="D22" s="331">
        <f ca="1">SUMIF(survey_other_auto_dist!$A:$B,Calibration_OD!$B22,survey_other_auto_dist!$C:$C)</f>
        <v>109119.15189185709</v>
      </c>
      <c r="E22" s="332">
        <f si="9" t="shared"/>
        <v>113601.93131431454</v>
      </c>
      <c r="F22" s="332">
        <f si="10" t="shared"/>
        <v>98839.751271443412</v>
      </c>
      <c r="G22" s="333">
        <f si="11" t="shared"/>
        <v>103646.57142857142</v>
      </c>
      <c r="H22" s="332">
        <f>SUMIF(survey_other_auto_dist!$B:$B,Calibration_OD!$B22,survey_other_auto_dist!$C:$C)</f>
        <v>107895.530321</v>
      </c>
      <c r="I22" s="332">
        <f>$BR$68</f>
        <v>114480.58614077448</v>
      </c>
      <c r="J22" s="332">
        <f>$BR$69</f>
        <v>99604.227926866355</v>
      </c>
      <c r="K22" s="333">
        <f>$BR$70</f>
        <v>104681.57142857142</v>
      </c>
      <c r="L22" s="332">
        <f ca="1" si="18" t="shared"/>
        <v>108507.34110642855</v>
      </c>
      <c r="M22" s="332">
        <f si="12" t="shared"/>
        <v>99221.989599154884</v>
      </c>
      <c r="N22" s="333">
        <f si="13" t="shared"/>
        <v>104164.07142857142</v>
      </c>
      <c r="O22" s="295">
        <f ca="1" si="19" t="shared"/>
        <v>5.9331353119229033E-2</v>
      </c>
      <c r="P22" s="295">
        <f si="20" t="shared"/>
        <v>4.4955387568627873E-2</v>
      </c>
      <c r="Q22" s="295">
        <f si="21" t="shared"/>
        <v>4.7194540451318961E-2</v>
      </c>
      <c r="R22" s="317">
        <f si="22" t="shared"/>
        <v>2.2391528826910881E-3</v>
      </c>
      <c r="S22" s="338">
        <f si="14" t="shared"/>
        <v>4.7445167624860722E-2</v>
      </c>
      <c r="T22" s="374">
        <f si="23" t="shared"/>
        <v>0.95255483237513949</v>
      </c>
      <c r="U22" s="320"/>
      <c r="V22" s="321"/>
      <c r="W22" s="321"/>
      <c r="X22" s="322"/>
      <c r="Y22" s="323"/>
      <c r="Z22" s="323"/>
      <c r="AA22" s="316"/>
      <c r="AB22" s="324"/>
      <c r="AC22" s="324"/>
      <c r="AD22" s="325">
        <v>219</v>
      </c>
      <c r="AE22" s="334">
        <f si="15" t="shared"/>
        <v>-4.8607606840138838E-2</v>
      </c>
      <c r="AF22" s="327">
        <f si="16" t="shared"/>
        <v>0.14297578686048334</v>
      </c>
      <c r="AG22" s="6">
        <f>VLOOKUP($AD22,Calibration!$N:$Q,3,FALSE)</f>
        <v>-3.0763458399100001</v>
      </c>
      <c r="AH22" s="328">
        <f si="24" t="shared"/>
        <v>-2.9333700530495168</v>
      </c>
      <c r="AI22" s="329">
        <v>1</v>
      </c>
      <c r="CU22">
        <v>21</v>
      </c>
      <c r="CV22">
        <f si="17" t="shared"/>
        <v>2</v>
      </c>
      <c r="CW22">
        <f si="2" t="shared"/>
        <v>1</v>
      </c>
      <c r="CX22" s="355" t="str">
        <f si="3" t="shared"/>
        <v>1_2</v>
      </c>
      <c r="CY22" s="246">
        <f si="0" t="shared"/>
        <v>274.68515097184246</v>
      </c>
      <c r="CZ22" s="246">
        <f si="1" t="shared"/>
        <v>6592.5714285714303</v>
      </c>
      <c r="DA22" s="246">
        <f si="4" t="shared"/>
        <v>231.75416688520261</v>
      </c>
      <c r="DB22" s="246">
        <f si="5" t="shared"/>
        <v>6770.8571428571449</v>
      </c>
      <c r="DC22" s="301">
        <f si="6" t="shared"/>
        <v>6539.1029759719422</v>
      </c>
      <c r="DD22" s="302">
        <f si="7" t="shared"/>
        <v>23.805811682344107</v>
      </c>
      <c r="DE22" s="357">
        <f si="8" t="shared"/>
        <v>3.42281873617271E-2</v>
      </c>
      <c r="DF22">
        <v>105000</v>
      </c>
    </row>
    <row r="23" spans="2:110" x14ac:dyDescent="0.25">
      <c r="B23" s="330">
        <v>20</v>
      </c>
      <c r="C23" s="312" t="s">
        <v>325</v>
      </c>
      <c r="D23" s="358">
        <f ca="1">SUMIF(survey_other_auto_dist!$A:$B,Calibration_OD!$B23,survey_other_auto_dist!$C:$C)</f>
        <v>71629.188804357138</v>
      </c>
      <c r="E23" s="359">
        <f si="9" t="shared"/>
        <v>92792.725881806313</v>
      </c>
      <c r="F23" s="359">
        <f si="10" t="shared"/>
        <v>80734.63047543529</v>
      </c>
      <c r="G23" s="360">
        <f si="11" t="shared"/>
        <v>84309.07142857142</v>
      </c>
      <c r="H23" s="359">
        <f>SUMIF(survey_other_auto_dist!$B:$B,Calibration_OD!$B23,survey_other_auto_dist!$C:$C)</f>
        <v>71589.674485142852</v>
      </c>
      <c r="I23" s="359">
        <f>$BS$68</f>
        <v>93049.406560606105</v>
      </c>
      <c r="J23" s="359">
        <f>$BS$69</f>
        <v>80957.956383324679</v>
      </c>
      <c r="K23" s="360">
        <f>$BS$70</f>
        <v>84781.71428571429</v>
      </c>
      <c r="L23" s="359">
        <f ca="1" si="18" t="shared"/>
        <v>71609.431644750002</v>
      </c>
      <c r="M23" s="359">
        <f si="12" t="shared"/>
        <v>80846.293429379992</v>
      </c>
      <c r="N23" s="360">
        <f si="13" t="shared"/>
        <v>84545.392857142855</v>
      </c>
      <c r="O23" s="295">
        <f ca="1" si="19" t="shared"/>
        <v>3.9155732987823086E-2</v>
      </c>
      <c r="P23" s="295">
        <f si="20" t="shared"/>
        <v>3.6629747793686114E-2</v>
      </c>
      <c r="Q23" s="295">
        <f si="21" t="shared"/>
        <v>3.8305731606364919E-2</v>
      </c>
      <c r="R23" s="317">
        <f si="22" t="shared"/>
        <v>1.6759838126788051E-3</v>
      </c>
      <c r="S23" s="338">
        <f si="14" t="shared"/>
        <v>4.3752820854629733E-2</v>
      </c>
      <c r="T23" s="374">
        <f si="23" t="shared"/>
        <v>0.9562471791453705</v>
      </c>
      <c r="U23" s="318"/>
      <c r="V23" s="319" t="s">
        <v>373</v>
      </c>
      <c r="W23" s="320" t="s">
        <v>292</v>
      </c>
      <c r="X23" s="321"/>
      <c r="Y23" s="321"/>
      <c r="Z23" s="323"/>
      <c r="AA23" s="316"/>
      <c r="AB23" s="324"/>
      <c r="AC23" s="324"/>
      <c r="AD23" s="325">
        <v>220</v>
      </c>
      <c r="AE23" s="334">
        <f si="15" t="shared"/>
        <v>-4.4738843759080507E-2</v>
      </c>
      <c r="AF23" s="327">
        <f si="16" t="shared"/>
        <v>0.14684454994154167</v>
      </c>
      <c r="AG23" s="6">
        <f>VLOOKUP($AD23,Calibration!$N:$Q,3,FALSE)</f>
        <v>-4.5237586444</v>
      </c>
      <c r="AH23" s="328">
        <f si="24" t="shared"/>
        <v>-4.3769140944584581</v>
      </c>
      <c r="AI23" s="329">
        <v>1</v>
      </c>
      <c r="CU23">
        <v>22</v>
      </c>
      <c r="CV23">
        <f si="17" t="shared"/>
        <v>2</v>
      </c>
      <c r="CW23">
        <f si="2" t="shared"/>
        <v>2</v>
      </c>
      <c r="CX23" s="355" t="str">
        <f si="3" t="shared"/>
        <v>2_2</v>
      </c>
      <c r="CY23" s="246">
        <f si="0" t="shared"/>
        <v>21152.292348257193</v>
      </c>
      <c r="CZ23" s="246">
        <f si="1" t="shared"/>
        <v>6921</v>
      </c>
      <c r="DA23" s="246">
        <f si="4" t="shared"/>
        <v>21152.292348257193</v>
      </c>
      <c r="DB23" s="246">
        <f si="5" t="shared"/>
        <v>6921</v>
      </c>
      <c r="DC23" s="301">
        <f si="6" t="shared"/>
        <v>-14231.292348257193</v>
      </c>
      <c r="DD23" s="302">
        <f si="7" t="shared"/>
        <v>-0.67280142094999718</v>
      </c>
      <c r="DE23" s="357">
        <f si="8" t="shared"/>
        <v>3.0562479913678939</v>
      </c>
      <c r="DF23">
        <v>110000</v>
      </c>
    </row>
    <row ht="15.75" r="24" spans="2:110" thickBot="1" x14ac:dyDescent="0.3">
      <c r="B24" s="335"/>
      <c r="C24" s="336" t="s">
        <v>209</v>
      </c>
      <c r="D24" s="381">
        <f ca="1" ref="D24:K24" si="25" t="shared">SUM(D4:D23)</f>
        <v>1828836.4482161424</v>
      </c>
      <c r="E24" s="380">
        <f si="25" t="shared"/>
        <v>2536765.1108212941</v>
      </c>
      <c r="F24" s="380">
        <f si="25" t="shared"/>
        <v>2207121.214285715</v>
      </c>
      <c r="G24" s="382">
        <f si="25" t="shared"/>
        <v>2207121.2142857155</v>
      </c>
      <c r="H24" s="380">
        <f si="25" t="shared"/>
        <v>1828836.4482161426</v>
      </c>
      <c r="I24" s="380">
        <f si="25" t="shared"/>
        <v>2536765.1108212946</v>
      </c>
      <c r="J24" s="380">
        <f si="25" t="shared"/>
        <v>2207121.214285715</v>
      </c>
      <c r="K24" s="382">
        <f si="25" t="shared"/>
        <v>2207121.214285715</v>
      </c>
      <c r="L24" s="380">
        <f ca="1" ref="L24" si="26" t="shared">SUM(L4:L23)</f>
        <v>1828836.4482161421</v>
      </c>
      <c r="M24" s="380">
        <f>SUM(M4:M23)</f>
        <v>2207121.214285715</v>
      </c>
      <c r="N24" s="382">
        <f>SUM(N4:N23)</f>
        <v>2207121.2142857155</v>
      </c>
      <c r="O24" s="337">
        <f ca="1" si="19" t="shared"/>
        <v>1</v>
      </c>
      <c r="P24" s="337">
        <f>J24/J$24</f>
        <v>1</v>
      </c>
      <c r="Q24" s="337">
        <f>K24/K$24</f>
        <v>1</v>
      </c>
      <c r="R24" s="367">
        <f>Y24-X24</f>
        <v>-9.8795579481109567E-3</v>
      </c>
      <c r="S24" s="370">
        <f>(W24-V24)/V24</f>
        <v>-0.52489935298347667</v>
      </c>
      <c r="T24" s="374">
        <f>X24/Y24</f>
        <v>2.1048171714344597</v>
      </c>
      <c r="U24" t="s">
        <v>369</v>
      </c>
      <c r="V24" s="246">
        <f>C67</f>
        <v>41542.024792183634</v>
      </c>
      <c r="W24" s="301">
        <f>AA41</f>
        <v>19736.642857142899</v>
      </c>
      <c r="X24" s="366">
        <f ref="X24:Y28" si="27" t="shared">V24/M$24</f>
        <v>1.8821813919099942E-2</v>
      </c>
      <c r="Y24" s="366">
        <f si="27" t="shared"/>
        <v>8.942255970988985E-3</v>
      </c>
      <c r="Z24" s="338"/>
      <c r="AA24" s="338"/>
      <c r="AB24" s="6"/>
      <c r="AC24" s="339"/>
      <c r="AD24" s="325">
        <v>221</v>
      </c>
      <c r="AE24" s="334">
        <f si="15" t="shared"/>
        <v>0.74422860893684584</v>
      </c>
      <c r="AF24" s="327">
        <f>AE24-AF$4</f>
        <v>0.74422860893684584</v>
      </c>
      <c r="AG24" s="6">
        <f>VLOOKUP($AD24,Calibration!$N:$Q,3,FALSE)</f>
        <v>4.2815474280799997</v>
      </c>
      <c r="AH24" s="328">
        <f ref="AH24:AH28" si="28" t="shared">AG24+AF24*AI24</f>
        <v>4.2815474280799997</v>
      </c>
      <c r="AI24" s="329">
        <v>0</v>
      </c>
      <c r="CU24">
        <v>23</v>
      </c>
      <c r="CV24">
        <f si="17" t="shared"/>
        <v>2</v>
      </c>
      <c r="CW24">
        <f si="2" t="shared"/>
        <v>3</v>
      </c>
      <c r="CX24" s="355" t="str">
        <f si="3" t="shared"/>
        <v>2_3</v>
      </c>
      <c r="CY24" s="246">
        <f si="0" t="shared"/>
        <v>3135.0392917901986</v>
      </c>
      <c r="CZ24" s="246">
        <f si="1" t="shared"/>
        <v>3165.4285714285702</v>
      </c>
      <c r="DA24" s="246">
        <f si="4" t="shared"/>
        <v>3178.3653083213321</v>
      </c>
      <c r="DB24" s="246">
        <f si="5" t="shared"/>
        <v>3080.1428571428551</v>
      </c>
      <c r="DC24" s="301">
        <f si="6" t="shared"/>
        <v>-98.222451178477058</v>
      </c>
      <c r="DD24" s="302">
        <f si="7" t="shared"/>
        <v>-3.1330532741868505E-2</v>
      </c>
      <c r="DE24" s="357">
        <f si="8" t="shared"/>
        <v>1.0318889271485245</v>
      </c>
      <c r="DF24">
        <v>115000</v>
      </c>
    </row>
    <row r="25" spans="2:110" x14ac:dyDescent="0.25">
      <c r="R25" s="367">
        <f>Y25-X25</f>
        <v>-7.9946972276625245E-3</v>
      </c>
      <c r="S25" s="370">
        <f>(W25-V25)/V25</f>
        <v>-0.35646398772221782</v>
      </c>
      <c r="T25" s="374">
        <f>X25/Y25</f>
        <v>1.5539145920684707</v>
      </c>
      <c r="U25" t="s">
        <v>370</v>
      </c>
      <c r="V25" s="301">
        <f>H72</f>
        <v>49500.837281536544</v>
      </c>
      <c r="W25" s="364">
        <f>AF46</f>
        <v>31855.571428571398</v>
      </c>
      <c r="X25" s="366">
        <f si="27" t="shared"/>
        <v>2.2427783739805324E-2</v>
      </c>
      <c r="Y25" s="366">
        <f si="27" t="shared"/>
        <v>1.44330865121428E-2</v>
      </c>
      <c r="Z25" s="6"/>
      <c r="AA25" s="6"/>
      <c r="AB25" s="6"/>
      <c r="AD25" s="325">
        <v>222</v>
      </c>
      <c r="AE25" s="334">
        <f si="15" t="shared"/>
        <v>0.44077729037619717</v>
      </c>
      <c r="AF25" s="327">
        <f>AE25-AF$9</f>
        <v>0.32492342939397822</v>
      </c>
      <c r="AG25" s="6">
        <f>VLOOKUP($AD25,Calibration!$N:$Q,3,FALSE)</f>
        <v>0</v>
      </c>
      <c r="AH25" s="328">
        <f si="28" t="shared"/>
        <v>0</v>
      </c>
      <c r="AI25" s="329">
        <v>0</v>
      </c>
      <c r="CU25">
        <v>24</v>
      </c>
      <c r="CV25">
        <f si="17" t="shared"/>
        <v>2</v>
      </c>
      <c r="CW25">
        <f si="2" t="shared"/>
        <v>4</v>
      </c>
      <c r="CX25" s="355" t="str">
        <f si="3" t="shared"/>
        <v>2_4</v>
      </c>
      <c r="CY25" s="246">
        <f si="0" t="shared"/>
        <v>354.5716875828731</v>
      </c>
      <c r="CZ25" s="246">
        <f si="1" t="shared"/>
        <v>921.21428571428601</v>
      </c>
      <c r="DA25" s="246">
        <f si="4" t="shared"/>
        <v>342.7265684611109</v>
      </c>
      <c r="DB25" s="246">
        <f si="5" t="shared"/>
        <v>917</v>
      </c>
      <c r="DC25" s="301">
        <f si="6" t="shared"/>
        <v>574.2734315388891</v>
      </c>
      <c r="DD25" s="302">
        <f si="7" t="shared"/>
        <v>1.6196257390253859</v>
      </c>
      <c r="DE25" s="357">
        <f si="8" t="shared"/>
        <v>0.373747621004483</v>
      </c>
      <c r="DF25">
        <v>120000</v>
      </c>
    </row>
    <row r="26" spans="2:110" x14ac:dyDescent="0.25">
      <c r="R26" s="367">
        <f>Y26-X26</f>
        <v>-9.0337607166574851E-3</v>
      </c>
      <c r="S26" s="370">
        <f>(W26-V26)/V26</f>
        <v>-6.6932015107462314E-2</v>
      </c>
      <c r="T26" s="374">
        <f>X26/Y26</f>
        <v>1.071733267233653</v>
      </c>
      <c r="U26" t="s">
        <v>371</v>
      </c>
      <c r="V26" s="301">
        <f>N78</f>
        <v>297893.39063680155</v>
      </c>
      <c r="W26" s="365">
        <f>AL52</f>
        <v>277954.78571428597</v>
      </c>
      <c r="X26" s="366">
        <f si="27" t="shared"/>
        <v>0.13496920273733495</v>
      </c>
      <c r="Y26" s="366">
        <f si="27" t="shared"/>
        <v>0.12593544202067747</v>
      </c>
      <c r="AD26" s="325">
        <v>223</v>
      </c>
      <c r="AE26" s="334">
        <f si="15" t="shared"/>
        <v>6.9277213809251004E-2</v>
      </c>
      <c r="AF26" s="327">
        <f>AE26-AF$15</f>
        <v>-9.6134726992339076E-2</v>
      </c>
      <c r="AG26" s="6">
        <f>VLOOKUP($AD26,Calibration!$N:$Q,3,FALSE)</f>
        <v>1.0082637678399999</v>
      </c>
      <c r="AH26" s="328">
        <f si="28" t="shared"/>
        <v>1.0082637678399999</v>
      </c>
      <c r="AI26" s="329">
        <v>0</v>
      </c>
      <c r="CU26">
        <v>25</v>
      </c>
      <c r="CV26">
        <f si="17" t="shared"/>
        <v>2</v>
      </c>
      <c r="CW26">
        <f si="2" t="shared"/>
        <v>5</v>
      </c>
      <c r="CX26" s="355" t="str">
        <f si="3" t="shared"/>
        <v>2_5</v>
      </c>
      <c r="CY26" s="246">
        <f si="0" t="shared"/>
        <v>230.48961936838447</v>
      </c>
      <c r="CZ26" s="246">
        <f si="1" t="shared"/>
        <v>943.78571428571399</v>
      </c>
      <c r="DA26" s="246">
        <f si="4" t="shared"/>
        <v>244.81225399141726</v>
      </c>
      <c r="DB26" s="246">
        <f si="5" t="shared"/>
        <v>979.03571428571195</v>
      </c>
      <c r="DC26" s="301">
        <f si="6" t="shared"/>
        <v>734.22346029429468</v>
      </c>
      <c r="DD26" s="302">
        <f si="7" t="shared"/>
        <v>3.1854946973590508</v>
      </c>
      <c r="DE26" s="357">
        <f si="8" t="shared"/>
        <v>0.2500544672877722</v>
      </c>
      <c r="DF26">
        <v>125000</v>
      </c>
    </row>
    <row r="27" spans="2:110" x14ac:dyDescent="0.25">
      <c r="R27" s="367">
        <f>Y27-X27</f>
        <v>-5.6328896334045947E-3</v>
      </c>
      <c r="S27" s="370">
        <f>(W27-V27)/V27</f>
        <v>-5.0737652629857896E-2</v>
      </c>
      <c r="T27" s="374">
        <f>X27/Y27</f>
        <v>1.053449557722818</v>
      </c>
      <c r="U27" t="s">
        <v>374</v>
      </c>
      <c r="V27" s="301">
        <f>O79</f>
        <v>245034.39877904631</v>
      </c>
      <c r="W27" s="301">
        <f>AM53</f>
        <v>232601.92857142899</v>
      </c>
      <c r="X27" s="366">
        <f si="27" t="shared"/>
        <v>0.11101991009512641</v>
      </c>
      <c r="Y27" s="366">
        <f si="27" t="shared"/>
        <v>0.10538702046172181</v>
      </c>
      <c r="AD27" s="325">
        <v>224</v>
      </c>
      <c r="AE27" s="334">
        <f si="15" t="shared"/>
        <v>5.2070072454014273E-2</v>
      </c>
      <c r="AF27" s="327">
        <f>AE27-AF$16</f>
        <v>-0.18984073935185242</v>
      </c>
      <c r="AG27" s="6">
        <f>VLOOKUP($AD27,Calibration!$N:$Q,3,FALSE)</f>
        <v>0</v>
      </c>
      <c r="AH27" s="328">
        <f si="28" t="shared"/>
        <v>0</v>
      </c>
      <c r="AI27" s="329">
        <v>0</v>
      </c>
      <c r="CU27">
        <v>26</v>
      </c>
      <c r="CV27">
        <f si="17" t="shared"/>
        <v>2</v>
      </c>
      <c r="CW27">
        <f si="2" t="shared"/>
        <v>6</v>
      </c>
      <c r="CX27" s="355" t="str">
        <f si="3" t="shared"/>
        <v>2_6</v>
      </c>
      <c r="CY27" s="246">
        <f si="0" t="shared"/>
        <v>0</v>
      </c>
      <c r="CZ27" s="246">
        <f si="1" t="shared"/>
        <v>4626.1428571428596</v>
      </c>
      <c r="DA27" s="246">
        <f si="4" t="shared"/>
        <v>0</v>
      </c>
      <c r="DB27" s="246">
        <f si="5" t="shared"/>
        <v>4696.3571428571449</v>
      </c>
      <c r="DC27" s="301">
        <f si="6" t="shared"/>
        <v>4696.3571428571449</v>
      </c>
      <c r="DD27" s="302">
        <f si="7" t="shared"/>
        <v>0</v>
      </c>
      <c r="DE27" s="357">
        <f si="8" t="shared"/>
        <v>0</v>
      </c>
      <c r="DF27">
        <v>130000</v>
      </c>
    </row>
    <row ht="15.75" r="28" spans="2:110" thickBot="1" x14ac:dyDescent="0.3">
      <c r="R28" s="368">
        <f>Y28-X28</f>
        <v>-1.0313987287077914E-3</v>
      </c>
      <c r="S28" s="371">
        <f>(W28-V28)/V28</f>
        <v>-3.1559804461702486E-2</v>
      </c>
      <c r="T28" s="375">
        <f>X28/Y28</f>
        <v>1.0325882843433201</v>
      </c>
      <c r="U28" t="s">
        <v>372</v>
      </c>
      <c r="V28" s="301">
        <f>V86</f>
        <v>72130.422014518277</v>
      </c>
      <c r="W28" s="301">
        <f>AT60</f>
        <v>69854</v>
      </c>
      <c r="X28" s="366">
        <f si="27" t="shared"/>
        <v>3.2680770565590191E-2</v>
      </c>
      <c r="Y28" s="366">
        <f si="27" t="shared"/>
        <v>3.1649371836882399E-2</v>
      </c>
      <c r="AD28" s="340">
        <v>225</v>
      </c>
      <c r="AE28" s="341">
        <f si="15" t="shared"/>
        <v>3.2068547614930089E-2</v>
      </c>
      <c r="AF28" s="342">
        <f>AE28-AF$23</f>
        <v>-0.11477600232661159</v>
      </c>
      <c r="AG28" s="1">
        <f>VLOOKUP($AD28,Calibration!$N:$Q,3,FALSE)</f>
        <v>0</v>
      </c>
      <c r="AH28" s="343">
        <f si="28" t="shared"/>
        <v>0</v>
      </c>
      <c r="AI28" s="344">
        <v>0</v>
      </c>
      <c r="CU28">
        <v>27</v>
      </c>
      <c r="CV28">
        <f si="17" t="shared"/>
        <v>2</v>
      </c>
      <c r="CW28">
        <f si="2" t="shared"/>
        <v>7</v>
      </c>
      <c r="CX28" s="355" t="str">
        <f si="3" t="shared"/>
        <v>2_7</v>
      </c>
      <c r="CY28" s="246">
        <f si="0" t="shared"/>
        <v>6020.554144397418</v>
      </c>
      <c r="CZ28" s="246">
        <f si="1" t="shared"/>
        <v>5432.3571428571404</v>
      </c>
      <c r="DA28" s="246">
        <f si="4" t="shared"/>
        <v>5831.2103300203671</v>
      </c>
      <c r="DB28" s="246">
        <f si="5" t="shared"/>
        <v>5144</v>
      </c>
      <c r="DC28" s="301">
        <f si="6" t="shared"/>
        <v>-687.21033002036711</v>
      </c>
      <c r="DD28" s="302">
        <f si="7" t="shared"/>
        <v>-0.11414403284785146</v>
      </c>
      <c r="DE28" s="357">
        <f si="8" t="shared"/>
        <v>1.1335945431610357</v>
      </c>
      <c r="DF28">
        <v>135000</v>
      </c>
    </row>
    <row r="29" spans="2:110" x14ac:dyDescent="0.25">
      <c r="CU29">
        <v>28</v>
      </c>
      <c r="CV29">
        <f si="17" t="shared"/>
        <v>2</v>
      </c>
      <c r="CW29">
        <f si="2" t="shared"/>
        <v>8</v>
      </c>
      <c r="CX29" s="355" t="str">
        <f si="3" t="shared"/>
        <v>2_8</v>
      </c>
      <c r="CY29" s="246">
        <f si="0" t="shared"/>
        <v>0</v>
      </c>
      <c r="CZ29" s="246">
        <f si="1" t="shared"/>
        <v>154.857142857143</v>
      </c>
      <c r="DA29" s="246">
        <f si="4" t="shared"/>
        <v>2.9009292740405965</v>
      </c>
      <c r="DB29" s="246">
        <f si="5" t="shared"/>
        <v>138.7857142857145</v>
      </c>
      <c r="DC29" s="301">
        <f si="6" t="shared"/>
        <v>135.8847850116739</v>
      </c>
      <c r="DD29" s="302">
        <f si="7" t="shared"/>
        <v>0</v>
      </c>
      <c r="DE29" s="357">
        <f si="8" t="shared"/>
        <v>2.0902218135135507E-2</v>
      </c>
      <c r="DF29">
        <v>140000</v>
      </c>
    </row>
    <row r="30" spans="2:110" x14ac:dyDescent="0.25">
      <c r="CU30">
        <v>29</v>
      </c>
      <c r="CV30">
        <f si="17" t="shared"/>
        <v>2</v>
      </c>
      <c r="CW30">
        <f si="2" t="shared"/>
        <v>9</v>
      </c>
      <c r="CX30" s="355" t="str">
        <f si="3" t="shared"/>
        <v>2_9</v>
      </c>
      <c r="CY30" s="246">
        <f si="0" t="shared"/>
        <v>4356.4061690389563</v>
      </c>
      <c r="CZ30" s="246">
        <f si="1" t="shared"/>
        <v>7380.2857142857101</v>
      </c>
      <c r="DA30" s="246">
        <f si="4" t="shared"/>
        <v>4328.1454438838973</v>
      </c>
      <c r="DB30" s="246">
        <f si="5" t="shared"/>
        <v>6978.2857142857101</v>
      </c>
      <c r="DC30" s="301">
        <f si="6" t="shared"/>
        <v>2650.1402704018128</v>
      </c>
      <c r="DD30" s="302">
        <f si="7" t="shared"/>
        <v>0.60833176879520545</v>
      </c>
      <c r="DE30" s="357">
        <f si="8" t="shared"/>
        <v>0.62023047222378191</v>
      </c>
      <c r="DF30">
        <v>145000</v>
      </c>
    </row>
    <row r="31" spans="2:110" x14ac:dyDescent="0.25">
      <c r="CU31">
        <v>30</v>
      </c>
      <c r="CV31">
        <f si="17" t="shared"/>
        <v>2</v>
      </c>
      <c r="CW31">
        <f si="2" t="shared"/>
        <v>10</v>
      </c>
      <c r="CX31" s="355" t="str">
        <f si="3" t="shared"/>
        <v>2_10</v>
      </c>
      <c r="CY31" s="246">
        <f si="0" t="shared"/>
        <v>58.216577494231707</v>
      </c>
      <c r="CZ31" s="246">
        <f si="1" t="shared"/>
        <v>736.142857142857</v>
      </c>
      <c r="DA31" s="246">
        <f si="4" t="shared"/>
        <v>38.303587076978204</v>
      </c>
      <c r="DB31" s="246">
        <f si="5" t="shared"/>
        <v>683.53571428571399</v>
      </c>
      <c r="DC31" s="301">
        <f si="6" t="shared"/>
        <v>645.23212720873585</v>
      </c>
      <c r="DD31" s="302">
        <f si="7" t="shared"/>
        <v>11.083305734911463</v>
      </c>
      <c r="DE31" s="357">
        <f si="8" t="shared"/>
        <v>5.6037433416343076E-2</v>
      </c>
      <c r="DF31">
        <v>150000</v>
      </c>
    </row>
    <row r="32" spans="2:110" x14ac:dyDescent="0.25">
      <c r="CU32">
        <v>31</v>
      </c>
      <c r="CV32">
        <f si="17" t="shared"/>
        <v>2</v>
      </c>
      <c r="CW32">
        <f si="2" t="shared"/>
        <v>11</v>
      </c>
      <c r="CX32" s="355" t="str">
        <f si="3" t="shared"/>
        <v>2_11</v>
      </c>
      <c r="CY32" s="246">
        <f si="0" t="shared"/>
        <v>659.39156889845583</v>
      </c>
      <c r="CZ32" s="246">
        <f si="1" t="shared"/>
        <v>1340.3571428571399</v>
      </c>
      <c r="DA32" s="246">
        <f si="4" t="shared"/>
        <v>642.11734674939748</v>
      </c>
      <c r="DB32" s="246">
        <f si="5" t="shared"/>
        <v>1174.3928571428551</v>
      </c>
      <c r="DC32" s="301">
        <f si="6" t="shared"/>
        <v>532.27551039345758</v>
      </c>
      <c r="DD32" s="302">
        <f si="7" t="shared"/>
        <v>0.80722219618708269</v>
      </c>
      <c r="DE32" s="357">
        <f si="8" t="shared"/>
        <v>0.54676537143761705</v>
      </c>
      <c r="DF32">
        <v>155000</v>
      </c>
    </row>
    <row r="33" spans="2:110" x14ac:dyDescent="0.25">
      <c r="CU33">
        <v>32</v>
      </c>
      <c r="CV33">
        <f si="17" t="shared"/>
        <v>2</v>
      </c>
      <c r="CW33">
        <f si="2" t="shared"/>
        <v>12</v>
      </c>
      <c r="CX33" s="355" t="str">
        <f si="3" t="shared"/>
        <v>2_12</v>
      </c>
      <c r="CY33" s="246">
        <f si="0" t="shared"/>
        <v>0</v>
      </c>
      <c r="CZ33" s="246">
        <f si="1" t="shared"/>
        <v>6553.5714285714303</v>
      </c>
      <c r="DA33" s="246">
        <f si="4" t="shared"/>
        <v>0</v>
      </c>
      <c r="DB33" s="246">
        <f si="5" t="shared"/>
        <v>6266.75</v>
      </c>
      <c r="DC33" s="301">
        <f si="6" t="shared"/>
        <v>6266.75</v>
      </c>
      <c r="DD33" s="302">
        <f si="7" t="shared"/>
        <v>0</v>
      </c>
      <c r="DE33" s="357">
        <f si="8" t="shared"/>
        <v>0</v>
      </c>
      <c r="DF33">
        <v>160000</v>
      </c>
    </row>
    <row r="34" spans="2:110" x14ac:dyDescent="0.25">
      <c r="CU34">
        <v>33</v>
      </c>
      <c r="CV34">
        <f si="17" t="shared"/>
        <v>2</v>
      </c>
      <c r="CW34">
        <f si="2" t="shared"/>
        <v>13</v>
      </c>
      <c r="CX34" s="355" t="str">
        <f si="3" t="shared"/>
        <v>2_13</v>
      </c>
      <c r="CY34" s="246">
        <f si="0" t="shared"/>
        <v>36.28127881825143</v>
      </c>
      <c r="CZ34" s="246">
        <f si="1" t="shared"/>
        <v>367</v>
      </c>
      <c r="DA34" s="246">
        <f si="4" t="shared"/>
        <v>28.194904205917258</v>
      </c>
      <c r="DB34" s="246">
        <f si="5" t="shared"/>
        <v>315.892857142857</v>
      </c>
      <c r="DC34" s="301">
        <f si="6" t="shared"/>
        <v>287.69795293693971</v>
      </c>
      <c r="DD34" s="302">
        <f si="7" t="shared"/>
        <v>7.9296530416731672</v>
      </c>
      <c r="DE34" s="357">
        <f si="8" t="shared"/>
        <v>8.9254643048692323E-2</v>
      </c>
      <c r="DF34">
        <v>165000</v>
      </c>
    </row>
    <row r="35" spans="2:110" x14ac:dyDescent="0.25">
      <c r="CU35">
        <v>34</v>
      </c>
      <c r="CV35">
        <f si="17" t="shared"/>
        <v>2</v>
      </c>
      <c r="CW35">
        <f si="2" t="shared"/>
        <v>14</v>
      </c>
      <c r="CX35" s="355" t="str">
        <f si="3" t="shared"/>
        <v>2_14</v>
      </c>
      <c r="CY35" s="246">
        <f si="0" t="shared"/>
        <v>0</v>
      </c>
      <c r="CZ35" s="246">
        <f si="1" t="shared"/>
        <v>250.28571428571399</v>
      </c>
      <c r="DA35" s="246">
        <f si="4" t="shared"/>
        <v>0</v>
      </c>
      <c r="DB35" s="246">
        <f si="5" t="shared"/>
        <v>214.1785714285715</v>
      </c>
      <c r="DC35" s="301">
        <f si="6" t="shared"/>
        <v>214.1785714285715</v>
      </c>
      <c r="DD35" s="302">
        <f si="7" t="shared"/>
        <v>0</v>
      </c>
      <c r="DE35" s="357">
        <f si="8" t="shared"/>
        <v>0</v>
      </c>
      <c r="DF35">
        <v>170000</v>
      </c>
    </row>
    <row r="36" spans="2:110" x14ac:dyDescent="0.25">
      <c r="CU36">
        <v>35</v>
      </c>
      <c r="CV36">
        <f si="17" t="shared"/>
        <v>2</v>
      </c>
      <c r="CW36">
        <f si="2" t="shared"/>
        <v>15</v>
      </c>
      <c r="CX36" s="355" t="str">
        <f si="3" t="shared"/>
        <v>2_15</v>
      </c>
      <c r="CY36" s="246">
        <f si="0" t="shared"/>
        <v>73.14449173539397</v>
      </c>
      <c r="CZ36" s="246">
        <f si="1" t="shared"/>
        <v>462.142857142857</v>
      </c>
      <c r="DA36" s="246">
        <f si="4" t="shared"/>
        <v>62.349850597582567</v>
      </c>
      <c r="DB36" s="246">
        <f si="5" t="shared"/>
        <v>411.857142857143</v>
      </c>
      <c r="DC36" s="301">
        <f si="6" t="shared"/>
        <v>349.50729225956042</v>
      </c>
      <c r="DD36" s="302">
        <f si="7" t="shared"/>
        <v>4.7783132258807797</v>
      </c>
      <c r="DE36" s="357">
        <f si="8" t="shared"/>
        <v>0.15138708088209429</v>
      </c>
      <c r="DF36">
        <v>175000</v>
      </c>
    </row>
    <row r="37" spans="2:110" x14ac:dyDescent="0.25">
      <c r="CU37">
        <v>36</v>
      </c>
      <c r="CV37">
        <f si="17" t="shared"/>
        <v>2</v>
      </c>
      <c r="CW37">
        <f si="2" t="shared"/>
        <v>16</v>
      </c>
      <c r="CX37" s="355" t="str">
        <f si="3" t="shared"/>
        <v>2_16</v>
      </c>
      <c r="CY37" s="246">
        <f si="0" t="shared"/>
        <v>108.21164133402742</v>
      </c>
      <c r="CZ37" s="246">
        <f si="1" t="shared"/>
        <v>211.642857142857</v>
      </c>
      <c r="DA37" s="246">
        <f si="4" t="shared"/>
        <v>111.92589167743543</v>
      </c>
      <c r="DB37" s="246">
        <f si="5" t="shared"/>
        <v>179.8214285714285</v>
      </c>
      <c r="DC37" s="301">
        <f si="6" t="shared"/>
        <v>67.895536893993068</v>
      </c>
      <c r="DD37" s="302">
        <f si="7" t="shared"/>
        <v>0.62743283492404756</v>
      </c>
      <c r="DE37" s="357">
        <f si="8" t="shared"/>
        <v>0.62242799741175636</v>
      </c>
      <c r="DF37">
        <v>180000</v>
      </c>
    </row>
    <row r="38" spans="2:110" x14ac:dyDescent="0.25">
      <c r="CU38">
        <v>37</v>
      </c>
      <c r="CV38">
        <f si="17" t="shared"/>
        <v>2</v>
      </c>
      <c r="CW38">
        <f si="2" t="shared"/>
        <v>17</v>
      </c>
      <c r="CX38" s="355" t="str">
        <f si="3" t="shared"/>
        <v>2_17</v>
      </c>
      <c r="CY38" s="246">
        <f si="0" t="shared"/>
        <v>0</v>
      </c>
      <c r="CZ38" s="246">
        <f si="1" t="shared"/>
        <v>183.857142857143</v>
      </c>
      <c r="DA38" s="246">
        <f si="4" t="shared"/>
        <v>0</v>
      </c>
      <c r="DB38" s="246">
        <f si="5" t="shared"/>
        <v>152.142857142857</v>
      </c>
      <c r="DC38" s="301">
        <f si="6" t="shared"/>
        <v>152.142857142857</v>
      </c>
      <c r="DD38" s="302">
        <f si="7" t="shared"/>
        <v>0</v>
      </c>
      <c r="DE38" s="357">
        <f si="8" t="shared"/>
        <v>0</v>
      </c>
      <c r="DF38">
        <v>185000</v>
      </c>
    </row>
    <row ht="15.75" r="39" spans="2:110" thickBot="1" x14ac:dyDescent="0.3">
      <c r="B39" s="345" t="s">
        <v>329</v>
      </c>
      <c r="W39" s="6"/>
      <c r="X39" s="6"/>
      <c r="Z39" s="345" t="s">
        <v>286</v>
      </c>
      <c r="AA39" s="356"/>
      <c r="AB39" s="356"/>
      <c r="AC39" s="356"/>
      <c r="AD39" s="356"/>
      <c r="AE39" s="356"/>
      <c r="AF39" s="356"/>
      <c r="AG39" s="356"/>
      <c r="AH39" s="356"/>
      <c r="AI39" s="356"/>
      <c r="AJ39" s="356"/>
      <c r="AK39" s="356"/>
      <c r="AL39" s="356"/>
      <c r="AM39" s="356"/>
      <c r="AN39" s="356"/>
      <c r="AO39" s="356"/>
      <c r="AP39" s="356"/>
      <c r="AQ39" s="356"/>
      <c r="AR39" s="356"/>
      <c r="AS39" s="356"/>
      <c r="AT39" s="356"/>
      <c r="AY39" s="345" t="s">
        <v>326</v>
      </c>
      <c r="BW39" s="345" t="s">
        <v>367</v>
      </c>
      <c r="CU39">
        <v>38</v>
      </c>
      <c r="CV39">
        <f si="17" t="shared"/>
        <v>2</v>
      </c>
      <c r="CW39">
        <f si="2" t="shared"/>
        <v>18</v>
      </c>
      <c r="CX39" s="355" t="str">
        <f si="3" t="shared"/>
        <v>2_18</v>
      </c>
      <c r="CY39" s="246">
        <f si="0" t="shared"/>
        <v>0</v>
      </c>
      <c r="CZ39" s="246">
        <f si="1" t="shared"/>
        <v>189.5</v>
      </c>
      <c r="DA39" s="246">
        <f si="4" t="shared"/>
        <v>0</v>
      </c>
      <c r="DB39" s="246">
        <f si="5" t="shared"/>
        <v>174.4285714285715</v>
      </c>
      <c r="DC39" s="301">
        <f si="6" t="shared"/>
        <v>174.4285714285715</v>
      </c>
      <c r="DD39" s="302">
        <f si="7" t="shared"/>
        <v>0</v>
      </c>
      <c r="DE39" s="357">
        <f si="8" t="shared"/>
        <v>0</v>
      </c>
      <c r="DF39">
        <v>190000</v>
      </c>
    </row>
    <row r="40" spans="2:110" x14ac:dyDescent="0.25">
      <c r="B40" s="2" t="s">
        <v>12</v>
      </c>
      <c r="C40" s="2">
        <v>1</v>
      </c>
      <c r="D40" s="2">
        <v>2</v>
      </c>
      <c r="E40" s="2">
        <v>3</v>
      </c>
      <c r="F40" s="2">
        <v>4</v>
      </c>
      <c r="G40" s="2">
        <v>5</v>
      </c>
      <c r="H40" s="2">
        <v>6</v>
      </c>
      <c r="I40" s="2">
        <v>7</v>
      </c>
      <c r="J40" s="2">
        <v>8</v>
      </c>
      <c r="K40" s="2">
        <v>9</v>
      </c>
      <c r="L40" s="2">
        <v>10</v>
      </c>
      <c r="M40" s="2">
        <v>11</v>
      </c>
      <c r="N40" s="2">
        <v>12</v>
      </c>
      <c r="O40" s="2">
        <v>13</v>
      </c>
      <c r="P40" s="2">
        <v>14</v>
      </c>
      <c r="Q40" s="2">
        <v>15</v>
      </c>
      <c r="R40" s="2">
        <v>16</v>
      </c>
      <c r="S40" s="2">
        <v>17</v>
      </c>
      <c r="T40" s="2">
        <v>18</v>
      </c>
      <c r="U40" s="2">
        <v>19</v>
      </c>
      <c r="V40" s="2">
        <v>20</v>
      </c>
      <c r="W40" s="3" t="s">
        <v>13</v>
      </c>
      <c r="X40" s="3" t="s">
        <v>4</v>
      </c>
      <c r="Z40" s="2" t="s">
        <v>12</v>
      </c>
      <c r="AA40" s="2">
        <v>1</v>
      </c>
      <c r="AB40" s="2">
        <v>2</v>
      </c>
      <c r="AC40" s="2">
        <v>3</v>
      </c>
      <c r="AD40" s="2">
        <v>4</v>
      </c>
      <c r="AE40" s="2">
        <v>5</v>
      </c>
      <c r="AF40" s="2">
        <v>6</v>
      </c>
      <c r="AG40" s="2">
        <v>7</v>
      </c>
      <c r="AH40" s="2">
        <v>8</v>
      </c>
      <c r="AI40" s="2">
        <v>9</v>
      </c>
      <c r="AJ40" s="2">
        <v>10</v>
      </c>
      <c r="AK40" s="2">
        <v>11</v>
      </c>
      <c r="AL40" s="2">
        <v>12</v>
      </c>
      <c r="AM40" s="2">
        <v>13</v>
      </c>
      <c r="AN40" s="2">
        <v>14</v>
      </c>
      <c r="AO40" s="2">
        <v>15</v>
      </c>
      <c r="AP40" s="2">
        <v>16</v>
      </c>
      <c r="AQ40" s="2">
        <v>17</v>
      </c>
      <c r="AR40" s="2">
        <v>18</v>
      </c>
      <c r="AS40" s="2">
        <v>19</v>
      </c>
      <c r="AT40" s="2">
        <v>20</v>
      </c>
      <c r="AU40" s="3" t="s">
        <v>13</v>
      </c>
      <c r="AV40" s="3" t="s">
        <v>4</v>
      </c>
      <c r="AY40" s="2" t="s">
        <v>12</v>
      </c>
      <c r="AZ40" s="2">
        <v>1</v>
      </c>
      <c r="BA40" s="2">
        <v>2</v>
      </c>
      <c r="BB40" s="2">
        <v>3</v>
      </c>
      <c r="BC40" s="2">
        <v>4</v>
      </c>
      <c r="BD40" s="2">
        <v>5</v>
      </c>
      <c r="BE40" s="2">
        <v>6</v>
      </c>
      <c r="BF40" s="2">
        <v>7</v>
      </c>
      <c r="BG40" s="2">
        <v>8</v>
      </c>
      <c r="BH40" s="2">
        <v>9</v>
      </c>
      <c r="BI40" s="2">
        <v>10</v>
      </c>
      <c r="BJ40" s="2">
        <v>11</v>
      </c>
      <c r="BK40" s="2">
        <v>12</v>
      </c>
      <c r="BL40" s="2">
        <v>13</v>
      </c>
      <c r="BM40" s="2">
        <v>14</v>
      </c>
      <c r="BN40" s="2">
        <v>15</v>
      </c>
      <c r="BO40" s="2">
        <v>16</v>
      </c>
      <c r="BP40" s="2">
        <v>17</v>
      </c>
      <c r="BQ40" s="2">
        <v>18</v>
      </c>
      <c r="BR40" s="2">
        <v>19</v>
      </c>
      <c r="BS40" s="2">
        <v>20</v>
      </c>
      <c r="BT40" s="3" t="s">
        <v>13</v>
      </c>
      <c r="BU40" s="3" t="s">
        <v>4</v>
      </c>
      <c r="BW40" s="2" t="s">
        <v>12</v>
      </c>
      <c r="BX40" s="2">
        <v>1</v>
      </c>
      <c r="BY40" s="2">
        <v>2</v>
      </c>
      <c r="BZ40" s="2">
        <v>3</v>
      </c>
      <c r="CA40" s="2">
        <v>4</v>
      </c>
      <c r="CB40" s="2">
        <v>5</v>
      </c>
      <c r="CC40" s="2">
        <v>6</v>
      </c>
      <c r="CD40" s="2">
        <v>7</v>
      </c>
      <c r="CE40" s="2">
        <v>8</v>
      </c>
      <c r="CF40" s="2">
        <v>9</v>
      </c>
      <c r="CG40" s="2">
        <v>10</v>
      </c>
      <c r="CH40" s="2">
        <v>11</v>
      </c>
      <c r="CI40" s="2">
        <v>12</v>
      </c>
      <c r="CJ40" s="2">
        <v>13</v>
      </c>
      <c r="CK40" s="2">
        <v>14</v>
      </c>
      <c r="CL40" s="2">
        <v>15</v>
      </c>
      <c r="CM40" s="2">
        <v>16</v>
      </c>
      <c r="CN40" s="2">
        <v>17</v>
      </c>
      <c r="CO40" s="2">
        <v>18</v>
      </c>
      <c r="CP40" s="2">
        <v>19</v>
      </c>
      <c r="CQ40" s="2">
        <v>20</v>
      </c>
      <c r="CR40" s="3" t="s">
        <v>13</v>
      </c>
      <c r="CS40" s="3" t="s">
        <v>4</v>
      </c>
      <c r="CU40">
        <v>39</v>
      </c>
      <c r="CV40">
        <f si="17" t="shared"/>
        <v>2</v>
      </c>
      <c r="CW40">
        <f si="2" t="shared"/>
        <v>19</v>
      </c>
      <c r="CX40" s="355" t="str">
        <f si="3" t="shared"/>
        <v>2_19</v>
      </c>
      <c r="CY40" s="246">
        <f si="0" t="shared"/>
        <v>228.65526912727506</v>
      </c>
      <c r="CZ40" s="246">
        <f si="1" t="shared"/>
        <v>257.78571428571399</v>
      </c>
      <c r="DA40" s="246">
        <f si="4" t="shared"/>
        <v>211.56086640154547</v>
      </c>
      <c r="DB40" s="246">
        <f si="5" t="shared"/>
        <v>218.7142857142855</v>
      </c>
      <c r="DC40" s="301">
        <f si="6" t="shared"/>
        <v>7.1534193127400272</v>
      </c>
      <c r="DD40" s="302">
        <f si="7" t="shared"/>
        <v>3.1284734176662513E-2</v>
      </c>
      <c r="DE40" s="357">
        <f si="8" t="shared"/>
        <v>0.96729331470334401</v>
      </c>
      <c r="DF40">
        <v>195000</v>
      </c>
    </row>
    <row r="41" spans="2:110" x14ac:dyDescent="0.25">
      <c r="B41" s="202">
        <v>1</v>
      </c>
      <c r="C41" s="289">
        <v>47746.520872343332</v>
      </c>
      <c r="D41" s="289">
        <v>217.0248100273202</v>
      </c>
      <c r="E41" s="289">
        <v>9480.3745537266805</v>
      </c>
      <c r="F41" s="289">
        <v>3747.1182813555097</v>
      </c>
      <c r="G41" s="289">
        <v>3794.9594390696202</v>
      </c>
      <c r="H41" s="289">
        <v>9756.8200271402893</v>
      </c>
      <c r="I41" s="289">
        <v>3433.2201601826901</v>
      </c>
      <c r="J41" s="289">
        <v>129.50372158351598</v>
      </c>
      <c r="K41" s="289">
        <v>4008.0903127532197</v>
      </c>
      <c r="L41" s="289">
        <v>2259.04989006915</v>
      </c>
      <c r="M41" s="289">
        <v>1556.5979482145199</v>
      </c>
      <c r="N41" s="289">
        <v>470.30501205381006</v>
      </c>
      <c r="O41" s="289">
        <v>1033.3189817991311</v>
      </c>
      <c r="P41" s="289">
        <v>0</v>
      </c>
      <c r="Q41" s="289">
        <v>355.10874544987598</v>
      </c>
      <c r="R41" s="289">
        <v>619.95015926636802</v>
      </c>
      <c r="S41" s="289">
        <v>0</v>
      </c>
      <c r="T41" s="289">
        <v>98.069715441672088</v>
      </c>
      <c r="U41" s="289">
        <v>512.3590026651741</v>
      </c>
      <c r="V41" s="289">
        <v>0</v>
      </c>
      <c r="W41" s="289"/>
      <c r="X41" s="289">
        <f>SUM(C41:W41)</f>
        <v>89218.391633141888</v>
      </c>
      <c r="Z41" s="202">
        <v>1</v>
      </c>
      <c r="AA41" s="289">
        <f>SUMIFS(model_other_auto_dist!$C:$C,model_other_auto_dist!$A:$A,$Z41,model_other_auto_dist!$B:$B,AA$40)</f>
        <v>19736.642857142899</v>
      </c>
      <c r="AB41" s="289">
        <f>SUMIFS(model_other_auto_dist!$C:$C,model_other_auto_dist!$A:$A,$Z41,model_other_auto_dist!$B:$B,AB$40)</f>
        <v>6949.1428571428596</v>
      </c>
      <c r="AC41" s="289">
        <f>SUMIFS(model_other_auto_dist!$C:$C,model_other_auto_dist!$A:$A,$Z41,model_other_auto_dist!$B:$B,AC$40)</f>
        <v>13171.5</v>
      </c>
      <c r="AD41" s="289">
        <f>SUMIFS(model_other_auto_dist!$C:$C,model_other_auto_dist!$A:$A,$Z41,model_other_auto_dist!$B:$B,AD$40)</f>
        <v>5279.6428571428596</v>
      </c>
      <c r="AE41" s="289">
        <f>SUMIFS(model_other_auto_dist!$C:$C,model_other_auto_dist!$A:$A,$Z41,model_other_auto_dist!$B:$B,AE$40)</f>
        <v>4747.6428571428596</v>
      </c>
      <c r="AF41" s="289">
        <f>SUMIFS(model_other_auto_dist!$C:$C,model_other_auto_dist!$A:$A,$Z41,model_other_auto_dist!$B:$B,AF$40)</f>
        <v>13420.857142857099</v>
      </c>
      <c r="AG41" s="289">
        <f>SUMIFS(model_other_auto_dist!$C:$C,model_other_auto_dist!$A:$A,$Z41,model_other_auto_dist!$B:$B,AG$40)</f>
        <v>4224.4285714285697</v>
      </c>
      <c r="AH41" s="289">
        <f>SUMIFS(model_other_auto_dist!$C:$C,model_other_auto_dist!$A:$A,$Z41,model_other_auto_dist!$B:$B,AH$40)</f>
        <v>1050.57142857143</v>
      </c>
      <c r="AI41" s="289">
        <f>SUMIFS(model_other_auto_dist!$C:$C,model_other_auto_dist!$A:$A,$Z41,model_other_auto_dist!$B:$B,AI$40)</f>
        <v>4966.8571428571404</v>
      </c>
      <c r="AJ41" s="289">
        <f>SUMIFS(model_other_auto_dist!$C:$C,model_other_auto_dist!$A:$A,$Z41,model_other_auto_dist!$B:$B,AJ$40)</f>
        <v>3599</v>
      </c>
      <c r="AK41" s="289">
        <f>SUMIFS(model_other_auto_dist!$C:$C,model_other_auto_dist!$A:$A,$Z41,model_other_auto_dist!$B:$B,AK$40)</f>
        <v>5239.3571428571404</v>
      </c>
      <c r="AL41" s="289">
        <f>SUMIFS(model_other_auto_dist!$C:$C,model_other_auto_dist!$A:$A,$Z41,model_other_auto_dist!$B:$B,AL$40)</f>
        <v>6989.8571428571404</v>
      </c>
      <c r="AM41" s="289">
        <f>SUMIFS(model_other_auto_dist!$C:$C,model_other_auto_dist!$A:$A,$Z41,model_other_auto_dist!$B:$B,AM$40)</f>
        <v>364.5</v>
      </c>
      <c r="AN41" s="289">
        <f>SUMIFS(model_other_auto_dist!$C:$C,model_other_auto_dist!$A:$A,$Z41,model_other_auto_dist!$B:$B,AN$40)</f>
        <v>1645.7142857142901</v>
      </c>
      <c r="AO41" s="289">
        <f>SUMIFS(model_other_auto_dist!$C:$C,model_other_auto_dist!$A:$A,$Z41,model_other_auto_dist!$B:$B,AO$40)</f>
        <v>778.21428571428601</v>
      </c>
      <c r="AP41" s="289">
        <f>SUMIFS(model_other_auto_dist!$C:$C,model_other_auto_dist!$A:$A,$Z41,model_other_auto_dist!$B:$B,AP$40)</f>
        <v>1067.7142857142901</v>
      </c>
      <c r="AQ41" s="289">
        <f>SUMIFS(model_other_auto_dist!$C:$C,model_other_auto_dist!$A:$A,$Z41,model_other_auto_dist!$B:$B,AQ$40)</f>
        <v>1111.42857142857</v>
      </c>
      <c r="AR41" s="289">
        <f>SUMIFS(model_other_auto_dist!$C:$C,model_other_auto_dist!$A:$A,$Z41,model_other_auto_dist!$B:$B,AR$40)</f>
        <v>479.21428571428601</v>
      </c>
      <c r="AS41" s="289">
        <f>SUMIFS(model_other_auto_dist!$C:$C,model_other_auto_dist!$A:$A,$Z41,model_other_auto_dist!$B:$B,AS$40)</f>
        <v>1363.8571428571399</v>
      </c>
      <c r="AT41" s="289">
        <f>SUMIFS(model_other_auto_dist!$C:$C,model_other_auto_dist!$A:$A,$Z41,model_other_auto_dist!$B:$B,AT$40)</f>
        <v>203.71428571428601</v>
      </c>
      <c r="AU41" s="289">
        <f>SUMIFS(model_other_auto_dist!$C:$C,model_other_auto_dist!$A:$A,$Z41,model_other_auto_dist!$B:$B,AU$40)</f>
        <v>0</v>
      </c>
      <c r="AV41" s="290">
        <f>SUM(AA41:AU41)</f>
        <v>96389.857142857174</v>
      </c>
      <c r="AW41" s="346"/>
      <c r="AY41" s="202">
        <v>1</v>
      </c>
      <c r="AZ41" s="289">
        <f>AA41</f>
        <v>19736.642857142899</v>
      </c>
      <c r="BA41" s="289">
        <f ref="BA41:BT41" si="29" t="shared">AB41</f>
        <v>6949.1428571428596</v>
      </c>
      <c r="BB41" s="289">
        <f si="29" t="shared"/>
        <v>13171.5</v>
      </c>
      <c r="BC41" s="289">
        <f si="29" t="shared"/>
        <v>5279.6428571428596</v>
      </c>
      <c r="BD41" s="289">
        <f si="29" t="shared"/>
        <v>4747.6428571428596</v>
      </c>
      <c r="BE41" s="289">
        <f si="29" t="shared"/>
        <v>13420.857142857099</v>
      </c>
      <c r="BF41" s="289">
        <f si="29" t="shared"/>
        <v>4224.4285714285697</v>
      </c>
      <c r="BG41" s="289">
        <f si="29" t="shared"/>
        <v>1050.57142857143</v>
      </c>
      <c r="BH41" s="289">
        <f si="29" t="shared"/>
        <v>4966.8571428571404</v>
      </c>
      <c r="BI41" s="289">
        <f si="29" t="shared"/>
        <v>3599</v>
      </c>
      <c r="BJ41" s="289">
        <f si="29" t="shared"/>
        <v>5239.3571428571404</v>
      </c>
      <c r="BK41" s="289">
        <f si="29" t="shared"/>
        <v>6989.8571428571404</v>
      </c>
      <c r="BL41" s="289">
        <f si="29" t="shared"/>
        <v>364.5</v>
      </c>
      <c r="BM41" s="289">
        <f si="29" t="shared"/>
        <v>1645.7142857142901</v>
      </c>
      <c r="BN41" s="289">
        <f si="29" t="shared"/>
        <v>778.21428571428601</v>
      </c>
      <c r="BO41" s="289">
        <f si="29" t="shared"/>
        <v>1067.7142857142901</v>
      </c>
      <c r="BP41" s="289">
        <f si="29" t="shared"/>
        <v>1111.42857142857</v>
      </c>
      <c r="BQ41" s="289">
        <f si="29" t="shared"/>
        <v>479.21428571428601</v>
      </c>
      <c r="BR41" s="289">
        <f si="29" t="shared"/>
        <v>1363.8571428571399</v>
      </c>
      <c r="BS41" s="289">
        <f si="29" t="shared"/>
        <v>203.71428571428601</v>
      </c>
      <c r="BT41" s="289">
        <f si="29" t="shared"/>
        <v>0</v>
      </c>
      <c r="BU41" s="289">
        <f>SUM(AZ41:BT41)</f>
        <v>96389.857142857174</v>
      </c>
      <c r="BW41" s="202">
        <v>1</v>
      </c>
      <c r="BX41" s="289">
        <f>(AZ41-C67)</f>
        <v>-21805.381935040736</v>
      </c>
      <c r="BY41" s="289">
        <f ref="BY41:CS41" si="30" t="shared">(BA41-D67)</f>
        <v>6760.3196743442968</v>
      </c>
      <c r="BZ41" s="289">
        <f si="30" t="shared"/>
        <v>4923.0674952931549</v>
      </c>
      <c r="CA41" s="289">
        <f si="30" t="shared"/>
        <v>2019.4497017190224</v>
      </c>
      <c r="CB41" s="289">
        <f si="30" t="shared"/>
        <v>1445.8253378169916</v>
      </c>
      <c r="CC41" s="289">
        <f si="30" t="shared"/>
        <v>4931.9023026917312</v>
      </c>
      <c r="CD41" s="289">
        <f si="30" t="shared"/>
        <v>1237.3435565296772</v>
      </c>
      <c r="CE41" s="289">
        <f si="30" t="shared"/>
        <v>937.89626995440324</v>
      </c>
      <c r="CF41" s="289">
        <f si="30" t="shared"/>
        <v>1479.6043734485302</v>
      </c>
      <c r="CG41" s="289">
        <f si="30" t="shared"/>
        <v>1633.5058692142038</v>
      </c>
      <c r="CH41" s="289">
        <f si="30" t="shared"/>
        <v>3885.0337413871534</v>
      </c>
      <c r="CI41" s="289">
        <f si="30" t="shared"/>
        <v>6580.6666486876593</v>
      </c>
      <c r="CJ41" s="289">
        <f si="30" t="shared"/>
        <v>-534.54273601216403</v>
      </c>
      <c r="CK41" s="289">
        <f si="30" t="shared"/>
        <v>1645.7142857142901</v>
      </c>
      <c r="CL41" s="289">
        <f si="30" t="shared"/>
        <v>469.25069972147122</v>
      </c>
      <c r="CM41" s="289">
        <f si="30" t="shared"/>
        <v>528.32451624777025</v>
      </c>
      <c r="CN41" s="289">
        <f si="30" t="shared"/>
        <v>1111.42857142857</v>
      </c>
      <c r="CO41" s="289">
        <f si="30" t="shared"/>
        <v>393.88839231290592</v>
      </c>
      <c r="CP41" s="289">
        <f si="30" t="shared"/>
        <v>918.07742943839901</v>
      </c>
      <c r="CQ41" s="289">
        <f si="30" t="shared"/>
        <v>203.71428571428601</v>
      </c>
      <c r="CR41" s="289">
        <f si="30" t="shared"/>
        <v>0</v>
      </c>
      <c r="CS41" s="289">
        <f si="30" t="shared"/>
        <v>18765.088480611637</v>
      </c>
      <c r="CU41">
        <v>40</v>
      </c>
      <c r="CV41">
        <f si="17" t="shared"/>
        <v>2</v>
      </c>
      <c r="CW41">
        <f si="2" t="shared"/>
        <v>20</v>
      </c>
      <c r="CX41" s="355" t="str">
        <f si="3" t="shared"/>
        <v>2_20</v>
      </c>
      <c r="CY41" s="246">
        <f si="0" t="shared"/>
        <v>0</v>
      </c>
      <c r="CZ41" s="246">
        <f si="1" t="shared"/>
        <v>56.714285714285701</v>
      </c>
      <c r="DA41" s="246">
        <f si="4" t="shared"/>
        <v>0</v>
      </c>
      <c r="DB41" s="246">
        <f si="5" t="shared"/>
        <v>51.571428571428555</v>
      </c>
      <c r="DC41" s="301">
        <f si="6" t="shared"/>
        <v>51.571428571428555</v>
      </c>
      <c r="DD41" s="302">
        <f si="7" t="shared"/>
        <v>0</v>
      </c>
      <c r="DE41" s="357">
        <f si="8" t="shared"/>
        <v>0</v>
      </c>
      <c r="DF41">
        <v>200000</v>
      </c>
    </row>
    <row r="42" spans="2:110" x14ac:dyDescent="0.25">
      <c r="B42">
        <v>2</v>
      </c>
      <c r="C42" s="289">
        <v>315.71066552027014</v>
      </c>
      <c r="D42" s="289">
        <v>24311.486335976522</v>
      </c>
      <c r="E42" s="289">
        <v>3603.2721016824798</v>
      </c>
      <c r="F42" s="289">
        <v>407.52863074461993</v>
      </c>
      <c r="G42" s="289">
        <v>264.9143241593199</v>
      </c>
      <c r="H42" s="289">
        <v>0</v>
      </c>
      <c r="I42" s="289">
        <v>6919.7521198492905</v>
      </c>
      <c r="J42" s="289">
        <v>0</v>
      </c>
      <c r="K42" s="289">
        <v>5007.0558457121897</v>
      </c>
      <c r="L42" s="289">
        <v>66.91149616201983</v>
      </c>
      <c r="M42" s="289">
        <v>757.87478980517017</v>
      </c>
      <c r="N42" s="289">
        <v>0</v>
      </c>
      <c r="O42" s="289">
        <v>41.700057833890014</v>
      </c>
      <c r="P42" s="289">
        <v>0</v>
      </c>
      <c r="Q42" s="289">
        <v>84.068964351445061</v>
      </c>
      <c r="R42" s="289">
        <v>124.37355707702096</v>
      </c>
      <c r="S42" s="289">
        <v>0</v>
      </c>
      <c r="T42" s="289">
        <v>0</v>
      </c>
      <c r="U42" s="289">
        <v>262.80600511342698</v>
      </c>
      <c r="V42" s="289">
        <v>0</v>
      </c>
      <c r="W42" s="289"/>
      <c r="X42" s="289">
        <f ref="X42:X62" si="31" t="shared">SUM(C42:W42)</f>
        <v>42167.454893987662</v>
      </c>
      <c r="Z42">
        <v>2</v>
      </c>
      <c r="AA42" s="289">
        <f>SUMIFS(model_other_auto_dist!$C:$C,model_other_auto_dist!$A:$A,$Z42,model_other_auto_dist!$B:$B,AA$40)</f>
        <v>6592.5714285714303</v>
      </c>
      <c r="AB42" s="289">
        <f>SUMIFS(model_other_auto_dist!$C:$C,model_other_auto_dist!$A:$A,$Z42,model_other_auto_dist!$B:$B,AB$40)</f>
        <v>6921</v>
      </c>
      <c r="AC42" s="289">
        <f>SUMIFS(model_other_auto_dist!$C:$C,model_other_auto_dist!$A:$A,$Z42,model_other_auto_dist!$B:$B,AC$40)</f>
        <v>3165.4285714285702</v>
      </c>
      <c r="AD42" s="289">
        <f>SUMIFS(model_other_auto_dist!$C:$C,model_other_auto_dist!$A:$A,$Z42,model_other_auto_dist!$B:$B,AD$40)</f>
        <v>921.21428571428601</v>
      </c>
      <c r="AE42" s="289">
        <f>SUMIFS(model_other_auto_dist!$C:$C,model_other_auto_dist!$A:$A,$Z42,model_other_auto_dist!$B:$B,AE$40)</f>
        <v>943.78571428571399</v>
      </c>
      <c r="AF42" s="289">
        <f>SUMIFS(model_other_auto_dist!$C:$C,model_other_auto_dist!$A:$A,$Z42,model_other_auto_dist!$B:$B,AF$40)</f>
        <v>4626.1428571428596</v>
      </c>
      <c r="AG42" s="289">
        <f>SUMIFS(model_other_auto_dist!$C:$C,model_other_auto_dist!$A:$A,$Z42,model_other_auto_dist!$B:$B,AG$40)</f>
        <v>5432.3571428571404</v>
      </c>
      <c r="AH42" s="289">
        <f>SUMIFS(model_other_auto_dist!$C:$C,model_other_auto_dist!$A:$A,$Z42,model_other_auto_dist!$B:$B,AH$40)</f>
        <v>154.857142857143</v>
      </c>
      <c r="AI42" s="289">
        <f>SUMIFS(model_other_auto_dist!$C:$C,model_other_auto_dist!$A:$A,$Z42,model_other_auto_dist!$B:$B,AI$40)</f>
        <v>7380.2857142857101</v>
      </c>
      <c r="AJ42" s="289">
        <f>SUMIFS(model_other_auto_dist!$C:$C,model_other_auto_dist!$A:$A,$Z42,model_other_auto_dist!$B:$B,AJ$40)</f>
        <v>736.142857142857</v>
      </c>
      <c r="AK42" s="289">
        <f>SUMIFS(model_other_auto_dist!$C:$C,model_other_auto_dist!$A:$A,$Z42,model_other_auto_dist!$B:$B,AK$40)</f>
        <v>1340.3571428571399</v>
      </c>
      <c r="AL42" s="289">
        <f>SUMIFS(model_other_auto_dist!$C:$C,model_other_auto_dist!$A:$A,$Z42,model_other_auto_dist!$B:$B,AL$40)</f>
        <v>6553.5714285714303</v>
      </c>
      <c r="AM42" s="289">
        <f>SUMIFS(model_other_auto_dist!$C:$C,model_other_auto_dist!$A:$A,$Z42,model_other_auto_dist!$B:$B,AM$40)</f>
        <v>367</v>
      </c>
      <c r="AN42" s="289">
        <f>SUMIFS(model_other_auto_dist!$C:$C,model_other_auto_dist!$A:$A,$Z42,model_other_auto_dist!$B:$B,AN$40)</f>
        <v>250.28571428571399</v>
      </c>
      <c r="AO42" s="289">
        <f>SUMIFS(model_other_auto_dist!$C:$C,model_other_auto_dist!$A:$A,$Z42,model_other_auto_dist!$B:$B,AO$40)</f>
        <v>462.142857142857</v>
      </c>
      <c r="AP42" s="289">
        <f>SUMIFS(model_other_auto_dist!$C:$C,model_other_auto_dist!$A:$A,$Z42,model_other_auto_dist!$B:$B,AP$40)</f>
        <v>211.642857142857</v>
      </c>
      <c r="AQ42" s="289">
        <f>SUMIFS(model_other_auto_dist!$C:$C,model_other_auto_dist!$A:$A,$Z42,model_other_auto_dist!$B:$B,AQ$40)</f>
        <v>183.857142857143</v>
      </c>
      <c r="AR42" s="289">
        <f>SUMIFS(model_other_auto_dist!$C:$C,model_other_auto_dist!$A:$A,$Z42,model_other_auto_dist!$B:$B,AR$40)</f>
        <v>189.5</v>
      </c>
      <c r="AS42" s="289">
        <f>SUMIFS(model_other_auto_dist!$C:$C,model_other_auto_dist!$A:$A,$Z42,model_other_auto_dist!$B:$B,AS$40)</f>
        <v>257.78571428571399</v>
      </c>
      <c r="AT42" s="289">
        <f>SUMIFS(model_other_auto_dist!$C:$C,model_other_auto_dist!$A:$A,$Z42,model_other_auto_dist!$B:$B,AT$40)</f>
        <v>56.714285714285701</v>
      </c>
      <c r="AU42" s="289">
        <f>SUMIFS(model_other_auto_dist!$C:$C,model_other_auto_dist!$A:$A,$Z42,model_other_auto_dist!$B:$B,AU$40)</f>
        <v>0</v>
      </c>
      <c r="AV42" s="12">
        <f ref="AV42:AV60" si="32" t="shared">SUM(AA42:AU42)</f>
        <v>46746.642857142848</v>
      </c>
      <c r="AW42" s="346"/>
      <c r="AY42">
        <v>2</v>
      </c>
      <c r="AZ42" s="289">
        <f ref="AZ42:AZ61" si="33" t="shared">AA42</f>
        <v>6592.5714285714303</v>
      </c>
      <c r="BA42" s="289">
        <f ref="BA42:BA61" si="34" t="shared">AB42</f>
        <v>6921</v>
      </c>
      <c r="BB42" s="289">
        <f ref="BB42:BB61" si="35" t="shared">AC42</f>
        <v>3165.4285714285702</v>
      </c>
      <c r="BC42" s="289">
        <f ref="BC42:BC61" si="36" t="shared">AD42</f>
        <v>921.21428571428601</v>
      </c>
      <c r="BD42" s="289">
        <f ref="BD42:BD61" si="37" t="shared">AE42</f>
        <v>943.78571428571399</v>
      </c>
      <c r="BE42" s="289">
        <f ref="BE42:BE61" si="38" t="shared">AF42</f>
        <v>4626.1428571428596</v>
      </c>
      <c r="BF42" s="289">
        <f ref="BF42:BF61" si="39" t="shared">AG42</f>
        <v>5432.3571428571404</v>
      </c>
      <c r="BG42" s="289">
        <f ref="BG42:BG61" si="40" t="shared">AH42</f>
        <v>154.857142857143</v>
      </c>
      <c r="BH42" s="289">
        <f ref="BH42:BH61" si="41" t="shared">AI42</f>
        <v>7380.2857142857101</v>
      </c>
      <c r="BI42" s="289">
        <f ref="BI42:BI61" si="42" t="shared">AJ42</f>
        <v>736.142857142857</v>
      </c>
      <c r="BJ42" s="289">
        <f ref="BJ42:BJ61" si="43" t="shared">AK42</f>
        <v>1340.3571428571399</v>
      </c>
      <c r="BK42" s="289">
        <f ref="BK42:BK61" si="44" t="shared">AL42</f>
        <v>6553.5714285714303</v>
      </c>
      <c r="BL42" s="289">
        <f ref="BL42:BL61" si="45" t="shared">AM42</f>
        <v>367</v>
      </c>
      <c r="BM42" s="289">
        <f ref="BM42:BM61" si="46" t="shared">AN42</f>
        <v>250.28571428571399</v>
      </c>
      <c r="BN42" s="289">
        <f ref="BN42:BN61" si="47" t="shared">AO42</f>
        <v>462.142857142857</v>
      </c>
      <c r="BO42" s="289">
        <f ref="BO42:BO61" si="48" t="shared">AP42</f>
        <v>211.642857142857</v>
      </c>
      <c r="BP42" s="289">
        <f ref="BP42:BP61" si="49" t="shared">AQ42</f>
        <v>183.857142857143</v>
      </c>
      <c r="BQ42" s="289">
        <f ref="BQ42:BQ61" si="50" t="shared">AR42</f>
        <v>189.5</v>
      </c>
      <c r="BR42" s="289">
        <f ref="BR42:BR61" si="51" t="shared">AS42</f>
        <v>257.78571428571399</v>
      </c>
      <c r="BS42" s="289">
        <f ref="BS42:BS61" si="52" t="shared">AT42</f>
        <v>56.714285714285701</v>
      </c>
      <c r="BT42" s="289">
        <f ref="BT42:BT61" si="53" t="shared">AU42</f>
        <v>0</v>
      </c>
      <c r="BU42" s="289">
        <f ref="BU42:BU61" si="54" t="shared">SUM(AZ42:BT42)</f>
        <v>46746.642857142848</v>
      </c>
      <c r="BW42">
        <v>2</v>
      </c>
      <c r="BX42" s="289">
        <f ref="BX42:BX60" si="55" t="shared">(AZ42-C68)</f>
        <v>6317.8862775995876</v>
      </c>
      <c r="BY42" s="289">
        <f ref="BY42:BY60" si="56" t="shared">(BA42-D68)</f>
        <v>-14231.292348257193</v>
      </c>
      <c r="BZ42" s="289">
        <f ref="BZ42:BZ60" si="57" t="shared">(BB42-E68)</f>
        <v>30.38927963837159</v>
      </c>
      <c r="CA42" s="289">
        <f ref="CA42:CA60" si="58" t="shared">(BC42-F68)</f>
        <v>566.64259813141291</v>
      </c>
      <c r="CB42" s="289">
        <f ref="CB42:CB60" si="59" t="shared">(BD42-G68)</f>
        <v>713.29609491732958</v>
      </c>
      <c r="CC42" s="289">
        <f ref="CC42:CC60" si="60" t="shared">(BE42-H68)</f>
        <v>4626.1428571428596</v>
      </c>
      <c r="CD42" s="289">
        <f ref="CD42:CD60" si="61" t="shared">(BF42-I68)</f>
        <v>-588.1970015402776</v>
      </c>
      <c r="CE42" s="289">
        <f ref="CE42:CE60" si="62" t="shared">(BG42-J68)</f>
        <v>154.857142857143</v>
      </c>
      <c r="CF42" s="289">
        <f ref="CF42:CF60" si="63" t="shared">(BH42-K68)</f>
        <v>3023.8795452467539</v>
      </c>
      <c r="CG42" s="289">
        <f ref="CG42:CG60" si="64" t="shared">(BI42-L68)</f>
        <v>677.92627964862527</v>
      </c>
      <c r="CH42" s="289">
        <f ref="CH42:CH60" si="65" t="shared">(BJ42-M68)</f>
        <v>680.9655739586841</v>
      </c>
      <c r="CI42" s="289">
        <f ref="CI42:CI60" si="66" t="shared">(BK42-N68)</f>
        <v>6553.5714285714303</v>
      </c>
      <c r="CJ42" s="289">
        <f ref="CJ42:CJ60" si="67" t="shared">(BL42-O68)</f>
        <v>330.71872118174855</v>
      </c>
      <c r="CK42" s="289">
        <f ref="CK42:CK60" si="68" t="shared">(BM42-P68)</f>
        <v>250.28571428571399</v>
      </c>
      <c r="CL42" s="289">
        <f ref="CL42:CL60" si="69" t="shared">(BN42-Q68)</f>
        <v>388.99836540746304</v>
      </c>
      <c r="CM42" s="289">
        <f ref="CM42:CM60" si="70" t="shared">(BO42-R68)</f>
        <v>103.43121580882958</v>
      </c>
      <c r="CN42" s="289">
        <f ref="CN42:CN60" si="71" t="shared">(BP42-S68)</f>
        <v>183.857142857143</v>
      </c>
      <c r="CO42" s="289">
        <f ref="CO42:CO60" si="72" t="shared">(BQ42-T68)</f>
        <v>189.5</v>
      </c>
      <c r="CP42" s="289">
        <f ref="CP42:CP60" si="73" t="shared">(BR42-U68)</f>
        <v>29.130445158438931</v>
      </c>
      <c r="CQ42" s="289">
        <f ref="CQ42:CQ60" si="74" t="shared">(BS42-V68)</f>
        <v>56.714285714285701</v>
      </c>
      <c r="CR42" s="289">
        <f ref="CR42:CR60" si="75" t="shared">(BT42-W68)</f>
        <v>0</v>
      </c>
      <c r="CS42" s="289">
        <f ref="CS42:CS60" si="76" t="shared">(BU42-X68)</f>
        <v>10058.703618328349</v>
      </c>
      <c r="CU42">
        <v>41</v>
      </c>
      <c r="CV42">
        <f si="17" t="shared"/>
        <v>3</v>
      </c>
      <c r="CW42">
        <f si="2" t="shared"/>
        <v>1</v>
      </c>
      <c r="CX42" s="355" t="str">
        <f si="3" t="shared"/>
        <v>1_3</v>
      </c>
      <c r="CY42" s="246">
        <f si="0" t="shared"/>
        <v>8299.8618473478509</v>
      </c>
      <c r="CZ42" s="246">
        <f si="1" t="shared"/>
        <v>12425.5</v>
      </c>
      <c r="DA42" s="246">
        <f si="4" t="shared"/>
        <v>8274.1471760273489</v>
      </c>
      <c r="DB42" s="246">
        <f si="5" t="shared"/>
        <v>12798.5</v>
      </c>
      <c r="DC42" s="301">
        <f si="6" t="shared"/>
        <v>4524.3528239726511</v>
      </c>
      <c r="DD42" s="302">
        <f si="7" t="shared"/>
        <v>0.54511182320683671</v>
      </c>
      <c r="DE42" s="357">
        <f si="8" t="shared"/>
        <v>0.64649350908523251</v>
      </c>
      <c r="DF42">
        <v>205000</v>
      </c>
    </row>
    <row r="43" spans="2:110" x14ac:dyDescent="0.25">
      <c r="B43">
        <v>3</v>
      </c>
      <c r="C43" s="289">
        <v>9539.4851097032806</v>
      </c>
      <c r="D43" s="289">
        <v>3702.8660219580506</v>
      </c>
      <c r="E43" s="289">
        <v>73439.289114168845</v>
      </c>
      <c r="F43" s="289">
        <v>6745.7004681018207</v>
      </c>
      <c r="G43" s="289">
        <v>2855.3360191666179</v>
      </c>
      <c r="H43" s="289">
        <v>4959.8571561754197</v>
      </c>
      <c r="I43" s="289">
        <v>3527.8252510986899</v>
      </c>
      <c r="J43" s="289">
        <v>2110.7615469790207</v>
      </c>
      <c r="K43" s="289">
        <v>6499.0996685926293</v>
      </c>
      <c r="L43" s="289">
        <v>1352.5948314754901</v>
      </c>
      <c r="M43" s="289">
        <v>13966.156141990741</v>
      </c>
      <c r="N43" s="289">
        <v>2449.3795339958701</v>
      </c>
      <c r="O43" s="289">
        <v>774.28437923359888</v>
      </c>
      <c r="P43" s="289">
        <v>0</v>
      </c>
      <c r="Q43" s="289">
        <v>322.23016701620395</v>
      </c>
      <c r="R43" s="289">
        <v>115.67002694357998</v>
      </c>
      <c r="S43" s="289">
        <v>0</v>
      </c>
      <c r="T43" s="289">
        <v>146.31177912801996</v>
      </c>
      <c r="U43" s="289">
        <v>894.59572834273592</v>
      </c>
      <c r="V43" s="289">
        <v>0</v>
      </c>
      <c r="W43" s="289"/>
      <c r="X43" s="289">
        <f si="31" t="shared"/>
        <v>133401.44294407062</v>
      </c>
      <c r="Z43">
        <v>3</v>
      </c>
      <c r="AA43" s="289">
        <f>SUMIFS(model_other_auto_dist!$C:$C,model_other_auto_dist!$A:$A,$Z43,model_other_auto_dist!$B:$B,AA$40)</f>
        <v>12425.5</v>
      </c>
      <c r="AB43" s="289">
        <f>SUMIFS(model_other_auto_dist!$C:$C,model_other_auto_dist!$A:$A,$Z43,model_other_auto_dist!$B:$B,AB$40)</f>
        <v>2994.8571428571399</v>
      </c>
      <c r="AC43" s="289">
        <f>SUMIFS(model_other_auto_dist!$C:$C,model_other_auto_dist!$A:$A,$Z43,model_other_auto_dist!$B:$B,AC$40)</f>
        <v>43191.428571428602</v>
      </c>
      <c r="AD43" s="289">
        <f>SUMIFS(model_other_auto_dist!$C:$C,model_other_auto_dist!$A:$A,$Z43,model_other_auto_dist!$B:$B,AD$40)</f>
        <v>5729.6428571428596</v>
      </c>
      <c r="AE43" s="289">
        <f>SUMIFS(model_other_auto_dist!$C:$C,model_other_auto_dist!$A:$A,$Z43,model_other_auto_dist!$B:$B,AE$40)</f>
        <v>2363.0714285714298</v>
      </c>
      <c r="AF43" s="289">
        <f>SUMIFS(model_other_auto_dist!$C:$C,model_other_auto_dist!$A:$A,$Z43,model_other_auto_dist!$B:$B,AF$40)</f>
        <v>4903.7857142857101</v>
      </c>
      <c r="AG43" s="289">
        <f>SUMIFS(model_other_auto_dist!$C:$C,model_other_auto_dist!$A:$A,$Z43,model_other_auto_dist!$B:$B,AG$40)</f>
        <v>2138.1428571428601</v>
      </c>
      <c r="AH43" s="289">
        <f>SUMIFS(model_other_auto_dist!$C:$C,model_other_auto_dist!$A:$A,$Z43,model_other_auto_dist!$B:$B,AH$40)</f>
        <v>1786.2142857142901</v>
      </c>
      <c r="AI43" s="289">
        <f>SUMIFS(model_other_auto_dist!$C:$C,model_other_auto_dist!$A:$A,$Z43,model_other_auto_dist!$B:$B,AI$40)</f>
        <v>4276.4285714285697</v>
      </c>
      <c r="AJ43" s="289">
        <f>SUMIFS(model_other_auto_dist!$C:$C,model_other_auto_dist!$A:$A,$Z43,model_other_auto_dist!$B:$B,AJ$40)</f>
        <v>1083.6428571428601</v>
      </c>
      <c r="AK43" s="289">
        <f>SUMIFS(model_other_auto_dist!$C:$C,model_other_auto_dist!$A:$A,$Z43,model_other_auto_dist!$B:$B,AK$40)</f>
        <v>14025.857142857099</v>
      </c>
      <c r="AL43" s="289">
        <f>SUMIFS(model_other_auto_dist!$C:$C,model_other_auto_dist!$A:$A,$Z43,model_other_auto_dist!$B:$B,AL$40)</f>
        <v>2513.1428571428601</v>
      </c>
      <c r="AM43" s="289">
        <f>SUMIFS(model_other_auto_dist!$C:$C,model_other_auto_dist!$A:$A,$Z43,model_other_auto_dist!$B:$B,AM$40)</f>
        <v>227.78571428571399</v>
      </c>
      <c r="AN43" s="289">
        <f>SUMIFS(model_other_auto_dist!$C:$C,model_other_auto_dist!$A:$A,$Z43,model_other_auto_dist!$B:$B,AN$40)</f>
        <v>1853.7142857142901</v>
      </c>
      <c r="AO43" s="289">
        <f>SUMIFS(model_other_auto_dist!$C:$C,model_other_auto_dist!$A:$A,$Z43,model_other_auto_dist!$B:$B,AO$40)</f>
        <v>522.57142857142901</v>
      </c>
      <c r="AP43" s="289">
        <f>SUMIFS(model_other_auto_dist!$C:$C,model_other_auto_dist!$A:$A,$Z43,model_other_auto_dist!$B:$B,AP$40)</f>
        <v>353.71428571428601</v>
      </c>
      <c r="AQ43" s="289">
        <f>SUMIFS(model_other_auto_dist!$C:$C,model_other_auto_dist!$A:$A,$Z43,model_other_auto_dist!$B:$B,AQ$40)</f>
        <v>1596.3571428571399</v>
      </c>
      <c r="AR43" s="289">
        <f>SUMIFS(model_other_auto_dist!$C:$C,model_other_auto_dist!$A:$A,$Z43,model_other_auto_dist!$B:$B,AR$40)</f>
        <v>221</v>
      </c>
      <c r="AS43" s="289">
        <f>SUMIFS(model_other_auto_dist!$C:$C,model_other_auto_dist!$A:$A,$Z43,model_other_auto_dist!$B:$B,AS$40)</f>
        <v>2003.8571428571399</v>
      </c>
      <c r="AT43" s="289">
        <f>SUMIFS(model_other_auto_dist!$C:$C,model_other_auto_dist!$A:$A,$Z43,model_other_auto_dist!$B:$B,AT$40)</f>
        <v>99.785714285714306</v>
      </c>
      <c r="AU43" s="289">
        <f>SUMIFS(model_other_auto_dist!$C:$C,model_other_auto_dist!$A:$A,$Z43,model_other_auto_dist!$B:$B,AU$40)</f>
        <v>0</v>
      </c>
      <c r="AV43" s="12">
        <f si="32" t="shared"/>
        <v>104310.49999999999</v>
      </c>
      <c r="AW43" s="346"/>
      <c r="AY43">
        <v>3</v>
      </c>
      <c r="AZ43" s="289">
        <f si="33" t="shared"/>
        <v>12425.5</v>
      </c>
      <c r="BA43" s="289">
        <f si="34" t="shared"/>
        <v>2994.8571428571399</v>
      </c>
      <c r="BB43" s="289">
        <f si="35" t="shared"/>
        <v>43191.428571428602</v>
      </c>
      <c r="BC43" s="289">
        <f si="36" t="shared"/>
        <v>5729.6428571428596</v>
      </c>
      <c r="BD43" s="289">
        <f si="37" t="shared"/>
        <v>2363.0714285714298</v>
      </c>
      <c r="BE43" s="289">
        <f si="38" t="shared"/>
        <v>4903.7857142857101</v>
      </c>
      <c r="BF43" s="289">
        <f si="39" t="shared"/>
        <v>2138.1428571428601</v>
      </c>
      <c r="BG43" s="289">
        <f si="40" t="shared"/>
        <v>1786.2142857142901</v>
      </c>
      <c r="BH43" s="289">
        <f si="41" t="shared"/>
        <v>4276.4285714285697</v>
      </c>
      <c r="BI43" s="289">
        <f si="42" t="shared"/>
        <v>1083.6428571428601</v>
      </c>
      <c r="BJ43" s="289">
        <f si="43" t="shared"/>
        <v>14025.857142857099</v>
      </c>
      <c r="BK43" s="289">
        <f si="44" t="shared"/>
        <v>2513.1428571428601</v>
      </c>
      <c r="BL43" s="289">
        <f si="45" t="shared"/>
        <v>227.78571428571399</v>
      </c>
      <c r="BM43" s="289">
        <f si="46" t="shared"/>
        <v>1853.7142857142901</v>
      </c>
      <c r="BN43" s="289">
        <f si="47" t="shared"/>
        <v>522.57142857142901</v>
      </c>
      <c r="BO43" s="289">
        <f si="48" t="shared"/>
        <v>353.71428571428601</v>
      </c>
      <c r="BP43" s="289">
        <f si="49" t="shared"/>
        <v>1596.3571428571399</v>
      </c>
      <c r="BQ43" s="289">
        <f si="50" t="shared"/>
        <v>221</v>
      </c>
      <c r="BR43" s="289">
        <f si="51" t="shared"/>
        <v>2003.8571428571399</v>
      </c>
      <c r="BS43" s="289">
        <f si="52" t="shared"/>
        <v>99.785714285714306</v>
      </c>
      <c r="BT43" s="289">
        <f si="53" t="shared"/>
        <v>0</v>
      </c>
      <c r="BU43" s="289">
        <f si="54" t="shared"/>
        <v>104310.49999999999</v>
      </c>
      <c r="BW43">
        <v>3</v>
      </c>
      <c r="BX43" s="289">
        <f si="55" t="shared"/>
        <v>4125.6381526521491</v>
      </c>
      <c r="BY43" s="289">
        <f si="56" t="shared"/>
        <v>-226.83418199532616</v>
      </c>
      <c r="BZ43" s="289">
        <f si="57" t="shared"/>
        <v>-20704.677644517637</v>
      </c>
      <c r="CA43" s="289">
        <f si="58" t="shared"/>
        <v>-139.47704869829795</v>
      </c>
      <c r="CB43" s="289">
        <f si="59" t="shared"/>
        <v>-121.22350079884563</v>
      </c>
      <c r="CC43" s="289">
        <f si="60" t="shared"/>
        <v>588.44492750020345</v>
      </c>
      <c r="CD43" s="289">
        <f si="61" t="shared"/>
        <v>-931.25364266624956</v>
      </c>
      <c r="CE43" s="289">
        <f si="62" t="shared"/>
        <v>-50.261061870273807</v>
      </c>
      <c r="CF43" s="289">
        <f si="63" t="shared"/>
        <v>-1378.1354601872672</v>
      </c>
      <c r="CG43" s="289">
        <f si="64" t="shared"/>
        <v>-93.186930584803122</v>
      </c>
      <c r="CH43" s="289">
        <f si="65" t="shared"/>
        <v>1874.5549306334742</v>
      </c>
      <c r="CI43" s="289">
        <f si="66" t="shared"/>
        <v>382.05176468878153</v>
      </c>
      <c r="CJ43" s="289">
        <f si="67" t="shared"/>
        <v>-445.88307436426931</v>
      </c>
      <c r="CK43" s="289">
        <f si="68" t="shared"/>
        <v>1853.7142857142901</v>
      </c>
      <c r="CL43" s="289">
        <f si="69" t="shared"/>
        <v>242.21396288788492</v>
      </c>
      <c r="CM43" s="289">
        <f si="70" t="shared"/>
        <v>253.07518072378835</v>
      </c>
      <c r="CN43" s="289">
        <f si="71" t="shared"/>
        <v>1596.3571428571399</v>
      </c>
      <c r="CO43" s="289">
        <f si="72" t="shared"/>
        <v>93.700933075830264</v>
      </c>
      <c r="CP43" s="289">
        <f si="73" t="shared"/>
        <v>1225.5110508946159</v>
      </c>
      <c r="CQ43" s="289">
        <f si="74" t="shared"/>
        <v>99.785714285714306</v>
      </c>
      <c r="CR43" s="289">
        <f si="75" t="shared"/>
        <v>0</v>
      </c>
      <c r="CS43" s="289">
        <f si="76" t="shared"/>
        <v>-11755.884499769105</v>
      </c>
      <c r="CU43">
        <v>42</v>
      </c>
      <c r="CV43">
        <f si="17" t="shared"/>
        <v>3</v>
      </c>
      <c r="CW43">
        <f si="2" t="shared"/>
        <v>2</v>
      </c>
      <c r="CX43" s="355" t="str">
        <f si="3" t="shared"/>
        <v>2_3</v>
      </c>
      <c r="CY43" s="246">
        <f si="0" t="shared"/>
        <v>3221.6913248524661</v>
      </c>
      <c r="CZ43" s="246">
        <f si="1" t="shared"/>
        <v>2994.8571428571399</v>
      </c>
      <c r="DA43" s="246">
        <f si="4" t="shared"/>
        <v>3178.3653083213321</v>
      </c>
      <c r="DB43" s="246">
        <f si="5" t="shared"/>
        <v>3080.1428571428551</v>
      </c>
      <c r="DC43" s="301">
        <f si="6" t="shared"/>
        <v>-98.222451178477058</v>
      </c>
      <c r="DD43" s="302">
        <f si="7" t="shared"/>
        <v>-3.0487852892913336E-2</v>
      </c>
      <c r="DE43" s="357">
        <f si="8" t="shared"/>
        <v>1.0318889271485245</v>
      </c>
      <c r="DF43">
        <v>210000</v>
      </c>
    </row>
    <row r="44" spans="2:110" x14ac:dyDescent="0.25">
      <c r="B44">
        <v>4</v>
      </c>
      <c r="C44" s="289">
        <v>3616.7695167124402</v>
      </c>
      <c r="D44" s="289">
        <v>380.30014440039986</v>
      </c>
      <c r="E44" s="289">
        <v>6611.4146148500104</v>
      </c>
      <c r="F44" s="289">
        <v>21963.88509347276</v>
      </c>
      <c r="G44" s="289">
        <v>5844.6560914014972</v>
      </c>
      <c r="H44" s="289">
        <v>1905.4008810716098</v>
      </c>
      <c r="I44" s="289">
        <v>2172.6800659214468</v>
      </c>
      <c r="J44" s="289">
        <v>1759.154757799141</v>
      </c>
      <c r="K44" s="289">
        <v>1152.84092177003</v>
      </c>
      <c r="L44" s="289">
        <v>1664.2212379298981</v>
      </c>
      <c r="M44" s="289">
        <v>3263.30718888301</v>
      </c>
      <c r="N44" s="289">
        <v>0</v>
      </c>
      <c r="O44" s="289">
        <v>455.19883260296285</v>
      </c>
      <c r="P44" s="289">
        <v>0</v>
      </c>
      <c r="Q44" s="289">
        <v>106.97067108569001</v>
      </c>
      <c r="R44" s="289">
        <v>203.0163142581776</v>
      </c>
      <c r="S44" s="289">
        <v>0</v>
      </c>
      <c r="T44" s="289">
        <v>0</v>
      </c>
      <c r="U44" s="289">
        <v>296.5641680486425</v>
      </c>
      <c r="V44" s="289">
        <v>0</v>
      </c>
      <c r="W44" s="289"/>
      <c r="X44" s="289">
        <f si="31" t="shared"/>
        <v>51396.380500207728</v>
      </c>
      <c r="Z44">
        <v>4</v>
      </c>
      <c r="AA44" s="289">
        <f>SUMIFS(model_other_auto_dist!$C:$C,model_other_auto_dist!$A:$A,$Z44,model_other_auto_dist!$B:$B,AA$40)</f>
        <v>5133.3571428571404</v>
      </c>
      <c r="AB44" s="289">
        <f>SUMIFS(model_other_auto_dist!$C:$C,model_other_auto_dist!$A:$A,$Z44,model_other_auto_dist!$B:$B,AB$40)</f>
        <v>912.78571428571399</v>
      </c>
      <c r="AC44" s="289">
        <f>SUMIFS(model_other_auto_dist!$C:$C,model_other_auto_dist!$A:$A,$Z44,model_other_auto_dist!$B:$B,AC$40)</f>
        <v>5688</v>
      </c>
      <c r="AD44" s="289">
        <f>SUMIFS(model_other_auto_dist!$C:$C,model_other_auto_dist!$A:$A,$Z44,model_other_auto_dist!$B:$B,AD$40)</f>
        <v>10915.357142857099</v>
      </c>
      <c r="AE44" s="289">
        <f>SUMIFS(model_other_auto_dist!$C:$C,model_other_auto_dist!$A:$A,$Z44,model_other_auto_dist!$B:$B,AE$40)</f>
        <v>3314.8571428571399</v>
      </c>
      <c r="AF44" s="289">
        <f>SUMIFS(model_other_auto_dist!$C:$C,model_other_auto_dist!$A:$A,$Z44,model_other_auto_dist!$B:$B,AF$40)</f>
        <v>3579.2857142857101</v>
      </c>
      <c r="AG44" s="289">
        <f>SUMIFS(model_other_auto_dist!$C:$C,model_other_auto_dist!$A:$A,$Z44,model_other_auto_dist!$B:$B,AG$40)</f>
        <v>721.28571428571399</v>
      </c>
      <c r="AH44" s="289">
        <f>SUMIFS(model_other_auto_dist!$C:$C,model_other_auto_dist!$A:$A,$Z44,model_other_auto_dist!$B:$B,AH$40)</f>
        <v>1367.57142857143</v>
      </c>
      <c r="AI44" s="289">
        <f>SUMIFS(model_other_auto_dist!$C:$C,model_other_auto_dist!$A:$A,$Z44,model_other_auto_dist!$B:$B,AI$40)</f>
        <v>896.78571428571399</v>
      </c>
      <c r="AJ44" s="289">
        <f>SUMIFS(model_other_auto_dist!$C:$C,model_other_auto_dist!$A:$A,$Z44,model_other_auto_dist!$B:$B,AJ$40)</f>
        <v>1537.1428571428601</v>
      </c>
      <c r="AK44" s="289">
        <f>SUMIFS(model_other_auto_dist!$C:$C,model_other_auto_dist!$A:$A,$Z44,model_other_auto_dist!$B:$B,AK$40)</f>
        <v>2514.6428571428601</v>
      </c>
      <c r="AL44" s="289">
        <f>SUMIFS(model_other_auto_dist!$C:$C,model_other_auto_dist!$A:$A,$Z44,model_other_auto_dist!$B:$B,AL$40)</f>
        <v>1305.5</v>
      </c>
      <c r="AM44" s="289">
        <f>SUMIFS(model_other_auto_dist!$C:$C,model_other_auto_dist!$A:$A,$Z44,model_other_auto_dist!$B:$B,AM$40)</f>
        <v>84.214285714285694</v>
      </c>
      <c r="AN44" s="289">
        <f>SUMIFS(model_other_auto_dist!$C:$C,model_other_auto_dist!$A:$A,$Z44,model_other_auto_dist!$B:$B,AN$40)</f>
        <v>1311.07142857143</v>
      </c>
      <c r="AO44" s="289">
        <f>SUMIFS(model_other_auto_dist!$C:$C,model_other_auto_dist!$A:$A,$Z44,model_other_auto_dist!$B:$B,AO$40)</f>
        <v>158.28571428571399</v>
      </c>
      <c r="AP44" s="289">
        <f>SUMIFS(model_other_auto_dist!$C:$C,model_other_auto_dist!$A:$A,$Z44,model_other_auto_dist!$B:$B,AP$40)</f>
        <v>376.28571428571399</v>
      </c>
      <c r="AQ44" s="289">
        <f>SUMIFS(model_other_auto_dist!$C:$C,model_other_auto_dist!$A:$A,$Z44,model_other_auto_dist!$B:$B,AQ$40)</f>
        <v>512.357142857143</v>
      </c>
      <c r="AR44" s="289">
        <f>SUMIFS(model_other_auto_dist!$C:$C,model_other_auto_dist!$A:$A,$Z44,model_other_auto_dist!$B:$B,AR$40)</f>
        <v>101.428571428571</v>
      </c>
      <c r="AS44" s="289">
        <f>SUMIFS(model_other_auto_dist!$C:$C,model_other_auto_dist!$A:$A,$Z44,model_other_auto_dist!$B:$B,AS$40)</f>
        <v>596.42857142857099</v>
      </c>
      <c r="AT44" s="289">
        <f>SUMIFS(model_other_auto_dist!$C:$C,model_other_auto_dist!$A:$A,$Z44,model_other_auto_dist!$B:$B,AT$40)</f>
        <v>50.928571428571402</v>
      </c>
      <c r="AU44" s="289">
        <f>SUMIFS(model_other_auto_dist!$C:$C,model_other_auto_dist!$A:$A,$Z44,model_other_auto_dist!$B:$B,AU$40)</f>
        <v>0</v>
      </c>
      <c r="AV44" s="12">
        <f si="32" t="shared"/>
        <v>41077.571428571398</v>
      </c>
      <c r="AW44" s="346"/>
      <c r="AY44">
        <v>4</v>
      </c>
      <c r="AZ44" s="289">
        <f si="33" t="shared"/>
        <v>5133.3571428571404</v>
      </c>
      <c r="BA44" s="289">
        <f si="34" t="shared"/>
        <v>912.78571428571399</v>
      </c>
      <c r="BB44" s="289">
        <f si="35" t="shared"/>
        <v>5688</v>
      </c>
      <c r="BC44" s="289">
        <f si="36" t="shared"/>
        <v>10915.357142857099</v>
      </c>
      <c r="BD44" s="289">
        <f si="37" t="shared"/>
        <v>3314.8571428571399</v>
      </c>
      <c r="BE44" s="289">
        <f si="38" t="shared"/>
        <v>3579.2857142857101</v>
      </c>
      <c r="BF44" s="289">
        <f si="39" t="shared"/>
        <v>721.28571428571399</v>
      </c>
      <c r="BG44" s="289">
        <f si="40" t="shared"/>
        <v>1367.57142857143</v>
      </c>
      <c r="BH44" s="289">
        <f si="41" t="shared"/>
        <v>896.78571428571399</v>
      </c>
      <c r="BI44" s="289">
        <f si="42" t="shared"/>
        <v>1537.1428571428601</v>
      </c>
      <c r="BJ44" s="289">
        <f si="43" t="shared"/>
        <v>2514.6428571428601</v>
      </c>
      <c r="BK44" s="289">
        <f si="44" t="shared"/>
        <v>1305.5</v>
      </c>
      <c r="BL44" s="289">
        <f si="45" t="shared"/>
        <v>84.214285714285694</v>
      </c>
      <c r="BM44" s="289">
        <f si="46" t="shared"/>
        <v>1311.07142857143</v>
      </c>
      <c r="BN44" s="289">
        <f si="47" t="shared"/>
        <v>158.28571428571399</v>
      </c>
      <c r="BO44" s="289">
        <f si="48" t="shared"/>
        <v>376.28571428571399</v>
      </c>
      <c r="BP44" s="289">
        <f si="49" t="shared"/>
        <v>512.357142857143</v>
      </c>
      <c r="BQ44" s="289">
        <f si="50" t="shared"/>
        <v>101.428571428571</v>
      </c>
      <c r="BR44" s="289">
        <f si="51" t="shared"/>
        <v>596.42857142857099</v>
      </c>
      <c r="BS44" s="289">
        <f si="52" t="shared"/>
        <v>50.928571428571402</v>
      </c>
      <c r="BT44" s="289">
        <f si="53" t="shared"/>
        <v>0</v>
      </c>
      <c r="BU44" s="289">
        <f si="54" t="shared"/>
        <v>41077.571428571398</v>
      </c>
      <c r="BW44">
        <v>4</v>
      </c>
      <c r="BX44" s="289">
        <f si="55" t="shared"/>
        <v>1986.5743786722901</v>
      </c>
      <c r="BY44" s="289">
        <f si="56" t="shared"/>
        <v>581.90426494636529</v>
      </c>
      <c r="BZ44" s="289">
        <f si="57" t="shared"/>
        <v>-64.284037109671772</v>
      </c>
      <c r="CA44" s="289">
        <f si="58" t="shared"/>
        <v>-8194.3966657021756</v>
      </c>
      <c r="CB44" s="289">
        <f si="59" t="shared"/>
        <v>-1770.306002326633</v>
      </c>
      <c r="CC44" s="289">
        <f si="60" t="shared"/>
        <v>1921.4851207690717</v>
      </c>
      <c r="CD44" s="289">
        <f si="61" t="shared"/>
        <v>-1169.0620537811449</v>
      </c>
      <c r="CE44" s="289">
        <f si="62" t="shared"/>
        <v>-162.98722212409848</v>
      </c>
      <c r="CF44" s="289">
        <f si="63" t="shared"/>
        <v>-106.24749690172087</v>
      </c>
      <c r="CG44" s="289">
        <f si="64" t="shared"/>
        <v>89.181442098520165</v>
      </c>
      <c r="CH44" s="289">
        <f si="65" t="shared"/>
        <v>-324.60879236556093</v>
      </c>
      <c r="CI44" s="289">
        <f si="66" t="shared"/>
        <v>1305.5</v>
      </c>
      <c r="CJ44" s="289">
        <f si="67" t="shared"/>
        <v>-311.83302504000801</v>
      </c>
      <c r="CK44" s="289">
        <f si="68" t="shared"/>
        <v>1311.07142857143</v>
      </c>
      <c r="CL44" s="289">
        <f si="69" t="shared"/>
        <v>65.215513795938264</v>
      </c>
      <c r="CM44" s="289">
        <f si="70" t="shared"/>
        <v>199.65067143767908</v>
      </c>
      <c r="CN44" s="289">
        <f si="71" t="shared"/>
        <v>512.357142857143</v>
      </c>
      <c r="CO44" s="289">
        <f si="72" t="shared"/>
        <v>101.428571428571</v>
      </c>
      <c r="CP44" s="289">
        <f si="73" t="shared"/>
        <v>338.40189646959658</v>
      </c>
      <c r="CQ44" s="289">
        <f si="74" t="shared"/>
        <v>50.928571428571402</v>
      </c>
      <c r="CR44" s="289">
        <f si="75" t="shared"/>
        <v>0</v>
      </c>
      <c r="CS44" s="289">
        <f si="76" t="shared"/>
        <v>-3640.0262928758166</v>
      </c>
      <c r="CU44">
        <v>43</v>
      </c>
      <c r="CV44">
        <f si="17" t="shared"/>
        <v>3</v>
      </c>
      <c r="CW44">
        <f si="2" t="shared"/>
        <v>3</v>
      </c>
      <c r="CX44" s="355" t="str">
        <f si="3" t="shared"/>
        <v>3_3</v>
      </c>
      <c r="CY44" s="246">
        <f si="0" t="shared"/>
        <v>63896.106215946238</v>
      </c>
      <c r="CZ44" s="246">
        <f si="1" t="shared"/>
        <v>43191.428571428602</v>
      </c>
      <c r="DA44" s="246">
        <f si="4" t="shared"/>
        <v>63896.106215946238</v>
      </c>
      <c r="DB44" s="246">
        <f si="5" t="shared"/>
        <v>43191.428571428602</v>
      </c>
      <c r="DC44" s="301">
        <f si="6" t="shared"/>
        <v>-20704.677644517637</v>
      </c>
      <c r="DD44" s="302">
        <f si="7" t="shared"/>
        <v>-0.32403660990770156</v>
      </c>
      <c r="DE44" s="357">
        <f si="8" t="shared"/>
        <v>1.4793700585818064</v>
      </c>
      <c r="DF44">
        <v>215000</v>
      </c>
    </row>
    <row r="45" spans="2:110" x14ac:dyDescent="0.25">
      <c r="B45">
        <v>5</v>
      </c>
      <c r="C45" s="289">
        <v>3659.9764707839495</v>
      </c>
      <c r="D45" s="289">
        <v>297.83789860695993</v>
      </c>
      <c r="E45" s="289">
        <v>2834.7275014006182</v>
      </c>
      <c r="F45" s="289">
        <v>5951.4883340766173</v>
      </c>
      <c r="G45" s="289">
        <v>16422.160577131566</v>
      </c>
      <c r="H45" s="289">
        <v>7519.8096982138595</v>
      </c>
      <c r="I45" s="289">
        <v>2285.5385463902494</v>
      </c>
      <c r="J45" s="289">
        <v>252.06251621243899</v>
      </c>
      <c r="K45" s="289">
        <v>1156.692824631491</v>
      </c>
      <c r="L45" s="289">
        <v>6874.9135876738137</v>
      </c>
      <c r="M45" s="289">
        <v>1689.4587540196048</v>
      </c>
      <c r="N45" s="289">
        <v>1097.25440265014</v>
      </c>
      <c r="O45" s="289">
        <v>520.34277715895303</v>
      </c>
      <c r="P45" s="289">
        <v>234.76290560490997</v>
      </c>
      <c r="Q45" s="289">
        <v>70.080070173723982</v>
      </c>
      <c r="R45" s="289">
        <v>683.20061075886997</v>
      </c>
      <c r="S45" s="289">
        <v>44.108486291790001</v>
      </c>
      <c r="T45" s="289">
        <v>54.822967730363018</v>
      </c>
      <c r="U45" s="289">
        <v>201.02274472068598</v>
      </c>
      <c r="V45" s="289">
        <v>0</v>
      </c>
      <c r="W45" s="289"/>
      <c r="X45" s="289">
        <f si="31" t="shared"/>
        <v>51850.261674230613</v>
      </c>
      <c r="Z45">
        <v>5</v>
      </c>
      <c r="AA45" s="289">
        <f>SUMIFS(model_other_auto_dist!$C:$C,model_other_auto_dist!$A:$A,$Z45,model_other_auto_dist!$B:$B,AA$40)</f>
        <v>4672.0714285714303</v>
      </c>
      <c r="AB45" s="289">
        <f>SUMIFS(model_other_auto_dist!$C:$C,model_other_auto_dist!$A:$A,$Z45,model_other_auto_dist!$B:$B,AB$40)</f>
        <v>1014.28571428571</v>
      </c>
      <c r="AC45" s="289">
        <f>SUMIFS(model_other_auto_dist!$C:$C,model_other_auto_dist!$A:$A,$Z45,model_other_auto_dist!$B:$B,AC$40)</f>
        <v>2422.4285714285702</v>
      </c>
      <c r="AD45" s="289">
        <f>SUMIFS(model_other_auto_dist!$C:$C,model_other_auto_dist!$A:$A,$Z45,model_other_auto_dist!$B:$B,AD$40)</f>
        <v>3347.7857142857101</v>
      </c>
      <c r="AE45" s="289">
        <f>SUMIFS(model_other_auto_dist!$C:$C,model_other_auto_dist!$A:$A,$Z45,model_other_auto_dist!$B:$B,AE$40)</f>
        <v>7503.5</v>
      </c>
      <c r="AF45" s="289">
        <f>SUMIFS(model_other_auto_dist!$C:$C,model_other_auto_dist!$A:$A,$Z45,model_other_auto_dist!$B:$B,AF$40)</f>
        <v>7453.8571428571404</v>
      </c>
      <c r="AG45" s="289">
        <f>SUMIFS(model_other_auto_dist!$C:$C,model_other_auto_dist!$A:$A,$Z45,model_other_auto_dist!$B:$B,AG$40)</f>
        <v>918.42857142857099</v>
      </c>
      <c r="AH45" s="289">
        <f>SUMIFS(model_other_auto_dist!$C:$C,model_other_auto_dist!$A:$A,$Z45,model_other_auto_dist!$B:$B,AH$40)</f>
        <v>389.78571428571399</v>
      </c>
      <c r="AI45" s="289">
        <f>SUMIFS(model_other_auto_dist!$C:$C,model_other_auto_dist!$A:$A,$Z45,model_other_auto_dist!$B:$B,AI$40)</f>
        <v>998.07142857142901</v>
      </c>
      <c r="AJ45" s="289">
        <f>SUMIFS(model_other_auto_dist!$C:$C,model_other_auto_dist!$A:$A,$Z45,model_other_auto_dist!$B:$B,AJ$40)</f>
        <v>5316.2857142857101</v>
      </c>
      <c r="AK45" s="289">
        <f>SUMIFS(model_other_auto_dist!$C:$C,model_other_auto_dist!$A:$A,$Z45,model_other_auto_dist!$B:$B,AK$40)</f>
        <v>1228.6428571428601</v>
      </c>
      <c r="AL45" s="289">
        <f>SUMIFS(model_other_auto_dist!$C:$C,model_other_auto_dist!$A:$A,$Z45,model_other_auto_dist!$B:$B,AL$40)</f>
        <v>2630.2142857142899</v>
      </c>
      <c r="AM45" s="289">
        <f>SUMIFS(model_other_auto_dist!$C:$C,model_other_auto_dist!$A:$A,$Z45,model_other_auto_dist!$B:$B,AM$40)</f>
        <v>91.928571428571402</v>
      </c>
      <c r="AN45" s="289">
        <f>SUMIFS(model_other_auto_dist!$C:$C,model_other_auto_dist!$A:$A,$Z45,model_other_auto_dist!$B:$B,AN$40)</f>
        <v>644.142857142857</v>
      </c>
      <c r="AO45" s="289">
        <f>SUMIFS(model_other_auto_dist!$C:$C,model_other_auto_dist!$A:$A,$Z45,model_other_auto_dist!$B:$B,AO$40)</f>
        <v>171.92857142857099</v>
      </c>
      <c r="AP45" s="289">
        <f>SUMIFS(model_other_auto_dist!$C:$C,model_other_auto_dist!$A:$A,$Z45,model_other_auto_dist!$B:$B,AP$40)</f>
        <v>911.21428571428601</v>
      </c>
      <c r="AQ45" s="289">
        <f>SUMIFS(model_other_auto_dist!$C:$C,model_other_auto_dist!$A:$A,$Z45,model_other_auto_dist!$B:$B,AQ$40)</f>
        <v>301.857142857143</v>
      </c>
      <c r="AR45" s="289">
        <f>SUMIFS(model_other_auto_dist!$C:$C,model_other_auto_dist!$A:$A,$Z45,model_other_auto_dist!$B:$B,AR$40)</f>
        <v>161.42857142857099</v>
      </c>
      <c r="AS45" s="289">
        <f>SUMIFS(model_other_auto_dist!$C:$C,model_other_auto_dist!$A:$A,$Z45,model_other_auto_dist!$B:$B,AS$40)</f>
        <v>353.92857142857099</v>
      </c>
      <c r="AT45" s="289">
        <f>SUMIFS(model_other_auto_dist!$C:$C,model_other_auto_dist!$A:$A,$Z45,model_other_auto_dist!$B:$B,AT$40)</f>
        <v>85.642857142857096</v>
      </c>
      <c r="AU45" s="289">
        <f>SUMIFS(model_other_auto_dist!$C:$C,model_other_auto_dist!$A:$A,$Z45,model_other_auto_dist!$B:$B,AU$40)</f>
        <v>0</v>
      </c>
      <c r="AV45" s="12">
        <f si="32" t="shared"/>
        <v>40617.428571428565</v>
      </c>
      <c r="AW45" s="346"/>
      <c r="AY45">
        <v>5</v>
      </c>
      <c r="AZ45" s="289">
        <f si="33" t="shared"/>
        <v>4672.0714285714303</v>
      </c>
      <c r="BA45" s="289">
        <f si="34" t="shared"/>
        <v>1014.28571428571</v>
      </c>
      <c r="BB45" s="289">
        <f si="35" t="shared"/>
        <v>2422.4285714285702</v>
      </c>
      <c r="BC45" s="289">
        <f si="36" t="shared"/>
        <v>3347.7857142857101</v>
      </c>
      <c r="BD45" s="289">
        <f si="37" t="shared"/>
        <v>7503.5</v>
      </c>
      <c r="BE45" s="289">
        <f si="38" t="shared"/>
        <v>7453.8571428571404</v>
      </c>
      <c r="BF45" s="289">
        <f si="39" t="shared"/>
        <v>918.42857142857099</v>
      </c>
      <c r="BG45" s="289">
        <f si="40" t="shared"/>
        <v>389.78571428571399</v>
      </c>
      <c r="BH45" s="289">
        <f si="41" t="shared"/>
        <v>998.07142857142901</v>
      </c>
      <c r="BI45" s="289">
        <f si="42" t="shared"/>
        <v>5316.2857142857101</v>
      </c>
      <c r="BJ45" s="289">
        <f si="43" t="shared"/>
        <v>1228.6428571428601</v>
      </c>
      <c r="BK45" s="289">
        <f si="44" t="shared"/>
        <v>2630.2142857142899</v>
      </c>
      <c r="BL45" s="289">
        <f si="45" t="shared"/>
        <v>91.928571428571402</v>
      </c>
      <c r="BM45" s="289">
        <f si="46" t="shared"/>
        <v>644.142857142857</v>
      </c>
      <c r="BN45" s="289">
        <f si="47" t="shared"/>
        <v>171.92857142857099</v>
      </c>
      <c r="BO45" s="289">
        <f si="48" t="shared"/>
        <v>911.21428571428601</v>
      </c>
      <c r="BP45" s="289">
        <f si="49" t="shared"/>
        <v>301.857142857143</v>
      </c>
      <c r="BQ45" s="289">
        <f si="50" t="shared"/>
        <v>161.42857142857099</v>
      </c>
      <c r="BR45" s="289">
        <f si="51" t="shared"/>
        <v>353.92857142857099</v>
      </c>
      <c r="BS45" s="289">
        <f si="52" t="shared"/>
        <v>85.642857142857096</v>
      </c>
      <c r="BT45" s="289">
        <f si="53" t="shared"/>
        <v>0</v>
      </c>
      <c r="BU45" s="289">
        <f si="54" t="shared"/>
        <v>40617.428571428565</v>
      </c>
      <c r="BW45">
        <v>5</v>
      </c>
      <c r="BX45" s="289">
        <f si="55" t="shared"/>
        <v>1487.6963053111972</v>
      </c>
      <c r="BY45" s="289">
        <f si="56" t="shared"/>
        <v>755.15082567126001</v>
      </c>
      <c r="BZ45" s="289">
        <f si="57" t="shared"/>
        <v>-43.93584614055726</v>
      </c>
      <c r="CA45" s="289">
        <f si="58" t="shared"/>
        <v>-1830.327191272856</v>
      </c>
      <c r="CB45" s="289">
        <f si="59" t="shared"/>
        <v>-6784.657322716741</v>
      </c>
      <c r="CC45" s="289">
        <f si="60" t="shared"/>
        <v>911.22083746194312</v>
      </c>
      <c r="CD45" s="289">
        <f si="61" t="shared"/>
        <v>-1070.1121059432012</v>
      </c>
      <c r="CE45" s="289">
        <f si="62" t="shared"/>
        <v>170.47785464765909</v>
      </c>
      <c r="CF45" s="289">
        <f si="63" t="shared"/>
        <v>-8.3131439559392675</v>
      </c>
      <c r="CG45" s="289">
        <f si="64" t="shared"/>
        <v>-665.25651089231724</v>
      </c>
      <c r="CH45" s="289">
        <f si="65" t="shared"/>
        <v>-241.27654562365979</v>
      </c>
      <c r="CI45" s="289">
        <f si="66" t="shared"/>
        <v>1675.5443167736262</v>
      </c>
      <c r="CJ45" s="289">
        <f si="67" t="shared"/>
        <v>-360.79745246255993</v>
      </c>
      <c r="CK45" s="289">
        <f si="68" t="shared"/>
        <v>439.88658324598168</v>
      </c>
      <c r="CL45" s="289">
        <f si="69" t="shared"/>
        <v>110.95516521163486</v>
      </c>
      <c r="CM45" s="289">
        <f si="70" t="shared"/>
        <v>316.79324326677897</v>
      </c>
      <c r="CN45" s="289">
        <f si="71" t="shared"/>
        <v>263.48040257111717</v>
      </c>
      <c r="CO45" s="289">
        <f si="72" t="shared"/>
        <v>113.72965969582071</v>
      </c>
      <c r="CP45" s="289">
        <f si="73" t="shared"/>
        <v>179.02804061698041</v>
      </c>
      <c r="CQ45" s="289">
        <f si="74" t="shared"/>
        <v>85.642857142857096</v>
      </c>
      <c r="CR45" s="289">
        <f si="75" t="shared"/>
        <v>0</v>
      </c>
      <c r="CS45" s="289">
        <f si="76" t="shared"/>
        <v>-4495.0700273909897</v>
      </c>
      <c r="CU45">
        <v>44</v>
      </c>
      <c r="CV45">
        <f si="17" t="shared"/>
        <v>3</v>
      </c>
      <c r="CW45">
        <f si="2" t="shared"/>
        <v>4</v>
      </c>
      <c r="CX45" s="355" t="str">
        <f si="3" t="shared"/>
        <v>3_4</v>
      </c>
      <c r="CY45" s="246">
        <f si="0" t="shared"/>
        <v>5869.1199058411576</v>
      </c>
      <c r="CZ45" s="246">
        <f si="1" t="shared"/>
        <v>5729.6428571428596</v>
      </c>
      <c r="DA45" s="246">
        <f si="4" t="shared"/>
        <v>5810.7019714754151</v>
      </c>
      <c r="DB45" s="246">
        <f si="5" t="shared"/>
        <v>5708.8214285714294</v>
      </c>
      <c r="DC45" s="301">
        <f si="6" t="shared"/>
        <v>-101.88054290398577</v>
      </c>
      <c r="DD45" s="302">
        <f si="7" t="shared"/>
        <v>-1.7358742799340431E-2</v>
      </c>
      <c r="DE45" s="357">
        <f si="8" t="shared"/>
        <v>1.0178461603990792</v>
      </c>
      <c r="DF45">
        <v>220000</v>
      </c>
    </row>
    <row r="46" spans="2:110" x14ac:dyDescent="0.25">
      <c r="B46">
        <v>6</v>
      </c>
      <c r="C46" s="289">
        <v>9839.6682643013901</v>
      </c>
      <c r="D46" s="289">
        <v>0</v>
      </c>
      <c r="E46" s="289">
        <v>4902.5875206228802</v>
      </c>
      <c r="F46" s="289">
        <v>1902.5084723132097</v>
      </c>
      <c r="G46" s="289">
        <v>7441.6695044311109</v>
      </c>
      <c r="H46" s="289">
        <v>56894.019304183275</v>
      </c>
      <c r="I46" s="289">
        <v>4926.2784106823001</v>
      </c>
      <c r="J46" s="289">
        <v>0</v>
      </c>
      <c r="K46" s="289">
        <v>3071.9614547788401</v>
      </c>
      <c r="L46" s="289">
        <v>7227.9852076250809</v>
      </c>
      <c r="M46" s="289">
        <v>1050.7754259462104</v>
      </c>
      <c r="N46" s="289">
        <v>11749.969926717002</v>
      </c>
      <c r="O46" s="289">
        <v>1608.299453569402</v>
      </c>
      <c r="P46" s="289">
        <v>0</v>
      </c>
      <c r="Q46" s="289">
        <v>0</v>
      </c>
      <c r="R46" s="289">
        <v>1320.287605774987</v>
      </c>
      <c r="S46" s="289">
        <v>0</v>
      </c>
      <c r="T46" s="289">
        <v>0</v>
      </c>
      <c r="U46" s="289">
        <v>720.02491098889095</v>
      </c>
      <c r="V46" s="289">
        <v>0</v>
      </c>
      <c r="W46" s="289"/>
      <c r="X46" s="289">
        <f si="31" t="shared"/>
        <v>112656.03546193457</v>
      </c>
      <c r="Z46">
        <v>6</v>
      </c>
      <c r="AA46" s="289">
        <f>SUMIFS(model_other_auto_dist!$C:$C,model_other_auto_dist!$A:$A,$Z46,model_other_auto_dist!$B:$B,AA$40)</f>
        <v>13171.5714285714</v>
      </c>
      <c r="AB46" s="289">
        <f>SUMIFS(model_other_auto_dist!$C:$C,model_other_auto_dist!$A:$A,$Z46,model_other_auto_dist!$B:$B,AB$40)</f>
        <v>4766.5714285714303</v>
      </c>
      <c r="AC46" s="289">
        <f>SUMIFS(model_other_auto_dist!$C:$C,model_other_auto_dist!$A:$A,$Z46,model_other_auto_dist!$B:$B,AC$40)</f>
        <v>5265.7857142857101</v>
      </c>
      <c r="AD46" s="289">
        <f>SUMIFS(model_other_auto_dist!$C:$C,model_other_auto_dist!$A:$A,$Z46,model_other_auto_dist!$B:$B,AD$40)</f>
        <v>3901.2142857142899</v>
      </c>
      <c r="AE46" s="289">
        <f>SUMIFS(model_other_auto_dist!$C:$C,model_other_auto_dist!$A:$A,$Z46,model_other_auto_dist!$B:$B,AE$40)</f>
        <v>7603.5</v>
      </c>
      <c r="AF46" s="289">
        <f>SUMIFS(model_other_auto_dist!$C:$C,model_other_auto_dist!$A:$A,$Z46,model_other_auto_dist!$B:$B,AF$40)</f>
        <v>31855.571428571398</v>
      </c>
      <c r="AG46" s="289">
        <f>SUMIFS(model_other_auto_dist!$C:$C,model_other_auto_dist!$A:$A,$Z46,model_other_auto_dist!$B:$B,AG$40)</f>
        <v>4578</v>
      </c>
      <c r="AH46" s="289">
        <f>SUMIFS(model_other_auto_dist!$C:$C,model_other_auto_dist!$A:$A,$Z46,model_other_auto_dist!$B:$B,AH$40)</f>
        <v>543.857142857143</v>
      </c>
      <c r="AI46" s="289">
        <f>SUMIFS(model_other_auto_dist!$C:$C,model_other_auto_dist!$A:$A,$Z46,model_other_auto_dist!$B:$B,AI$40)</f>
        <v>3857.4285714285702</v>
      </c>
      <c r="AJ46" s="289">
        <f>SUMIFS(model_other_auto_dist!$C:$C,model_other_auto_dist!$A:$A,$Z46,model_other_auto_dist!$B:$B,AJ$40)</f>
        <v>7911.1428571428596</v>
      </c>
      <c r="AK46" s="289">
        <f>SUMIFS(model_other_auto_dist!$C:$C,model_other_auto_dist!$A:$A,$Z46,model_other_auto_dist!$B:$B,AK$40)</f>
        <v>2749.2142857142899</v>
      </c>
      <c r="AL46" s="289">
        <f>SUMIFS(model_other_auto_dist!$C:$C,model_other_auto_dist!$A:$A,$Z46,model_other_auto_dist!$B:$B,AL$40)</f>
        <v>15850.642857142901</v>
      </c>
      <c r="AM46" s="289">
        <f>SUMIFS(model_other_auto_dist!$C:$C,model_other_auto_dist!$A:$A,$Z46,model_other_auto_dist!$B:$B,AM$40)</f>
        <v>413.357142857143</v>
      </c>
      <c r="AN46" s="289">
        <f>SUMIFS(model_other_auto_dist!$C:$C,model_other_auto_dist!$A:$A,$Z46,model_other_auto_dist!$B:$B,AN$40)</f>
        <v>1051.1428571428601</v>
      </c>
      <c r="AO46" s="289">
        <f>SUMIFS(model_other_auto_dist!$C:$C,model_other_auto_dist!$A:$A,$Z46,model_other_auto_dist!$B:$B,AO$40)</f>
        <v>533.57142857142901</v>
      </c>
      <c r="AP46" s="289">
        <f>SUMIFS(model_other_auto_dist!$C:$C,model_other_auto_dist!$A:$A,$Z46,model_other_auto_dist!$B:$B,AP$40)</f>
        <v>1582.5</v>
      </c>
      <c r="AQ46" s="289">
        <f>SUMIFS(model_other_auto_dist!$C:$C,model_other_auto_dist!$A:$A,$Z46,model_other_auto_dist!$B:$B,AQ$40)</f>
        <v>548.57142857142901</v>
      </c>
      <c r="AR46" s="289">
        <f>SUMIFS(model_other_auto_dist!$C:$C,model_other_auto_dist!$A:$A,$Z46,model_other_auto_dist!$B:$B,AR$40)</f>
        <v>544.857142857143</v>
      </c>
      <c r="AS46" s="289">
        <f>SUMIFS(model_other_auto_dist!$C:$C,model_other_auto_dist!$A:$A,$Z46,model_other_auto_dist!$B:$B,AS$40)</f>
        <v>771.78571428571399</v>
      </c>
      <c r="AT46" s="289">
        <f>SUMIFS(model_other_auto_dist!$C:$C,model_other_auto_dist!$A:$A,$Z46,model_other_auto_dist!$B:$B,AT$40)</f>
        <v>266.57142857142901</v>
      </c>
      <c r="AU46" s="289">
        <f>SUMIFS(model_other_auto_dist!$C:$C,model_other_auto_dist!$A:$A,$Z46,model_other_auto_dist!$B:$B,AU$40)</f>
        <v>0</v>
      </c>
      <c r="AV46" s="12">
        <f si="32" t="shared"/>
        <v>107766.85714285714</v>
      </c>
      <c r="AW46" s="346"/>
      <c r="AY46">
        <v>6</v>
      </c>
      <c r="AZ46" s="289">
        <f si="33" t="shared"/>
        <v>13171.5714285714</v>
      </c>
      <c r="BA46" s="289">
        <f si="34" t="shared"/>
        <v>4766.5714285714303</v>
      </c>
      <c r="BB46" s="289">
        <f si="35" t="shared"/>
        <v>5265.7857142857101</v>
      </c>
      <c r="BC46" s="289">
        <f si="36" t="shared"/>
        <v>3901.2142857142899</v>
      </c>
      <c r="BD46" s="289">
        <f si="37" t="shared"/>
        <v>7603.5</v>
      </c>
      <c r="BE46" s="289">
        <f si="38" t="shared"/>
        <v>31855.571428571398</v>
      </c>
      <c r="BF46" s="289">
        <f si="39" t="shared"/>
        <v>4578</v>
      </c>
      <c r="BG46" s="289">
        <f si="40" t="shared"/>
        <v>543.857142857143</v>
      </c>
      <c r="BH46" s="289">
        <f si="41" t="shared"/>
        <v>3857.4285714285702</v>
      </c>
      <c r="BI46" s="289">
        <f si="42" t="shared"/>
        <v>7911.1428571428596</v>
      </c>
      <c r="BJ46" s="289">
        <f si="43" t="shared"/>
        <v>2749.2142857142899</v>
      </c>
      <c r="BK46" s="289">
        <f si="44" t="shared"/>
        <v>15850.642857142901</v>
      </c>
      <c r="BL46" s="289">
        <f si="45" t="shared"/>
        <v>413.357142857143</v>
      </c>
      <c r="BM46" s="289">
        <f si="46" t="shared"/>
        <v>1051.1428571428601</v>
      </c>
      <c r="BN46" s="289">
        <f si="47" t="shared"/>
        <v>533.57142857142901</v>
      </c>
      <c r="BO46" s="289">
        <f si="48" t="shared"/>
        <v>1582.5</v>
      </c>
      <c r="BP46" s="289">
        <f si="49" t="shared"/>
        <v>548.57142857142901</v>
      </c>
      <c r="BQ46" s="289">
        <f si="50" t="shared"/>
        <v>544.857142857143</v>
      </c>
      <c r="BR46" s="289">
        <f si="51" t="shared"/>
        <v>771.78571428571399</v>
      </c>
      <c r="BS46" s="289">
        <f si="52" t="shared"/>
        <v>266.57142857142901</v>
      </c>
      <c r="BT46" s="289">
        <f si="53" t="shared"/>
        <v>0</v>
      </c>
      <c r="BU46" s="289">
        <f si="54" t="shared"/>
        <v>107766.85714285714</v>
      </c>
      <c r="BW46">
        <v>6</v>
      </c>
      <c r="BX46" s="289">
        <f si="55" t="shared"/>
        <v>4610.5341945634118</v>
      </c>
      <c r="BY46" s="289">
        <f si="56" t="shared"/>
        <v>4766.5714285714303</v>
      </c>
      <c r="BZ46" s="289">
        <f si="57" t="shared"/>
        <v>1000.2725709912083</v>
      </c>
      <c r="CA46" s="289">
        <f si="58" t="shared"/>
        <v>2245.9302423913678</v>
      </c>
      <c r="CB46" s="289">
        <f si="59" t="shared"/>
        <v>1128.8498391045841</v>
      </c>
      <c r="CC46" s="289">
        <f si="60" t="shared"/>
        <v>-17645.265852965145</v>
      </c>
      <c r="CD46" s="289">
        <f si="61" t="shared"/>
        <v>291.87451628327926</v>
      </c>
      <c r="CE46" s="289">
        <f si="62" t="shared"/>
        <v>543.857142857143</v>
      </c>
      <c r="CF46" s="289">
        <f si="63" t="shared"/>
        <v>1184.6579363439309</v>
      </c>
      <c r="CG46" s="289">
        <f si="64" t="shared"/>
        <v>1622.4094540223177</v>
      </c>
      <c r="CH46" s="289">
        <f si="65" t="shared"/>
        <v>1834.9835104001588</v>
      </c>
      <c r="CI46" s="289">
        <f si="66" t="shared"/>
        <v>5627.5410879451647</v>
      </c>
      <c r="CJ46" s="289">
        <f si="67" t="shared"/>
        <v>-985.94933126410831</v>
      </c>
      <c r="CK46" s="289">
        <f si="68" t="shared"/>
        <v>1051.1428571428601</v>
      </c>
      <c r="CL46" s="289">
        <f si="69" t="shared"/>
        <v>533.57142857142901</v>
      </c>
      <c r="CM46" s="289">
        <f si="70" t="shared"/>
        <v>433.77922516995227</v>
      </c>
      <c r="CN46" s="289">
        <f si="71" t="shared"/>
        <v>548.57142857142901</v>
      </c>
      <c r="CO46" s="289">
        <f si="72" t="shared"/>
        <v>544.857142857143</v>
      </c>
      <c r="CP46" s="289">
        <f si="73" t="shared"/>
        <v>145.32556270185023</v>
      </c>
      <c r="CQ46" s="289">
        <f si="74" t="shared"/>
        <v>266.57142857142901</v>
      </c>
      <c r="CR46" s="289">
        <f si="75" t="shared"/>
        <v>0</v>
      </c>
      <c r="CS46" s="289">
        <f si="76" t="shared"/>
        <v>9750.0858128308464</v>
      </c>
      <c r="CU46">
        <v>45</v>
      </c>
      <c r="CV46">
        <f si="17" t="shared"/>
        <v>3</v>
      </c>
      <c r="CW46">
        <f si="2" t="shared"/>
        <v>5</v>
      </c>
      <c r="CX46" s="355" t="str">
        <f si="3" t="shared"/>
        <v>3_5</v>
      </c>
      <c r="CY46" s="246">
        <f si="0" t="shared"/>
        <v>2484.2949293702754</v>
      </c>
      <c r="CZ46" s="246">
        <f si="1" t="shared"/>
        <v>2363.0714285714298</v>
      </c>
      <c r="DA46" s="246">
        <f si="4" t="shared"/>
        <v>2475.3296734697014</v>
      </c>
      <c r="DB46" s="246">
        <f si="5" t="shared"/>
        <v>2392.75</v>
      </c>
      <c r="DC46" s="301">
        <f si="6" t="shared"/>
        <v>-82.579673469701447</v>
      </c>
      <c r="DD46" s="302">
        <f si="7" t="shared"/>
        <v>-3.3240688331088744E-2</v>
      </c>
      <c r="DE46" s="357">
        <f si="8" t="shared"/>
        <v>1.0345124536494417</v>
      </c>
      <c r="DF46">
        <v>225000</v>
      </c>
    </row>
    <row r="47" spans="2:110" x14ac:dyDescent="0.25">
      <c r="B47">
        <v>7</v>
      </c>
      <c r="C47" s="289">
        <v>3377.3686837517998</v>
      </c>
      <c r="D47" s="289">
        <v>6484.5057191055312</v>
      </c>
      <c r="E47" s="289">
        <v>3461.8132362961501</v>
      </c>
      <c r="F47" s="289">
        <v>2147.1055415025271</v>
      </c>
      <c r="G47" s="289">
        <v>2199.8463606791292</v>
      </c>
      <c r="H47" s="289">
        <v>4820.5440214312002</v>
      </c>
      <c r="I47" s="289">
        <v>179624.87383715861</v>
      </c>
      <c r="J47" s="289">
        <v>185.46308933624198</v>
      </c>
      <c r="K47" s="289">
        <v>12004.351309080561</v>
      </c>
      <c r="L47" s="289">
        <v>1031.8868666694459</v>
      </c>
      <c r="M47" s="289">
        <v>933.47287609628984</v>
      </c>
      <c r="N47" s="289">
        <v>21156.647657878199</v>
      </c>
      <c r="O47" s="289">
        <v>22006.629405357173</v>
      </c>
      <c r="P47" s="289">
        <v>0</v>
      </c>
      <c r="Q47" s="289">
        <v>0</v>
      </c>
      <c r="R47" s="289">
        <v>0</v>
      </c>
      <c r="S47" s="289">
        <v>0</v>
      </c>
      <c r="T47" s="289">
        <v>1343.6056322182098</v>
      </c>
      <c r="U47" s="289">
        <v>0</v>
      </c>
      <c r="V47" s="289">
        <v>0</v>
      </c>
      <c r="W47" s="289"/>
      <c r="X47" s="289">
        <f si="31" t="shared"/>
        <v>260778.11423656106</v>
      </c>
      <c r="Z47">
        <v>7</v>
      </c>
      <c r="AA47" s="289">
        <f>SUMIFS(model_other_auto_dist!$C:$C,model_other_auto_dist!$A:$A,$Z47,model_other_auto_dist!$B:$B,AA$40)</f>
        <v>3741.7857142857101</v>
      </c>
      <c r="AB47" s="289">
        <f>SUMIFS(model_other_auto_dist!$C:$C,model_other_auto_dist!$A:$A,$Z47,model_other_auto_dist!$B:$B,AB$40)</f>
        <v>4855.6428571428596</v>
      </c>
      <c r="AC47" s="289">
        <f>SUMIFS(model_other_auto_dist!$C:$C,model_other_auto_dist!$A:$A,$Z47,model_other_auto_dist!$B:$B,AC$40)</f>
        <v>1971</v>
      </c>
      <c r="AD47" s="289">
        <f>SUMIFS(model_other_auto_dist!$C:$C,model_other_auto_dist!$A:$A,$Z47,model_other_auto_dist!$B:$B,AD$40)</f>
        <v>711.142857142857</v>
      </c>
      <c r="AE47" s="289">
        <f>SUMIFS(model_other_auto_dist!$C:$C,model_other_auto_dist!$A:$A,$Z47,model_other_auto_dist!$B:$B,AE$40)</f>
        <v>877.57142857142901</v>
      </c>
      <c r="AF47" s="289">
        <f>SUMIFS(model_other_auto_dist!$C:$C,model_other_auto_dist!$A:$A,$Z47,model_other_auto_dist!$B:$B,AF$40)</f>
        <v>4069.5714285714298</v>
      </c>
      <c r="AG47" s="289">
        <f>SUMIFS(model_other_auto_dist!$C:$C,model_other_auto_dist!$A:$A,$Z47,model_other_auto_dist!$B:$B,AG$40)</f>
        <v>148127.35714285701</v>
      </c>
      <c r="AH47" s="289">
        <f>SUMIFS(model_other_auto_dist!$C:$C,model_other_auto_dist!$A:$A,$Z47,model_other_auto_dist!$B:$B,AH$40)</f>
        <v>92.5</v>
      </c>
      <c r="AI47" s="289">
        <f>SUMIFS(model_other_auto_dist!$C:$C,model_other_auto_dist!$A:$A,$Z47,model_other_auto_dist!$B:$B,AI$40)</f>
        <v>12824.214285714301</v>
      </c>
      <c r="AJ47" s="289">
        <f>SUMIFS(model_other_auto_dist!$C:$C,model_other_auto_dist!$A:$A,$Z47,model_other_auto_dist!$B:$B,AJ$40)</f>
        <v>597.71428571428601</v>
      </c>
      <c r="AK47" s="289">
        <f>SUMIFS(model_other_auto_dist!$C:$C,model_other_auto_dist!$A:$A,$Z47,model_other_auto_dist!$B:$B,AK$40)</f>
        <v>724</v>
      </c>
      <c r="AL47" s="289">
        <f>SUMIFS(model_other_auto_dist!$C:$C,model_other_auto_dist!$A:$A,$Z47,model_other_auto_dist!$B:$B,AL$40)</f>
        <v>22245.357142857101</v>
      </c>
      <c r="AM47" s="289">
        <f>SUMIFS(model_other_auto_dist!$C:$C,model_other_auto_dist!$A:$A,$Z47,model_other_auto_dist!$B:$B,AM$40)</f>
        <v>14430.285714285699</v>
      </c>
      <c r="AN47" s="289">
        <f>SUMIFS(model_other_auto_dist!$C:$C,model_other_auto_dist!$A:$A,$Z47,model_other_auto_dist!$B:$B,AN$40)</f>
        <v>140</v>
      </c>
      <c r="AO47" s="289">
        <f>SUMIFS(model_other_auto_dist!$C:$C,model_other_auto_dist!$A:$A,$Z47,model_other_auto_dist!$B:$B,AO$40)</f>
        <v>1819.5</v>
      </c>
      <c r="AP47" s="289">
        <f>SUMIFS(model_other_auto_dist!$C:$C,model_other_auto_dist!$A:$A,$Z47,model_other_auto_dist!$B:$B,AP$40)</f>
        <v>166.21428571428601</v>
      </c>
      <c r="AQ47" s="289">
        <f>SUMIFS(model_other_auto_dist!$C:$C,model_other_auto_dist!$A:$A,$Z47,model_other_auto_dist!$B:$B,AQ$40)</f>
        <v>113.571428571429</v>
      </c>
      <c r="AR47" s="289">
        <f>SUMIFS(model_other_auto_dist!$C:$C,model_other_auto_dist!$A:$A,$Z47,model_other_auto_dist!$B:$B,AR$40)</f>
        <v>1406.6428571428601</v>
      </c>
      <c r="AS47" s="289">
        <f>SUMIFS(model_other_auto_dist!$C:$C,model_other_auto_dist!$A:$A,$Z47,model_other_auto_dist!$B:$B,AS$40)</f>
        <v>248.642857142857</v>
      </c>
      <c r="AT47" s="289">
        <f>SUMIFS(model_other_auto_dist!$C:$C,model_other_auto_dist!$A:$A,$Z47,model_other_auto_dist!$B:$B,AT$40)</f>
        <v>194.42857142857099</v>
      </c>
      <c r="AU47" s="289">
        <f>SUMIFS(model_other_auto_dist!$C:$C,model_other_auto_dist!$A:$A,$Z47,model_other_auto_dist!$B:$B,AU$40)</f>
        <v>0</v>
      </c>
      <c r="AV47" s="12">
        <f si="32" t="shared"/>
        <v>219357.14285714272</v>
      </c>
      <c r="AW47" s="346"/>
      <c r="AY47">
        <v>7</v>
      </c>
      <c r="AZ47" s="289">
        <f si="33" t="shared"/>
        <v>3741.7857142857101</v>
      </c>
      <c r="BA47" s="289">
        <f si="34" t="shared"/>
        <v>4855.6428571428596</v>
      </c>
      <c r="BB47" s="289">
        <f si="35" t="shared"/>
        <v>1971</v>
      </c>
      <c r="BC47" s="289">
        <f si="36" t="shared"/>
        <v>711.142857142857</v>
      </c>
      <c r="BD47" s="289">
        <f si="37" t="shared"/>
        <v>877.57142857142901</v>
      </c>
      <c r="BE47" s="289">
        <f si="38" t="shared"/>
        <v>4069.5714285714298</v>
      </c>
      <c r="BF47" s="289">
        <f si="39" t="shared"/>
        <v>148127.35714285701</v>
      </c>
      <c r="BG47" s="289">
        <f si="40" t="shared"/>
        <v>92.5</v>
      </c>
      <c r="BH47" s="289">
        <f si="41" t="shared"/>
        <v>12824.214285714301</v>
      </c>
      <c r="BI47" s="289">
        <f si="42" t="shared"/>
        <v>597.71428571428601</v>
      </c>
      <c r="BJ47" s="289">
        <f si="43" t="shared"/>
        <v>724</v>
      </c>
      <c r="BK47" s="289">
        <f si="44" t="shared"/>
        <v>22245.357142857101</v>
      </c>
      <c r="BL47" s="289">
        <f si="45" t="shared"/>
        <v>14430.285714285699</v>
      </c>
      <c r="BM47" s="289">
        <f si="46" t="shared"/>
        <v>140</v>
      </c>
      <c r="BN47" s="289">
        <f si="47" t="shared"/>
        <v>1819.5</v>
      </c>
      <c r="BO47" s="289">
        <f si="48" t="shared"/>
        <v>166.21428571428601</v>
      </c>
      <c r="BP47" s="289">
        <f si="49" t="shared"/>
        <v>113.571428571429</v>
      </c>
      <c r="BQ47" s="289">
        <f si="50" t="shared"/>
        <v>1406.6428571428601</v>
      </c>
      <c r="BR47" s="289">
        <f si="51" t="shared"/>
        <v>248.642857142857</v>
      </c>
      <c r="BS47" s="289">
        <f si="52" t="shared"/>
        <v>194.42857142857099</v>
      </c>
      <c r="BT47" s="289">
        <f si="53" t="shared"/>
        <v>0</v>
      </c>
      <c r="BU47" s="289">
        <f si="54" t="shared"/>
        <v>219357.14285714272</v>
      </c>
      <c r="BW47">
        <v>7</v>
      </c>
      <c r="BX47" s="289">
        <f si="55" t="shared"/>
        <v>803.29446865380623</v>
      </c>
      <c r="BY47" s="289">
        <f si="56" t="shared"/>
        <v>-786.22365850045571</v>
      </c>
      <c r="BZ47" s="289">
        <f si="57" t="shared"/>
        <v>-1040.9625191670239</v>
      </c>
      <c r="CA47" s="289">
        <f si="58" t="shared"/>
        <v>-1156.9537079452639</v>
      </c>
      <c r="CB47" s="289">
        <f si="59" t="shared"/>
        <v>-1036.412467735071</v>
      </c>
      <c r="CC47" s="289">
        <f si="60" t="shared"/>
        <v>-124.55948592004233</v>
      </c>
      <c r="CD47" s="289">
        <f si="61" t="shared"/>
        <v>-8155.8824713275826</v>
      </c>
      <c r="CE47" s="289">
        <f si="62" t="shared"/>
        <v>-68.862799099858364</v>
      </c>
      <c r="CF47" s="289">
        <f si="63" t="shared"/>
        <v>2379.7871194039544</v>
      </c>
      <c r="CG47" s="289">
        <f si="64" t="shared"/>
        <v>-300.08243360104473</v>
      </c>
      <c r="CH47" s="289">
        <f si="65" t="shared"/>
        <v>-88.171288151069916</v>
      </c>
      <c r="CI47" s="289">
        <f si="66" t="shared"/>
        <v>3837.9430430340144</v>
      </c>
      <c r="CJ47" s="289">
        <f si="67" t="shared"/>
        <v>-4716.6579299220102</v>
      </c>
      <c r="CK47" s="289">
        <f si="68" t="shared"/>
        <v>140</v>
      </c>
      <c r="CL47" s="289">
        <f si="69" t="shared"/>
        <v>1819.5</v>
      </c>
      <c r="CM47" s="289">
        <f si="70" t="shared"/>
        <v>166.21428571428601</v>
      </c>
      <c r="CN47" s="289">
        <f si="71" t="shared"/>
        <v>113.571428571429</v>
      </c>
      <c r="CO47" s="289">
        <f si="72" t="shared"/>
        <v>237.63415316297869</v>
      </c>
      <c r="CP47" s="289">
        <f si="73" t="shared"/>
        <v>248.642857142857</v>
      </c>
      <c r="CQ47" s="289">
        <f si="74" t="shared"/>
        <v>194.42857142857099</v>
      </c>
      <c r="CR47" s="289">
        <f si="75" t="shared"/>
        <v>0</v>
      </c>
      <c r="CS47" s="289">
        <f si="76" t="shared"/>
        <v>-7533.7528342574369</v>
      </c>
      <c r="CU47">
        <v>46</v>
      </c>
      <c r="CV47">
        <f si="17" t="shared"/>
        <v>3</v>
      </c>
      <c r="CW47">
        <f si="2" t="shared"/>
        <v>6</v>
      </c>
      <c r="CX47" s="355" t="str">
        <f si="3" t="shared"/>
        <v>3_6</v>
      </c>
      <c r="CY47" s="246">
        <f si="0" t="shared"/>
        <v>4315.3407867855067</v>
      </c>
      <c r="CZ47" s="246">
        <f si="1" t="shared"/>
        <v>4903.7857142857101</v>
      </c>
      <c r="DA47" s="246">
        <f si="4" t="shared"/>
        <v>4290.4269650400038</v>
      </c>
      <c r="DB47" s="246">
        <f si="5" t="shared"/>
        <v>5084.7857142857101</v>
      </c>
      <c r="DC47" s="301">
        <f si="6" t="shared"/>
        <v>794.35874924570635</v>
      </c>
      <c r="DD47" s="302">
        <f si="7" t="shared"/>
        <v>0.18407787206011683</v>
      </c>
      <c r="DE47" s="357">
        <f si="8" t="shared"/>
        <v>0.84377734011210059</v>
      </c>
      <c r="DF47">
        <v>230000</v>
      </c>
    </row>
    <row r="48" spans="2:110" x14ac:dyDescent="0.25">
      <c r="B48">
        <v>8</v>
      </c>
      <c r="C48" s="289">
        <v>107.50244109693199</v>
      </c>
      <c r="D48" s="289">
        <v>6.6683933113550324</v>
      </c>
      <c r="E48" s="289">
        <v>2071.3116433120508</v>
      </c>
      <c r="F48" s="289">
        <v>1767.6398818209111</v>
      </c>
      <c r="G48" s="289">
        <v>220.05490308997599</v>
      </c>
      <c r="H48" s="289">
        <v>0</v>
      </c>
      <c r="I48" s="289">
        <v>181.23538457282996</v>
      </c>
      <c r="J48" s="289">
        <v>1252.7266333252289</v>
      </c>
      <c r="K48" s="289">
        <v>187.84307294073699</v>
      </c>
      <c r="L48" s="289">
        <v>0</v>
      </c>
      <c r="M48" s="289">
        <v>3225.5927516736392</v>
      </c>
      <c r="N48" s="289">
        <v>0</v>
      </c>
      <c r="O48" s="289">
        <v>153.25365440860961</v>
      </c>
      <c r="P48" s="289">
        <v>788.0591845254969</v>
      </c>
      <c r="Q48" s="289">
        <v>43.718174841849489</v>
      </c>
      <c r="R48" s="289">
        <v>0</v>
      </c>
      <c r="S48" s="289">
        <v>0</v>
      </c>
      <c r="T48" s="289">
        <v>0</v>
      </c>
      <c r="U48" s="289">
        <v>150.73997341490872</v>
      </c>
      <c r="V48" s="289">
        <v>0</v>
      </c>
      <c r="W48" s="289"/>
      <c r="X48" s="289">
        <f si="31" t="shared"/>
        <v>10156.346092334525</v>
      </c>
      <c r="Z48">
        <v>8</v>
      </c>
      <c r="AA48" s="289">
        <f>SUMIFS(model_other_auto_dist!$C:$C,model_other_auto_dist!$A:$A,$Z48,model_other_auto_dist!$B:$B,AA$40)</f>
        <v>931.42857142857099</v>
      </c>
      <c r="AB48" s="289">
        <f>SUMIFS(model_other_auto_dist!$C:$C,model_other_auto_dist!$A:$A,$Z48,model_other_auto_dist!$B:$B,AB$40)</f>
        <v>122.71428571428601</v>
      </c>
      <c r="AC48" s="289">
        <f>SUMIFS(model_other_auto_dist!$C:$C,model_other_auto_dist!$A:$A,$Z48,model_other_auto_dist!$B:$B,AC$40)</f>
        <v>1735.5</v>
      </c>
      <c r="AD48" s="289">
        <f>SUMIFS(model_other_auto_dist!$C:$C,model_other_auto_dist!$A:$A,$Z48,model_other_auto_dist!$B:$B,AD$40)</f>
        <v>1345.42857142857</v>
      </c>
      <c r="AE48" s="289">
        <f>SUMIFS(model_other_auto_dist!$C:$C,model_other_auto_dist!$A:$A,$Z48,model_other_auto_dist!$B:$B,AE$40)</f>
        <v>386.642857142857</v>
      </c>
      <c r="AF48" s="289">
        <f>SUMIFS(model_other_auto_dist!$C:$C,model_other_auto_dist!$A:$A,$Z48,model_other_auto_dist!$B:$B,AF$40)</f>
        <v>470.21428571428601</v>
      </c>
      <c r="AG48" s="289">
        <f>SUMIFS(model_other_auto_dist!$C:$C,model_other_auto_dist!$A:$A,$Z48,model_other_auto_dist!$B:$B,AG$40)</f>
        <v>89.214285714285694</v>
      </c>
      <c r="AH48" s="289">
        <f>SUMIFS(model_other_auto_dist!$C:$C,model_other_auto_dist!$A:$A,$Z48,model_other_auto_dist!$B:$B,AH$40)</f>
        <v>670.21428571428601</v>
      </c>
      <c r="AI48" s="289">
        <f>SUMIFS(model_other_auto_dist!$C:$C,model_other_auto_dist!$A:$A,$Z48,model_other_auto_dist!$B:$B,AI$40)</f>
        <v>222.21428571428601</v>
      </c>
      <c r="AJ48" s="289">
        <f>SUMIFS(model_other_auto_dist!$C:$C,model_other_auto_dist!$A:$A,$Z48,model_other_auto_dist!$B:$B,AJ$40)</f>
        <v>180.07142857142901</v>
      </c>
      <c r="AK48" s="289">
        <f>SUMIFS(model_other_auto_dist!$C:$C,model_other_auto_dist!$A:$A,$Z48,model_other_auto_dist!$B:$B,AK$40)</f>
        <v>1458.6428571428601</v>
      </c>
      <c r="AL48" s="289">
        <f>SUMIFS(model_other_auto_dist!$C:$C,model_other_auto_dist!$A:$A,$Z48,model_other_auto_dist!$B:$B,AL$40)</f>
        <v>161.5</v>
      </c>
      <c r="AM48" s="289">
        <f>SUMIFS(model_other_auto_dist!$C:$C,model_other_auto_dist!$A:$A,$Z48,model_other_auto_dist!$B:$B,AM$40)</f>
        <v>14.3571428571429</v>
      </c>
      <c r="AN48" s="289">
        <f>SUMIFS(model_other_auto_dist!$C:$C,model_other_auto_dist!$A:$A,$Z48,model_other_auto_dist!$B:$B,AN$40)</f>
        <v>494.07142857142901</v>
      </c>
      <c r="AO48" s="289">
        <f>SUMIFS(model_other_auto_dist!$C:$C,model_other_auto_dist!$A:$A,$Z48,model_other_auto_dist!$B:$B,AO$40)</f>
        <v>15.214285714285699</v>
      </c>
      <c r="AP48" s="289">
        <f>SUMIFS(model_other_auto_dist!$C:$C,model_other_auto_dist!$A:$A,$Z48,model_other_auto_dist!$B:$B,AP$40)</f>
        <v>30.714285714285701</v>
      </c>
      <c r="AQ48" s="289">
        <f>SUMIFS(model_other_auto_dist!$C:$C,model_other_auto_dist!$A:$A,$Z48,model_other_auto_dist!$B:$B,AQ$40)</f>
        <v>88.428571428571402</v>
      </c>
      <c r="AR48" s="289">
        <f>SUMIFS(model_other_auto_dist!$C:$C,model_other_auto_dist!$A:$A,$Z48,model_other_auto_dist!$B:$B,AR$40)</f>
        <v>8.5</v>
      </c>
      <c r="AS48" s="289">
        <f>SUMIFS(model_other_auto_dist!$C:$C,model_other_auto_dist!$A:$A,$Z48,model_other_auto_dist!$B:$B,AS$40)</f>
        <v>96.071428571428598</v>
      </c>
      <c r="AT48" s="289">
        <f>SUMIFS(model_other_auto_dist!$C:$C,model_other_auto_dist!$A:$A,$Z48,model_other_auto_dist!$B:$B,AT$40)</f>
        <v>2.28571428571429</v>
      </c>
      <c r="AU48" s="289">
        <f>SUMIFS(model_other_auto_dist!$C:$C,model_other_auto_dist!$A:$A,$Z48,model_other_auto_dist!$B:$B,AU$40)</f>
        <v>0</v>
      </c>
      <c r="AV48" s="12">
        <f si="32" t="shared"/>
        <v>8523.4285714285761</v>
      </c>
      <c r="AW48" s="346"/>
      <c r="AY48">
        <v>8</v>
      </c>
      <c r="AZ48" s="289">
        <f si="33" t="shared"/>
        <v>931.42857142857099</v>
      </c>
      <c r="BA48" s="289">
        <f si="34" t="shared"/>
        <v>122.71428571428601</v>
      </c>
      <c r="BB48" s="289">
        <f si="35" t="shared"/>
        <v>1735.5</v>
      </c>
      <c r="BC48" s="289">
        <f si="36" t="shared"/>
        <v>1345.42857142857</v>
      </c>
      <c r="BD48" s="289">
        <f si="37" t="shared"/>
        <v>386.642857142857</v>
      </c>
      <c r="BE48" s="289">
        <f si="38" t="shared"/>
        <v>470.21428571428601</v>
      </c>
      <c r="BF48" s="289">
        <f si="39" t="shared"/>
        <v>89.214285714285694</v>
      </c>
      <c r="BG48" s="289">
        <f si="40" t="shared"/>
        <v>670.21428571428601</v>
      </c>
      <c r="BH48" s="289">
        <f si="41" t="shared"/>
        <v>222.21428571428601</v>
      </c>
      <c r="BI48" s="289">
        <f si="42" t="shared"/>
        <v>180.07142857142901</v>
      </c>
      <c r="BJ48" s="289">
        <f si="43" t="shared"/>
        <v>1458.6428571428601</v>
      </c>
      <c r="BK48" s="289">
        <f si="44" t="shared"/>
        <v>161.5</v>
      </c>
      <c r="BL48" s="289">
        <f si="45" t="shared"/>
        <v>14.3571428571429</v>
      </c>
      <c r="BM48" s="289">
        <f si="46" t="shared"/>
        <v>494.07142857142901</v>
      </c>
      <c r="BN48" s="289">
        <f si="47" t="shared"/>
        <v>15.214285714285699</v>
      </c>
      <c r="BO48" s="289">
        <f si="48" t="shared"/>
        <v>30.714285714285701</v>
      </c>
      <c r="BP48" s="289">
        <f si="49" t="shared"/>
        <v>88.428571428571402</v>
      </c>
      <c r="BQ48" s="289">
        <f si="50" t="shared"/>
        <v>8.5</v>
      </c>
      <c r="BR48" s="289">
        <f si="51" t="shared"/>
        <v>96.071428571428598</v>
      </c>
      <c r="BS48" s="289">
        <f si="52" t="shared"/>
        <v>2.28571428571429</v>
      </c>
      <c r="BT48" s="289">
        <f si="53" t="shared"/>
        <v>0</v>
      </c>
      <c r="BU48" s="289">
        <f si="54" t="shared"/>
        <v>8523.4285714285761</v>
      </c>
      <c r="BW48">
        <v>8</v>
      </c>
      <c r="BX48" s="289">
        <f si="55" t="shared"/>
        <v>837.89570261056633</v>
      </c>
      <c r="BY48" s="289">
        <f si="56" t="shared"/>
        <v>116.91242716620481</v>
      </c>
      <c r="BZ48" s="289">
        <f si="57" t="shared"/>
        <v>-66.651823142560033</v>
      </c>
      <c r="CA48" s="289">
        <f si="58" t="shared"/>
        <v>-192.51259062144163</v>
      </c>
      <c r="CB48" s="289">
        <f si="59" t="shared"/>
        <v>195.18333144785538</v>
      </c>
      <c r="CC48" s="289">
        <f si="60" t="shared"/>
        <v>470.21428571428601</v>
      </c>
      <c r="CD48" s="289">
        <f si="61" t="shared"/>
        <v>-68.470184307622532</v>
      </c>
      <c r="CE48" s="289">
        <f si="62" t="shared"/>
        <v>-419.72483254238</v>
      </c>
      <c r="CF48" s="289">
        <f si="63" t="shared"/>
        <v>58.780773689243773</v>
      </c>
      <c r="CG48" s="289">
        <f si="64" t="shared"/>
        <v>180.07142857142901</v>
      </c>
      <c r="CH48" s="289">
        <f si="65" t="shared"/>
        <v>-1347.7952164871467</v>
      </c>
      <c r="CI48" s="289">
        <f si="66" t="shared"/>
        <v>161.5</v>
      </c>
      <c r="CJ48" s="289">
        <f si="67" t="shared"/>
        <v>-118.98172654355746</v>
      </c>
      <c r="CK48" s="289">
        <f si="68" t="shared"/>
        <v>-191.58217682517068</v>
      </c>
      <c r="CL48" s="289">
        <f si="69" t="shared"/>
        <v>-22.822862751564315</v>
      </c>
      <c r="CM48" s="289">
        <f si="70" t="shared"/>
        <v>30.714285714285701</v>
      </c>
      <c r="CN48" s="289">
        <f si="71" t="shared"/>
        <v>88.428571428571402</v>
      </c>
      <c r="CO48" s="289">
        <f si="72" t="shared"/>
        <v>8.5</v>
      </c>
      <c r="CP48" s="289">
        <f si="73" t="shared"/>
        <v>-35.080404030524633</v>
      </c>
      <c r="CQ48" s="289">
        <f si="74" t="shared"/>
        <v>2.28571428571429</v>
      </c>
      <c r="CR48" s="289">
        <f si="75" t="shared"/>
        <v>0</v>
      </c>
      <c r="CS48" s="289">
        <f si="76" t="shared"/>
        <v>-313.13529662381006</v>
      </c>
      <c r="CU48">
        <v>47</v>
      </c>
      <c r="CV48">
        <f si="17" t="shared"/>
        <v>3</v>
      </c>
      <c r="CW48">
        <f si="2" t="shared"/>
        <v>7</v>
      </c>
      <c r="CX48" s="355" t="str">
        <f si="3" t="shared"/>
        <v>3_7</v>
      </c>
      <c r="CY48" s="246">
        <f si="0" t="shared"/>
        <v>3069.3964998091096</v>
      </c>
      <c r="CZ48" s="246">
        <f si="1" t="shared"/>
        <v>2138.1428571428601</v>
      </c>
      <c r="DA48" s="246">
        <f si="4" t="shared"/>
        <v>3040.6795094880667</v>
      </c>
      <c r="DB48" s="246">
        <f si="5" t="shared"/>
        <v>2054.5714285714303</v>
      </c>
      <c r="DC48" s="301">
        <f si="6" t="shared"/>
        <v>-986.10808091663648</v>
      </c>
      <c r="DD48" s="302">
        <f si="7" t="shared"/>
        <v>-0.32127099935702802</v>
      </c>
      <c r="DE48" s="357">
        <f si="8" t="shared"/>
        <v>1.4799580424430852</v>
      </c>
      <c r="DF48">
        <v>235000</v>
      </c>
    </row>
    <row r="49" spans="2:110" x14ac:dyDescent="0.25">
      <c r="B49">
        <v>9</v>
      </c>
      <c r="C49" s="289">
        <v>3847.4312897020704</v>
      </c>
      <c r="D49" s="289">
        <v>4942.0926519230688</v>
      </c>
      <c r="E49" s="289">
        <v>6303.8053019498002</v>
      </c>
      <c r="F49" s="289">
        <v>1159.5671327441898</v>
      </c>
      <c r="G49" s="289">
        <v>1141.0262292917109</v>
      </c>
      <c r="H49" s="289">
        <v>3007.9198664947703</v>
      </c>
      <c r="I49" s="289">
        <v>11949.85614338236</v>
      </c>
      <c r="J49" s="289">
        <v>193.08806293192492</v>
      </c>
      <c r="K49" s="289">
        <v>145497.12440993931</v>
      </c>
      <c r="L49" s="289">
        <v>914.93404263920615</v>
      </c>
      <c r="M49" s="289">
        <v>9271.5541969401093</v>
      </c>
      <c r="N49" s="289">
        <v>3960.0614861241893</v>
      </c>
      <c r="O49" s="289">
        <v>930.83005466225995</v>
      </c>
      <c r="P49" s="289">
        <v>0</v>
      </c>
      <c r="Q49" s="289">
        <v>10710.705444993451</v>
      </c>
      <c r="R49" s="289">
        <v>319.52717274859998</v>
      </c>
      <c r="S49" s="289">
        <v>0</v>
      </c>
      <c r="T49" s="289">
        <v>1.6038491870599501</v>
      </c>
      <c r="U49" s="289">
        <v>684.2516043502801</v>
      </c>
      <c r="V49" s="289">
        <v>0</v>
      </c>
      <c r="W49" s="289"/>
      <c r="X49" s="289">
        <f si="31" t="shared"/>
        <v>204835.37894000433</v>
      </c>
      <c r="Z49">
        <v>9</v>
      </c>
      <c r="AA49" s="289">
        <f>SUMIFS(model_other_auto_dist!$C:$C,model_other_auto_dist!$A:$A,$Z49,model_other_auto_dist!$B:$B,AA$40)</f>
        <v>4330.2142857142899</v>
      </c>
      <c r="AB49" s="289">
        <f>SUMIFS(model_other_auto_dist!$C:$C,model_other_auto_dist!$A:$A,$Z49,model_other_auto_dist!$B:$B,AB$40)</f>
        <v>6576.2857142857101</v>
      </c>
      <c r="AC49" s="289">
        <f>SUMIFS(model_other_auto_dist!$C:$C,model_other_auto_dist!$A:$A,$Z49,model_other_auto_dist!$B:$B,AC$40)</f>
        <v>4204.7857142857101</v>
      </c>
      <c r="AD49" s="289">
        <f>SUMIFS(model_other_auto_dist!$C:$C,model_other_auto_dist!$A:$A,$Z49,model_other_auto_dist!$B:$B,AD$40)</f>
        <v>872.357142857143</v>
      </c>
      <c r="AE49" s="289">
        <f>SUMIFS(model_other_auto_dist!$C:$C,model_other_auto_dist!$A:$A,$Z49,model_other_auto_dist!$B:$B,AE$40)</f>
        <v>908.92857142857099</v>
      </c>
      <c r="AF49" s="289">
        <f>SUMIFS(model_other_auto_dist!$C:$C,model_other_auto_dist!$A:$A,$Z49,model_other_auto_dist!$B:$B,AF$40)</f>
        <v>3390.5714285714298</v>
      </c>
      <c r="AG49" s="289">
        <f>SUMIFS(model_other_auto_dist!$C:$C,model_other_auto_dist!$A:$A,$Z49,model_other_auto_dist!$B:$B,AG$40)</f>
        <v>12620.642857142901</v>
      </c>
      <c r="AH49" s="289">
        <f>SUMIFS(model_other_auto_dist!$C:$C,model_other_auto_dist!$A:$A,$Z49,model_other_auto_dist!$B:$B,AH$40)</f>
        <v>216.357142857143</v>
      </c>
      <c r="AI49" s="289">
        <f>SUMIFS(model_other_auto_dist!$C:$C,model_other_auto_dist!$A:$A,$Z49,model_other_auto_dist!$B:$B,AI$40)</f>
        <v>115539.928571429</v>
      </c>
      <c r="AJ49" s="289">
        <f>SUMIFS(model_other_auto_dist!$C:$C,model_other_auto_dist!$A:$A,$Z49,model_other_auto_dist!$B:$B,AJ$40)</f>
        <v>475.28571428571399</v>
      </c>
      <c r="AK49" s="289">
        <f>SUMIFS(model_other_auto_dist!$C:$C,model_other_auto_dist!$A:$A,$Z49,model_other_auto_dist!$B:$B,AK$40)</f>
        <v>8265.8571428571395</v>
      </c>
      <c r="AL49" s="289">
        <f>SUMIFS(model_other_auto_dist!$C:$C,model_other_auto_dist!$A:$A,$Z49,model_other_auto_dist!$B:$B,AL$40)</f>
        <v>3606.2857142857101</v>
      </c>
      <c r="AM49" s="289">
        <f>SUMIFS(model_other_auto_dist!$C:$C,model_other_auto_dist!$A:$A,$Z49,model_other_auto_dist!$B:$B,AM$40)</f>
        <v>1268</v>
      </c>
      <c r="AN49" s="289">
        <f>SUMIFS(model_other_auto_dist!$C:$C,model_other_auto_dist!$A:$A,$Z49,model_other_auto_dist!$B:$B,AN$40)</f>
        <v>457</v>
      </c>
      <c r="AO49" s="289">
        <f>SUMIFS(model_other_auto_dist!$C:$C,model_other_auto_dist!$A:$A,$Z49,model_other_auto_dist!$B:$B,AO$40)</f>
        <v>7636.8571428571404</v>
      </c>
      <c r="AP49" s="289">
        <f>SUMIFS(model_other_auto_dist!$C:$C,model_other_auto_dist!$A:$A,$Z49,model_other_auto_dist!$B:$B,AP$40)</f>
        <v>117.71428571428601</v>
      </c>
      <c r="AQ49" s="289">
        <f>SUMIFS(model_other_auto_dist!$C:$C,model_other_auto_dist!$A:$A,$Z49,model_other_auto_dist!$B:$B,AQ$40)</f>
        <v>512.57142857142901</v>
      </c>
      <c r="AR49" s="289">
        <f>SUMIFS(model_other_auto_dist!$C:$C,model_other_auto_dist!$A:$A,$Z49,model_other_auto_dist!$B:$B,AR$40)</f>
        <v>219.71428571428601</v>
      </c>
      <c r="AS49" s="289">
        <f>SUMIFS(model_other_auto_dist!$C:$C,model_other_auto_dist!$A:$A,$Z49,model_other_auto_dist!$B:$B,AS$40)</f>
        <v>1665.8571428571399</v>
      </c>
      <c r="AT49" s="289">
        <f>SUMIFS(model_other_auto_dist!$C:$C,model_other_auto_dist!$A:$A,$Z49,model_other_auto_dist!$B:$B,AT$40)</f>
        <v>59.928571428571402</v>
      </c>
      <c r="AU49" s="289">
        <f>SUMIFS(model_other_auto_dist!$C:$C,model_other_auto_dist!$A:$A,$Z49,model_other_auto_dist!$B:$B,AU$40)</f>
        <v>0</v>
      </c>
      <c r="AV49" s="12">
        <f si="32" t="shared"/>
        <v>172945.14285714328</v>
      </c>
      <c r="AW49" s="346"/>
      <c r="AY49">
        <v>9</v>
      </c>
      <c r="AZ49" s="289">
        <f si="33" t="shared"/>
        <v>4330.2142857142899</v>
      </c>
      <c r="BA49" s="289">
        <f si="34" t="shared"/>
        <v>6576.2857142857101</v>
      </c>
      <c r="BB49" s="289">
        <f si="35" t="shared"/>
        <v>4204.7857142857101</v>
      </c>
      <c r="BC49" s="289">
        <f si="36" t="shared"/>
        <v>872.357142857143</v>
      </c>
      <c r="BD49" s="289">
        <f si="37" t="shared"/>
        <v>908.92857142857099</v>
      </c>
      <c r="BE49" s="289">
        <f si="38" t="shared"/>
        <v>3390.5714285714298</v>
      </c>
      <c r="BF49" s="289">
        <f si="39" t="shared"/>
        <v>12620.642857142901</v>
      </c>
      <c r="BG49" s="289">
        <f si="40" t="shared"/>
        <v>216.357142857143</v>
      </c>
      <c r="BH49" s="289">
        <f si="41" t="shared"/>
        <v>115539.928571429</v>
      </c>
      <c r="BI49" s="289">
        <f si="42" t="shared"/>
        <v>475.28571428571399</v>
      </c>
      <c r="BJ49" s="289">
        <f si="43" t="shared"/>
        <v>8265.8571428571395</v>
      </c>
      <c r="BK49" s="289">
        <f si="44" t="shared"/>
        <v>3606.2857142857101</v>
      </c>
      <c r="BL49" s="289">
        <f si="45" t="shared"/>
        <v>1268</v>
      </c>
      <c r="BM49" s="289">
        <f si="46" t="shared"/>
        <v>457</v>
      </c>
      <c r="BN49" s="289">
        <f si="47" t="shared"/>
        <v>7636.8571428571404</v>
      </c>
      <c r="BO49" s="289">
        <f si="48" t="shared"/>
        <v>117.71428571428601</v>
      </c>
      <c r="BP49" s="289">
        <f si="49" t="shared"/>
        <v>512.57142857142901</v>
      </c>
      <c r="BQ49" s="289">
        <f si="50" t="shared"/>
        <v>219.71428571428601</v>
      </c>
      <c r="BR49" s="289">
        <f si="51" t="shared"/>
        <v>1665.8571428571399</v>
      </c>
      <c r="BS49" s="289">
        <f si="52" t="shared"/>
        <v>59.928571428571402</v>
      </c>
      <c r="BT49" s="289">
        <f si="53" t="shared"/>
        <v>0</v>
      </c>
      <c r="BU49" s="289">
        <f si="54" t="shared"/>
        <v>172945.14285714328</v>
      </c>
      <c r="BW49">
        <v>9</v>
      </c>
      <c r="BX49" s="289">
        <f si="55" t="shared"/>
        <v>982.74345217746713</v>
      </c>
      <c r="BY49" s="289">
        <f si="56" t="shared"/>
        <v>2276.4009955568708</v>
      </c>
      <c r="BZ49" s="289">
        <f si="57" t="shared"/>
        <v>-1279.8617815778944</v>
      </c>
      <c r="CA49" s="289">
        <f si="58" t="shared"/>
        <v>-136.52823133486083</v>
      </c>
      <c r="CB49" s="289">
        <f si="59" t="shared"/>
        <v>-83.825225910919016</v>
      </c>
      <c r="CC49" s="289">
        <f si="60" t="shared"/>
        <v>773.52039775577214</v>
      </c>
      <c r="CD49" s="289">
        <f si="61" t="shared"/>
        <v>2223.6293972791773</v>
      </c>
      <c r="CE49" s="289">
        <f si="62" t="shared"/>
        <v>48.360209241002337</v>
      </c>
      <c r="CF49" s="289">
        <f si="63" t="shared"/>
        <v>-11050.345211852866</v>
      </c>
      <c r="CG49" s="289">
        <f si="64" t="shared"/>
        <v>-320.75579801945912</v>
      </c>
      <c r="CH49" s="289">
        <f si="65" t="shared"/>
        <v>199.10950817325738</v>
      </c>
      <c r="CI49" s="289">
        <f si="66" t="shared"/>
        <v>160.82059076437054</v>
      </c>
      <c r="CJ49" s="289">
        <f si="67" t="shared"/>
        <v>458.1281077321886</v>
      </c>
      <c r="CK49" s="289">
        <f si="68" t="shared"/>
        <v>457</v>
      </c>
      <c r="CL49" s="289">
        <f si="69" t="shared"/>
        <v>-1682.0289876593024</v>
      </c>
      <c r="CM49" s="289">
        <f si="70" t="shared"/>
        <v>-160.29143050507929</v>
      </c>
      <c r="CN49" s="289">
        <f si="71" t="shared"/>
        <v>512.57142857142901</v>
      </c>
      <c r="CO49" s="289">
        <f si="72" t="shared"/>
        <v>218.31885120985572</v>
      </c>
      <c r="CP49" s="289">
        <f si="73" t="shared"/>
        <v>1070.5216798187062</v>
      </c>
      <c r="CQ49" s="289">
        <f si="74" t="shared"/>
        <v>59.928571428571402</v>
      </c>
      <c r="CR49" s="289">
        <f si="75" t="shared"/>
        <v>0</v>
      </c>
      <c r="CS49" s="289">
        <f si="76" t="shared"/>
        <v>-5272.5834771517839</v>
      </c>
      <c r="CU49">
        <v>48</v>
      </c>
      <c r="CV49">
        <f si="17" t="shared"/>
        <v>3</v>
      </c>
      <c r="CW49">
        <f si="2" t="shared"/>
        <v>8</v>
      </c>
      <c r="CX49" s="355" t="str">
        <f si="3" t="shared"/>
        <v>3_8</v>
      </c>
      <c r="CY49" s="246">
        <f si="0" t="shared"/>
        <v>1836.4753475845639</v>
      </c>
      <c r="CZ49" s="246">
        <f si="1" t="shared"/>
        <v>1786.2142857142901</v>
      </c>
      <c r="DA49" s="246">
        <f si="4" t="shared"/>
        <v>1819.313585363562</v>
      </c>
      <c r="DB49" s="246">
        <f si="5" t="shared"/>
        <v>1760.8571428571449</v>
      </c>
      <c r="DC49" s="301">
        <f si="6" t="shared"/>
        <v>-58.456442506417034</v>
      </c>
      <c r="DD49" s="302">
        <f si="7" t="shared"/>
        <v>-3.1830779859529423E-2</v>
      </c>
      <c r="DE49" s="357">
        <f si="8" t="shared"/>
        <v>1.0331977200669251</v>
      </c>
      <c r="DF49">
        <v>240000</v>
      </c>
    </row>
    <row r="50" spans="2:110" x14ac:dyDescent="0.25">
      <c r="B50">
        <v>10</v>
      </c>
      <c r="C50" s="289">
        <v>2330.6864530126099</v>
      </c>
      <c r="D50" s="289">
        <v>21.137318454289925</v>
      </c>
      <c r="E50" s="289">
        <v>1365.0866403369901</v>
      </c>
      <c r="F50" s="289">
        <v>1638.5059493429878</v>
      </c>
      <c r="G50" s="289">
        <v>7011.1380723894245</v>
      </c>
      <c r="H50" s="289">
        <v>7227.8426473256004</v>
      </c>
      <c r="I50" s="289">
        <v>1076.9329024658459</v>
      </c>
      <c r="J50" s="289">
        <v>0</v>
      </c>
      <c r="K50" s="289">
        <v>928.61870399035615</v>
      </c>
      <c r="L50" s="289">
        <v>44424.200400515889</v>
      </c>
      <c r="M50" s="289">
        <v>661.8586422822691</v>
      </c>
      <c r="N50" s="289">
        <v>7990.1936986000201</v>
      </c>
      <c r="O50" s="289">
        <v>421.86810657266403</v>
      </c>
      <c r="P50" s="289">
        <v>170.51979698934701</v>
      </c>
      <c r="Q50" s="289">
        <v>136.108381824514</v>
      </c>
      <c r="R50" s="289">
        <v>10759.133809732084</v>
      </c>
      <c r="S50" s="289">
        <v>0</v>
      </c>
      <c r="T50" s="289">
        <v>0</v>
      </c>
      <c r="U50" s="289">
        <v>1.465506731960005</v>
      </c>
      <c r="V50" s="289">
        <v>0</v>
      </c>
      <c r="W50" s="289"/>
      <c r="X50" s="289">
        <f si="31" t="shared"/>
        <v>86165.297030566857</v>
      </c>
      <c r="Z50">
        <v>10</v>
      </c>
      <c r="AA50" s="289">
        <f>SUMIFS(model_other_auto_dist!$C:$C,model_other_auto_dist!$A:$A,$Z50,model_other_auto_dist!$B:$B,AA$40)</f>
        <v>3304.8571428571399</v>
      </c>
      <c r="AB50" s="289">
        <f>SUMIFS(model_other_auto_dist!$C:$C,model_other_auto_dist!$A:$A,$Z50,model_other_auto_dist!$B:$B,AB$40)</f>
        <v>630.92857142857099</v>
      </c>
      <c r="AC50" s="289">
        <f>SUMIFS(model_other_auto_dist!$C:$C,model_other_auto_dist!$A:$A,$Z50,model_other_auto_dist!$B:$B,AC$40)</f>
        <v>1105.07142857143</v>
      </c>
      <c r="AD50" s="289">
        <f>SUMIFS(model_other_auto_dist!$C:$C,model_other_auto_dist!$A:$A,$Z50,model_other_auto_dist!$B:$B,AD$40)</f>
        <v>1576.6428571428601</v>
      </c>
      <c r="AE50" s="289">
        <f>SUMIFS(model_other_auto_dist!$C:$C,model_other_auto_dist!$A:$A,$Z50,model_other_auto_dist!$B:$B,AE$40)</f>
        <v>5053.6428571428596</v>
      </c>
      <c r="AF50" s="289">
        <f>SUMIFS(model_other_auto_dist!$C:$C,model_other_auto_dist!$A:$A,$Z50,model_other_auto_dist!$B:$B,AF$40)</f>
        <v>7247.3571428571404</v>
      </c>
      <c r="AG50" s="289">
        <f>SUMIFS(model_other_auto_dist!$C:$C,model_other_auto_dist!$A:$A,$Z50,model_other_auto_dist!$B:$B,AG$40)</f>
        <v>616.07142857142901</v>
      </c>
      <c r="AH50" s="289">
        <f>SUMIFS(model_other_auto_dist!$C:$C,model_other_auto_dist!$A:$A,$Z50,model_other_auto_dist!$B:$B,AH$40)</f>
        <v>184.57142857142901</v>
      </c>
      <c r="AI50" s="289">
        <f>SUMIFS(model_other_auto_dist!$C:$C,model_other_auto_dist!$A:$A,$Z50,model_other_auto_dist!$B:$B,AI$40)</f>
        <v>510.857142857143</v>
      </c>
      <c r="AJ50" s="289">
        <f>SUMIFS(model_other_auto_dist!$C:$C,model_other_auto_dist!$A:$A,$Z50,model_other_auto_dist!$B:$B,AJ$40)</f>
        <v>34400.928571428602</v>
      </c>
      <c r="AK50" s="289">
        <f>SUMIFS(model_other_auto_dist!$C:$C,model_other_auto_dist!$A:$A,$Z50,model_other_auto_dist!$B:$B,AK$40)</f>
        <v>448.642857142857</v>
      </c>
      <c r="AL50" s="289">
        <f>SUMIFS(model_other_auto_dist!$C:$C,model_other_auto_dist!$A:$A,$Z50,model_other_auto_dist!$B:$B,AL$40)</f>
        <v>6289.1428571428596</v>
      </c>
      <c r="AM50" s="289">
        <f>SUMIFS(model_other_auto_dist!$C:$C,model_other_auto_dist!$A:$A,$Z50,model_other_auto_dist!$B:$B,AM$40)</f>
        <v>88.928571428571402</v>
      </c>
      <c r="AN50" s="289">
        <f>SUMIFS(model_other_auto_dist!$C:$C,model_other_auto_dist!$A:$A,$Z50,model_other_auto_dist!$B:$B,AN$40)</f>
        <v>296.142857142857</v>
      </c>
      <c r="AO50" s="289">
        <f>SUMIFS(model_other_auto_dist!$C:$C,model_other_auto_dist!$A:$A,$Z50,model_other_auto_dist!$B:$B,AO$40)</f>
        <v>85.5</v>
      </c>
      <c r="AP50" s="289">
        <f>SUMIFS(model_other_auto_dist!$C:$C,model_other_auto_dist!$A:$A,$Z50,model_other_auto_dist!$B:$B,AP$40)</f>
        <v>6670.2857142857101</v>
      </c>
      <c r="AQ50" s="289">
        <f>SUMIFS(model_other_auto_dist!$C:$C,model_other_auto_dist!$A:$A,$Z50,model_other_auto_dist!$B:$B,AQ$40)</f>
        <v>127.5</v>
      </c>
      <c r="AR50" s="289">
        <f>SUMIFS(model_other_auto_dist!$C:$C,model_other_auto_dist!$A:$A,$Z50,model_other_auto_dist!$B:$B,AR$40)</f>
        <v>174.5</v>
      </c>
      <c r="AS50" s="289">
        <f>SUMIFS(model_other_auto_dist!$C:$C,model_other_auto_dist!$A:$A,$Z50,model_other_auto_dist!$B:$B,AS$40)</f>
        <v>155.21428571428601</v>
      </c>
      <c r="AT50" s="289">
        <f>SUMIFS(model_other_auto_dist!$C:$C,model_other_auto_dist!$A:$A,$Z50,model_other_auto_dist!$B:$B,AT$40)</f>
        <v>111.28571428571399</v>
      </c>
      <c r="AU50" s="289">
        <f>SUMIFS(model_other_auto_dist!$C:$C,model_other_auto_dist!$A:$A,$Z50,model_other_auto_dist!$B:$B,AU$40)</f>
        <v>0</v>
      </c>
      <c r="AV50" s="12">
        <f si="32" t="shared"/>
        <v>69078.071428571449</v>
      </c>
      <c r="AW50" s="346"/>
      <c r="AY50">
        <v>10</v>
      </c>
      <c r="AZ50" s="289">
        <f si="33" t="shared"/>
        <v>3304.8571428571399</v>
      </c>
      <c r="BA50" s="289">
        <f si="34" t="shared"/>
        <v>630.92857142857099</v>
      </c>
      <c r="BB50" s="289">
        <f si="35" t="shared"/>
        <v>1105.07142857143</v>
      </c>
      <c r="BC50" s="289">
        <f si="36" t="shared"/>
        <v>1576.6428571428601</v>
      </c>
      <c r="BD50" s="289">
        <f si="37" t="shared"/>
        <v>5053.6428571428596</v>
      </c>
      <c r="BE50" s="289">
        <f si="38" t="shared"/>
        <v>7247.3571428571404</v>
      </c>
      <c r="BF50" s="289">
        <f si="39" t="shared"/>
        <v>616.07142857142901</v>
      </c>
      <c r="BG50" s="289">
        <f si="40" t="shared"/>
        <v>184.57142857142901</v>
      </c>
      <c r="BH50" s="289">
        <f si="41" t="shared"/>
        <v>510.857142857143</v>
      </c>
      <c r="BI50" s="289">
        <f si="42" t="shared"/>
        <v>34400.928571428602</v>
      </c>
      <c r="BJ50" s="289">
        <f si="43" t="shared"/>
        <v>448.642857142857</v>
      </c>
      <c r="BK50" s="289">
        <f si="44" t="shared"/>
        <v>6289.1428571428596</v>
      </c>
      <c r="BL50" s="289">
        <f si="45" t="shared"/>
        <v>88.928571428571402</v>
      </c>
      <c r="BM50" s="289">
        <f si="46" t="shared"/>
        <v>296.142857142857</v>
      </c>
      <c r="BN50" s="289">
        <f si="47" t="shared"/>
        <v>85.5</v>
      </c>
      <c r="BO50" s="289">
        <f si="48" t="shared"/>
        <v>6670.2857142857101</v>
      </c>
      <c r="BP50" s="289">
        <f si="49" t="shared"/>
        <v>127.5</v>
      </c>
      <c r="BQ50" s="289">
        <f si="50" t="shared"/>
        <v>174.5</v>
      </c>
      <c r="BR50" s="289">
        <f si="51" t="shared"/>
        <v>155.21428571428601</v>
      </c>
      <c r="BS50" s="289">
        <f si="52" t="shared"/>
        <v>111.28571428571399</v>
      </c>
      <c r="BT50" s="289">
        <f si="53" t="shared"/>
        <v>0</v>
      </c>
      <c r="BU50" s="289">
        <f si="54" t="shared"/>
        <v>69078.071428571449</v>
      </c>
      <c r="BW50">
        <v>10</v>
      </c>
      <c r="BX50" s="289">
        <f si="55" t="shared"/>
        <v>1277.0353739638349</v>
      </c>
      <c r="BY50" s="289">
        <f si="56" t="shared"/>
        <v>612.53797476884631</v>
      </c>
      <c r="BZ50" s="289">
        <f si="57" t="shared"/>
        <v>-82.626900443484146</v>
      </c>
      <c r="CA50" s="289">
        <f si="58" t="shared"/>
        <v>151.05511742602152</v>
      </c>
      <c r="CB50" s="289">
        <f si="59" t="shared"/>
        <v>-1046.4219497430277</v>
      </c>
      <c r="CC50" s="289">
        <f si="60" t="shared"/>
        <v>958.74777481574529</v>
      </c>
      <c r="CD50" s="289">
        <f si="61" t="shared"/>
        <v>-320.91774920274577</v>
      </c>
      <c r="CE50" s="289">
        <f si="62" t="shared"/>
        <v>184.57142857142901</v>
      </c>
      <c r="CF50" s="289">
        <f si="63" t="shared"/>
        <v>-297.0907561487918</v>
      </c>
      <c r="CG50" s="289">
        <f si="64" t="shared"/>
        <v>-4250.4998613419812</v>
      </c>
      <c r="CH50" s="289">
        <f si="65" t="shared"/>
        <v>-127.209532188764</v>
      </c>
      <c r="CI50" s="289">
        <f si="66" t="shared"/>
        <v>-662.75266649219793</v>
      </c>
      <c r="CJ50" s="289">
        <f si="67" t="shared"/>
        <v>-278.11922644405843</v>
      </c>
      <c r="CK50" s="289">
        <f si="68" t="shared"/>
        <v>147.7815209728586</v>
      </c>
      <c r="CL50" s="289">
        <f si="69" t="shared"/>
        <v>-32.921565987923174</v>
      </c>
      <c r="CM50" s="289">
        <f si="70" t="shared"/>
        <v>-2690.7356816251704</v>
      </c>
      <c r="CN50" s="289">
        <f si="71" t="shared"/>
        <v>127.5</v>
      </c>
      <c r="CO50" s="289">
        <f si="72" t="shared"/>
        <v>174.5</v>
      </c>
      <c r="CP50" s="289">
        <f si="73" t="shared"/>
        <v>153.93921653898494</v>
      </c>
      <c r="CQ50" s="289">
        <f si="74" t="shared"/>
        <v>111.28571428571399</v>
      </c>
      <c r="CR50" s="289">
        <f si="75" t="shared"/>
        <v>0</v>
      </c>
      <c r="CS50" s="289">
        <f si="76" t="shared"/>
        <v>-5890.341768274724</v>
      </c>
      <c r="CU50">
        <v>49</v>
      </c>
      <c r="CV50">
        <f si="17" t="shared"/>
        <v>3</v>
      </c>
      <c r="CW50">
        <f si="2" t="shared"/>
        <v>9</v>
      </c>
      <c r="CX50" s="355" t="str">
        <f si="3" t="shared"/>
        <v>3_9</v>
      </c>
      <c r="CY50" s="246">
        <f si="0" t="shared"/>
        <v>5654.5640316158369</v>
      </c>
      <c r="CZ50" s="246">
        <f si="1" t="shared"/>
        <v>4276.4285714285697</v>
      </c>
      <c r="DA50" s="246">
        <f si="4" t="shared"/>
        <v>5569.6057637397207</v>
      </c>
      <c r="DB50" s="246">
        <f si="5" t="shared"/>
        <v>4240.6071428571395</v>
      </c>
      <c r="DC50" s="301">
        <f si="6" t="shared"/>
        <v>-1328.9986208825812</v>
      </c>
      <c r="DD50" s="302">
        <f si="7" t="shared"/>
        <v>-0.23503113828968514</v>
      </c>
      <c r="DE50" s="357">
        <f si="8" t="shared"/>
        <v>1.3133981941998898</v>
      </c>
      <c r="DF50">
        <v>245000</v>
      </c>
    </row>
    <row r="51" spans="2:110" x14ac:dyDescent="0.25">
      <c r="B51">
        <v>11</v>
      </c>
      <c r="C51" s="289">
        <v>1512.3188224942601</v>
      </c>
      <c r="D51" s="289">
        <v>718.16637344754008</v>
      </c>
      <c r="E51" s="289">
        <v>14111.09625428724</v>
      </c>
      <c r="F51" s="289">
        <v>3239.3032089616599</v>
      </c>
      <c r="G51" s="289">
        <v>1677.8733678551248</v>
      </c>
      <c r="H51" s="289">
        <v>1054.145653481</v>
      </c>
      <c r="I51" s="289">
        <v>872.54060339244006</v>
      </c>
      <c r="J51" s="289">
        <v>3197.8179695673589</v>
      </c>
      <c r="K51" s="289">
        <v>9160.7691967798091</v>
      </c>
      <c r="L51" s="289">
        <v>638.35938172258898</v>
      </c>
      <c r="M51" s="289">
        <v>135663.15672422238</v>
      </c>
      <c r="N51" s="289">
        <v>0</v>
      </c>
      <c r="O51" s="289">
        <v>0</v>
      </c>
      <c r="P51" s="289">
        <v>0</v>
      </c>
      <c r="Q51" s="289">
        <v>0</v>
      </c>
      <c r="R51" s="289">
        <v>108.48189600679498</v>
      </c>
      <c r="S51" s="289">
        <v>5998.5387674951198</v>
      </c>
      <c r="T51" s="289">
        <v>0</v>
      </c>
      <c r="U51" s="289">
        <v>18709.245080284232</v>
      </c>
      <c r="V51" s="289">
        <v>0</v>
      </c>
      <c r="W51" s="289"/>
      <c r="X51" s="289">
        <f si="31" t="shared"/>
        <v>196661.81329999756</v>
      </c>
      <c r="Z51">
        <v>11</v>
      </c>
      <c r="AA51" s="289">
        <f>SUMIFS(model_other_auto_dist!$C:$C,model_other_auto_dist!$A:$A,$Z51,model_other_auto_dist!$B:$B,AA$40)</f>
        <v>4654.0714285714303</v>
      </c>
      <c r="AB51" s="289">
        <f>SUMIFS(model_other_auto_dist!$C:$C,model_other_auto_dist!$A:$A,$Z51,model_other_auto_dist!$B:$B,AB$40)</f>
        <v>1008.42857142857</v>
      </c>
      <c r="AC51" s="289">
        <f>SUMIFS(model_other_auto_dist!$C:$C,model_other_auto_dist!$A:$A,$Z51,model_other_auto_dist!$B:$B,AC$40)</f>
        <v>13546.4285714286</v>
      </c>
      <c r="AD51" s="289">
        <f>SUMIFS(model_other_auto_dist!$C:$C,model_other_auto_dist!$A:$A,$Z51,model_other_auto_dist!$B:$B,AD$40)</f>
        <v>2406.4285714285702</v>
      </c>
      <c r="AE51" s="289">
        <f>SUMIFS(model_other_auto_dist!$C:$C,model_other_auto_dist!$A:$A,$Z51,model_other_auto_dist!$B:$B,AE$40)</f>
        <v>1146.1428571428601</v>
      </c>
      <c r="AF51" s="289">
        <f>SUMIFS(model_other_auto_dist!$C:$C,model_other_auto_dist!$A:$A,$Z51,model_other_auto_dist!$B:$B,AF$40)</f>
        <v>2260.3571428571399</v>
      </c>
      <c r="AG51" s="289">
        <f>SUMIFS(model_other_auto_dist!$C:$C,model_other_auto_dist!$A:$A,$Z51,model_other_auto_dist!$B:$B,AG$40)</f>
        <v>753.07142857142901</v>
      </c>
      <c r="AH51" s="289">
        <f>SUMIFS(model_other_auto_dist!$C:$C,model_other_auto_dist!$A:$A,$Z51,model_other_auto_dist!$B:$B,AH$40)</f>
        <v>1453.2857142857099</v>
      </c>
      <c r="AI51" s="289">
        <f>SUMIFS(model_other_auto_dist!$C:$C,model_other_auto_dist!$A:$A,$Z51,model_other_auto_dist!$B:$B,AI$40)</f>
        <v>8218.5</v>
      </c>
      <c r="AJ51" s="289">
        <f>SUMIFS(model_other_auto_dist!$C:$C,model_other_auto_dist!$A:$A,$Z51,model_other_auto_dist!$B:$B,AJ$40)</f>
        <v>455.21428571428601</v>
      </c>
      <c r="AK51" s="289">
        <f>SUMIFS(model_other_auto_dist!$C:$C,model_other_auto_dist!$A:$A,$Z51,model_other_auto_dist!$B:$B,AK$40)</f>
        <v>110682.928571429</v>
      </c>
      <c r="AL51" s="289">
        <f>SUMIFS(model_other_auto_dist!$C:$C,model_other_auto_dist!$A:$A,$Z51,model_other_auto_dist!$B:$B,AL$40)</f>
        <v>1044.2142857142901</v>
      </c>
      <c r="AM51" s="289">
        <f>SUMIFS(model_other_auto_dist!$C:$C,model_other_auto_dist!$A:$A,$Z51,model_other_auto_dist!$B:$B,AM$40)</f>
        <v>144.857142857143</v>
      </c>
      <c r="AN51" s="289">
        <f>SUMIFS(model_other_auto_dist!$C:$C,model_other_auto_dist!$A:$A,$Z51,model_other_auto_dist!$B:$B,AN$40)</f>
        <v>2964.3571428571399</v>
      </c>
      <c r="AO51" s="289">
        <f>SUMIFS(model_other_auto_dist!$C:$C,model_other_auto_dist!$A:$A,$Z51,model_other_auto_dist!$B:$B,AO$40)</f>
        <v>557.42857142857099</v>
      </c>
      <c r="AP51" s="289">
        <f>SUMIFS(model_other_auto_dist!$C:$C,model_other_auto_dist!$A:$A,$Z51,model_other_auto_dist!$B:$B,AP$40)</f>
        <v>72</v>
      </c>
      <c r="AQ51" s="289">
        <f>SUMIFS(model_other_auto_dist!$C:$C,model_other_auto_dist!$A:$A,$Z51,model_other_auto_dist!$B:$B,AQ$40)</f>
        <v>6077.0714285714303</v>
      </c>
      <c r="AR51" s="289">
        <f>SUMIFS(model_other_auto_dist!$C:$C,model_other_auto_dist!$A:$A,$Z51,model_other_auto_dist!$B:$B,AR$40)</f>
        <v>42.5</v>
      </c>
      <c r="AS51" s="289">
        <f>SUMIFS(model_other_auto_dist!$C:$C,model_other_auto_dist!$A:$A,$Z51,model_other_auto_dist!$B:$B,AS$40)</f>
        <v>14667</v>
      </c>
      <c r="AT51" s="289">
        <f>SUMIFS(model_other_auto_dist!$C:$C,model_other_auto_dist!$A:$A,$Z51,model_other_auto_dist!$B:$B,AT$40)</f>
        <v>23.6428571428571</v>
      </c>
      <c r="AU51" s="289">
        <f>SUMIFS(model_other_auto_dist!$C:$C,model_other_auto_dist!$A:$A,$Z51,model_other_auto_dist!$B:$B,AU$40)</f>
        <v>0</v>
      </c>
      <c r="AV51" s="12">
        <f si="32" t="shared"/>
        <v>172177.92857142902</v>
      </c>
      <c r="AW51" s="346"/>
      <c r="AY51">
        <v>11</v>
      </c>
      <c r="AZ51" s="289">
        <f si="33" t="shared"/>
        <v>4654.0714285714303</v>
      </c>
      <c r="BA51" s="289">
        <f si="34" t="shared"/>
        <v>1008.42857142857</v>
      </c>
      <c r="BB51" s="289">
        <f si="35" t="shared"/>
        <v>13546.4285714286</v>
      </c>
      <c r="BC51" s="289">
        <f si="36" t="shared"/>
        <v>2406.4285714285702</v>
      </c>
      <c r="BD51" s="289">
        <f si="37" t="shared"/>
        <v>1146.1428571428601</v>
      </c>
      <c r="BE51" s="289">
        <f si="38" t="shared"/>
        <v>2260.3571428571399</v>
      </c>
      <c r="BF51" s="289">
        <f si="39" t="shared"/>
        <v>753.07142857142901</v>
      </c>
      <c r="BG51" s="289">
        <f si="40" t="shared"/>
        <v>1453.2857142857099</v>
      </c>
      <c r="BH51" s="289">
        <f si="41" t="shared"/>
        <v>8218.5</v>
      </c>
      <c r="BI51" s="289">
        <f si="42" t="shared"/>
        <v>455.21428571428601</v>
      </c>
      <c r="BJ51" s="289">
        <f si="43" t="shared"/>
        <v>110682.928571429</v>
      </c>
      <c r="BK51" s="289">
        <f si="44" t="shared"/>
        <v>1044.2142857142901</v>
      </c>
      <c r="BL51" s="289">
        <f si="45" t="shared"/>
        <v>144.857142857143</v>
      </c>
      <c r="BM51" s="289">
        <f si="46" t="shared"/>
        <v>2964.3571428571399</v>
      </c>
      <c r="BN51" s="289">
        <f si="47" t="shared"/>
        <v>557.42857142857099</v>
      </c>
      <c r="BO51" s="289">
        <f si="48" t="shared"/>
        <v>72</v>
      </c>
      <c r="BP51" s="289">
        <f si="49" t="shared"/>
        <v>6077.0714285714303</v>
      </c>
      <c r="BQ51" s="289">
        <f si="50" t="shared"/>
        <v>42.5</v>
      </c>
      <c r="BR51" s="289">
        <f si="51" t="shared"/>
        <v>14667</v>
      </c>
      <c r="BS51" s="289">
        <f si="52" t="shared"/>
        <v>23.6428571428571</v>
      </c>
      <c r="BT51" s="289">
        <f si="53" t="shared"/>
        <v>0</v>
      </c>
      <c r="BU51" s="289">
        <f si="54" t="shared"/>
        <v>172177.92857142902</v>
      </c>
      <c r="BW51">
        <v>11</v>
      </c>
      <c r="BX51" s="289">
        <f si="55" t="shared"/>
        <v>3338.2732328094203</v>
      </c>
      <c r="BY51" s="289">
        <f si="56" t="shared"/>
        <v>383.58544682823083</v>
      </c>
      <c r="BZ51" s="289">
        <f si="57" t="shared"/>
        <v>1269.0207157278019</v>
      </c>
      <c r="CA51" s="289">
        <f si="58" t="shared"/>
        <v>-411.93833274584267</v>
      </c>
      <c r="CB51" s="289">
        <f si="59" t="shared"/>
        <v>-313.69664052316853</v>
      </c>
      <c r="CC51" s="289">
        <f si="60" t="shared"/>
        <v>1343.194089478606</v>
      </c>
      <c r="CD51" s="289">
        <f si="61" t="shared"/>
        <v>-6.0855260311284383</v>
      </c>
      <c r="CE51" s="289">
        <f si="62" t="shared"/>
        <v>-1328.9868145930575</v>
      </c>
      <c r="CF51" s="289">
        <f si="63" t="shared"/>
        <v>248.14123594327611</v>
      </c>
      <c r="CG51" s="289">
        <f si="64" t="shared"/>
        <v>-100.19249110080762</v>
      </c>
      <c r="CH51" s="289">
        <f si="65" t="shared"/>
        <v>-7351.2677858593524</v>
      </c>
      <c r="CI51" s="289">
        <f si="66" t="shared"/>
        <v>1044.2142857142901</v>
      </c>
      <c r="CJ51" s="289">
        <f si="67" t="shared"/>
        <v>144.857142857143</v>
      </c>
      <c r="CK51" s="289">
        <f si="68" t="shared"/>
        <v>2964.3571428571399</v>
      </c>
      <c r="CL51" s="289">
        <f si="69" t="shared"/>
        <v>557.42857142857099</v>
      </c>
      <c r="CM51" s="289">
        <f si="70" t="shared"/>
        <v>-22.385046932869599</v>
      </c>
      <c r="CN51" s="289">
        <f si="71" t="shared"/>
        <v>858.02213150529769</v>
      </c>
      <c r="CO51" s="289">
        <f si="72" t="shared"/>
        <v>42.5</v>
      </c>
      <c r="CP51" s="289">
        <f si="73" t="shared"/>
        <v>-1611.0430650896615</v>
      </c>
      <c r="CQ51" s="289">
        <f si="74" t="shared"/>
        <v>23.6428571428571</v>
      </c>
      <c r="CR51" s="289">
        <f si="75" t="shared"/>
        <v>0</v>
      </c>
      <c r="CS51" s="289">
        <f si="76" t="shared"/>
        <v>1071.6411494167114</v>
      </c>
      <c r="CU51">
        <v>50</v>
      </c>
      <c r="CV51">
        <f si="17" t="shared"/>
        <v>3</v>
      </c>
      <c r="CW51">
        <f si="2" t="shared"/>
        <v>10</v>
      </c>
      <c r="CX51" s="355" t="str">
        <f si="3" t="shared"/>
        <v>3_10</v>
      </c>
      <c r="CY51" s="246">
        <f si="0" t="shared"/>
        <v>1176.8297877276632</v>
      </c>
      <c r="CZ51" s="246">
        <f si="1" t="shared"/>
        <v>1083.6428571428601</v>
      </c>
      <c r="DA51" s="246">
        <f si="4" t="shared"/>
        <v>1182.2640583712887</v>
      </c>
      <c r="DB51" s="246">
        <f si="5" t="shared"/>
        <v>1094.3571428571449</v>
      </c>
      <c r="DC51" s="301">
        <f si="6" t="shared"/>
        <v>-87.906915514143748</v>
      </c>
      <c r="DD51" s="302">
        <f si="7" t="shared"/>
        <v>-7.4698071404092278E-2</v>
      </c>
      <c r="DE51" s="357">
        <f si="8" t="shared"/>
        <v>1.0803274471116775</v>
      </c>
      <c r="DF51">
        <v>250000</v>
      </c>
    </row>
    <row r="52" spans="2:110" x14ac:dyDescent="0.25">
      <c r="B52">
        <v>12</v>
      </c>
      <c r="C52" s="289">
        <v>273.1092318277806</v>
      </c>
      <c r="D52" s="289">
        <v>0</v>
      </c>
      <c r="E52" s="289">
        <v>2446.8863784400705</v>
      </c>
      <c r="F52" s="289">
        <v>0</v>
      </c>
      <c r="G52" s="289">
        <v>1235.3292782880199</v>
      </c>
      <c r="H52" s="289">
        <v>11225.276507148801</v>
      </c>
      <c r="I52" s="289">
        <v>21709.523501210297</v>
      </c>
      <c r="J52" s="289">
        <v>0</v>
      </c>
      <c r="K52" s="289">
        <v>3997.9015304289196</v>
      </c>
      <c r="L52" s="289">
        <v>7984.7692604047188</v>
      </c>
      <c r="M52" s="289">
        <v>0</v>
      </c>
      <c r="N52" s="289">
        <v>342385.16453943716</v>
      </c>
      <c r="O52" s="289">
        <v>53.932028351579902</v>
      </c>
      <c r="P52" s="289">
        <v>0</v>
      </c>
      <c r="Q52" s="289">
        <v>0</v>
      </c>
      <c r="R52" s="289">
        <v>4615.03438609351</v>
      </c>
      <c r="S52" s="289">
        <v>0</v>
      </c>
      <c r="T52" s="289">
        <v>18103.04923546443</v>
      </c>
      <c r="U52" s="289">
        <v>84.378995062260174</v>
      </c>
      <c r="V52" s="289">
        <v>0</v>
      </c>
      <c r="W52" s="289"/>
      <c r="X52" s="289">
        <f si="31" t="shared"/>
        <v>414114.35487215751</v>
      </c>
      <c r="Z52">
        <v>12</v>
      </c>
      <c r="AA52" s="289">
        <f>SUMIFS(model_other_auto_dist!$C:$C,model_other_auto_dist!$A:$A,$Z52,model_other_auto_dist!$B:$B,AA$40)</f>
        <v>6160.4285714285697</v>
      </c>
      <c r="AB52" s="289">
        <f>SUMIFS(model_other_auto_dist!$C:$C,model_other_auto_dist!$A:$A,$Z52,model_other_auto_dist!$B:$B,AB$40)</f>
        <v>5979.9285714285697</v>
      </c>
      <c r="AC52" s="289">
        <f>SUMIFS(model_other_auto_dist!$C:$C,model_other_auto_dist!$A:$A,$Z52,model_other_auto_dist!$B:$B,AC$40)</f>
        <v>2470.7142857142899</v>
      </c>
      <c r="AD52" s="289">
        <f>SUMIFS(model_other_auto_dist!$C:$C,model_other_auto_dist!$A:$A,$Z52,model_other_auto_dist!$B:$B,AD$40)</f>
        <v>1264.5</v>
      </c>
      <c r="AE52" s="289">
        <f>SUMIFS(model_other_auto_dist!$C:$C,model_other_auto_dist!$A:$A,$Z52,model_other_auto_dist!$B:$B,AE$40)</f>
        <v>2389.6428571428601</v>
      </c>
      <c r="AF52" s="289">
        <f>SUMIFS(model_other_auto_dist!$C:$C,model_other_auto_dist!$A:$A,$Z52,model_other_auto_dist!$B:$B,AF$40)</f>
        <v>14806</v>
      </c>
      <c r="AG52" s="289">
        <f>SUMIFS(model_other_auto_dist!$C:$C,model_other_auto_dist!$A:$A,$Z52,model_other_auto_dist!$B:$B,AG$40)</f>
        <v>23094.785714285699</v>
      </c>
      <c r="AH52" s="289">
        <f>SUMIFS(model_other_auto_dist!$C:$C,model_other_auto_dist!$A:$A,$Z52,model_other_auto_dist!$B:$B,AH$40)</f>
        <v>178.57142857142901</v>
      </c>
      <c r="AI52" s="289">
        <f>SUMIFS(model_other_auto_dist!$C:$C,model_other_auto_dist!$A:$A,$Z52,model_other_auto_dist!$B:$B,AI$40)</f>
        <v>3809</v>
      </c>
      <c r="AJ52" s="289">
        <f>SUMIFS(model_other_auto_dist!$C:$C,model_other_auto_dist!$A:$A,$Z52,model_other_auto_dist!$B:$B,AJ$40)</f>
        <v>6645.5</v>
      </c>
      <c r="AK52" s="289">
        <f>SUMIFS(model_other_auto_dist!$C:$C,model_other_auto_dist!$A:$A,$Z52,model_other_auto_dist!$B:$B,AK$40)</f>
        <v>1089.1428571428601</v>
      </c>
      <c r="AL52" s="289">
        <f>SUMIFS(model_other_auto_dist!$C:$C,model_other_auto_dist!$A:$A,$Z52,model_other_auto_dist!$B:$B,AL$40)</f>
        <v>277954.78571428597</v>
      </c>
      <c r="AM52" s="289">
        <f>SUMIFS(model_other_auto_dist!$C:$C,model_other_auto_dist!$A:$A,$Z52,model_other_auto_dist!$B:$B,AM$40)</f>
        <v>2859.2857142857101</v>
      </c>
      <c r="AN52" s="289">
        <f>SUMIFS(model_other_auto_dist!$C:$C,model_other_auto_dist!$A:$A,$Z52,model_other_auto_dist!$B:$B,AN$40)</f>
        <v>345</v>
      </c>
      <c r="AO52" s="289">
        <f>SUMIFS(model_other_auto_dist!$C:$C,model_other_auto_dist!$A:$A,$Z52,model_other_auto_dist!$B:$B,AO$40)</f>
        <v>626.92857142857099</v>
      </c>
      <c r="AP52" s="289">
        <f>SUMIFS(model_other_auto_dist!$C:$C,model_other_auto_dist!$A:$A,$Z52,model_other_auto_dist!$B:$B,AP$40)</f>
        <v>3468.2857142857101</v>
      </c>
      <c r="AQ52" s="289">
        <f>SUMIFS(model_other_auto_dist!$C:$C,model_other_auto_dist!$A:$A,$Z52,model_other_auto_dist!$B:$B,AQ$40)</f>
        <v>239.642857142857</v>
      </c>
      <c r="AR52" s="289">
        <f>SUMIFS(model_other_auto_dist!$C:$C,model_other_auto_dist!$A:$A,$Z52,model_other_auto_dist!$B:$B,AR$40)</f>
        <v>12373.5714285714</v>
      </c>
      <c r="AS52" s="289">
        <f>SUMIFS(model_other_auto_dist!$C:$C,model_other_auto_dist!$A:$A,$Z52,model_other_auto_dist!$B:$B,AS$40)</f>
        <v>392</v>
      </c>
      <c r="AT52" s="289">
        <f>SUMIFS(model_other_auto_dist!$C:$C,model_other_auto_dist!$A:$A,$Z52,model_other_auto_dist!$B:$B,AT$40)</f>
        <v>3679.7142857142899</v>
      </c>
      <c r="AU52" s="289">
        <f>SUMIFS(model_other_auto_dist!$C:$C,model_other_auto_dist!$A:$A,$Z52,model_other_auto_dist!$B:$B,AU$40)</f>
        <v>0</v>
      </c>
      <c r="AV52" s="12">
        <f si="32" t="shared"/>
        <v>369827.42857142875</v>
      </c>
      <c r="AW52" s="346"/>
      <c r="AY52">
        <v>12</v>
      </c>
      <c r="AZ52" s="289">
        <f si="33" t="shared"/>
        <v>6160.4285714285697</v>
      </c>
      <c r="BA52" s="289">
        <f si="34" t="shared"/>
        <v>5979.9285714285697</v>
      </c>
      <c r="BB52" s="289">
        <f si="35" t="shared"/>
        <v>2470.7142857142899</v>
      </c>
      <c r="BC52" s="289">
        <f si="36" t="shared"/>
        <v>1264.5</v>
      </c>
      <c r="BD52" s="289">
        <f si="37" t="shared"/>
        <v>2389.6428571428601</v>
      </c>
      <c r="BE52" s="289">
        <f si="38" t="shared"/>
        <v>14806</v>
      </c>
      <c r="BF52" s="289">
        <f si="39" t="shared"/>
        <v>23094.785714285699</v>
      </c>
      <c r="BG52" s="289">
        <f si="40" t="shared"/>
        <v>178.57142857142901</v>
      </c>
      <c r="BH52" s="289">
        <f si="41" t="shared"/>
        <v>3809</v>
      </c>
      <c r="BI52" s="289">
        <f si="42" t="shared"/>
        <v>6645.5</v>
      </c>
      <c r="BJ52" s="289">
        <f si="43" t="shared"/>
        <v>1089.1428571428601</v>
      </c>
      <c r="BK52" s="289">
        <f si="44" t="shared"/>
        <v>277954.78571428597</v>
      </c>
      <c r="BL52" s="289">
        <f si="45" t="shared"/>
        <v>2859.2857142857101</v>
      </c>
      <c r="BM52" s="289">
        <f si="46" t="shared"/>
        <v>345</v>
      </c>
      <c r="BN52" s="289">
        <f si="47" t="shared"/>
        <v>626.92857142857099</v>
      </c>
      <c r="BO52" s="289">
        <f si="48" t="shared"/>
        <v>3468.2857142857101</v>
      </c>
      <c r="BP52" s="289">
        <f si="49" t="shared"/>
        <v>239.642857142857</v>
      </c>
      <c r="BQ52" s="289">
        <f si="50" t="shared"/>
        <v>12373.5714285714</v>
      </c>
      <c r="BR52" s="289">
        <f si="51" t="shared"/>
        <v>392</v>
      </c>
      <c r="BS52" s="289">
        <f si="52" t="shared"/>
        <v>3679.7142857142899</v>
      </c>
      <c r="BT52" s="289">
        <f si="53" t="shared"/>
        <v>0</v>
      </c>
      <c r="BU52" s="289">
        <f si="54" t="shared"/>
        <v>369827.42857142875</v>
      </c>
      <c r="BW52">
        <v>12</v>
      </c>
      <c r="BX52" s="289">
        <f si="55" t="shared"/>
        <v>5922.8089444426032</v>
      </c>
      <c r="BY52" s="289">
        <f si="56" t="shared"/>
        <v>5979.9285714285697</v>
      </c>
      <c r="BZ52" s="289">
        <f si="57" t="shared"/>
        <v>341.79237183107898</v>
      </c>
      <c r="CA52" s="289">
        <f si="58" t="shared"/>
        <v>1264.5</v>
      </c>
      <c r="CB52" s="289">
        <f si="59" t="shared"/>
        <v>1314.8403675047787</v>
      </c>
      <c r="CC52" s="289">
        <f si="60" t="shared"/>
        <v>5039.4095460931621</v>
      </c>
      <c r="CD52" s="289">
        <f si="61" t="shared"/>
        <v>4206.3400843934724</v>
      </c>
      <c r="CE52" s="289">
        <f si="62" t="shared"/>
        <v>178.57142857142901</v>
      </c>
      <c r="CF52" s="289">
        <f si="63" t="shared"/>
        <v>330.61201571468473</v>
      </c>
      <c r="CG52" s="289">
        <f si="64" t="shared"/>
        <v>-301.67597251644565</v>
      </c>
      <c r="CH52" s="289">
        <f si="65" t="shared"/>
        <v>1089.1428571428601</v>
      </c>
      <c r="CI52" s="289">
        <f si="66" t="shared"/>
        <v>-19938.604922515573</v>
      </c>
      <c r="CJ52" s="289">
        <f si="67" t="shared"/>
        <v>2812.3619674254055</v>
      </c>
      <c r="CK52" s="289">
        <f si="68" t="shared"/>
        <v>345</v>
      </c>
      <c r="CL52" s="289">
        <f si="69" t="shared"/>
        <v>626.92857142857099</v>
      </c>
      <c r="CM52" s="289">
        <f si="70" t="shared"/>
        <v>-547.04083477238282</v>
      </c>
      <c r="CN52" s="289">
        <f si="71" t="shared"/>
        <v>239.642857142857</v>
      </c>
      <c r="CO52" s="289">
        <f si="72" t="shared"/>
        <v>-3377.0488556678647</v>
      </c>
      <c r="CP52" s="289">
        <f si="73" t="shared"/>
        <v>318.58576497777148</v>
      </c>
      <c r="CQ52" s="289">
        <f si="74" t="shared"/>
        <v>3679.7142857142899</v>
      </c>
      <c r="CR52" s="289">
        <f si="75" t="shared"/>
        <v>0</v>
      </c>
      <c r="CS52" s="289">
        <f si="76" t="shared"/>
        <v>9525.8090483393171</v>
      </c>
      <c r="CU52">
        <v>51</v>
      </c>
      <c r="CV52">
        <f si="17" t="shared"/>
        <v>3</v>
      </c>
      <c r="CW52">
        <f si="2" t="shared"/>
        <v>11</v>
      </c>
      <c r="CX52" s="355" t="str">
        <f si="3" t="shared"/>
        <v>3_11</v>
      </c>
      <c r="CY52" s="246">
        <f si="0" t="shared"/>
        <v>12151.302212223625</v>
      </c>
      <c r="CZ52" s="246">
        <f si="1" t="shared"/>
        <v>14025.857142857099</v>
      </c>
      <c r="DA52" s="246">
        <f si="4" t="shared"/>
        <v>12214.355033962212</v>
      </c>
      <c r="DB52" s="246">
        <f si="5" t="shared"/>
        <v>13786.14285714285</v>
      </c>
      <c r="DC52" s="301">
        <f si="6" t="shared"/>
        <v>1571.7878231806371</v>
      </c>
      <c r="DD52" s="302">
        <f si="7" t="shared"/>
        <v>0.12935138931854515</v>
      </c>
      <c r="DE52" s="357">
        <f si="8" t="shared"/>
        <v>0.88598784740096714</v>
      </c>
      <c r="DF52">
        <v>255000</v>
      </c>
    </row>
    <row r="53" spans="2:110" x14ac:dyDescent="0.25">
      <c r="B53">
        <v>13</v>
      </c>
      <c r="C53" s="289">
        <v>1037.3121957022909</v>
      </c>
      <c r="D53" s="289">
        <v>23.111832722530153</v>
      </c>
      <c r="E53" s="289">
        <v>778.39149258004886</v>
      </c>
      <c r="F53" s="289">
        <v>436.77972892092077</v>
      </c>
      <c r="G53" s="289">
        <v>514.04310246918305</v>
      </c>
      <c r="H53" s="289">
        <v>1593.7080921510424</v>
      </c>
      <c r="I53" s="289">
        <v>21649.646039772972</v>
      </c>
      <c r="J53" s="289">
        <v>152.04693650022662</v>
      </c>
      <c r="K53" s="289">
        <v>1060.46070411343</v>
      </c>
      <c r="L53" s="289">
        <v>417.04847301427105</v>
      </c>
      <c r="M53" s="289">
        <v>0</v>
      </c>
      <c r="N53" s="289">
        <v>0</v>
      </c>
      <c r="O53" s="289">
        <v>281631.43453583342</v>
      </c>
      <c r="P53" s="289">
        <v>109.4396068573319</v>
      </c>
      <c r="Q53" s="289">
        <v>7563.2822790526088</v>
      </c>
      <c r="R53" s="289">
        <v>0</v>
      </c>
      <c r="S53" s="289">
        <v>0</v>
      </c>
      <c r="T53" s="289">
        <v>9866.4322374196308</v>
      </c>
      <c r="U53" s="289">
        <v>0</v>
      </c>
      <c r="V53" s="289">
        <v>0</v>
      </c>
      <c r="W53" s="289"/>
      <c r="X53" s="289">
        <f si="31" t="shared"/>
        <v>326833.13725710992</v>
      </c>
      <c r="Z53">
        <v>13</v>
      </c>
      <c r="AA53" s="289">
        <f>SUMIFS(model_other_auto_dist!$C:$C,model_other_auto_dist!$A:$A,$Z53,model_other_auto_dist!$B:$B,AA$40)</f>
        <v>285.78571428571399</v>
      </c>
      <c r="AB53" s="289">
        <f>SUMIFS(model_other_auto_dist!$C:$C,model_other_auto_dist!$A:$A,$Z53,model_other_auto_dist!$B:$B,AB$40)</f>
        <v>264.78571428571399</v>
      </c>
      <c r="AC53" s="289">
        <f>SUMIFS(model_other_auto_dist!$C:$C,model_other_auto_dist!$A:$A,$Z53,model_other_auto_dist!$B:$B,AC$40)</f>
        <v>197.5</v>
      </c>
      <c r="AD53" s="289">
        <f>SUMIFS(model_other_auto_dist!$C:$C,model_other_auto_dist!$A:$A,$Z53,model_other_auto_dist!$B:$B,AD$40)</f>
        <v>62.428571428571402</v>
      </c>
      <c r="AE53" s="289">
        <f>SUMIFS(model_other_auto_dist!$C:$C,model_other_auto_dist!$A:$A,$Z53,model_other_auto_dist!$B:$B,AE$40)</f>
        <v>100.5</v>
      </c>
      <c r="AF53" s="289">
        <f>SUMIFS(model_other_auto_dist!$C:$C,model_other_auto_dist!$A:$A,$Z53,model_other_auto_dist!$B:$B,AF$40)</f>
        <v>349.71428571428601</v>
      </c>
      <c r="AG53" s="289">
        <f>SUMIFS(model_other_auto_dist!$C:$C,model_other_auto_dist!$A:$A,$Z53,model_other_auto_dist!$B:$B,AG$40)</f>
        <v>14108.0714285714</v>
      </c>
      <c r="AH53" s="289">
        <f>SUMIFS(model_other_auto_dist!$C:$C,model_other_auto_dist!$A:$A,$Z53,model_other_auto_dist!$B:$B,AH$40)</f>
        <v>14.0714285714286</v>
      </c>
      <c r="AI53" s="289">
        <f>SUMIFS(model_other_auto_dist!$C:$C,model_other_auto_dist!$A:$A,$Z53,model_other_auto_dist!$B:$B,AI$40)</f>
        <v>1254.3571428571399</v>
      </c>
      <c r="AJ53" s="289">
        <f>SUMIFS(model_other_auto_dist!$C:$C,model_other_auto_dist!$A:$A,$Z53,model_other_auto_dist!$B:$B,AJ$40)</f>
        <v>79.714285714285694</v>
      </c>
      <c r="AK53" s="289">
        <f>SUMIFS(model_other_auto_dist!$C:$C,model_other_auto_dist!$A:$A,$Z53,model_other_auto_dist!$B:$B,AK$40)</f>
        <v>147</v>
      </c>
      <c r="AL53" s="289">
        <f>SUMIFS(model_other_auto_dist!$C:$C,model_other_auto_dist!$A:$A,$Z53,model_other_auto_dist!$B:$B,AL$40)</f>
        <v>2534.1428571428601</v>
      </c>
      <c r="AM53" s="289">
        <f>SUMIFS(model_other_auto_dist!$C:$C,model_other_auto_dist!$A:$A,$Z53,model_other_auto_dist!$B:$B,AM$40)</f>
        <v>232601.92857142899</v>
      </c>
      <c r="AN53" s="289">
        <f>SUMIFS(model_other_auto_dist!$C:$C,model_other_auto_dist!$A:$A,$Z53,model_other_auto_dist!$B:$B,AN$40)</f>
        <v>18.6428571428571</v>
      </c>
      <c r="AO53" s="289">
        <f>SUMIFS(model_other_auto_dist!$C:$C,model_other_auto_dist!$A:$A,$Z53,model_other_auto_dist!$B:$B,AO$40)</f>
        <v>7425.0714285714303</v>
      </c>
      <c r="AP53" s="289">
        <f>SUMIFS(model_other_auto_dist!$C:$C,model_other_auto_dist!$A:$A,$Z53,model_other_auto_dist!$B:$B,AP$40)</f>
        <v>80.714285714285694</v>
      </c>
      <c r="AQ53" s="289">
        <f>SUMIFS(model_other_auto_dist!$C:$C,model_other_auto_dist!$A:$A,$Z53,model_other_auto_dist!$B:$B,AQ$40)</f>
        <v>31.785714285714299</v>
      </c>
      <c r="AR53" s="289">
        <f>SUMIFS(model_other_auto_dist!$C:$C,model_other_auto_dist!$A:$A,$Z53,model_other_auto_dist!$B:$B,AR$40)</f>
        <v>9965.0714285714294</v>
      </c>
      <c r="AS53" s="289">
        <f>SUMIFS(model_other_auto_dist!$C:$C,model_other_auto_dist!$A:$A,$Z53,model_other_auto_dist!$B:$B,AS$40)</f>
        <v>206.78571428571399</v>
      </c>
      <c r="AT53" s="289">
        <f>SUMIFS(model_other_auto_dist!$C:$C,model_other_auto_dist!$A:$A,$Z53,model_other_auto_dist!$B:$B,AT$40)</f>
        <v>469.07142857142901</v>
      </c>
      <c r="AU53" s="289">
        <f>SUMIFS(model_other_auto_dist!$C:$C,model_other_auto_dist!$A:$A,$Z53,model_other_auto_dist!$B:$B,AU$40)</f>
        <v>0</v>
      </c>
      <c r="AV53" s="12">
        <f si="32" t="shared"/>
        <v>270197.14285714325</v>
      </c>
      <c r="AW53" s="346"/>
      <c r="AY53">
        <v>13</v>
      </c>
      <c r="AZ53" s="289">
        <f si="33" t="shared"/>
        <v>285.78571428571399</v>
      </c>
      <c r="BA53" s="289">
        <f si="34" t="shared"/>
        <v>264.78571428571399</v>
      </c>
      <c r="BB53" s="289">
        <f si="35" t="shared"/>
        <v>197.5</v>
      </c>
      <c r="BC53" s="289">
        <f si="36" t="shared"/>
        <v>62.428571428571402</v>
      </c>
      <c r="BD53" s="289">
        <f si="37" t="shared"/>
        <v>100.5</v>
      </c>
      <c r="BE53" s="289">
        <f si="38" t="shared"/>
        <v>349.71428571428601</v>
      </c>
      <c r="BF53" s="289">
        <f si="39" t="shared"/>
        <v>14108.0714285714</v>
      </c>
      <c r="BG53" s="289">
        <f si="40" t="shared"/>
        <v>14.0714285714286</v>
      </c>
      <c r="BH53" s="289">
        <f si="41" t="shared"/>
        <v>1254.3571428571399</v>
      </c>
      <c r="BI53" s="289">
        <f si="42" t="shared"/>
        <v>79.714285714285694</v>
      </c>
      <c r="BJ53" s="289">
        <f si="43" t="shared"/>
        <v>147</v>
      </c>
      <c r="BK53" s="289">
        <f si="44" t="shared"/>
        <v>2534.1428571428601</v>
      </c>
      <c r="BL53" s="289">
        <f si="45" t="shared"/>
        <v>232601.92857142899</v>
      </c>
      <c r="BM53" s="289">
        <f si="46" t="shared"/>
        <v>18.6428571428571</v>
      </c>
      <c r="BN53" s="289">
        <f si="47" t="shared"/>
        <v>7425.0714285714303</v>
      </c>
      <c r="BO53" s="289">
        <f si="48" t="shared"/>
        <v>80.714285714285694</v>
      </c>
      <c r="BP53" s="289">
        <f si="49" t="shared"/>
        <v>31.785714285714299</v>
      </c>
      <c r="BQ53" s="289">
        <f si="50" t="shared"/>
        <v>9965.0714285714294</v>
      </c>
      <c r="BR53" s="289">
        <f si="51" t="shared"/>
        <v>206.78571428571399</v>
      </c>
      <c r="BS53" s="289">
        <f si="52" t="shared"/>
        <v>469.07142857142901</v>
      </c>
      <c r="BT53" s="289">
        <f si="53" t="shared"/>
        <v>0</v>
      </c>
      <c r="BU53" s="289">
        <f si="54" t="shared"/>
        <v>270197.14285714325</v>
      </c>
      <c r="BW53">
        <v>13</v>
      </c>
      <c r="BX53" s="289">
        <f si="55" t="shared"/>
        <v>-616.7313312244986</v>
      </c>
      <c r="BY53" s="289">
        <f si="56" t="shared"/>
        <v>244.67718469213091</v>
      </c>
      <c r="BZ53" s="289">
        <f si="57" t="shared"/>
        <v>-479.74219675062182</v>
      </c>
      <c r="CA53" s="289">
        <f si="58" t="shared"/>
        <v>-317.59313478261919</v>
      </c>
      <c r="CB53" s="289">
        <f si="59" t="shared"/>
        <v>-346.74497024860921</v>
      </c>
      <c r="CC53" s="289">
        <f si="60" t="shared"/>
        <v>-1036.8969241925561</v>
      </c>
      <c r="CD53" s="289">
        <f si="61" t="shared"/>
        <v>-4728.277609944611</v>
      </c>
      <c r="CE53" s="289">
        <f si="62" t="shared"/>
        <v>-118.21753176047814</v>
      </c>
      <c r="CF53" s="289">
        <f si="63" t="shared"/>
        <v>331.69965794426014</v>
      </c>
      <c r="CG53" s="289">
        <f si="64" t="shared"/>
        <v>-283.14017339535212</v>
      </c>
      <c r="CH53" s="289">
        <f si="65" t="shared"/>
        <v>147</v>
      </c>
      <c r="CI53" s="289">
        <f si="66" t="shared"/>
        <v>2534.1428571428601</v>
      </c>
      <c r="CJ53" s="289">
        <f si="67" t="shared"/>
        <v>-12432.470207617327</v>
      </c>
      <c r="CK53" s="289">
        <f si="68" t="shared"/>
        <v>-76.575449411234317</v>
      </c>
      <c r="CL53" s="289">
        <f si="69" t="shared"/>
        <v>844.61165461792825</v>
      </c>
      <c r="CM53" s="289">
        <f si="70" t="shared"/>
        <v>80.714285714285694</v>
      </c>
      <c r="CN53" s="289">
        <f si="71" t="shared"/>
        <v>31.785714285714299</v>
      </c>
      <c r="CO53" s="289">
        <f si="72" t="shared"/>
        <v>1380.7481076506829</v>
      </c>
      <c r="CP53" s="289">
        <f si="73" t="shared"/>
        <v>206.78571428571399</v>
      </c>
      <c r="CQ53" s="289">
        <f si="74" t="shared"/>
        <v>469.07142857142901</v>
      </c>
      <c r="CR53" s="289">
        <f si="75" t="shared"/>
        <v>0</v>
      </c>
      <c r="CS53" s="289">
        <f si="76" t="shared"/>
        <v>-14165.152924422873</v>
      </c>
      <c r="CU53">
        <v>52</v>
      </c>
      <c r="CV53">
        <f si="17" t="shared"/>
        <v>3</v>
      </c>
      <c r="CW53">
        <f si="2" t="shared"/>
        <v>12</v>
      </c>
      <c r="CX53" s="355" t="str">
        <f si="3" t="shared"/>
        <v>3_12</v>
      </c>
      <c r="CY53" s="246">
        <f si="0" t="shared"/>
        <v>2131.0910924540785</v>
      </c>
      <c r="CZ53" s="246">
        <f si="1" t="shared"/>
        <v>2513.1428571428601</v>
      </c>
      <c r="DA53" s="246">
        <f si="4" t="shared"/>
        <v>2130.0065031686445</v>
      </c>
      <c r="DB53" s="246">
        <f si="5" t="shared"/>
        <v>2491.9285714285752</v>
      </c>
      <c r="DC53" s="301">
        <f si="6" t="shared"/>
        <v>361.92206825993071</v>
      </c>
      <c r="DD53" s="302">
        <f si="7" t="shared"/>
        <v>0.16982946883005168</v>
      </c>
      <c r="DE53" s="357">
        <f si="8" t="shared"/>
        <v>0.85476226228569319</v>
      </c>
      <c r="DF53">
        <v>260000</v>
      </c>
    </row>
    <row r="54" spans="2:110" x14ac:dyDescent="0.25">
      <c r="B54">
        <v>14</v>
      </c>
      <c r="C54" s="289">
        <v>0</v>
      </c>
      <c r="D54" s="289">
        <v>0</v>
      </c>
      <c r="E54" s="289">
        <v>0</v>
      </c>
      <c r="F54" s="289">
        <v>0</v>
      </c>
      <c r="G54" s="289">
        <v>222.247746132087</v>
      </c>
      <c r="H54" s="289">
        <v>0</v>
      </c>
      <c r="I54" s="289">
        <v>0</v>
      </c>
      <c r="J54" s="289">
        <v>753.2767023484771</v>
      </c>
      <c r="K54" s="289">
        <v>0</v>
      </c>
      <c r="L54" s="289">
        <v>176.01245530643598</v>
      </c>
      <c r="M54" s="289">
        <v>0</v>
      </c>
      <c r="N54" s="289">
        <v>0</v>
      </c>
      <c r="O54" s="289">
        <v>107.6106365293589</v>
      </c>
      <c r="P54" s="289">
        <v>61716.593267180171</v>
      </c>
      <c r="Q54" s="289">
        <v>0</v>
      </c>
      <c r="R54" s="289">
        <v>33.354179575046601</v>
      </c>
      <c r="S54" s="289">
        <v>2278.4617663118202</v>
      </c>
      <c r="T54" s="289">
        <v>0</v>
      </c>
      <c r="U54" s="289">
        <v>0</v>
      </c>
      <c r="V54" s="289">
        <v>0</v>
      </c>
      <c r="W54" s="289"/>
      <c r="X54" s="289">
        <f si="31" t="shared"/>
        <v>65287.556753383396</v>
      </c>
      <c r="Z54">
        <v>14</v>
      </c>
      <c r="AA54" s="289">
        <f>SUMIFS(model_other_auto_dist!$C:$C,model_other_auto_dist!$A:$A,$Z54,model_other_auto_dist!$B:$B,AA$40)</f>
        <v>1468.8571428571399</v>
      </c>
      <c r="AB54" s="289">
        <f>SUMIFS(model_other_auto_dist!$C:$C,model_other_auto_dist!$A:$A,$Z54,model_other_auto_dist!$B:$B,AB$40)</f>
        <v>178.07142857142901</v>
      </c>
      <c r="AC54" s="289">
        <f>SUMIFS(model_other_auto_dist!$C:$C,model_other_auto_dist!$A:$A,$Z54,model_other_auto_dist!$B:$B,AC$40)</f>
        <v>1771.5</v>
      </c>
      <c r="AD54" s="289">
        <f>SUMIFS(model_other_auto_dist!$C:$C,model_other_auto_dist!$A:$A,$Z54,model_other_auto_dist!$B:$B,AD$40)</f>
        <v>1287.42857142857</v>
      </c>
      <c r="AE54" s="289">
        <f>SUMIFS(model_other_auto_dist!$C:$C,model_other_auto_dist!$A:$A,$Z54,model_other_auto_dist!$B:$B,AE$40)</f>
        <v>575.857142857143</v>
      </c>
      <c r="AF54" s="289">
        <f>SUMIFS(model_other_auto_dist!$C:$C,model_other_auto_dist!$A:$A,$Z54,model_other_auto_dist!$B:$B,AF$40)</f>
        <v>895.92857142857099</v>
      </c>
      <c r="AG54" s="289">
        <f>SUMIFS(model_other_auto_dist!$C:$C,model_other_auto_dist!$A:$A,$Z54,model_other_auto_dist!$B:$B,AG$40)</f>
        <v>135.857142857143</v>
      </c>
      <c r="AH54" s="289">
        <f>SUMIFS(model_other_auto_dist!$C:$C,model_other_auto_dist!$A:$A,$Z54,model_other_auto_dist!$B:$B,AH$40)</f>
        <v>486.92857142857099</v>
      </c>
      <c r="AI54" s="289">
        <f>SUMIFS(model_other_auto_dist!$C:$C,model_other_auto_dist!$A:$A,$Z54,model_other_auto_dist!$B:$B,AI$40)</f>
        <v>452</v>
      </c>
      <c r="AJ54" s="289">
        <f>SUMIFS(model_other_auto_dist!$C:$C,model_other_auto_dist!$A:$A,$Z54,model_other_auto_dist!$B:$B,AJ$40)</f>
        <v>283</v>
      </c>
      <c r="AK54" s="289">
        <f>SUMIFS(model_other_auto_dist!$C:$C,model_other_auto_dist!$A:$A,$Z54,model_other_auto_dist!$B:$B,AK$40)</f>
        <v>2738.9285714285702</v>
      </c>
      <c r="AL54" s="289">
        <f>SUMIFS(model_other_auto_dist!$C:$C,model_other_auto_dist!$A:$A,$Z54,model_other_auto_dist!$B:$B,AL$40)</f>
        <v>318</v>
      </c>
      <c r="AM54" s="289">
        <f>SUMIFS(model_other_auto_dist!$C:$C,model_other_auto_dist!$A:$A,$Z54,model_other_auto_dist!$B:$B,AM$40)</f>
        <v>23.071428571428601</v>
      </c>
      <c r="AN54" s="289">
        <f>SUMIFS(model_other_auto_dist!$C:$C,model_other_auto_dist!$A:$A,$Z54,model_other_auto_dist!$B:$B,AN$40)</f>
        <v>43735.357142857101</v>
      </c>
      <c r="AO54" s="289">
        <f>SUMIFS(model_other_auto_dist!$C:$C,model_other_auto_dist!$A:$A,$Z54,model_other_auto_dist!$B:$B,AO$40)</f>
        <v>23.5</v>
      </c>
      <c r="AP54" s="289">
        <f>SUMIFS(model_other_auto_dist!$C:$C,model_other_auto_dist!$A:$A,$Z54,model_other_auto_dist!$B:$B,AP$40)</f>
        <v>16.6428571428571</v>
      </c>
      <c r="AQ54" s="289">
        <f>SUMIFS(model_other_auto_dist!$C:$C,model_other_auto_dist!$A:$A,$Z54,model_other_auto_dist!$B:$B,AQ$40)</f>
        <v>2456.4285714285702</v>
      </c>
      <c r="AR54" s="289">
        <f>SUMIFS(model_other_auto_dist!$C:$C,model_other_auto_dist!$A:$A,$Z54,model_other_auto_dist!$B:$B,AR$40)</f>
        <v>5.71428571428571</v>
      </c>
      <c r="AS54" s="289">
        <f>SUMIFS(model_other_auto_dist!$C:$C,model_other_auto_dist!$A:$A,$Z54,model_other_auto_dist!$B:$B,AS$40)</f>
        <v>431.28571428571399</v>
      </c>
      <c r="AT54" s="289">
        <f>SUMIFS(model_other_auto_dist!$C:$C,model_other_auto_dist!$A:$A,$Z54,model_other_auto_dist!$B:$B,AT$40)</f>
        <v>0</v>
      </c>
      <c r="AU54" s="289">
        <f>SUMIFS(model_other_auto_dist!$C:$C,model_other_auto_dist!$A:$A,$Z54,model_other_auto_dist!$B:$B,AU$40)</f>
        <v>0</v>
      </c>
      <c r="AV54" s="12">
        <f si="32" t="shared"/>
        <v>57284.357142857094</v>
      </c>
      <c r="AW54" s="346"/>
      <c r="AY54">
        <v>14</v>
      </c>
      <c r="AZ54" s="289">
        <f si="33" t="shared"/>
        <v>1468.8571428571399</v>
      </c>
      <c r="BA54" s="289">
        <f si="34" t="shared"/>
        <v>178.07142857142901</v>
      </c>
      <c r="BB54" s="289">
        <f si="35" t="shared"/>
        <v>1771.5</v>
      </c>
      <c r="BC54" s="289">
        <f si="36" t="shared"/>
        <v>1287.42857142857</v>
      </c>
      <c r="BD54" s="289">
        <f si="37" t="shared"/>
        <v>575.857142857143</v>
      </c>
      <c r="BE54" s="289">
        <f si="38" t="shared"/>
        <v>895.92857142857099</v>
      </c>
      <c r="BF54" s="289">
        <f si="39" t="shared"/>
        <v>135.857142857143</v>
      </c>
      <c r="BG54" s="289">
        <f si="40" t="shared"/>
        <v>486.92857142857099</v>
      </c>
      <c r="BH54" s="289">
        <f si="41" t="shared"/>
        <v>452</v>
      </c>
      <c r="BI54" s="289">
        <f si="42" t="shared"/>
        <v>283</v>
      </c>
      <c r="BJ54" s="289">
        <f si="43" t="shared"/>
        <v>2738.9285714285702</v>
      </c>
      <c r="BK54" s="289">
        <f si="44" t="shared"/>
        <v>318</v>
      </c>
      <c r="BL54" s="289">
        <f si="45" t="shared"/>
        <v>23.071428571428601</v>
      </c>
      <c r="BM54" s="289">
        <f si="46" t="shared"/>
        <v>43735.357142857101</v>
      </c>
      <c r="BN54" s="289">
        <f si="47" t="shared"/>
        <v>23.5</v>
      </c>
      <c r="BO54" s="289">
        <f si="48" t="shared"/>
        <v>16.6428571428571</v>
      </c>
      <c r="BP54" s="289">
        <f si="49" t="shared"/>
        <v>2456.4285714285702</v>
      </c>
      <c r="BQ54" s="289">
        <f si="50" t="shared"/>
        <v>5.71428571428571</v>
      </c>
      <c r="BR54" s="289">
        <f si="51" t="shared"/>
        <v>431.28571428571399</v>
      </c>
      <c r="BS54" s="289">
        <f si="52" t="shared"/>
        <v>0</v>
      </c>
      <c r="BT54" s="289">
        <f si="53" t="shared"/>
        <v>0</v>
      </c>
      <c r="BU54" s="289">
        <f si="54" t="shared"/>
        <v>57284.357142857094</v>
      </c>
      <c r="BW54">
        <v>14</v>
      </c>
      <c r="BX54" s="289">
        <f si="55" t="shared"/>
        <v>1468.8571428571399</v>
      </c>
      <c r="BY54" s="289">
        <f si="56" t="shared"/>
        <v>178.07142857142901</v>
      </c>
      <c r="BZ54" s="289">
        <f si="57" t="shared"/>
        <v>1771.5</v>
      </c>
      <c r="CA54" s="289">
        <f si="58" t="shared"/>
        <v>1287.42857142857</v>
      </c>
      <c r="CB54" s="289">
        <f si="59" t="shared"/>
        <v>382.48972652725519</v>
      </c>
      <c r="CC54" s="289">
        <f si="60" t="shared"/>
        <v>895.92857142857099</v>
      </c>
      <c r="CD54" s="289">
        <f si="61" t="shared"/>
        <v>135.857142857143</v>
      </c>
      <c r="CE54" s="289">
        <f si="62" t="shared"/>
        <v>-168.46241565507</v>
      </c>
      <c r="CF54" s="289">
        <f si="63" t="shared"/>
        <v>452</v>
      </c>
      <c r="CG54" s="289">
        <f si="64" t="shared"/>
        <v>129.859757559667</v>
      </c>
      <c r="CH54" s="289">
        <f si="65" t="shared"/>
        <v>2738.9285714285702</v>
      </c>
      <c r="CI54" s="289">
        <f si="66" t="shared"/>
        <v>318</v>
      </c>
      <c r="CJ54" s="289">
        <f si="67" t="shared"/>
        <v>-70.555576054885435</v>
      </c>
      <c r="CK54" s="289">
        <f si="68" t="shared"/>
        <v>-9961.3772108156627</v>
      </c>
      <c r="CL54" s="289">
        <f si="69" t="shared"/>
        <v>23.5</v>
      </c>
      <c r="CM54" s="289">
        <f si="70" t="shared"/>
        <v>-12.377061576123847</v>
      </c>
      <c r="CN54" s="289">
        <f si="71" t="shared"/>
        <v>474.04507091692835</v>
      </c>
      <c r="CO54" s="289">
        <f si="72" t="shared"/>
        <v>5.71428571428571</v>
      </c>
      <c r="CP54" s="289">
        <f si="73" t="shared"/>
        <v>431.28571428571399</v>
      </c>
      <c r="CQ54" s="289">
        <f si="74" t="shared"/>
        <v>0</v>
      </c>
      <c r="CR54" s="289">
        <f si="75" t="shared"/>
        <v>0</v>
      </c>
      <c r="CS54" s="289">
        <f si="76" t="shared"/>
        <v>480.69371947353648</v>
      </c>
      <c r="CU54">
        <v>53</v>
      </c>
      <c r="CV54">
        <f si="17" t="shared"/>
        <v>3</v>
      </c>
      <c r="CW54">
        <f si="2" t="shared"/>
        <v>13</v>
      </c>
      <c r="CX54" s="355" t="str">
        <f si="3" t="shared"/>
        <v>3_13</v>
      </c>
      <c r="CY54" s="246">
        <f si="0" t="shared"/>
        <v>673.6687886499833</v>
      </c>
      <c r="CZ54" s="246">
        <f si="1" t="shared"/>
        <v>227.78571428571399</v>
      </c>
      <c r="DA54" s="246">
        <f si="4" t="shared"/>
        <v>675.45549270030256</v>
      </c>
      <c r="DB54" s="246">
        <f si="5" t="shared"/>
        <v>212.642857142857</v>
      </c>
      <c r="DC54" s="301">
        <f si="6" t="shared"/>
        <v>-462.81263555744556</v>
      </c>
      <c r="DD54" s="302">
        <f si="7" t="shared"/>
        <v>-0.68700323267894214</v>
      </c>
      <c r="DE54" s="357">
        <f si="8" t="shared"/>
        <v>3.1764786354733765</v>
      </c>
      <c r="DF54">
        <v>265000</v>
      </c>
    </row>
    <row r="55" spans="2:110" x14ac:dyDescent="0.25">
      <c r="B55">
        <v>15</v>
      </c>
      <c r="C55" s="289">
        <v>330.41491949344197</v>
      </c>
      <c r="D55" s="289">
        <v>59.2552215945949</v>
      </c>
      <c r="E55" s="289">
        <v>332.49063527565795</v>
      </c>
      <c r="F55" s="289">
        <v>95.694459570621007</v>
      </c>
      <c r="G55" s="289">
        <v>62.572200497968026</v>
      </c>
      <c r="H55" s="289">
        <v>0</v>
      </c>
      <c r="I55" s="289">
        <v>0</v>
      </c>
      <c r="J55" s="289">
        <v>27.828624811617502</v>
      </c>
      <c r="K55" s="289">
        <v>10296.902046587351</v>
      </c>
      <c r="L55" s="289">
        <v>135.101572798511</v>
      </c>
      <c r="M55" s="289">
        <v>0</v>
      </c>
      <c r="N55" s="289">
        <v>0</v>
      </c>
      <c r="O55" s="289">
        <v>7225.5240226735596</v>
      </c>
      <c r="P55" s="289">
        <v>0</v>
      </c>
      <c r="Q55" s="289">
        <v>80700.19571990952</v>
      </c>
      <c r="R55" s="289">
        <v>16.353795637128499</v>
      </c>
      <c r="S55" s="289">
        <v>0</v>
      </c>
      <c r="T55" s="289">
        <v>59.863172711366985</v>
      </c>
      <c r="U55" s="289">
        <v>0</v>
      </c>
      <c r="V55" s="289">
        <v>0</v>
      </c>
      <c r="W55" s="289"/>
      <c r="X55" s="289">
        <f si="31" t="shared"/>
        <v>99342.196391561345</v>
      </c>
      <c r="Z55">
        <v>15</v>
      </c>
      <c r="AA55" s="289">
        <f>SUMIFS(model_other_auto_dist!$C:$C,model_other_auto_dist!$A:$A,$Z55,model_other_auto_dist!$B:$B,AA$40)</f>
        <v>697.28571428571399</v>
      </c>
      <c r="AB55" s="289">
        <f>SUMIFS(model_other_auto_dist!$C:$C,model_other_auto_dist!$A:$A,$Z55,model_other_auto_dist!$B:$B,AB$40)</f>
        <v>361.57142857142901</v>
      </c>
      <c r="AC55" s="289">
        <f>SUMIFS(model_other_auto_dist!$C:$C,model_other_auto_dist!$A:$A,$Z55,model_other_auto_dist!$B:$B,AC$40)</f>
        <v>475.21428571428601</v>
      </c>
      <c r="AD55" s="289">
        <f>SUMIFS(model_other_auto_dist!$C:$C,model_other_auto_dist!$A:$A,$Z55,model_other_auto_dist!$B:$B,AD$40)</f>
        <v>159.857142857143</v>
      </c>
      <c r="AE55" s="289">
        <f>SUMIFS(model_other_auto_dist!$C:$C,model_other_auto_dist!$A:$A,$Z55,model_other_auto_dist!$B:$B,AE$40)</f>
        <v>169.5</v>
      </c>
      <c r="AF55" s="289">
        <f>SUMIFS(model_other_auto_dist!$C:$C,model_other_auto_dist!$A:$A,$Z55,model_other_auto_dist!$B:$B,AF$40)</f>
        <v>464.78571428571399</v>
      </c>
      <c r="AG55" s="289">
        <f>SUMIFS(model_other_auto_dist!$C:$C,model_other_auto_dist!$A:$A,$Z55,model_other_auto_dist!$B:$B,AG$40)</f>
        <v>1711.2857142857099</v>
      </c>
      <c r="AH55" s="289">
        <f>SUMIFS(model_other_auto_dist!$C:$C,model_other_auto_dist!$A:$A,$Z55,model_other_auto_dist!$B:$B,AH$40)</f>
        <v>16.285714285714299</v>
      </c>
      <c r="AI55" s="289">
        <f>SUMIFS(model_other_auto_dist!$C:$C,model_other_auto_dist!$A:$A,$Z55,model_other_auto_dist!$B:$B,AI$40)</f>
        <v>7516.7142857142899</v>
      </c>
      <c r="AJ55" s="289">
        <f>SUMIFS(model_other_auto_dist!$C:$C,model_other_auto_dist!$A:$A,$Z55,model_other_auto_dist!$B:$B,AJ$40)</f>
        <v>81.214285714285694</v>
      </c>
      <c r="AK55" s="289">
        <f>SUMIFS(model_other_auto_dist!$C:$C,model_other_auto_dist!$A:$A,$Z55,model_other_auto_dist!$B:$B,AK$40)</f>
        <v>532.28571428571399</v>
      </c>
      <c r="AL55" s="289">
        <f>SUMIFS(model_other_auto_dist!$C:$C,model_other_auto_dist!$A:$A,$Z55,model_other_auto_dist!$B:$B,AL$40)</f>
        <v>543.42857142857099</v>
      </c>
      <c r="AM55" s="289">
        <f>SUMIFS(model_other_auto_dist!$C:$C,model_other_auto_dist!$A:$A,$Z55,model_other_auto_dist!$B:$B,AM$40)</f>
        <v>7142</v>
      </c>
      <c r="AN55" s="289">
        <f>SUMIFS(model_other_auto_dist!$C:$C,model_other_auto_dist!$A:$A,$Z55,model_other_auto_dist!$B:$B,AN$40)</f>
        <v>24.1428571428571</v>
      </c>
      <c r="AO55" s="289">
        <f>SUMIFS(model_other_auto_dist!$C:$C,model_other_auto_dist!$A:$A,$Z55,model_other_auto_dist!$B:$B,AO$40)</f>
        <v>62620.857142857101</v>
      </c>
      <c r="AP55" s="289">
        <f>SUMIFS(model_other_auto_dist!$C:$C,model_other_auto_dist!$A:$A,$Z55,model_other_auto_dist!$B:$B,AP$40)</f>
        <v>13.8571428571429</v>
      </c>
      <c r="AQ55" s="289">
        <f>SUMIFS(model_other_auto_dist!$C:$C,model_other_auto_dist!$A:$A,$Z55,model_other_auto_dist!$B:$B,AQ$40)</f>
        <v>47.714285714285701</v>
      </c>
      <c r="AR55" s="289">
        <f>SUMIFS(model_other_auto_dist!$C:$C,model_other_auto_dist!$A:$A,$Z55,model_other_auto_dist!$B:$B,AR$40)</f>
        <v>93.642857142857096</v>
      </c>
      <c r="AS55" s="289">
        <f>SUMIFS(model_other_auto_dist!$C:$C,model_other_auto_dist!$A:$A,$Z55,model_other_auto_dist!$B:$B,AS$40)</f>
        <v>1681.7142857142901</v>
      </c>
      <c r="AT55" s="289">
        <f>SUMIFS(model_other_auto_dist!$C:$C,model_other_auto_dist!$A:$A,$Z55,model_other_auto_dist!$B:$B,AT$40)</f>
        <v>15.0714285714286</v>
      </c>
      <c r="AU55" s="289">
        <f>SUMIFS(model_other_auto_dist!$C:$C,model_other_auto_dist!$A:$A,$Z55,model_other_auto_dist!$B:$B,AU$40)</f>
        <v>0</v>
      </c>
      <c r="AV55" s="12">
        <f si="32" t="shared"/>
        <v>84368.428571428551</v>
      </c>
      <c r="AW55" s="346"/>
      <c r="AY55">
        <v>15</v>
      </c>
      <c r="AZ55" s="289">
        <f si="33" t="shared"/>
        <v>697.28571428571399</v>
      </c>
      <c r="BA55" s="289">
        <f si="34" t="shared"/>
        <v>361.57142857142901</v>
      </c>
      <c r="BB55" s="289">
        <f si="35" t="shared"/>
        <v>475.21428571428601</v>
      </c>
      <c r="BC55" s="289">
        <f si="36" t="shared"/>
        <v>159.857142857143</v>
      </c>
      <c r="BD55" s="289">
        <f si="37" t="shared"/>
        <v>169.5</v>
      </c>
      <c r="BE55" s="289">
        <f si="38" t="shared"/>
        <v>464.78571428571399</v>
      </c>
      <c r="BF55" s="289">
        <f si="39" t="shared"/>
        <v>1711.2857142857099</v>
      </c>
      <c r="BG55" s="289">
        <f si="40" t="shared"/>
        <v>16.285714285714299</v>
      </c>
      <c r="BH55" s="289">
        <f si="41" t="shared"/>
        <v>7516.7142857142899</v>
      </c>
      <c r="BI55" s="289">
        <f si="42" t="shared"/>
        <v>81.214285714285694</v>
      </c>
      <c r="BJ55" s="289">
        <f si="43" t="shared"/>
        <v>532.28571428571399</v>
      </c>
      <c r="BK55" s="289">
        <f si="44" t="shared"/>
        <v>543.42857142857099</v>
      </c>
      <c r="BL55" s="289">
        <f si="45" t="shared"/>
        <v>7142</v>
      </c>
      <c r="BM55" s="289">
        <f si="46" t="shared"/>
        <v>24.1428571428571</v>
      </c>
      <c r="BN55" s="289">
        <f si="47" t="shared"/>
        <v>62620.857142857101</v>
      </c>
      <c r="BO55" s="289">
        <f si="48" t="shared"/>
        <v>13.8571428571429</v>
      </c>
      <c r="BP55" s="289">
        <f si="49" t="shared"/>
        <v>47.714285714285701</v>
      </c>
      <c r="BQ55" s="289">
        <f si="50" t="shared"/>
        <v>93.642857142857096</v>
      </c>
      <c r="BR55" s="289">
        <f si="51" t="shared"/>
        <v>1681.7142857142901</v>
      </c>
      <c r="BS55" s="289">
        <f si="52" t="shared"/>
        <v>15.0714285714286</v>
      </c>
      <c r="BT55" s="289">
        <f si="53" t="shared"/>
        <v>0</v>
      </c>
      <c r="BU55" s="289">
        <f si="54" t="shared"/>
        <v>84368.428571428551</v>
      </c>
      <c r="BW55">
        <v>15</v>
      </c>
      <c r="BX55" s="289">
        <f si="55" t="shared"/>
        <v>409.80707654365756</v>
      </c>
      <c r="BY55" s="289">
        <f si="56" t="shared"/>
        <v>310.01621911165785</v>
      </c>
      <c r="BZ55" s="289">
        <f si="57" t="shared"/>
        <v>185.92966431287795</v>
      </c>
      <c r="CA55" s="289">
        <f si="58" t="shared"/>
        <v>76.597849000194643</v>
      </c>
      <c r="CB55" s="289">
        <f si="59" t="shared"/>
        <v>115.0588416308311</v>
      </c>
      <c r="CC55" s="289">
        <f si="60" t="shared"/>
        <v>464.78571428571399</v>
      </c>
      <c r="CD55" s="289">
        <f si="61" t="shared"/>
        <v>1711.2857142857099</v>
      </c>
      <c r="CE55" s="289">
        <f si="62" t="shared"/>
        <v>-7.9266764965892733</v>
      </c>
      <c r="CF55" s="289">
        <f si="63" t="shared"/>
        <v>-1442.1407740224331</v>
      </c>
      <c r="CG55" s="289">
        <f si="64" t="shared"/>
        <v>-36.331302615892824</v>
      </c>
      <c r="CH55" s="289">
        <f si="65" t="shared"/>
        <v>532.28571428571399</v>
      </c>
      <c r="CI55" s="289">
        <f si="66" t="shared"/>
        <v>543.42857142857099</v>
      </c>
      <c r="CJ55" s="289">
        <f si="67" t="shared"/>
        <v>855.40795931605589</v>
      </c>
      <c r="CK55" s="289">
        <f si="68" t="shared"/>
        <v>24.1428571428571</v>
      </c>
      <c r="CL55" s="289">
        <f si="69" t="shared"/>
        <v>-7592.6258519305557</v>
      </c>
      <c r="CM55" s="289">
        <f si="70" t="shared"/>
        <v>-0.37153331426405778</v>
      </c>
      <c r="CN55" s="289">
        <f si="71" t="shared"/>
        <v>47.714285714285701</v>
      </c>
      <c r="CO55" s="289">
        <f si="72" t="shared"/>
        <v>41.558697721833141</v>
      </c>
      <c r="CP55" s="289">
        <f si="73" t="shared"/>
        <v>1681.7142857142901</v>
      </c>
      <c r="CQ55" s="289">
        <f si="74" t="shared"/>
        <v>15.0714285714286</v>
      </c>
      <c r="CR55" s="289">
        <f si="75" t="shared"/>
        <v>0</v>
      </c>
      <c r="CS55" s="289">
        <f si="76" t="shared"/>
        <v>-2064.5912593140383</v>
      </c>
      <c r="CU55">
        <v>54</v>
      </c>
      <c r="CV55">
        <f si="17" t="shared"/>
        <v>3</v>
      </c>
      <c r="CW55">
        <f si="2" t="shared"/>
        <v>14</v>
      </c>
      <c r="CX55" s="355" t="str">
        <f si="3" t="shared"/>
        <v>3_14</v>
      </c>
      <c r="CY55" s="246">
        <f si="0" t="shared"/>
        <v>0</v>
      </c>
      <c r="CZ55" s="246">
        <f si="1" t="shared"/>
        <v>1853.7142857142901</v>
      </c>
      <c r="DA55" s="246">
        <f si="4" t="shared"/>
        <v>0</v>
      </c>
      <c r="DB55" s="246">
        <f si="5" t="shared"/>
        <v>1812.6071428571449</v>
      </c>
      <c r="DC55" s="301">
        <f si="6" t="shared"/>
        <v>1812.6071428571449</v>
      </c>
      <c r="DD55" s="302">
        <f si="7" t="shared"/>
        <v>0</v>
      </c>
      <c r="DE55" s="357">
        <f si="8" t="shared"/>
        <v>0</v>
      </c>
      <c r="DF55">
        <v>270000</v>
      </c>
    </row>
    <row r="56" spans="2:110" x14ac:dyDescent="0.25">
      <c r="B56">
        <v>16</v>
      </c>
      <c r="C56" s="289">
        <v>544.07201351203003</v>
      </c>
      <c r="D56" s="289">
        <v>132.91153915342699</v>
      </c>
      <c r="E56" s="289">
        <v>117.827088758842</v>
      </c>
      <c r="F56" s="289">
        <v>198.90349285801159</v>
      </c>
      <c r="G56" s="289">
        <v>679.62049551507698</v>
      </c>
      <c r="H56" s="289">
        <v>1307.4046476608471</v>
      </c>
      <c r="I56" s="289">
        <v>0</v>
      </c>
      <c r="J56" s="289">
        <v>0</v>
      </c>
      <c r="K56" s="289">
        <v>312.48623609975499</v>
      </c>
      <c r="L56" s="289">
        <v>10395.610302811285</v>
      </c>
      <c r="M56" s="289">
        <v>105.76964374753999</v>
      </c>
      <c r="N56" s="289">
        <v>4322.8699047516693</v>
      </c>
      <c r="O56" s="289">
        <v>0</v>
      </c>
      <c r="P56" s="289">
        <v>34.008235289653904</v>
      </c>
      <c r="Q56" s="289">
        <v>16.685409103272107</v>
      </c>
      <c r="R56" s="289">
        <v>18548.919808649294</v>
      </c>
      <c r="S56" s="289">
        <v>0</v>
      </c>
      <c r="T56" s="289">
        <v>267.15552932731907</v>
      </c>
      <c r="U56" s="289">
        <v>0</v>
      </c>
      <c r="V56" s="289">
        <v>0</v>
      </c>
      <c r="W56" s="289"/>
      <c r="X56" s="289">
        <f si="31" t="shared"/>
        <v>36984.244347238026</v>
      </c>
      <c r="Z56">
        <v>16</v>
      </c>
      <c r="AA56" s="289">
        <f>SUMIFS(model_other_auto_dist!$C:$C,model_other_auto_dist!$A:$A,$Z56,model_other_auto_dist!$B:$B,AA$40)</f>
        <v>920.92857142857099</v>
      </c>
      <c r="AB56" s="289">
        <f>SUMIFS(model_other_auto_dist!$C:$C,model_other_auto_dist!$A:$A,$Z56,model_other_auto_dist!$B:$B,AB$40)</f>
        <v>148</v>
      </c>
      <c r="AC56" s="289">
        <f>SUMIFS(model_other_auto_dist!$C:$C,model_other_auto_dist!$A:$A,$Z56,model_other_auto_dist!$B:$B,AC$40)</f>
        <v>318.357142857143</v>
      </c>
      <c r="AD56" s="289">
        <f>SUMIFS(model_other_auto_dist!$C:$C,model_other_auto_dist!$A:$A,$Z56,model_other_auto_dist!$B:$B,AD$40)</f>
        <v>369.07142857142901</v>
      </c>
      <c r="AE56" s="289">
        <f>SUMIFS(model_other_auto_dist!$C:$C,model_other_auto_dist!$A:$A,$Z56,model_other_auto_dist!$B:$B,AE$40)</f>
        <v>794.57142857142901</v>
      </c>
      <c r="AF56" s="289">
        <f>SUMIFS(model_other_auto_dist!$C:$C,model_other_auto_dist!$A:$A,$Z56,model_other_auto_dist!$B:$B,AF$40)</f>
        <v>1351.8571428571399</v>
      </c>
      <c r="AG56" s="289">
        <f>SUMIFS(model_other_auto_dist!$C:$C,model_other_auto_dist!$A:$A,$Z56,model_other_auto_dist!$B:$B,AG$40)</f>
        <v>154.71428571428601</v>
      </c>
      <c r="AH56" s="289">
        <f>SUMIFS(model_other_auto_dist!$C:$C,model_other_auto_dist!$A:$A,$Z56,model_other_auto_dist!$B:$B,AH$40)</f>
        <v>24.285714285714299</v>
      </c>
      <c r="AI56" s="289">
        <f>SUMIFS(model_other_auto_dist!$C:$C,model_other_auto_dist!$A:$A,$Z56,model_other_auto_dist!$B:$B,AI$40)</f>
        <v>125.857142857143</v>
      </c>
      <c r="AJ56" s="289">
        <f>SUMIFS(model_other_auto_dist!$C:$C,model_other_auto_dist!$A:$A,$Z56,model_other_auto_dist!$B:$B,AJ$40)</f>
        <v>6627.1428571428596</v>
      </c>
      <c r="AK56" s="289">
        <f>SUMIFS(model_other_auto_dist!$C:$C,model_other_auto_dist!$A:$A,$Z56,model_other_auto_dist!$B:$B,AK$40)</f>
        <v>68.714285714285694</v>
      </c>
      <c r="AL56" s="289">
        <f>SUMIFS(model_other_auto_dist!$C:$C,model_other_auto_dist!$A:$A,$Z56,model_other_auto_dist!$B:$B,AL$40)</f>
        <v>3084.2142857142899</v>
      </c>
      <c r="AM56" s="289">
        <f>SUMIFS(model_other_auto_dist!$C:$C,model_other_auto_dist!$A:$A,$Z56,model_other_auto_dist!$B:$B,AM$40)</f>
        <v>80.214285714285694</v>
      </c>
      <c r="AN56" s="289">
        <f>SUMIFS(model_other_auto_dist!$C:$C,model_other_auto_dist!$A:$A,$Z56,model_other_auto_dist!$B:$B,AN$40)</f>
        <v>17.285714285714299</v>
      </c>
      <c r="AO56" s="289">
        <f>SUMIFS(model_other_auto_dist!$C:$C,model_other_auto_dist!$A:$A,$Z56,model_other_auto_dist!$B:$B,AO$40)</f>
        <v>11.0714285714286</v>
      </c>
      <c r="AP56" s="289">
        <f>SUMIFS(model_other_auto_dist!$C:$C,model_other_auto_dist!$A:$A,$Z56,model_other_auto_dist!$B:$B,AP$40)</f>
        <v>13831.214285714301</v>
      </c>
      <c r="AQ56" s="289">
        <f>SUMIFS(model_other_auto_dist!$C:$C,model_other_auto_dist!$A:$A,$Z56,model_other_auto_dist!$B:$B,AQ$40)</f>
        <v>6.5714285714285703</v>
      </c>
      <c r="AR56" s="289">
        <f>SUMIFS(model_other_auto_dist!$C:$C,model_other_auto_dist!$A:$A,$Z56,model_other_auto_dist!$B:$B,AR$40)</f>
        <v>310.42857142857099</v>
      </c>
      <c r="AS56" s="289">
        <f>SUMIFS(model_other_auto_dist!$C:$C,model_other_auto_dist!$A:$A,$Z56,model_other_auto_dist!$B:$B,AS$40)</f>
        <v>20.785714285714299</v>
      </c>
      <c r="AT56" s="289">
        <f>SUMIFS(model_other_auto_dist!$C:$C,model_other_auto_dist!$A:$A,$Z56,model_other_auto_dist!$B:$B,AT$40)</f>
        <v>263.28571428571399</v>
      </c>
      <c r="AU56" s="289">
        <f>SUMIFS(model_other_auto_dist!$C:$C,model_other_auto_dist!$A:$A,$Z56,model_other_auto_dist!$B:$B,AU$40)</f>
        <v>0</v>
      </c>
      <c r="AV56" s="12">
        <f si="32" t="shared"/>
        <v>28528.571428571449</v>
      </c>
      <c r="AW56" s="346"/>
      <c r="AY56">
        <v>16</v>
      </c>
      <c r="AZ56" s="289">
        <f si="33" t="shared"/>
        <v>920.92857142857099</v>
      </c>
      <c r="BA56" s="289">
        <f si="34" t="shared"/>
        <v>148</v>
      </c>
      <c r="BB56" s="289">
        <f si="35" t="shared"/>
        <v>318.357142857143</v>
      </c>
      <c r="BC56" s="289">
        <f si="36" t="shared"/>
        <v>369.07142857142901</v>
      </c>
      <c r="BD56" s="289">
        <f si="37" t="shared"/>
        <v>794.57142857142901</v>
      </c>
      <c r="BE56" s="289">
        <f si="38" t="shared"/>
        <v>1351.8571428571399</v>
      </c>
      <c r="BF56" s="289">
        <f si="39" t="shared"/>
        <v>154.71428571428601</v>
      </c>
      <c r="BG56" s="289">
        <f si="40" t="shared"/>
        <v>24.285714285714299</v>
      </c>
      <c r="BH56" s="289">
        <f si="41" t="shared"/>
        <v>125.857142857143</v>
      </c>
      <c r="BI56" s="289">
        <f si="42" t="shared"/>
        <v>6627.1428571428596</v>
      </c>
      <c r="BJ56" s="289">
        <f si="43" t="shared"/>
        <v>68.714285714285694</v>
      </c>
      <c r="BK56" s="289">
        <f si="44" t="shared"/>
        <v>3084.2142857142899</v>
      </c>
      <c r="BL56" s="289">
        <f si="45" t="shared"/>
        <v>80.214285714285694</v>
      </c>
      <c r="BM56" s="289">
        <f si="46" t="shared"/>
        <v>17.285714285714299</v>
      </c>
      <c r="BN56" s="289">
        <f si="47" t="shared"/>
        <v>11.0714285714286</v>
      </c>
      <c r="BO56" s="289">
        <f si="48" t="shared"/>
        <v>13831.214285714301</v>
      </c>
      <c r="BP56" s="289">
        <f si="49" t="shared"/>
        <v>6.5714285714285703</v>
      </c>
      <c r="BQ56" s="289">
        <f si="50" t="shared"/>
        <v>310.42857142857099</v>
      </c>
      <c r="BR56" s="289">
        <f si="51" t="shared"/>
        <v>20.785714285714299</v>
      </c>
      <c r="BS56" s="289">
        <f si="52" t="shared"/>
        <v>263.28571428571399</v>
      </c>
      <c r="BT56" s="289">
        <f si="53" t="shared"/>
        <v>0</v>
      </c>
      <c r="BU56" s="289">
        <f si="54" t="shared"/>
        <v>28528.571428571449</v>
      </c>
      <c r="BW56">
        <v>16</v>
      </c>
      <c r="BX56" s="289">
        <f si="55" t="shared"/>
        <v>447.55684379046562</v>
      </c>
      <c r="BY56" s="289">
        <f si="56" t="shared"/>
        <v>32.359857979156558</v>
      </c>
      <c r="BZ56" s="289">
        <f si="57" t="shared"/>
        <v>215.84127881131087</v>
      </c>
      <c r="CA56" s="289">
        <f si="58" t="shared"/>
        <v>196.01476013581095</v>
      </c>
      <c r="CB56" s="289">
        <f si="59" t="shared"/>
        <v>203.26527771181725</v>
      </c>
      <c r="CC56" s="289">
        <f si="60" t="shared"/>
        <v>214.34523006764061</v>
      </c>
      <c r="CD56" s="289">
        <f si="61" t="shared"/>
        <v>154.71428571428601</v>
      </c>
      <c r="CE56" s="289">
        <f si="62" t="shared"/>
        <v>24.285714285714299</v>
      </c>
      <c r="CF56" s="289">
        <f si="63" t="shared"/>
        <v>-146.02258220134723</v>
      </c>
      <c r="CG56" s="289">
        <f si="64" t="shared"/>
        <v>-2417.5936606002206</v>
      </c>
      <c r="CH56" s="289">
        <f si="65" t="shared"/>
        <v>-23.310956806910198</v>
      </c>
      <c r="CI56" s="289">
        <f si="66" t="shared"/>
        <v>-676.91355094445589</v>
      </c>
      <c r="CJ56" s="289">
        <f si="67" t="shared"/>
        <v>80.214285714285694</v>
      </c>
      <c r="CK56" s="289">
        <f si="68" t="shared"/>
        <v>-12.303267858522926</v>
      </c>
      <c r="CL56" s="289">
        <f si="69" t="shared"/>
        <v>-3.4457690373578789</v>
      </c>
      <c r="CM56" s="289">
        <f si="70" t="shared"/>
        <v>-2307.3372250717694</v>
      </c>
      <c r="CN56" s="289">
        <f si="71" t="shared"/>
        <v>6.5714285714285703</v>
      </c>
      <c r="CO56" s="289">
        <f si="72" t="shared"/>
        <v>77.988983791245715</v>
      </c>
      <c r="CP56" s="289">
        <f si="73" t="shared"/>
        <v>20.785714285714299</v>
      </c>
      <c r="CQ56" s="289">
        <f si="74" t="shared"/>
        <v>263.28571428571399</v>
      </c>
      <c r="CR56" s="289">
        <f si="75" t="shared"/>
        <v>0</v>
      </c>
      <c r="CS56" s="289">
        <f si="76" t="shared"/>
        <v>-3649.6976373759899</v>
      </c>
      <c r="CU56">
        <v>55</v>
      </c>
      <c r="CV56">
        <f si="17" t="shared"/>
        <v>3</v>
      </c>
      <c r="CW56">
        <f si="2" t="shared"/>
        <v>15</v>
      </c>
      <c r="CX56" s="355" t="str">
        <f si="3" t="shared"/>
        <v>3_15</v>
      </c>
      <c r="CY56" s="246">
        <f si="0" t="shared"/>
        <v>280.35746568354409</v>
      </c>
      <c r="CZ56" s="246">
        <f si="1" t="shared"/>
        <v>522.57142857142901</v>
      </c>
      <c r="DA56" s="246">
        <f si="4" t="shared"/>
        <v>284.8210435424761</v>
      </c>
      <c r="DB56" s="246">
        <f si="5" t="shared"/>
        <v>498.89285714285751</v>
      </c>
      <c r="DC56" s="301">
        <f si="6" t="shared"/>
        <v>214.0718136003814</v>
      </c>
      <c r="DD56" s="302">
        <f si="7" t="shared"/>
        <v>0.76356737309794631</v>
      </c>
      <c r="DE56" s="357">
        <f si="8" t="shared"/>
        <v>0.57090623660887141</v>
      </c>
      <c r="DF56">
        <v>275000</v>
      </c>
    </row>
    <row r="57" spans="2:110" x14ac:dyDescent="0.25">
      <c r="B57">
        <v>17</v>
      </c>
      <c r="C57" s="289">
        <v>0</v>
      </c>
      <c r="D57" s="289">
        <v>0</v>
      </c>
      <c r="E57" s="289">
        <v>0</v>
      </c>
      <c r="F57" s="289">
        <v>0</v>
      </c>
      <c r="G57" s="289">
        <v>39.278196480893996</v>
      </c>
      <c r="H57" s="289">
        <v>0</v>
      </c>
      <c r="I57" s="289">
        <v>0</v>
      </c>
      <c r="J57" s="289">
        <v>0</v>
      </c>
      <c r="K57" s="289">
        <v>0</v>
      </c>
      <c r="L57" s="289">
        <v>0</v>
      </c>
      <c r="M57" s="289">
        <v>5650.2175449588503</v>
      </c>
      <c r="N57" s="289">
        <v>0</v>
      </c>
      <c r="O57" s="289">
        <v>0</v>
      </c>
      <c r="P57" s="289">
        <v>2276.31482217639</v>
      </c>
      <c r="Q57" s="289">
        <v>0</v>
      </c>
      <c r="R57" s="289">
        <v>0</v>
      </c>
      <c r="S57" s="289">
        <v>35889.03815367951</v>
      </c>
      <c r="T57" s="289">
        <v>0</v>
      </c>
      <c r="U57" s="289">
        <v>4167.9992127860496</v>
      </c>
      <c r="V57" s="289">
        <v>0</v>
      </c>
      <c r="W57" s="289"/>
      <c r="X57" s="289">
        <f si="31" t="shared"/>
        <v>48022.847930081698</v>
      </c>
      <c r="Z57">
        <v>17</v>
      </c>
      <c r="AA57" s="289">
        <f>SUMIFS(model_other_auto_dist!$C:$C,model_other_auto_dist!$A:$A,$Z57,model_other_auto_dist!$B:$B,AA$40)</f>
        <v>973.857142857143</v>
      </c>
      <c r="AB57" s="289">
        <f>SUMIFS(model_other_auto_dist!$C:$C,model_other_auto_dist!$A:$A,$Z57,model_other_auto_dist!$B:$B,AB$40)</f>
        <v>120.428571428571</v>
      </c>
      <c r="AC57" s="289">
        <f>SUMIFS(model_other_auto_dist!$C:$C,model_other_auto_dist!$A:$A,$Z57,model_other_auto_dist!$B:$B,AC$40)</f>
        <v>1471.5</v>
      </c>
      <c r="AD57" s="289">
        <f>SUMIFS(model_other_auto_dist!$C:$C,model_other_auto_dist!$A:$A,$Z57,model_other_auto_dist!$B:$B,AD$40)</f>
        <v>530.78571428571399</v>
      </c>
      <c r="AE57" s="289">
        <f>SUMIFS(model_other_auto_dist!$C:$C,model_other_auto_dist!$A:$A,$Z57,model_other_auto_dist!$B:$B,AE$40)</f>
        <v>300.357142857143</v>
      </c>
      <c r="AF57" s="289">
        <f>SUMIFS(model_other_auto_dist!$C:$C,model_other_auto_dist!$A:$A,$Z57,model_other_auto_dist!$B:$B,AF$40)</f>
        <v>529.21428571428601</v>
      </c>
      <c r="AG57" s="289">
        <f>SUMIFS(model_other_auto_dist!$C:$C,model_other_auto_dist!$A:$A,$Z57,model_other_auto_dist!$B:$B,AG$40)</f>
        <v>106.5</v>
      </c>
      <c r="AH57" s="289">
        <f>SUMIFS(model_other_auto_dist!$C:$C,model_other_auto_dist!$A:$A,$Z57,model_other_auto_dist!$B:$B,AH$40)</f>
        <v>95.214285714285694</v>
      </c>
      <c r="AI57" s="289">
        <f>SUMIFS(model_other_auto_dist!$C:$C,model_other_auto_dist!$A:$A,$Z57,model_other_auto_dist!$B:$B,AI$40)</f>
        <v>472.07142857142901</v>
      </c>
      <c r="AJ57" s="289">
        <f>SUMIFS(model_other_auto_dist!$C:$C,model_other_auto_dist!$A:$A,$Z57,model_other_auto_dist!$B:$B,AJ$40)</f>
        <v>114.357142857143</v>
      </c>
      <c r="AK57" s="289">
        <f>SUMIFS(model_other_auto_dist!$C:$C,model_other_auto_dist!$A:$A,$Z57,model_other_auto_dist!$B:$B,AK$40)</f>
        <v>5678.5714285714303</v>
      </c>
      <c r="AL57" s="289">
        <f>SUMIFS(model_other_auto_dist!$C:$C,model_other_auto_dist!$A:$A,$Z57,model_other_auto_dist!$B:$B,AL$40)</f>
        <v>226.21428571428601</v>
      </c>
      <c r="AM57" s="289">
        <f>SUMIFS(model_other_auto_dist!$C:$C,model_other_auto_dist!$A:$A,$Z57,model_other_auto_dist!$B:$B,AM$40)</f>
        <v>31.3571428571429</v>
      </c>
      <c r="AN57" s="289">
        <f>SUMIFS(model_other_auto_dist!$C:$C,model_other_auto_dist!$A:$A,$Z57,model_other_auto_dist!$B:$B,AN$40)</f>
        <v>2369.5714285714298</v>
      </c>
      <c r="AO57" s="289">
        <f>SUMIFS(model_other_auto_dist!$C:$C,model_other_auto_dist!$A:$A,$Z57,model_other_auto_dist!$B:$B,AO$40)</f>
        <v>51.357142857142897</v>
      </c>
      <c r="AP57" s="289">
        <f>SUMIFS(model_other_auto_dist!$C:$C,model_other_auto_dist!$A:$A,$Z57,model_other_auto_dist!$B:$B,AP$40)</f>
        <v>6.1428571428571397</v>
      </c>
      <c r="AQ57" s="289">
        <f>SUMIFS(model_other_auto_dist!$C:$C,model_other_auto_dist!$A:$A,$Z57,model_other_auto_dist!$B:$B,AQ$40)</f>
        <v>23316.142857142899</v>
      </c>
      <c r="AR57" s="289">
        <f>SUMIFS(model_other_auto_dist!$C:$C,model_other_auto_dist!$A:$A,$Z57,model_other_auto_dist!$B:$B,AR$40)</f>
        <v>3.78571428571429</v>
      </c>
      <c r="AS57" s="289">
        <f>SUMIFS(model_other_auto_dist!$C:$C,model_other_auto_dist!$A:$A,$Z57,model_other_auto_dist!$B:$B,AS$40)</f>
        <v>5983.6428571428596</v>
      </c>
      <c r="AT57" s="289">
        <f>SUMIFS(model_other_auto_dist!$C:$C,model_other_auto_dist!$A:$A,$Z57,model_other_auto_dist!$B:$B,AT$40)</f>
        <v>0.5</v>
      </c>
      <c r="AU57" s="289">
        <f>SUMIFS(model_other_auto_dist!$C:$C,model_other_auto_dist!$A:$A,$Z57,model_other_auto_dist!$B:$B,AU$40)</f>
        <v>0</v>
      </c>
      <c r="AV57" s="12">
        <f si="32" t="shared"/>
        <v>42381.571428571478</v>
      </c>
      <c r="AW57" s="346"/>
      <c r="AY57">
        <v>17</v>
      </c>
      <c r="AZ57" s="289">
        <f si="33" t="shared"/>
        <v>973.857142857143</v>
      </c>
      <c r="BA57" s="289">
        <f si="34" t="shared"/>
        <v>120.428571428571</v>
      </c>
      <c r="BB57" s="289">
        <f si="35" t="shared"/>
        <v>1471.5</v>
      </c>
      <c r="BC57" s="289">
        <f si="36" t="shared"/>
        <v>530.78571428571399</v>
      </c>
      <c r="BD57" s="289">
        <f si="37" t="shared"/>
        <v>300.357142857143</v>
      </c>
      <c r="BE57" s="289">
        <f si="38" t="shared"/>
        <v>529.21428571428601</v>
      </c>
      <c r="BF57" s="289">
        <f si="39" t="shared"/>
        <v>106.5</v>
      </c>
      <c r="BG57" s="289">
        <f si="40" t="shared"/>
        <v>95.214285714285694</v>
      </c>
      <c r="BH57" s="289">
        <f si="41" t="shared"/>
        <v>472.07142857142901</v>
      </c>
      <c r="BI57" s="289">
        <f si="42" t="shared"/>
        <v>114.357142857143</v>
      </c>
      <c r="BJ57" s="289">
        <f si="43" t="shared"/>
        <v>5678.5714285714303</v>
      </c>
      <c r="BK57" s="289">
        <f si="44" t="shared"/>
        <v>226.21428571428601</v>
      </c>
      <c r="BL57" s="289">
        <f si="45" t="shared"/>
        <v>31.3571428571429</v>
      </c>
      <c r="BM57" s="289">
        <f si="46" t="shared"/>
        <v>2369.5714285714298</v>
      </c>
      <c r="BN57" s="289">
        <f si="47" t="shared"/>
        <v>51.357142857142897</v>
      </c>
      <c r="BO57" s="289">
        <f si="48" t="shared"/>
        <v>6.1428571428571397</v>
      </c>
      <c r="BP57" s="289">
        <f si="49" t="shared"/>
        <v>23316.142857142899</v>
      </c>
      <c r="BQ57" s="289">
        <f si="50" t="shared"/>
        <v>3.78571428571429</v>
      </c>
      <c r="BR57" s="289">
        <f si="51" t="shared"/>
        <v>5983.6428571428596</v>
      </c>
      <c r="BS57" s="289">
        <f si="52" t="shared"/>
        <v>0.5</v>
      </c>
      <c r="BT57" s="289">
        <f si="53" t="shared"/>
        <v>0</v>
      </c>
      <c r="BU57" s="289">
        <f si="54" t="shared"/>
        <v>42381.571428571478</v>
      </c>
      <c r="BW57">
        <v>17</v>
      </c>
      <c r="BX57" s="289">
        <f si="55" t="shared"/>
        <v>973.857142857143</v>
      </c>
      <c r="BY57" s="289">
        <f si="56" t="shared"/>
        <v>120.428571428571</v>
      </c>
      <c r="BZ57" s="289">
        <f si="57" t="shared"/>
        <v>1471.5</v>
      </c>
      <c r="CA57" s="289">
        <f si="58" t="shared"/>
        <v>530.78571428571399</v>
      </c>
      <c r="CB57" s="289">
        <f si="59" t="shared"/>
        <v>266.18301284327009</v>
      </c>
      <c r="CC57" s="289">
        <f si="60" t="shared"/>
        <v>529.21428571428601</v>
      </c>
      <c r="CD57" s="289">
        <f si="61" t="shared"/>
        <v>106.5</v>
      </c>
      <c r="CE57" s="289">
        <f si="62" t="shared"/>
        <v>95.214285714285694</v>
      </c>
      <c r="CF57" s="289">
        <f si="63" t="shared"/>
        <v>472.07142857142901</v>
      </c>
      <c r="CG57" s="289">
        <f si="64" t="shared"/>
        <v>114.357142857143</v>
      </c>
      <c r="CH57" s="289">
        <f si="65" t="shared"/>
        <v>762.58020982963899</v>
      </c>
      <c r="CI57" s="289">
        <f si="66" t="shared"/>
        <v>226.21428571428601</v>
      </c>
      <c r="CJ57" s="289">
        <f si="67" t="shared"/>
        <v>31.3571428571429</v>
      </c>
      <c r="CK57" s="289">
        <f si="68" t="shared"/>
        <v>389.05588419296737</v>
      </c>
      <c r="CL57" s="289">
        <f si="69" t="shared"/>
        <v>51.357142857142897</v>
      </c>
      <c r="CM57" s="289">
        <f si="70" t="shared"/>
        <v>6.1428571428571397</v>
      </c>
      <c r="CN57" s="289">
        <f si="71" t="shared"/>
        <v>-7909.2382912324247</v>
      </c>
      <c r="CO57" s="289">
        <f si="72" t="shared"/>
        <v>3.78571428571429</v>
      </c>
      <c r="CP57" s="289">
        <f si="73" t="shared"/>
        <v>2357.260798975904</v>
      </c>
      <c r="CQ57" s="289">
        <f si="74" t="shared"/>
        <v>0.5</v>
      </c>
      <c r="CR57" s="289">
        <f si="75" t="shared"/>
        <v>0</v>
      </c>
      <c r="CS57" s="289">
        <f si="76" t="shared"/>
        <v>599.12732889506879</v>
      </c>
      <c r="CU57">
        <v>56</v>
      </c>
      <c r="CV57">
        <f si="17" t="shared"/>
        <v>3</v>
      </c>
      <c r="CW57">
        <f si="2" t="shared"/>
        <v>16</v>
      </c>
      <c r="CX57" s="355" t="str">
        <f si="3" t="shared"/>
        <v>3_16</v>
      </c>
      <c r="CY57" s="246">
        <f si="0" t="shared"/>
        <v>100.63910499049766</v>
      </c>
      <c r="CZ57" s="246">
        <f si="1" t="shared"/>
        <v>353.71428571428601</v>
      </c>
      <c r="DA57" s="246">
        <f si="4" t="shared"/>
        <v>101.57748451816489</v>
      </c>
      <c r="DB57" s="246">
        <f si="5" t="shared"/>
        <v>336.0357142857145</v>
      </c>
      <c r="DC57" s="301">
        <f si="6" t="shared"/>
        <v>234.4582297675496</v>
      </c>
      <c r="DD57" s="302">
        <f si="7" t="shared"/>
        <v>2.3296931127287661</v>
      </c>
      <c r="DE57" s="357">
        <f si="8" t="shared"/>
        <v>0.3022818117237342</v>
      </c>
      <c r="DF57">
        <v>280000</v>
      </c>
    </row>
    <row r="58" spans="2:110" x14ac:dyDescent="0.25">
      <c r="B58">
        <v>18</v>
      </c>
      <c r="C58" s="289">
        <v>90.712587015240047</v>
      </c>
      <c r="D58" s="289">
        <v>0</v>
      </c>
      <c r="E58" s="289">
        <v>145.13973178118999</v>
      </c>
      <c r="F58" s="289">
        <v>0</v>
      </c>
      <c r="G58" s="289">
        <v>50.001423708994992</v>
      </c>
      <c r="H58" s="289">
        <v>0</v>
      </c>
      <c r="I58" s="289">
        <v>1235.89127224186</v>
      </c>
      <c r="J58" s="289">
        <v>0</v>
      </c>
      <c r="K58" s="289">
        <v>0</v>
      </c>
      <c r="L58" s="289">
        <v>1.1855123412499324</v>
      </c>
      <c r="M58" s="289">
        <v>0</v>
      </c>
      <c r="N58" s="289">
        <v>17099.213020989129</v>
      </c>
      <c r="O58" s="289">
        <v>9566.8682383777304</v>
      </c>
      <c r="P58" s="289">
        <v>0</v>
      </c>
      <c r="Q58" s="289">
        <v>72.764718705351015</v>
      </c>
      <c r="R58" s="289">
        <v>266.44097175412003</v>
      </c>
      <c r="S58" s="289">
        <v>0</v>
      </c>
      <c r="T58" s="289">
        <v>61779.976860989562</v>
      </c>
      <c r="U58" s="289">
        <v>45.037033638274494</v>
      </c>
      <c r="V58" s="289">
        <v>10145.96799506141</v>
      </c>
      <c r="W58" s="289"/>
      <c r="X58" s="289">
        <f si="31" t="shared"/>
        <v>100499.19936660411</v>
      </c>
      <c r="Z58">
        <v>18</v>
      </c>
      <c r="AA58" s="289">
        <f>SUMIFS(model_other_auto_dist!$C:$C,model_other_auto_dist!$A:$A,$Z58,model_other_auto_dist!$B:$B,AA$40)</f>
        <v>413.357142857143</v>
      </c>
      <c r="AB58" s="289">
        <f>SUMIFS(model_other_auto_dist!$C:$C,model_other_auto_dist!$A:$A,$Z58,model_other_auto_dist!$B:$B,AB$40)</f>
        <v>159.357142857143</v>
      </c>
      <c r="AC58" s="289">
        <f>SUMIFS(model_other_auto_dist!$C:$C,model_other_auto_dist!$A:$A,$Z58,model_other_auto_dist!$B:$B,AC$40)</f>
        <v>208.78571428571399</v>
      </c>
      <c r="AD58" s="289">
        <f>SUMIFS(model_other_auto_dist!$C:$C,model_other_auto_dist!$A:$A,$Z58,model_other_auto_dist!$B:$B,AD$40)</f>
        <v>109.357142857143</v>
      </c>
      <c r="AE58" s="289">
        <f>SUMIFS(model_other_auto_dist!$C:$C,model_other_auto_dist!$A:$A,$Z58,model_other_auto_dist!$B:$B,AE$40)</f>
        <v>153.857142857143</v>
      </c>
      <c r="AF58" s="289">
        <f>SUMIFS(model_other_auto_dist!$C:$C,model_other_auto_dist!$A:$A,$Z58,model_other_auto_dist!$B:$B,AF$40)</f>
        <v>477.92857142857099</v>
      </c>
      <c r="AG58" s="289">
        <f>SUMIFS(model_other_auto_dist!$C:$C,model_other_auto_dist!$A:$A,$Z58,model_other_auto_dist!$B:$B,AG$40)</f>
        <v>1333.92857142857</v>
      </c>
      <c r="AH58" s="289">
        <f>SUMIFS(model_other_auto_dist!$C:$C,model_other_auto_dist!$A:$A,$Z58,model_other_auto_dist!$B:$B,AH$40)</f>
        <v>4.8571428571428603</v>
      </c>
      <c r="AI58" s="289">
        <f>SUMIFS(model_other_auto_dist!$C:$C,model_other_auto_dist!$A:$A,$Z58,model_other_auto_dist!$B:$B,AI$40)</f>
        <v>211.57142857142901</v>
      </c>
      <c r="AJ58" s="289">
        <f>SUMIFS(model_other_auto_dist!$C:$C,model_other_auto_dist!$A:$A,$Z58,model_other_auto_dist!$B:$B,AJ$40)</f>
        <v>154.5</v>
      </c>
      <c r="AK58" s="289">
        <f>SUMIFS(model_other_auto_dist!$C:$C,model_other_auto_dist!$A:$A,$Z58,model_other_auto_dist!$B:$B,AK$40)</f>
        <v>49.714285714285701</v>
      </c>
      <c r="AL58" s="289">
        <f>SUMIFS(model_other_auto_dist!$C:$C,model_other_auto_dist!$A:$A,$Z58,model_other_auto_dist!$B:$B,AL$40)</f>
        <v>11128.214285714301</v>
      </c>
      <c r="AM58" s="289">
        <f>SUMIFS(model_other_auto_dist!$C:$C,model_other_auto_dist!$A:$A,$Z58,model_other_auto_dist!$B:$B,AM$40)</f>
        <v>9470.6428571428605</v>
      </c>
      <c r="AN58" s="289">
        <f>SUMIFS(model_other_auto_dist!$C:$C,model_other_auto_dist!$A:$A,$Z58,model_other_auto_dist!$B:$B,AN$40)</f>
        <v>5.5714285714285703</v>
      </c>
      <c r="AO58" s="289">
        <f>SUMIFS(model_other_auto_dist!$C:$C,model_other_auto_dist!$A:$A,$Z58,model_other_auto_dist!$B:$B,AO$40)</f>
        <v>100.142857142857</v>
      </c>
      <c r="AP58" s="289">
        <f>SUMIFS(model_other_auto_dist!$C:$C,model_other_auto_dist!$A:$A,$Z58,model_other_auto_dist!$B:$B,AP$40)</f>
        <v>331.57142857142901</v>
      </c>
      <c r="AQ58" s="289">
        <f>SUMIFS(model_other_auto_dist!$C:$C,model_other_auto_dist!$A:$A,$Z58,model_other_auto_dist!$B:$B,AQ$40)</f>
        <v>3.5714285714285698</v>
      </c>
      <c r="AR58" s="289">
        <f>SUMIFS(model_other_auto_dist!$C:$C,model_other_auto_dist!$A:$A,$Z58,model_other_auto_dist!$B:$B,AR$40)</f>
        <v>53916.071428571398</v>
      </c>
      <c r="AS58" s="289">
        <f>SUMIFS(model_other_auto_dist!$C:$C,model_other_auto_dist!$A:$A,$Z58,model_other_auto_dist!$B:$B,AS$40)</f>
        <v>9.8571428571428594</v>
      </c>
      <c r="AT58" s="289">
        <f>SUMIFS(model_other_auto_dist!$C:$C,model_other_auto_dist!$A:$A,$Z58,model_other_auto_dist!$B:$B,AT$40)</f>
        <v>9344.6428571428605</v>
      </c>
      <c r="AU58" s="289">
        <f>SUMIFS(model_other_auto_dist!$C:$C,model_other_auto_dist!$A:$A,$Z58,model_other_auto_dist!$B:$B,AU$40)</f>
        <v>0</v>
      </c>
      <c r="AV58" s="12">
        <f si="32" t="shared"/>
        <v>87587.499999999985</v>
      </c>
      <c r="AW58" s="346"/>
      <c r="AY58">
        <v>18</v>
      </c>
      <c r="AZ58" s="289">
        <f si="33" t="shared"/>
        <v>413.357142857143</v>
      </c>
      <c r="BA58" s="289">
        <f si="34" t="shared"/>
        <v>159.357142857143</v>
      </c>
      <c r="BB58" s="289">
        <f si="35" t="shared"/>
        <v>208.78571428571399</v>
      </c>
      <c r="BC58" s="289">
        <f si="36" t="shared"/>
        <v>109.357142857143</v>
      </c>
      <c r="BD58" s="289">
        <f si="37" t="shared"/>
        <v>153.857142857143</v>
      </c>
      <c r="BE58" s="289">
        <f si="38" t="shared"/>
        <v>477.92857142857099</v>
      </c>
      <c r="BF58" s="289">
        <f si="39" t="shared"/>
        <v>1333.92857142857</v>
      </c>
      <c r="BG58" s="289">
        <f si="40" t="shared"/>
        <v>4.8571428571428603</v>
      </c>
      <c r="BH58" s="289">
        <f si="41" t="shared"/>
        <v>211.57142857142901</v>
      </c>
      <c r="BI58" s="289">
        <f si="42" t="shared"/>
        <v>154.5</v>
      </c>
      <c r="BJ58" s="289">
        <f si="43" t="shared"/>
        <v>49.714285714285701</v>
      </c>
      <c r="BK58" s="289">
        <f si="44" t="shared"/>
        <v>11128.214285714301</v>
      </c>
      <c r="BL58" s="289">
        <f si="45" t="shared"/>
        <v>9470.6428571428605</v>
      </c>
      <c r="BM58" s="289">
        <f si="46" t="shared"/>
        <v>5.5714285714285703</v>
      </c>
      <c r="BN58" s="289">
        <f si="47" t="shared"/>
        <v>100.142857142857</v>
      </c>
      <c r="BO58" s="289">
        <f si="48" t="shared"/>
        <v>331.57142857142901</v>
      </c>
      <c r="BP58" s="289">
        <f si="49" t="shared"/>
        <v>3.5714285714285698</v>
      </c>
      <c r="BQ58" s="289">
        <f si="50" t="shared"/>
        <v>53916.071428571398</v>
      </c>
      <c r="BR58" s="289">
        <f si="51" t="shared"/>
        <v>9.8571428571428594</v>
      </c>
      <c r="BS58" s="289">
        <f si="52" t="shared"/>
        <v>9344.6428571428605</v>
      </c>
      <c r="BT58" s="289">
        <f si="53" t="shared"/>
        <v>0</v>
      </c>
      <c r="BU58" s="289">
        <f si="54" t="shared"/>
        <v>87587.499999999985</v>
      </c>
      <c r="BW58">
        <v>18</v>
      </c>
      <c r="BX58" s="289">
        <f si="55" t="shared"/>
        <v>334.43234436081917</v>
      </c>
      <c r="BY58" s="289">
        <f si="56" t="shared"/>
        <v>159.357142857143</v>
      </c>
      <c r="BZ58" s="289">
        <f si="57" t="shared"/>
        <v>82.506391188948996</v>
      </c>
      <c r="CA58" s="289">
        <f si="58" t="shared"/>
        <v>109.357142857143</v>
      </c>
      <c r="CB58" s="289">
        <f si="59" t="shared"/>
        <v>110.35323209227047</v>
      </c>
      <c r="CC58" s="289">
        <f si="60" t="shared"/>
        <v>477.92857142857099</v>
      </c>
      <c r="CD58" s="289">
        <f si="61" t="shared"/>
        <v>258.63711701699435</v>
      </c>
      <c r="CE58" s="289">
        <f si="62" t="shared"/>
        <v>4.8571428571428603</v>
      </c>
      <c r="CF58" s="289">
        <f si="63" t="shared"/>
        <v>211.57142857142901</v>
      </c>
      <c r="CG58" s="289">
        <f si="64" t="shared"/>
        <v>153.46854090786391</v>
      </c>
      <c r="CH58" s="289">
        <f si="65" t="shared"/>
        <v>49.714285714285701</v>
      </c>
      <c r="CI58" s="289">
        <f si="66" t="shared"/>
        <v>-3749.0148456801526</v>
      </c>
      <c r="CJ58" s="289">
        <f si="67" t="shared"/>
        <v>1146.9562244599074</v>
      </c>
      <c r="CK58" s="289">
        <f si="68" t="shared"/>
        <v>5.5714285714285703</v>
      </c>
      <c r="CL58" s="289">
        <f si="69" t="shared"/>
        <v>36.833663232460871</v>
      </c>
      <c r="CM58" s="289">
        <f si="70" t="shared"/>
        <v>99.753544209629098</v>
      </c>
      <c r="CN58" s="289">
        <f si="71" t="shared"/>
        <v>3.5714285714285698</v>
      </c>
      <c r="CO58" s="289">
        <f si="72" t="shared"/>
        <v>164.18996098665957</v>
      </c>
      <c r="CP58" s="289">
        <f si="73" t="shared"/>
        <v>-29.327483243045378</v>
      </c>
      <c r="CQ58" s="289">
        <f si="74" t="shared"/>
        <v>517.10848833646378</v>
      </c>
      <c r="CR58" s="289">
        <f si="75" t="shared"/>
        <v>0</v>
      </c>
      <c r="CS58" s="289">
        <f si="76" t="shared"/>
        <v>147.82574929736438</v>
      </c>
      <c r="CU58">
        <v>57</v>
      </c>
      <c r="CV58">
        <f si="17" t="shared"/>
        <v>3</v>
      </c>
      <c r="CW58">
        <f si="2" t="shared"/>
        <v>17</v>
      </c>
      <c r="CX58" s="355" t="str">
        <f si="3" t="shared"/>
        <v>3_17</v>
      </c>
      <c r="CY58" s="246">
        <f si="0" t="shared"/>
        <v>0</v>
      </c>
      <c r="CZ58" s="246">
        <f si="1" t="shared"/>
        <v>1596.3571428571399</v>
      </c>
      <c r="DA58" s="246">
        <f si="4" t="shared"/>
        <v>0</v>
      </c>
      <c r="DB58" s="246">
        <f si="5" t="shared"/>
        <v>1533.92857142857</v>
      </c>
      <c r="DC58" s="301">
        <f si="6" t="shared"/>
        <v>1533.92857142857</v>
      </c>
      <c r="DD58" s="302">
        <f si="7" t="shared"/>
        <v>0</v>
      </c>
      <c r="DE58" s="357">
        <f si="8" t="shared"/>
        <v>0</v>
      </c>
      <c r="DF58">
        <v>285000</v>
      </c>
    </row>
    <row r="59" spans="2:110" x14ac:dyDescent="0.25">
      <c r="B59">
        <v>19</v>
      </c>
      <c r="C59" s="289">
        <v>504.61963585068003</v>
      </c>
      <c r="D59" s="289">
        <v>223.51094134956998</v>
      </c>
      <c r="E59" s="289">
        <v>888.80725786586993</v>
      </c>
      <c r="F59" s="289">
        <v>289.71186078860552</v>
      </c>
      <c r="G59" s="289">
        <v>186.85028119187399</v>
      </c>
      <c r="H59" s="289">
        <v>677.35993649312195</v>
      </c>
      <c r="I59" s="289">
        <v>0</v>
      </c>
      <c r="J59" s="289">
        <v>163.25247268773171</v>
      </c>
      <c r="K59" s="289">
        <v>632.99906771070982</v>
      </c>
      <c r="L59" s="289">
        <v>0</v>
      </c>
      <c r="M59" s="289">
        <v>17857.549744212432</v>
      </c>
      <c r="N59" s="289">
        <v>63.94803566618998</v>
      </c>
      <c r="O59" s="289">
        <v>0</v>
      </c>
      <c r="P59" s="289">
        <v>0</v>
      </c>
      <c r="Q59" s="289">
        <v>0</v>
      </c>
      <c r="R59" s="289">
        <v>0</v>
      </c>
      <c r="S59" s="289">
        <v>4320.3370605851105</v>
      </c>
      <c r="T59" s="289">
        <v>42.888845285689484</v>
      </c>
      <c r="U59" s="289">
        <v>87750.09617462696</v>
      </c>
      <c r="V59" s="289">
        <v>0</v>
      </c>
      <c r="W59" s="289"/>
      <c r="X59" s="289">
        <f si="31" t="shared"/>
        <v>113601.93131431454</v>
      </c>
      <c r="Z59">
        <v>19</v>
      </c>
      <c r="AA59" s="289">
        <f>SUMIFS(model_other_auto_dist!$C:$C,model_other_auto_dist!$A:$A,$Z59,model_other_auto_dist!$B:$B,AA$40)</f>
        <v>1255.3571428571399</v>
      </c>
      <c r="AB59" s="289">
        <f>SUMIFS(model_other_auto_dist!$C:$C,model_other_auto_dist!$A:$A,$Z59,model_other_auto_dist!$B:$B,AB$40)</f>
        <v>179.642857142857</v>
      </c>
      <c r="AC59" s="289">
        <f>SUMIFS(model_other_auto_dist!$C:$C,model_other_auto_dist!$A:$A,$Z59,model_other_auto_dist!$B:$B,AC$40)</f>
        <v>1921.2857142857099</v>
      </c>
      <c r="AD59" s="289">
        <f>SUMIFS(model_other_auto_dist!$C:$C,model_other_auto_dist!$A:$A,$Z59,model_other_auto_dist!$B:$B,AD$40)</f>
        <v>626.42857142857099</v>
      </c>
      <c r="AE59" s="289">
        <f>SUMIFS(model_other_auto_dist!$C:$C,model_other_auto_dist!$A:$A,$Z59,model_other_auto_dist!$B:$B,AE$40)</f>
        <v>351.42857142857099</v>
      </c>
      <c r="AF59" s="289">
        <f>SUMIFS(model_other_auto_dist!$C:$C,model_other_auto_dist!$A:$A,$Z59,model_other_auto_dist!$B:$B,AF$40)</f>
        <v>621.71428571428601</v>
      </c>
      <c r="AG59" s="289">
        <f>SUMIFS(model_other_auto_dist!$C:$C,model_other_auto_dist!$A:$A,$Z59,model_other_auto_dist!$B:$B,AG$40)</f>
        <v>244.21428571428601</v>
      </c>
      <c r="AH59" s="289">
        <f>SUMIFS(model_other_auto_dist!$C:$C,model_other_auto_dist!$A:$A,$Z59,model_other_auto_dist!$B:$B,AH$40)</f>
        <v>80.642857142857096</v>
      </c>
      <c r="AI59" s="289">
        <f>SUMIFS(model_other_auto_dist!$C:$C,model_other_auto_dist!$A:$A,$Z59,model_other_auto_dist!$B:$B,AI$40)</f>
        <v>1650.2142857142901</v>
      </c>
      <c r="AJ59" s="289">
        <f>SUMIFS(model_other_auto_dist!$C:$C,model_other_auto_dist!$A:$A,$Z59,model_other_auto_dist!$B:$B,AJ$40)</f>
        <v>156.142857142857</v>
      </c>
      <c r="AK59" s="289">
        <f>SUMIFS(model_other_auto_dist!$C:$C,model_other_auto_dist!$A:$A,$Z59,model_other_auto_dist!$B:$B,AK$40)</f>
        <v>14140.785714285699</v>
      </c>
      <c r="AL59" s="289">
        <f>SUMIFS(model_other_auto_dist!$C:$C,model_other_auto_dist!$A:$A,$Z59,model_other_auto_dist!$B:$B,AL$40)</f>
        <v>344.78571428571399</v>
      </c>
      <c r="AM59" s="289">
        <f>SUMIFS(model_other_auto_dist!$C:$C,model_other_auto_dist!$A:$A,$Z59,model_other_auto_dist!$B:$B,AM$40)</f>
        <v>201.21428571428601</v>
      </c>
      <c r="AN59" s="289">
        <f>SUMIFS(model_other_auto_dist!$C:$C,model_other_auto_dist!$A:$A,$Z59,model_other_auto_dist!$B:$B,AN$40)</f>
        <v>425.21428571428601</v>
      </c>
      <c r="AO59" s="289">
        <f>SUMIFS(model_other_auto_dist!$C:$C,model_other_auto_dist!$A:$A,$Z59,model_other_auto_dist!$B:$B,AO$40)</f>
        <v>1634.5</v>
      </c>
      <c r="AP59" s="289">
        <f>SUMIFS(model_other_auto_dist!$C:$C,model_other_auto_dist!$A:$A,$Z59,model_other_auto_dist!$B:$B,AP$40)</f>
        <v>14.9285714285714</v>
      </c>
      <c r="AQ59" s="289">
        <f>SUMIFS(model_other_auto_dist!$C:$C,model_other_auto_dist!$A:$A,$Z59,model_other_auto_dist!$B:$B,AQ$40)</f>
        <v>6014.6428571428596</v>
      </c>
      <c r="AR59" s="289">
        <f>SUMIFS(model_other_auto_dist!$C:$C,model_other_auto_dist!$A:$A,$Z59,model_other_auto_dist!$B:$B,AR$40)</f>
        <v>8.4285714285714306</v>
      </c>
      <c r="AS59" s="289">
        <f>SUMIFS(model_other_auto_dist!$C:$C,model_other_auto_dist!$A:$A,$Z59,model_other_auto_dist!$B:$B,AS$40)</f>
        <v>73774.5</v>
      </c>
      <c r="AT59" s="289">
        <f>SUMIFS(model_other_auto_dist!$C:$C,model_other_auto_dist!$A:$A,$Z59,model_other_auto_dist!$B:$B,AT$40)</f>
        <v>0.5</v>
      </c>
      <c r="AU59" s="289">
        <f>SUMIFS(model_other_auto_dist!$C:$C,model_other_auto_dist!$A:$A,$Z59,model_other_auto_dist!$B:$B,AU$40)</f>
        <v>0</v>
      </c>
      <c r="AV59" s="12">
        <f si="32" t="shared"/>
        <v>103646.57142857142</v>
      </c>
      <c r="AW59" s="346"/>
      <c r="AY59">
        <v>19</v>
      </c>
      <c r="AZ59" s="289">
        <f si="33" t="shared"/>
        <v>1255.3571428571399</v>
      </c>
      <c r="BA59" s="289">
        <f si="34" t="shared"/>
        <v>179.642857142857</v>
      </c>
      <c r="BB59" s="289">
        <f si="35" t="shared"/>
        <v>1921.2857142857099</v>
      </c>
      <c r="BC59" s="289">
        <f si="36" t="shared"/>
        <v>626.42857142857099</v>
      </c>
      <c r="BD59" s="289">
        <f si="37" t="shared"/>
        <v>351.42857142857099</v>
      </c>
      <c r="BE59" s="289">
        <f si="38" t="shared"/>
        <v>621.71428571428601</v>
      </c>
      <c r="BF59" s="289">
        <f si="39" t="shared"/>
        <v>244.21428571428601</v>
      </c>
      <c r="BG59" s="289">
        <f si="40" t="shared"/>
        <v>80.642857142857096</v>
      </c>
      <c r="BH59" s="289">
        <f si="41" t="shared"/>
        <v>1650.2142857142901</v>
      </c>
      <c r="BI59" s="289">
        <f si="42" t="shared"/>
        <v>156.142857142857</v>
      </c>
      <c r="BJ59" s="289">
        <f si="43" t="shared"/>
        <v>14140.785714285699</v>
      </c>
      <c r="BK59" s="289">
        <f si="44" t="shared"/>
        <v>344.78571428571399</v>
      </c>
      <c r="BL59" s="289">
        <f si="45" t="shared"/>
        <v>201.21428571428601</v>
      </c>
      <c r="BM59" s="289">
        <f si="46" t="shared"/>
        <v>425.21428571428601</v>
      </c>
      <c r="BN59" s="289">
        <f si="47" t="shared"/>
        <v>1634.5</v>
      </c>
      <c r="BO59" s="289">
        <f si="48" t="shared"/>
        <v>14.9285714285714</v>
      </c>
      <c r="BP59" s="289">
        <f si="49" t="shared"/>
        <v>6014.6428571428596</v>
      </c>
      <c r="BQ59" s="289">
        <f si="50" t="shared"/>
        <v>8.4285714285714306</v>
      </c>
      <c r="BR59" s="289">
        <f si="51" t="shared"/>
        <v>73774.5</v>
      </c>
      <c r="BS59" s="289">
        <f si="52" t="shared"/>
        <v>0.5</v>
      </c>
      <c r="BT59" s="289">
        <f si="53" t="shared"/>
        <v>0</v>
      </c>
      <c r="BU59" s="289">
        <f si="54" t="shared"/>
        <v>103646.57142857142</v>
      </c>
      <c r="BW59">
        <v>19</v>
      </c>
      <c r="BX59" s="289">
        <f si="55" t="shared"/>
        <v>816.31109216836239</v>
      </c>
      <c r="BY59" s="289">
        <f si="56" t="shared"/>
        <v>-14.823606532958848</v>
      </c>
      <c r="BZ59" s="289">
        <f si="57" t="shared"/>
        <v>1147.975900981095</v>
      </c>
      <c r="CA59" s="289">
        <f si="58" t="shared"/>
        <v>374.36376998162041</v>
      </c>
      <c r="CB59" s="289">
        <f si="59" t="shared"/>
        <v>188.85884128106093</v>
      </c>
      <c r="CC59" s="289">
        <f si="60" t="shared"/>
        <v>32.374942010850532</v>
      </c>
      <c r="CD59" s="289">
        <f si="61" t="shared"/>
        <v>244.21428571428601</v>
      </c>
      <c r="CE59" s="289">
        <f si="62" t="shared"/>
        <v>-61.395518509919313</v>
      </c>
      <c r="CF59" s="289">
        <f si="63" t="shared"/>
        <v>1099.4712685513548</v>
      </c>
      <c r="CG59" s="289">
        <f si="64" t="shared"/>
        <v>156.142857142857</v>
      </c>
      <c r="CH59" s="289">
        <f si="65" t="shared"/>
        <v>-1396.2368927672796</v>
      </c>
      <c r="CI59" s="289">
        <f si="66" t="shared"/>
        <v>289.1475057938556</v>
      </c>
      <c r="CJ59" s="289">
        <f si="67" t="shared"/>
        <v>201.21428571428601</v>
      </c>
      <c r="CK59" s="289">
        <f si="68" t="shared"/>
        <v>425.21428571428601</v>
      </c>
      <c r="CL59" s="289">
        <f si="69" t="shared"/>
        <v>1634.5</v>
      </c>
      <c r="CM59" s="289">
        <f si="70" t="shared"/>
        <v>14.9285714285714</v>
      </c>
      <c r="CN59" s="289">
        <f si="71" t="shared"/>
        <v>2255.7187302673506</v>
      </c>
      <c r="CO59" s="289">
        <f si="72" t="shared"/>
        <v>-28.887016003020165</v>
      </c>
      <c r="CP59" s="289">
        <f si="73" t="shared"/>
        <v>-2572.7731458086637</v>
      </c>
      <c r="CQ59" s="289">
        <f si="74" t="shared"/>
        <v>0.5</v>
      </c>
      <c r="CR59" s="289">
        <f si="75" t="shared"/>
        <v>0</v>
      </c>
      <c r="CS59" s="289">
        <f si="76" t="shared"/>
        <v>4806.8201571280078</v>
      </c>
      <c r="CU59">
        <v>58</v>
      </c>
      <c r="CV59">
        <f si="17" t="shared"/>
        <v>3</v>
      </c>
      <c r="CW59">
        <f si="2" t="shared"/>
        <v>18</v>
      </c>
      <c r="CX59" s="355" t="str">
        <f si="3" t="shared"/>
        <v>3_18</v>
      </c>
      <c r="CY59" s="246">
        <f si="0" t="shared"/>
        <v>127.29906692416974</v>
      </c>
      <c r="CZ59" s="246">
        <f si="1" t="shared"/>
        <v>221</v>
      </c>
      <c r="DA59" s="246">
        <f si="4" t="shared"/>
        <v>126.78919501046737</v>
      </c>
      <c r="DB59" s="246">
        <f si="5" t="shared"/>
        <v>214.892857142857</v>
      </c>
      <c r="DC59" s="301">
        <f si="6" t="shared"/>
        <v>88.10366213238963</v>
      </c>
      <c r="DD59" s="302">
        <f si="7" t="shared"/>
        <v>0.69209982650439805</v>
      </c>
      <c r="DE59" s="357">
        <f si="8" t="shared"/>
        <v>0.59001121161593628</v>
      </c>
      <c r="DF59">
        <v>290000</v>
      </c>
    </row>
    <row r="60" spans="2:110" x14ac:dyDescent="0.25">
      <c r="B60">
        <v>20</v>
      </c>
      <c r="C60" s="289">
        <v>0</v>
      </c>
      <c r="D60" s="289">
        <v>0</v>
      </c>
      <c r="E60" s="289">
        <v>0</v>
      </c>
      <c r="F60" s="289">
        <v>0</v>
      </c>
      <c r="G60" s="289">
        <v>0</v>
      </c>
      <c r="H60" s="289">
        <v>0</v>
      </c>
      <c r="I60" s="289">
        <v>0</v>
      </c>
      <c r="J60" s="289">
        <v>0</v>
      </c>
      <c r="K60" s="289">
        <v>0</v>
      </c>
      <c r="L60" s="289">
        <v>0</v>
      </c>
      <c r="M60" s="289">
        <v>0</v>
      </c>
      <c r="N60" s="289">
        <v>0</v>
      </c>
      <c r="O60" s="289">
        <v>0</v>
      </c>
      <c r="P60" s="289">
        <v>0</v>
      </c>
      <c r="Q60" s="289">
        <v>0</v>
      </c>
      <c r="R60" s="289">
        <v>0</v>
      </c>
      <c r="S60" s="289">
        <v>0</v>
      </c>
      <c r="T60" s="289">
        <v>9889.2873162616106</v>
      </c>
      <c r="U60" s="289">
        <v>0</v>
      </c>
      <c r="V60" s="289">
        <v>82903.438565544697</v>
      </c>
      <c r="W60" s="289"/>
      <c r="X60" s="289">
        <f si="31" t="shared"/>
        <v>92792.725881806313</v>
      </c>
      <c r="Z60">
        <v>20</v>
      </c>
      <c r="AA60" s="289">
        <f>SUMIFS(model_other_auto_dist!$C:$C,model_other_auto_dist!$A:$A,$Z60,model_other_auto_dist!$B:$B,AA$40)</f>
        <v>199.142857142857</v>
      </c>
      <c r="AB60" s="289">
        <f>SUMIFS(model_other_auto_dist!$C:$C,model_other_auto_dist!$A:$A,$Z60,model_other_auto_dist!$B:$B,AB$40)</f>
        <v>46.428571428571402</v>
      </c>
      <c r="AC60" s="289">
        <f>SUMIFS(model_other_auto_dist!$C:$C,model_other_auto_dist!$A:$A,$Z60,model_other_auto_dist!$B:$B,AC$40)</f>
        <v>81.285714285714306</v>
      </c>
      <c r="AD60" s="289">
        <f>SUMIFS(model_other_auto_dist!$C:$C,model_other_auto_dist!$A:$A,$Z60,model_other_auto_dist!$B:$B,AD$40)</f>
        <v>58.928571428571402</v>
      </c>
      <c r="AE60" s="289">
        <f>SUMIFS(model_other_auto_dist!$C:$C,model_other_auto_dist!$A:$A,$Z60,model_other_auto_dist!$B:$B,AE$40)</f>
        <v>78.285714285714306</v>
      </c>
      <c r="AF60" s="289">
        <f>SUMIFS(model_other_auto_dist!$C:$C,model_other_auto_dist!$A:$A,$Z60,model_other_auto_dist!$B:$B,AF$40)</f>
        <v>251.57142857142901</v>
      </c>
      <c r="AG60" s="289">
        <f>SUMIFS(model_other_auto_dist!$C:$C,model_other_auto_dist!$A:$A,$Z60,model_other_auto_dist!$B:$B,AG$40)</f>
        <v>186.642857142857</v>
      </c>
      <c r="AH60" s="289">
        <f>SUMIFS(model_other_auto_dist!$C:$C,model_other_auto_dist!$A:$A,$Z60,model_other_auto_dist!$B:$B,AH$40)</f>
        <v>1.5</v>
      </c>
      <c r="AI60" s="289">
        <f>SUMIFS(model_other_auto_dist!$C:$C,model_other_auto_dist!$A:$A,$Z60,model_other_auto_dist!$B:$B,AI$40)</f>
        <v>65.642857142857096</v>
      </c>
      <c r="AJ60" s="289">
        <f>SUMIFS(model_other_auto_dist!$C:$C,model_other_auto_dist!$A:$A,$Z60,model_other_auto_dist!$B:$B,AJ$40)</f>
        <v>119.071428571429</v>
      </c>
      <c r="AK60" s="289">
        <f>SUMIFS(model_other_auto_dist!$C:$C,model_other_auto_dist!$A:$A,$Z60,model_other_auto_dist!$B:$B,AK$40)</f>
        <v>25.5</v>
      </c>
      <c r="AL60" s="289">
        <f>SUMIFS(model_other_auto_dist!$C:$C,model_other_auto_dist!$A:$A,$Z60,model_other_auto_dist!$B:$B,AL$40)</f>
        <v>3337.7857142857101</v>
      </c>
      <c r="AM60" s="289">
        <f>SUMIFS(model_other_auto_dist!$C:$C,model_other_auto_dist!$A:$A,$Z60,model_other_auto_dist!$B:$B,AM$40)</f>
        <v>458.5</v>
      </c>
      <c r="AN60" s="289">
        <f>SUMIFS(model_other_auto_dist!$C:$C,model_other_auto_dist!$A:$A,$Z60,model_other_auto_dist!$B:$B,AN$40)</f>
        <v>1</v>
      </c>
      <c r="AO60" s="289">
        <f>SUMIFS(model_other_auto_dist!$C:$C,model_other_auto_dist!$A:$A,$Z60,model_other_auto_dist!$B:$B,AO$40)</f>
        <v>23.428571428571399</v>
      </c>
      <c r="AP60" s="289">
        <f>SUMIFS(model_other_auto_dist!$C:$C,model_other_auto_dist!$A:$A,$Z60,model_other_auto_dist!$B:$B,AP$40)</f>
        <v>267.92857142857099</v>
      </c>
      <c r="AQ60" s="289">
        <f>SUMIFS(model_other_auto_dist!$C:$C,model_other_auto_dist!$A:$A,$Z60,model_other_auto_dist!$B:$B,AQ$40)</f>
        <v>0.5</v>
      </c>
      <c r="AR60" s="289">
        <f>SUMIFS(model_other_auto_dist!$C:$C,model_other_auto_dist!$A:$A,$Z60,model_other_auto_dist!$B:$B,AR$40)</f>
        <v>9251.3571428571395</v>
      </c>
      <c r="AS60" s="289">
        <f>SUMIFS(model_other_auto_dist!$C:$C,model_other_auto_dist!$A:$A,$Z60,model_other_auto_dist!$B:$B,AS$40)</f>
        <v>0.57142857142857095</v>
      </c>
      <c r="AT60" s="289">
        <f>SUMIFS(model_other_auto_dist!$C:$C,model_other_auto_dist!$A:$A,$Z60,model_other_auto_dist!$B:$B,AT$40)</f>
        <v>69854</v>
      </c>
      <c r="AU60" s="289">
        <f>SUMIFS(model_other_auto_dist!$C:$C,model_other_auto_dist!$A:$A,$Z60,model_other_auto_dist!$B:$B,AU$40)</f>
        <v>0</v>
      </c>
      <c r="AV60" s="12">
        <f si="32" t="shared"/>
        <v>84309.07142857142</v>
      </c>
      <c r="AW60" s="346"/>
      <c r="AY60">
        <v>20</v>
      </c>
      <c r="AZ60" s="289">
        <f si="33" t="shared"/>
        <v>199.142857142857</v>
      </c>
      <c r="BA60" s="289">
        <f si="34" t="shared"/>
        <v>46.428571428571402</v>
      </c>
      <c r="BB60" s="289">
        <f si="35" t="shared"/>
        <v>81.285714285714306</v>
      </c>
      <c r="BC60" s="289">
        <f si="36" t="shared"/>
        <v>58.928571428571402</v>
      </c>
      <c r="BD60" s="289">
        <f si="37" t="shared"/>
        <v>78.285714285714306</v>
      </c>
      <c r="BE60" s="289">
        <f si="38" t="shared"/>
        <v>251.57142857142901</v>
      </c>
      <c r="BF60" s="289">
        <f si="39" t="shared"/>
        <v>186.642857142857</v>
      </c>
      <c r="BG60" s="289">
        <f si="40" t="shared"/>
        <v>1.5</v>
      </c>
      <c r="BH60" s="289">
        <f si="41" t="shared"/>
        <v>65.642857142857096</v>
      </c>
      <c r="BI60" s="289">
        <f si="42" t="shared"/>
        <v>119.071428571429</v>
      </c>
      <c r="BJ60" s="289">
        <f si="43" t="shared"/>
        <v>25.5</v>
      </c>
      <c r="BK60" s="289">
        <f si="44" t="shared"/>
        <v>3337.7857142857101</v>
      </c>
      <c r="BL60" s="289">
        <f si="45" t="shared"/>
        <v>458.5</v>
      </c>
      <c r="BM60" s="289">
        <f si="46" t="shared"/>
        <v>1</v>
      </c>
      <c r="BN60" s="289">
        <f si="47" t="shared"/>
        <v>23.428571428571399</v>
      </c>
      <c r="BO60" s="289">
        <f si="48" t="shared"/>
        <v>267.92857142857099</v>
      </c>
      <c r="BP60" s="289">
        <f si="49" t="shared"/>
        <v>0.5</v>
      </c>
      <c r="BQ60" s="289">
        <f si="50" t="shared"/>
        <v>9251.3571428571395</v>
      </c>
      <c r="BR60" s="289">
        <f si="51" t="shared"/>
        <v>0.57142857142857095</v>
      </c>
      <c r="BS60" s="289">
        <f si="52" t="shared"/>
        <v>69854</v>
      </c>
      <c r="BT60" s="289">
        <f si="53" t="shared"/>
        <v>0</v>
      </c>
      <c r="BU60" s="289">
        <f si="54" t="shared"/>
        <v>84309.07142857142</v>
      </c>
      <c r="BW60">
        <v>20</v>
      </c>
      <c r="BX60" s="289">
        <f si="55" t="shared"/>
        <v>199.142857142857</v>
      </c>
      <c r="BY60" s="289">
        <f si="56" t="shared"/>
        <v>46.428571428571402</v>
      </c>
      <c r="BZ60" s="289">
        <f si="57" t="shared"/>
        <v>81.285714285714306</v>
      </c>
      <c r="CA60" s="289">
        <f si="58" t="shared"/>
        <v>58.928571428571402</v>
      </c>
      <c r="CB60" s="289">
        <f si="59" t="shared"/>
        <v>78.285714285714306</v>
      </c>
      <c r="CC60" s="289">
        <f si="60" t="shared"/>
        <v>251.57142857142901</v>
      </c>
      <c r="CD60" s="289">
        <f si="61" t="shared"/>
        <v>186.642857142857</v>
      </c>
      <c r="CE60" s="289">
        <f si="62" t="shared"/>
        <v>1.5</v>
      </c>
      <c r="CF60" s="289">
        <f si="63" t="shared"/>
        <v>65.642857142857096</v>
      </c>
      <c r="CG60" s="289">
        <f si="64" t="shared"/>
        <v>119.071428571429</v>
      </c>
      <c r="CH60" s="289">
        <f si="65" t="shared"/>
        <v>25.5</v>
      </c>
      <c r="CI60" s="289">
        <f si="66" t="shared"/>
        <v>3337.7857142857101</v>
      </c>
      <c r="CJ60" s="289">
        <f si="67" t="shared"/>
        <v>458.5</v>
      </c>
      <c r="CK60" s="289">
        <f si="68" t="shared"/>
        <v>1</v>
      </c>
      <c r="CL60" s="289">
        <f si="69" t="shared"/>
        <v>23.428571428571399</v>
      </c>
      <c r="CM60" s="289">
        <f si="70" t="shared"/>
        <v>267.92857142857099</v>
      </c>
      <c r="CN60" s="289">
        <f si="71" t="shared"/>
        <v>0.5</v>
      </c>
      <c r="CO60" s="289">
        <f si="72" t="shared"/>
        <v>647.14868194013252</v>
      </c>
      <c r="CP60" s="289">
        <f si="73" t="shared"/>
        <v>0.57142857142857095</v>
      </c>
      <c r="CQ60" s="289">
        <f si="74" t="shared"/>
        <v>-2276.4220145182771</v>
      </c>
      <c r="CR60" s="289">
        <f si="75" t="shared"/>
        <v>0</v>
      </c>
      <c r="CS60" s="289">
        <f si="76" t="shared"/>
        <v>3574.4409531361307</v>
      </c>
      <c r="CU60">
        <v>59</v>
      </c>
      <c r="CV60">
        <f si="17" t="shared"/>
        <v>3</v>
      </c>
      <c r="CW60">
        <f si="2" t="shared"/>
        <v>19</v>
      </c>
      <c r="CX60" s="355" t="str">
        <f si="3" t="shared"/>
        <v>3_19</v>
      </c>
      <c r="CY60" s="246">
        <f si="0" t="shared"/>
        <v>778.34609196252393</v>
      </c>
      <c r="CZ60" s="246">
        <f si="1" t="shared"/>
        <v>2003.8571428571399</v>
      </c>
      <c r="DA60" s="246">
        <f si="4" t="shared"/>
        <v>775.82795263356934</v>
      </c>
      <c r="DB60" s="246">
        <f si="5" t="shared"/>
        <v>1962.5714285714248</v>
      </c>
      <c r="DC60" s="301">
        <f si="6" t="shared"/>
        <v>1186.7434759378555</v>
      </c>
      <c r="DD60" s="302">
        <f si="7" t="shared"/>
        <v>1.524698958718476</v>
      </c>
      <c r="DE60" s="357">
        <f si="8" t="shared"/>
        <v>0.39531195723067375</v>
      </c>
      <c r="DF60">
        <v>295000</v>
      </c>
    </row>
    <row r="61" spans="2:110" x14ac:dyDescent="0.25">
      <c r="B61" s="291" t="s">
        <v>13</v>
      </c>
      <c r="C61" s="289"/>
      <c r="D61" s="289"/>
      <c r="E61" s="289"/>
      <c r="F61" s="289"/>
      <c r="G61" s="289"/>
      <c r="H61" s="289"/>
      <c r="I61" s="289"/>
      <c r="J61" s="289"/>
      <c r="K61" s="289"/>
      <c r="L61" s="289"/>
      <c r="M61" s="289"/>
      <c r="N61" s="289"/>
      <c r="O61" s="289"/>
      <c r="P61" s="289"/>
      <c r="Q61" s="289"/>
      <c r="R61" s="289"/>
      <c r="S61" s="289"/>
      <c r="T61" s="289"/>
      <c r="U61" s="289"/>
      <c r="V61" s="289"/>
      <c r="W61" s="289"/>
      <c r="X61" s="289">
        <f si="31" t="shared"/>
        <v>0</v>
      </c>
      <c r="Z61" s="291" t="s">
        <v>13</v>
      </c>
      <c r="AA61" s="289">
        <f>SUMIFS(model_other_auto_dist!$C:$C,model_other_auto_dist!$A:$A,$Z61,model_other_auto_dist!$B:$B,AA$40)</f>
        <v>0</v>
      </c>
      <c r="AB61" s="289">
        <f>SUMIFS(model_other_auto_dist!$C:$C,model_other_auto_dist!$A:$A,$Z61,model_other_auto_dist!$B:$B,AB$40)</f>
        <v>0</v>
      </c>
      <c r="AC61" s="289">
        <f>SUMIFS(model_other_auto_dist!$C:$C,model_other_auto_dist!$A:$A,$Z61,model_other_auto_dist!$B:$B,AC$40)</f>
        <v>0</v>
      </c>
      <c r="AD61" s="289">
        <f>SUMIFS(model_other_auto_dist!$C:$C,model_other_auto_dist!$A:$A,$Z61,model_other_auto_dist!$B:$B,AD$40)</f>
        <v>0</v>
      </c>
      <c r="AE61" s="289">
        <f>SUMIFS(model_other_auto_dist!$C:$C,model_other_auto_dist!$A:$A,$Z61,model_other_auto_dist!$B:$B,AE$40)</f>
        <v>0</v>
      </c>
      <c r="AF61" s="289">
        <f>SUMIFS(model_other_auto_dist!$C:$C,model_other_auto_dist!$A:$A,$Z61,model_other_auto_dist!$B:$B,AF$40)</f>
        <v>0</v>
      </c>
      <c r="AG61" s="289">
        <f>SUMIFS(model_other_auto_dist!$C:$C,model_other_auto_dist!$A:$A,$Z61,model_other_auto_dist!$B:$B,AG$40)</f>
        <v>0</v>
      </c>
      <c r="AH61" s="289">
        <f>SUMIFS(model_other_auto_dist!$C:$C,model_other_auto_dist!$A:$A,$Z61,model_other_auto_dist!$B:$B,AH$40)</f>
        <v>0</v>
      </c>
      <c r="AI61" s="289">
        <f>SUMIFS(model_other_auto_dist!$C:$C,model_other_auto_dist!$A:$A,$Z61,model_other_auto_dist!$B:$B,AI$40)</f>
        <v>0</v>
      </c>
      <c r="AJ61" s="289">
        <f>SUMIFS(model_other_auto_dist!$C:$C,model_other_auto_dist!$A:$A,$Z61,model_other_auto_dist!$B:$B,AJ$40)</f>
        <v>0</v>
      </c>
      <c r="AK61" s="289">
        <f>SUMIFS(model_other_auto_dist!$C:$C,model_other_auto_dist!$A:$A,$Z61,model_other_auto_dist!$B:$B,AK$40)</f>
        <v>0</v>
      </c>
      <c r="AL61" s="289">
        <f>SUMIFS(model_other_auto_dist!$C:$C,model_other_auto_dist!$A:$A,$Z61,model_other_auto_dist!$B:$B,AL$40)</f>
        <v>0</v>
      </c>
      <c r="AM61" s="289">
        <f>SUMIFS(model_other_auto_dist!$C:$C,model_other_auto_dist!$A:$A,$Z61,model_other_auto_dist!$B:$B,AM$40)</f>
        <v>0</v>
      </c>
      <c r="AN61" s="289">
        <f>SUMIFS(model_other_auto_dist!$C:$C,model_other_auto_dist!$A:$A,$Z61,model_other_auto_dist!$B:$B,AN$40)</f>
        <v>0</v>
      </c>
      <c r="AO61" s="289">
        <f>SUMIFS(model_other_auto_dist!$C:$C,model_other_auto_dist!$A:$A,$Z61,model_other_auto_dist!$B:$B,AO$40)</f>
        <v>0</v>
      </c>
      <c r="AP61" s="289">
        <f>SUMIFS(model_other_auto_dist!$C:$C,model_other_auto_dist!$A:$A,$Z61,model_other_auto_dist!$B:$B,AP$40)</f>
        <v>0</v>
      </c>
      <c r="AQ61" s="289">
        <f>SUMIFS(model_other_auto_dist!$C:$C,model_other_auto_dist!$A:$A,$Z61,model_other_auto_dist!$B:$B,AQ$40)</f>
        <v>0</v>
      </c>
      <c r="AR61" s="289">
        <f>SUMIFS(model_other_auto_dist!$C:$C,model_other_auto_dist!$A:$A,$Z61,model_other_auto_dist!$B:$B,AR$40)</f>
        <v>0</v>
      </c>
      <c r="AS61" s="289">
        <f>SUMIFS(model_other_auto_dist!$C:$C,model_other_auto_dist!$A:$A,$Z61,model_other_auto_dist!$B:$B,AS$40)</f>
        <v>0</v>
      </c>
      <c r="AT61" s="289">
        <f>SUMIFS(model_other_auto_dist!$C:$C,model_other_auto_dist!$A:$A,$Z61,model_other_auto_dist!$B:$B,AT$40)</f>
        <v>0</v>
      </c>
      <c r="AU61" s="289">
        <f>SUMIFS(model_other_auto_dist!$C:$C,model_other_auto_dist!$A:$A,$Z61,model_other_auto_dist!$B:$B,AU$40)</f>
        <v>0</v>
      </c>
      <c r="AV61" s="13">
        <f>SUM(AA61:AU61)</f>
        <v>0</v>
      </c>
      <c r="AY61" s="291" t="s">
        <v>13</v>
      </c>
      <c r="AZ61" s="289">
        <f si="33" t="shared"/>
        <v>0</v>
      </c>
      <c r="BA61" s="289">
        <f si="34" t="shared"/>
        <v>0</v>
      </c>
      <c r="BB61" s="289">
        <f si="35" t="shared"/>
        <v>0</v>
      </c>
      <c r="BC61" s="289">
        <f si="36" t="shared"/>
        <v>0</v>
      </c>
      <c r="BD61" s="289">
        <f si="37" t="shared"/>
        <v>0</v>
      </c>
      <c r="BE61" s="289">
        <f si="38" t="shared"/>
        <v>0</v>
      </c>
      <c r="BF61" s="289">
        <f si="39" t="shared"/>
        <v>0</v>
      </c>
      <c r="BG61" s="289">
        <f si="40" t="shared"/>
        <v>0</v>
      </c>
      <c r="BH61" s="289">
        <f si="41" t="shared"/>
        <v>0</v>
      </c>
      <c r="BI61" s="289">
        <f si="42" t="shared"/>
        <v>0</v>
      </c>
      <c r="BJ61" s="289">
        <f si="43" t="shared"/>
        <v>0</v>
      </c>
      <c r="BK61" s="289">
        <f si="44" t="shared"/>
        <v>0</v>
      </c>
      <c r="BL61" s="289">
        <f si="45" t="shared"/>
        <v>0</v>
      </c>
      <c r="BM61" s="289">
        <f si="46" t="shared"/>
        <v>0</v>
      </c>
      <c r="BN61" s="289">
        <f si="47" t="shared"/>
        <v>0</v>
      </c>
      <c r="BO61" s="289">
        <f si="48" t="shared"/>
        <v>0</v>
      </c>
      <c r="BP61" s="289">
        <f si="49" t="shared"/>
        <v>0</v>
      </c>
      <c r="BQ61" s="289">
        <f si="50" t="shared"/>
        <v>0</v>
      </c>
      <c r="BR61" s="289">
        <f si="51" t="shared"/>
        <v>0</v>
      </c>
      <c r="BS61" s="289">
        <f si="52" t="shared"/>
        <v>0</v>
      </c>
      <c r="BT61" s="289">
        <f si="53" t="shared"/>
        <v>0</v>
      </c>
      <c r="BU61" s="289">
        <f si="54" t="shared"/>
        <v>0</v>
      </c>
      <c r="BW61" s="291" t="s">
        <v>13</v>
      </c>
      <c r="BX61" s="289">
        <f ref="BX61:CA61" si="77" t="shared">ABS(AZ61-C61)</f>
        <v>0</v>
      </c>
      <c r="BY61" s="289">
        <f si="77" t="shared"/>
        <v>0</v>
      </c>
      <c r="BZ61" s="289">
        <f si="77" t="shared"/>
        <v>0</v>
      </c>
      <c r="CA61" s="289">
        <f si="77" t="shared"/>
        <v>0</v>
      </c>
      <c r="CB61" s="289">
        <f ref="CB61:CQ61" si="78" t="shared">ABS(BD61-G61)</f>
        <v>0</v>
      </c>
      <c r="CC61" s="289">
        <f si="78" t="shared"/>
        <v>0</v>
      </c>
      <c r="CD61" s="289">
        <f si="78" t="shared"/>
        <v>0</v>
      </c>
      <c r="CE61" s="289">
        <f si="78" t="shared"/>
        <v>0</v>
      </c>
      <c r="CF61" s="289">
        <f si="78" t="shared"/>
        <v>0</v>
      </c>
      <c r="CG61" s="289">
        <f si="78" t="shared"/>
        <v>0</v>
      </c>
      <c r="CH61" s="289">
        <f si="78" t="shared"/>
        <v>0</v>
      </c>
      <c r="CI61" s="289">
        <f si="78" t="shared"/>
        <v>0</v>
      </c>
      <c r="CJ61" s="289">
        <f si="78" t="shared"/>
        <v>0</v>
      </c>
      <c r="CK61" s="289">
        <f si="78" t="shared"/>
        <v>0</v>
      </c>
      <c r="CL61" s="289">
        <f si="78" t="shared"/>
        <v>0</v>
      </c>
      <c r="CM61" s="289">
        <f si="78" t="shared"/>
        <v>0</v>
      </c>
      <c r="CN61" s="289">
        <f si="78" t="shared"/>
        <v>0</v>
      </c>
      <c r="CO61" s="289">
        <f si="78" t="shared"/>
        <v>0</v>
      </c>
      <c r="CP61" s="289">
        <f si="78" t="shared"/>
        <v>0</v>
      </c>
      <c r="CQ61" s="289">
        <f si="78" t="shared"/>
        <v>0</v>
      </c>
      <c r="CR61" s="289">
        <f ref="CR61:CS62" si="79" t="shared">ABS(BT61-W61)</f>
        <v>0</v>
      </c>
      <c r="CS61" s="13">
        <f si="79" t="shared"/>
        <v>0</v>
      </c>
      <c r="CU61">
        <v>60</v>
      </c>
      <c r="CV61">
        <f si="17" t="shared"/>
        <v>3</v>
      </c>
      <c r="CW61">
        <f si="2" t="shared"/>
        <v>20</v>
      </c>
      <c r="CX61" s="355" t="str">
        <f si="3" t="shared"/>
        <v>3_20</v>
      </c>
      <c r="CY61" s="246">
        <f si="0" t="shared"/>
        <v>0</v>
      </c>
      <c r="CZ61" s="246">
        <f si="1" t="shared"/>
        <v>99.785714285714306</v>
      </c>
      <c r="DA61" s="246">
        <f si="4" t="shared"/>
        <v>0</v>
      </c>
      <c r="DB61" s="246">
        <f si="5" t="shared"/>
        <v>90.535714285714306</v>
      </c>
      <c r="DC61" s="301">
        <f si="6" t="shared"/>
        <v>90.535714285714306</v>
      </c>
      <c r="DD61" s="302">
        <f si="7" t="shared"/>
        <v>0</v>
      </c>
      <c r="DE61" s="357">
        <f si="8" t="shared"/>
        <v>0</v>
      </c>
      <c r="DF61">
        <v>300000</v>
      </c>
    </row>
    <row ht="15.75" r="62" spans="2:110" thickBot="1" x14ac:dyDescent="0.3">
      <c r="B62" s="1" t="s">
        <v>4</v>
      </c>
      <c r="C62" s="292">
        <f>SUM(C41:C61)</f>
        <v>88673.679172823817</v>
      </c>
      <c r="D62" s="292">
        <f ref="D62:W62" si="80" t="shared">SUM(D41:D61)</f>
        <v>41520.875202031151</v>
      </c>
      <c r="E62" s="292">
        <f si="80" t="shared"/>
        <v>132894.32106733543</v>
      </c>
      <c r="F62" s="292">
        <f si="80" t="shared"/>
        <v>51691.440536574977</v>
      </c>
      <c r="G62" s="292">
        <f si="80" t="shared"/>
        <v>51863.577612949193</v>
      </c>
      <c r="H62" s="292">
        <f si="80" t="shared"/>
        <v>111950.10843897084</v>
      </c>
      <c r="I62" s="292">
        <f si="80" t="shared"/>
        <v>261565.79423832186</v>
      </c>
      <c r="J62" s="292">
        <f si="80" t="shared"/>
        <v>10176.983034082925</v>
      </c>
      <c r="K62" s="292">
        <f si="80" t="shared"/>
        <v>204975.19730590936</v>
      </c>
      <c r="L62" s="292">
        <f si="80" t="shared"/>
        <v>85564.78451915906</v>
      </c>
      <c r="M62" s="292">
        <f si="80" t="shared"/>
        <v>195653.34237299277</v>
      </c>
      <c r="N62" s="292">
        <f si="80" t="shared"/>
        <v>412745.00721886341</v>
      </c>
      <c r="O62" s="292">
        <f si="80" t="shared"/>
        <v>326531.09516496427</v>
      </c>
      <c r="P62" s="292">
        <f si="80" t="shared"/>
        <v>65329.697818623303</v>
      </c>
      <c r="Q62" s="292">
        <f si="80" t="shared"/>
        <v>100181.91874650751</v>
      </c>
      <c r="R62" s="292">
        <f si="80" t="shared"/>
        <v>37733.744294275581</v>
      </c>
      <c r="S62" s="292">
        <f si="80" t="shared"/>
        <v>48530.48423436335</v>
      </c>
      <c r="T62" s="292">
        <f si="80" t="shared"/>
        <v>101653.06714116494</v>
      </c>
      <c r="U62" s="292">
        <f si="80" t="shared"/>
        <v>114480.58614077448</v>
      </c>
      <c r="V62" s="292">
        <f si="80" t="shared"/>
        <v>93049.406560606105</v>
      </c>
      <c r="W62" s="292">
        <f si="80" t="shared"/>
        <v>0</v>
      </c>
      <c r="X62" s="292">
        <f si="31" t="shared"/>
        <v>2536765.1108212946</v>
      </c>
      <c r="Z62" s="1" t="s">
        <v>4</v>
      </c>
      <c r="AA62" s="293">
        <f>SUM(AA41:AA61)</f>
        <v>91069.071428571435</v>
      </c>
      <c r="AB62" s="293">
        <f ref="AB62:AV62" si="81" t="shared">SUM(AB41:AB61)</f>
        <v>44190.857142857145</v>
      </c>
      <c r="AC62" s="293">
        <f si="81" t="shared"/>
        <v>104383.50000000004</v>
      </c>
      <c r="AD62" s="293">
        <f si="81" t="shared"/>
        <v>41475.642857142833</v>
      </c>
      <c r="AE62" s="293">
        <f si="81" t="shared"/>
        <v>39763.285714285739</v>
      </c>
      <c r="AF62" s="293">
        <f si="81" t="shared"/>
        <v>103026.28571428565</v>
      </c>
      <c r="AG62" s="293">
        <f si="81" t="shared"/>
        <v>221294.99999999988</v>
      </c>
      <c r="AH62" s="293">
        <f si="81" t="shared"/>
        <v>8812.1428571428623</v>
      </c>
      <c r="AI62" s="293">
        <f si="81" t="shared"/>
        <v>175249.00000000041</v>
      </c>
      <c r="AJ62" s="293">
        <f si="81" t="shared"/>
        <v>70553.214285714319</v>
      </c>
      <c r="AK62" s="293">
        <f si="81" t="shared"/>
        <v>173148.78571428612</v>
      </c>
      <c r="AL62" s="293">
        <f si="81" t="shared"/>
        <v>368661.00000000023</v>
      </c>
      <c r="AM62" s="293">
        <f si="81" t="shared"/>
        <v>270363.42857142893</v>
      </c>
      <c r="AN62" s="293">
        <f si="81" t="shared"/>
        <v>58049.428571428536</v>
      </c>
      <c r="AO62" s="293">
        <f si="81" t="shared"/>
        <v>85258.071428571391</v>
      </c>
      <c r="AP62" s="293">
        <f si="81" t="shared"/>
        <v>29591.285714285728</v>
      </c>
      <c r="AQ62" s="293">
        <f si="81" t="shared"/>
        <v>43290.571428571471</v>
      </c>
      <c r="AR62" s="293">
        <f si="81" t="shared"/>
        <v>89477.357142857087</v>
      </c>
      <c r="AS62" s="293">
        <f si="81" t="shared"/>
        <v>104681.57142857142</v>
      </c>
      <c r="AT62" s="293">
        <f si="81" t="shared"/>
        <v>84781.71428571429</v>
      </c>
      <c r="AU62" s="293">
        <f si="81" t="shared"/>
        <v>0</v>
      </c>
      <c r="AV62" s="293">
        <f si="81" t="shared"/>
        <v>2207121.2142857155</v>
      </c>
      <c r="AY62" s="1" t="s">
        <v>4</v>
      </c>
      <c r="AZ62" s="293">
        <f>ABS(SUM(AZ41:AZ61))</f>
        <v>91069.071428571435</v>
      </c>
      <c r="BA62" s="293">
        <f ref="BA62:BU62" si="82" t="shared">ABS(SUM(BA41:BA61))</f>
        <v>44190.857142857145</v>
      </c>
      <c r="BB62" s="293">
        <f si="82" t="shared"/>
        <v>104383.50000000004</v>
      </c>
      <c r="BC62" s="293">
        <f si="82" t="shared"/>
        <v>41475.642857142833</v>
      </c>
      <c r="BD62" s="293">
        <f si="82" t="shared"/>
        <v>39763.285714285739</v>
      </c>
      <c r="BE62" s="293">
        <f si="82" t="shared"/>
        <v>103026.28571428565</v>
      </c>
      <c r="BF62" s="293">
        <f si="82" t="shared"/>
        <v>221294.99999999988</v>
      </c>
      <c r="BG62" s="293">
        <f si="82" t="shared"/>
        <v>8812.1428571428623</v>
      </c>
      <c r="BH62" s="293">
        <f si="82" t="shared"/>
        <v>175249.00000000041</v>
      </c>
      <c r="BI62" s="293">
        <f si="82" t="shared"/>
        <v>70553.214285714319</v>
      </c>
      <c r="BJ62" s="293">
        <f si="82" t="shared"/>
        <v>173148.78571428612</v>
      </c>
      <c r="BK62" s="293">
        <f si="82" t="shared"/>
        <v>368661.00000000023</v>
      </c>
      <c r="BL62" s="293">
        <f si="82" t="shared"/>
        <v>270363.42857142893</v>
      </c>
      <c r="BM62" s="293">
        <f si="82" t="shared"/>
        <v>58049.428571428536</v>
      </c>
      <c r="BN62" s="293">
        <f si="82" t="shared"/>
        <v>85258.071428571391</v>
      </c>
      <c r="BO62" s="293">
        <f si="82" t="shared"/>
        <v>29591.285714285728</v>
      </c>
      <c r="BP62" s="293">
        <f si="82" t="shared"/>
        <v>43290.571428571471</v>
      </c>
      <c r="BQ62" s="293">
        <f si="82" t="shared"/>
        <v>89477.357142857087</v>
      </c>
      <c r="BR62" s="293">
        <f si="82" t="shared"/>
        <v>104681.57142857142</v>
      </c>
      <c r="BS62" s="293">
        <f si="82" t="shared"/>
        <v>84781.71428571429</v>
      </c>
      <c r="BT62" s="293">
        <f si="82" t="shared"/>
        <v>0</v>
      </c>
      <c r="BU62" s="293">
        <f si="82" t="shared"/>
        <v>2207121.2142857155</v>
      </c>
      <c r="BW62" s="1" t="s">
        <v>4</v>
      </c>
      <c r="BX62" s="293">
        <f>SUM(BX41:BX60)</f>
        <v>13918.231716911543</v>
      </c>
      <c r="BY62" s="293">
        <f ref="BY62:CQ62" si="83" t="shared">SUM(BY41:BY60)</f>
        <v>8065.4767900648012</v>
      </c>
      <c r="BZ62" s="293">
        <f si="83" t="shared"/>
        <v>-11241.661365787888</v>
      </c>
      <c r="CA62" s="293">
        <f si="83" t="shared"/>
        <v>-3498.6728643179081</v>
      </c>
      <c r="CB62" s="293">
        <f si="83" t="shared"/>
        <v>-5360.798462839256</v>
      </c>
      <c r="CC62" s="293">
        <f si="83" t="shared"/>
        <v>5623.7086198526986</v>
      </c>
      <c r="CD62" s="293">
        <f si="83" t="shared"/>
        <v>-6281.2193875276816</v>
      </c>
      <c r="CE62" s="293">
        <f si="83" t="shared"/>
        <v>-42.37625309437307</v>
      </c>
      <c r="CF62" s="293">
        <f si="83" t="shared"/>
        <v>-3090.3757846986609</v>
      </c>
      <c r="CG62" s="293">
        <f si="83" t="shared"/>
        <v>-3892.7209340742679</v>
      </c>
      <c r="CH62" s="293">
        <f si="83" t="shared"/>
        <v>2919.9218927040529</v>
      </c>
      <c r="CI62" s="293">
        <f si="83" t="shared"/>
        <v>9550.7861149122436</v>
      </c>
      <c r="CJ62" s="293">
        <f si="83" t="shared"/>
        <v>-13736.074448466783</v>
      </c>
      <c r="CK62" s="293">
        <f si="83" t="shared"/>
        <v>1209.1001692155141</v>
      </c>
      <c r="CL62" s="293">
        <f si="83" t="shared"/>
        <v>-1905.5517267776361</v>
      </c>
      <c r="CM62" s="293">
        <f si="83" t="shared"/>
        <v>-3239.0883597903744</v>
      </c>
      <c r="CN62" s="293">
        <f si="83" t="shared"/>
        <v>1066.4566154568381</v>
      </c>
      <c r="CO62" s="293">
        <f si="83" t="shared"/>
        <v>1033.7562641627737</v>
      </c>
      <c r="CP62" s="293">
        <f si="83" t="shared"/>
        <v>5077.3435017050697</v>
      </c>
      <c r="CQ62" s="293">
        <f si="83" t="shared"/>
        <v>3823.7579023896196</v>
      </c>
      <c r="CR62" s="293">
        <f si="79" t="shared"/>
        <v>0</v>
      </c>
      <c r="CS62" s="293">
        <f si="79" t="shared"/>
        <v>329643.89653557912</v>
      </c>
      <c r="CU62">
        <v>61</v>
      </c>
      <c r="CV62">
        <f si="17" t="shared"/>
        <v>4</v>
      </c>
      <c r="CW62">
        <f si="2" t="shared"/>
        <v>1</v>
      </c>
      <c r="CX62" s="355" t="str">
        <f si="3" t="shared"/>
        <v>1_4</v>
      </c>
      <c r="CY62" s="246">
        <f si="0" t="shared"/>
        <v>3146.7827641848503</v>
      </c>
      <c r="CZ62" s="246">
        <f si="1" t="shared"/>
        <v>5133.3571428571404</v>
      </c>
      <c r="DA62" s="246">
        <f si="4" t="shared"/>
        <v>3203.4879598043435</v>
      </c>
      <c r="DB62" s="246">
        <f si="5" t="shared"/>
        <v>5206.5</v>
      </c>
      <c r="DC62" s="301">
        <f si="6" t="shared"/>
        <v>2003.0120401956565</v>
      </c>
      <c r="DD62" s="302">
        <f si="7" t="shared"/>
        <v>0.63652695158781358</v>
      </c>
      <c r="DE62" s="357">
        <f si="8" t="shared"/>
        <v>0.6152862690491393</v>
      </c>
      <c r="DF62">
        <v>305000</v>
      </c>
    </row>
    <row r="63" spans="2:110" x14ac:dyDescent="0.25">
      <c r="CU63">
        <v>62</v>
      </c>
      <c r="CV63">
        <f si="17" t="shared"/>
        <v>4</v>
      </c>
      <c r="CW63">
        <f si="2" t="shared"/>
        <v>2</v>
      </c>
      <c r="CX63" s="355" t="str">
        <f si="3" t="shared"/>
        <v>2_4</v>
      </c>
      <c r="CY63" s="246">
        <f si="0" t="shared"/>
        <v>330.88144933934871</v>
      </c>
      <c r="CZ63" s="246">
        <f si="1" t="shared"/>
        <v>912.78571428571399</v>
      </c>
      <c r="DA63" s="246">
        <f si="4" t="shared"/>
        <v>342.7265684611109</v>
      </c>
      <c r="DB63" s="246">
        <f si="5" t="shared"/>
        <v>917</v>
      </c>
      <c r="DC63" s="301">
        <f si="6" t="shared"/>
        <v>574.2734315388891</v>
      </c>
      <c r="DD63" s="302">
        <f si="7" t="shared"/>
        <v>1.7355866661171446</v>
      </c>
      <c r="DE63" s="357">
        <f si="8" t="shared"/>
        <v>0.373747621004483</v>
      </c>
      <c r="DF63">
        <v>310000</v>
      </c>
    </row>
    <row r="64" spans="2:110" x14ac:dyDescent="0.25">
      <c r="CU64">
        <v>63</v>
      </c>
      <c r="CV64">
        <f si="17" t="shared"/>
        <v>4</v>
      </c>
      <c r="CW64">
        <f si="2" t="shared"/>
        <v>3</v>
      </c>
      <c r="CX64" s="355" t="str">
        <f si="3" t="shared"/>
        <v>3_4</v>
      </c>
      <c r="CY64" s="246">
        <f si="0" t="shared"/>
        <v>5752.2840371096718</v>
      </c>
      <c r="CZ64" s="246">
        <f si="1" t="shared"/>
        <v>5688</v>
      </c>
      <c r="DA64" s="246">
        <f si="4" t="shared"/>
        <v>5810.7019714754151</v>
      </c>
      <c r="DB64" s="246">
        <f si="5" t="shared"/>
        <v>5708.8214285714294</v>
      </c>
      <c r="DC64" s="301">
        <f si="6" t="shared"/>
        <v>-101.88054290398577</v>
      </c>
      <c r="DD64" s="302">
        <f si="7" t="shared"/>
        <v>-1.7711319929044619E-2</v>
      </c>
      <c r="DE64" s="357">
        <f si="8" t="shared"/>
        <v>1.0178461603990792</v>
      </c>
      <c r="DF64">
        <v>315000</v>
      </c>
    </row>
    <row ht="15.75" r="65" spans="2:110" thickBot="1" x14ac:dyDescent="0.3">
      <c r="B65" s="345" t="s">
        <v>330</v>
      </c>
      <c r="W65" s="6"/>
      <c r="X65" s="6"/>
      <c r="Z65" s="4" t="s">
        <v>286</v>
      </c>
      <c r="AA65" s="1"/>
      <c r="AB65" s="1"/>
      <c r="AC65" s="1"/>
      <c r="AD65" s="1"/>
      <c r="AE65" s="1"/>
      <c r="AF65" s="1"/>
      <c r="AG65" s="1"/>
      <c r="AH65" s="1"/>
      <c r="AI65" s="1"/>
      <c r="CU65">
        <v>64</v>
      </c>
      <c r="CV65">
        <f si="17" t="shared"/>
        <v>4</v>
      </c>
      <c r="CW65">
        <f si="2" t="shared"/>
        <v>4</v>
      </c>
      <c r="CX65" s="355" t="str">
        <f si="3" t="shared"/>
        <v>4_4</v>
      </c>
      <c r="CY65" s="246">
        <f si="0" t="shared"/>
        <v>19109.753808559275</v>
      </c>
      <c r="CZ65" s="246">
        <f si="1" t="shared"/>
        <v>10915.357142857099</v>
      </c>
      <c r="DA65" s="246">
        <f si="4" t="shared"/>
        <v>19109.753808559275</v>
      </c>
      <c r="DB65" s="246">
        <f si="5" t="shared"/>
        <v>10915.357142857099</v>
      </c>
      <c r="DC65" s="301">
        <f si="6" t="shared"/>
        <v>-8194.3966657021756</v>
      </c>
      <c r="DD65" s="302">
        <f si="7" t="shared"/>
        <v>-0.42880702429729356</v>
      </c>
      <c r="DE65" s="357">
        <f si="8" t="shared"/>
        <v>1.7507218095071224</v>
      </c>
      <c r="DF65">
        <v>320000</v>
      </c>
    </row>
    <row ht="15.75" r="66" spans="2:110" thickBot="1" x14ac:dyDescent="0.3">
      <c r="B66" s="2" t="s">
        <v>12</v>
      </c>
      <c r="C66" s="2">
        <v>1</v>
      </c>
      <c r="D66" s="2">
        <v>2</v>
      </c>
      <c r="E66" s="2">
        <v>3</v>
      </c>
      <c r="F66" s="2">
        <v>4</v>
      </c>
      <c r="G66" s="2">
        <v>5</v>
      </c>
      <c r="H66" s="2">
        <v>6</v>
      </c>
      <c r="I66" s="2">
        <v>7</v>
      </c>
      <c r="J66" s="2">
        <v>8</v>
      </c>
      <c r="K66" s="2">
        <v>9</v>
      </c>
      <c r="L66" s="2">
        <v>10</v>
      </c>
      <c r="M66" s="2">
        <v>11</v>
      </c>
      <c r="N66" s="2">
        <v>12</v>
      </c>
      <c r="O66" s="2">
        <v>13</v>
      </c>
      <c r="P66" s="2">
        <v>14</v>
      </c>
      <c r="Q66" s="2">
        <v>15</v>
      </c>
      <c r="R66" s="2">
        <v>16</v>
      </c>
      <c r="S66" s="2">
        <v>17</v>
      </c>
      <c r="T66" s="2">
        <v>18</v>
      </c>
      <c r="U66" s="2">
        <v>19</v>
      </c>
      <c r="V66" s="2">
        <v>20</v>
      </c>
      <c r="W66" s="3" t="s">
        <v>13</v>
      </c>
      <c r="X66" s="3" t="s">
        <v>4</v>
      </c>
      <c r="Z66" s="2" t="s">
        <v>12</v>
      </c>
      <c r="AA66" s="2">
        <v>1</v>
      </c>
      <c r="AB66" s="2">
        <v>2</v>
      </c>
      <c r="AC66" s="2">
        <v>3</v>
      </c>
      <c r="AD66" s="2">
        <v>4</v>
      </c>
      <c r="AE66" s="2">
        <v>5</v>
      </c>
      <c r="AF66" s="2">
        <v>6</v>
      </c>
      <c r="AG66" s="2">
        <v>7</v>
      </c>
      <c r="AH66" s="2">
        <v>8</v>
      </c>
      <c r="AI66" s="2">
        <v>9</v>
      </c>
      <c r="AJ66" s="2">
        <v>10</v>
      </c>
      <c r="AK66" s="2">
        <v>11</v>
      </c>
      <c r="AL66" s="2">
        <v>12</v>
      </c>
      <c r="AM66" s="2">
        <v>13</v>
      </c>
      <c r="AN66" s="2">
        <v>14</v>
      </c>
      <c r="AO66" s="2">
        <v>15</v>
      </c>
      <c r="AP66" s="2">
        <v>16</v>
      </c>
      <c r="AQ66" s="2">
        <v>17</v>
      </c>
      <c r="AR66" s="2">
        <v>18</v>
      </c>
      <c r="AS66" s="2">
        <v>19</v>
      </c>
      <c r="AT66" s="2">
        <v>20</v>
      </c>
      <c r="AU66" s="3" t="s">
        <v>13</v>
      </c>
      <c r="AV66" s="3" t="s">
        <v>4</v>
      </c>
      <c r="AY66" s="9" t="s">
        <v>327</v>
      </c>
      <c r="CU66">
        <v>65</v>
      </c>
      <c r="CV66">
        <f si="17" t="shared"/>
        <v>4</v>
      </c>
      <c r="CW66">
        <f si="2" t="shared"/>
        <v>5</v>
      </c>
      <c r="CX66" s="355" t="str">
        <f si="3" t="shared"/>
        <v>4_5</v>
      </c>
      <c r="CY66" s="246">
        <f ref="CY66:CY129" si="84" t="shared">VLOOKUP($CV66,$B$67:$V$86,MATCH($CW66,$B$66:$V$66,0),0)</f>
        <v>5085.1631451837729</v>
      </c>
      <c r="CZ66" s="246">
        <f ref="CZ66:CZ129" si="85" t="shared">VLOOKUP($CV66,$Z$41:$AT$60,MATCH($CW66,$Z$40:$AT$40,0),0)</f>
        <v>3314.8571428571399</v>
      </c>
      <c r="DA66" s="246">
        <f si="4" t="shared"/>
        <v>5131.6380253711695</v>
      </c>
      <c r="DB66" s="246">
        <f si="5" t="shared"/>
        <v>3331.3214285714248</v>
      </c>
      <c r="DC66" s="301">
        <f si="6" t="shared"/>
        <v>-1800.3165967997447</v>
      </c>
      <c r="DD66" s="302">
        <f si="7" t="shared"/>
        <v>-0.35403320314410147</v>
      </c>
      <c r="DE66" s="357">
        <f si="8" t="shared"/>
        <v>1.5404211618125896</v>
      </c>
      <c r="DF66">
        <v>325000</v>
      </c>
    </row>
    <row r="67" spans="2:110" x14ac:dyDescent="0.25">
      <c r="B67" s="202">
        <v>1</v>
      </c>
      <c r="C67" s="289">
        <f ref="C67:V67" si="86" t="shared">C41*$AV$62/$X$62</f>
        <v>41542.024792183634</v>
      </c>
      <c r="D67" s="289">
        <f si="86" t="shared"/>
        <v>188.82318279856278</v>
      </c>
      <c r="E67" s="289">
        <f si="86" t="shared"/>
        <v>8248.4325047068451</v>
      </c>
      <c r="F67" s="289">
        <f si="86" t="shared"/>
        <v>3260.1931554238372</v>
      </c>
      <c r="G67" s="289">
        <f si="86" t="shared"/>
        <v>3301.817519325868</v>
      </c>
      <c r="H67" s="289">
        <f si="86" t="shared"/>
        <v>8488.9548401653683</v>
      </c>
      <c r="I67" s="289">
        <f si="86" t="shared"/>
        <v>2987.0850148988925</v>
      </c>
      <c r="J67" s="289">
        <f si="86" t="shared"/>
        <v>112.67515861702682</v>
      </c>
      <c r="K67" s="289">
        <f si="86" t="shared"/>
        <v>3487.2527694086102</v>
      </c>
      <c r="L67" s="289">
        <f si="86" t="shared"/>
        <v>1965.4941307857962</v>
      </c>
      <c r="M67" s="289">
        <f si="86" t="shared"/>
        <v>1354.3234014699869</v>
      </c>
      <c r="N67" s="289">
        <f si="86" t="shared"/>
        <v>409.19049416948081</v>
      </c>
      <c r="O67" s="289">
        <f si="86" t="shared"/>
        <v>899.04273601216403</v>
      </c>
      <c r="P67" s="289">
        <f si="86" t="shared"/>
        <v>0</v>
      </c>
      <c r="Q67" s="289">
        <f si="86" t="shared"/>
        <v>308.96358599281479</v>
      </c>
      <c r="R67" s="289">
        <f si="86" t="shared"/>
        <v>539.38976946651985</v>
      </c>
      <c r="S67" s="289">
        <f si="86" t="shared"/>
        <v>0</v>
      </c>
      <c r="T67" s="289">
        <f si="86" t="shared"/>
        <v>85.325893401380071</v>
      </c>
      <c r="U67" s="289">
        <f si="86" t="shared"/>
        <v>445.77971341874093</v>
      </c>
      <c r="V67" s="289">
        <f si="86" t="shared"/>
        <v>0</v>
      </c>
      <c r="W67" s="289"/>
      <c r="X67" s="289">
        <f>SUM(C67:W67)</f>
        <v>77624.768662245537</v>
      </c>
      <c r="Z67" s="202">
        <v>1</v>
      </c>
      <c r="AA67" s="294">
        <f ref="AA67:AV67" si="87" t="shared">IF($AV$62&gt;0,AA41/$AV$62,0)</f>
        <v>8.942255970988985E-3</v>
      </c>
      <c r="AB67" s="294">
        <f si="87" t="shared"/>
        <v>3.1485098381385415E-3</v>
      </c>
      <c r="AC67" s="294">
        <f si="87" t="shared"/>
        <v>5.9677284214146144E-3</v>
      </c>
      <c r="AD67" s="294">
        <f si="87" t="shared"/>
        <v>2.3920946538731431E-3</v>
      </c>
      <c r="AE67" s="294">
        <f si="87" t="shared"/>
        <v>2.1510566915915064E-3</v>
      </c>
      <c r="AF67" s="294">
        <f si="87" t="shared"/>
        <v>6.0807068755398897E-3</v>
      </c>
      <c r="AG67" s="294">
        <f si="87" t="shared"/>
        <v>1.9139993508674193E-3</v>
      </c>
      <c r="AH67" s="294">
        <f si="87" t="shared"/>
        <v>4.7599172250782954E-4</v>
      </c>
      <c r="AI67" s="294">
        <f si="87" t="shared"/>
        <v>2.2503780538689401E-3</v>
      </c>
      <c r="AJ67" s="294">
        <f si="87" t="shared"/>
        <v>1.6306308764128003E-3</v>
      </c>
      <c r="AK67" s="294">
        <f si="87" t="shared"/>
        <v>2.3738420477068083E-3</v>
      </c>
      <c r="AL67" s="294">
        <f si="87" t="shared"/>
        <v>3.1669566209662158E-3</v>
      </c>
      <c r="AM67" s="294">
        <f si="87" t="shared"/>
        <v>1.6514725047303853E-4</v>
      </c>
      <c r="AN67" s="294">
        <f si="87" t="shared"/>
        <v>7.4563837956081091E-4</v>
      </c>
      <c r="AO67" s="294">
        <f si="87" t="shared"/>
        <v>3.5259245422374199E-4</v>
      </c>
      <c r="AP67" s="294">
        <f si="87" t="shared"/>
        <v>4.837587889615893E-4</v>
      </c>
      <c r="AQ67" s="294">
        <f si="87" t="shared"/>
        <v>5.0356480841867062E-4</v>
      </c>
      <c r="AR67" s="294">
        <f si="87" t="shared"/>
        <v>2.171218701594388E-4</v>
      </c>
      <c r="AS67" s="294">
        <f si="87" t="shared"/>
        <v>6.1793486195026279E-4</v>
      </c>
      <c r="AT67" s="294">
        <f si="87" t="shared"/>
        <v>9.2298639692162755E-5</v>
      </c>
      <c r="AU67" s="294">
        <f si="87" t="shared"/>
        <v>0</v>
      </c>
      <c r="AV67" s="294">
        <f si="87" t="shared"/>
        <v>4.3672208177316423E-2</v>
      </c>
      <c r="AY67" s="347" t="s">
        <v>328</v>
      </c>
      <c r="AZ67" s="2">
        <v>1</v>
      </c>
      <c r="BA67" s="2">
        <v>2</v>
      </c>
      <c r="BB67" s="2">
        <v>3</v>
      </c>
      <c r="BC67" s="2">
        <v>4</v>
      </c>
      <c r="BD67" s="2">
        <v>5</v>
      </c>
      <c r="BE67" s="2">
        <v>6</v>
      </c>
      <c r="BF67" s="2">
        <v>7</v>
      </c>
      <c r="BG67" s="2">
        <v>8</v>
      </c>
      <c r="BH67" s="2">
        <v>9</v>
      </c>
      <c r="BI67" s="2">
        <v>10</v>
      </c>
      <c r="BJ67" s="2">
        <v>11</v>
      </c>
      <c r="BK67" s="2">
        <v>12</v>
      </c>
      <c r="BL67" s="2">
        <v>13</v>
      </c>
      <c r="BM67" s="2">
        <v>14</v>
      </c>
      <c r="BN67" s="2">
        <v>15</v>
      </c>
      <c r="BO67" s="2">
        <v>16</v>
      </c>
      <c r="BP67" s="2">
        <v>17</v>
      </c>
      <c r="BQ67" s="2">
        <v>18</v>
      </c>
      <c r="BR67" s="2">
        <v>19</v>
      </c>
      <c r="BS67" s="2">
        <v>20</v>
      </c>
      <c r="BT67" s="3" t="s">
        <v>13</v>
      </c>
      <c r="BU67" s="348" t="s">
        <v>4</v>
      </c>
      <c r="CU67">
        <v>66</v>
      </c>
      <c r="CV67">
        <f si="17" t="shared"/>
        <v>4</v>
      </c>
      <c r="CW67">
        <f ref="CW67:CW130" si="88" t="shared">MOD(ROW()-2,$CS$2)+1</f>
        <v>6</v>
      </c>
      <c r="CX67" s="355" t="str">
        <f ref="CX67:CX130" si="89" t="shared">IF(CV67&lt;=CW67,CONCATENATE(CV67,"_",CW67),CONCATENATE(CW67,"_",CV67))</f>
        <v>4_6</v>
      </c>
      <c r="CY67" s="246">
        <f si="84" t="shared"/>
        <v>1657.8005935166384</v>
      </c>
      <c r="CZ67" s="246">
        <f si="85" t="shared"/>
        <v>3579.2857142857101</v>
      </c>
      <c r="DA67" s="246">
        <f ref="DA67:DA130" si="90" t="shared">AVERAGEIF($CX$2:$CX$401,$CX67,$CY$2:$CY$401)</f>
        <v>1656.5423184197803</v>
      </c>
      <c r="DB67" s="246">
        <f ref="DB67:DB130" si="91" t="shared">AVERAGEIF($CX$2:$CX$401,$CX67,$CZ$2:$CZ$401)</f>
        <v>3740.25</v>
      </c>
      <c r="DC67" s="301">
        <f ref="DC67:DC130" si="92" t="shared">DB67-DA67</f>
        <v>2083.7076815802197</v>
      </c>
      <c r="DD67" s="302">
        <f ref="DD67:DD130" si="93" t="shared">IF(CY67&gt;0,DC67/CY67,0)</f>
        <v>1.2569109274838166</v>
      </c>
      <c r="DE67" s="357">
        <f ref="DE67:DE130" si="94" t="shared">DA67/DB67</f>
        <v>0.44289614823067447</v>
      </c>
    </row>
    <row r="68" spans="2:110" x14ac:dyDescent="0.25">
      <c r="B68">
        <v>2</v>
      </c>
      <c r="C68" s="289">
        <f ref="C68:V68" si="95" t="shared">C42*$AV$62/$X$62</f>
        <v>274.68515097184246</v>
      </c>
      <c r="D68" s="289">
        <f si="95" t="shared"/>
        <v>21152.292348257193</v>
      </c>
      <c r="E68" s="289">
        <f si="95" t="shared"/>
        <v>3135.0392917901986</v>
      </c>
      <c r="F68" s="289">
        <f si="95" t="shared"/>
        <v>354.5716875828731</v>
      </c>
      <c r="G68" s="289">
        <f si="95" t="shared"/>
        <v>230.48961936838447</v>
      </c>
      <c r="H68" s="289">
        <f si="95" t="shared"/>
        <v>0</v>
      </c>
      <c r="I68" s="289">
        <f si="95" t="shared"/>
        <v>6020.554144397418</v>
      </c>
      <c r="J68" s="289">
        <f si="95" t="shared"/>
        <v>0</v>
      </c>
      <c r="K68" s="289">
        <f si="95" t="shared"/>
        <v>4356.4061690389563</v>
      </c>
      <c r="L68" s="289">
        <f si="95" t="shared"/>
        <v>58.216577494231707</v>
      </c>
      <c r="M68" s="289">
        <f si="95" t="shared"/>
        <v>659.39156889845583</v>
      </c>
      <c r="N68" s="289">
        <f si="95" t="shared"/>
        <v>0</v>
      </c>
      <c r="O68" s="289">
        <f si="95" t="shared"/>
        <v>36.28127881825143</v>
      </c>
      <c r="P68" s="289">
        <f si="95" t="shared"/>
        <v>0</v>
      </c>
      <c r="Q68" s="289">
        <f si="95" t="shared"/>
        <v>73.14449173539397</v>
      </c>
      <c r="R68" s="289">
        <f si="95" t="shared"/>
        <v>108.21164133402742</v>
      </c>
      <c r="S68" s="289">
        <f si="95" t="shared"/>
        <v>0</v>
      </c>
      <c r="T68" s="289">
        <f si="95" t="shared"/>
        <v>0</v>
      </c>
      <c r="U68" s="289">
        <f si="95" t="shared"/>
        <v>228.65526912727506</v>
      </c>
      <c r="V68" s="289">
        <f si="95" t="shared"/>
        <v>0</v>
      </c>
      <c r="W68" s="289"/>
      <c r="X68" s="289">
        <f ref="X68:X88" si="96" t="shared">SUM(C68:W68)</f>
        <v>36687.939238814499</v>
      </c>
      <c r="Z68">
        <v>2</v>
      </c>
      <c r="AA68" s="295">
        <f ref="AA68:AV68" si="97" t="shared">IF($AV$62&gt;0,AA42/$AV$62,0)</f>
        <v>2.9869548559003662E-3</v>
      </c>
      <c r="AB68" s="295">
        <f si="97" t="shared"/>
        <v>3.1357589040436206E-3</v>
      </c>
      <c r="AC68" s="295">
        <f si="97" t="shared"/>
        <v>1.4341888206864928E-3</v>
      </c>
      <c r="AD68" s="295">
        <f si="97" t="shared"/>
        <v>4.1738273355884355E-4</v>
      </c>
      <c r="AE68" s="295">
        <f si="97" t="shared"/>
        <v>4.2760937105629189E-4</v>
      </c>
      <c r="AF68" s="295">
        <f si="97" t="shared"/>
        <v>2.0960076081004936E-3</v>
      </c>
      <c r="AG68" s="295">
        <f si="97" t="shared"/>
        <v>2.4612862708653723E-3</v>
      </c>
      <c r="AH68" s="295">
        <f si="97" t="shared"/>
        <v>7.0162500298951176E-5</v>
      </c>
      <c r="AI68" s="295">
        <f si="97" t="shared"/>
        <v>3.3438515594505632E-3</v>
      </c>
      <c r="AJ68" s="295">
        <f si="97" t="shared"/>
        <v>3.3353077863514303E-4</v>
      </c>
      <c r="AK68" s="295">
        <f si="97" t="shared"/>
        <v>6.0728750835323557E-4</v>
      </c>
      <c r="AL68" s="295">
        <f si="97" t="shared"/>
        <v>2.9692847797180657E-3</v>
      </c>
      <c r="AM68" s="295">
        <f si="97" t="shared"/>
        <v>1.6627994766421164E-4</v>
      </c>
      <c r="AN68" s="295">
        <f si="97" t="shared"/>
        <v>1.1339917022487288E-4</v>
      </c>
      <c r="AO68" s="295">
        <f si="97" t="shared"/>
        <v>2.0938716648257082E-4</v>
      </c>
      <c r="AP68" s="295">
        <f si="97" t="shared"/>
        <v>9.589090792702583E-5</v>
      </c>
      <c r="AQ68" s="295">
        <f si="97" t="shared"/>
        <v>8.3301787716559184E-5</v>
      </c>
      <c r="AR68" s="295">
        <f si="97" t="shared"/>
        <v>8.5858447090921268E-5</v>
      </c>
      <c r="AS68" s="295">
        <f si="97" t="shared"/>
        <v>1.167972617983922E-4</v>
      </c>
      <c r="AT68" s="295">
        <f si="97" t="shared"/>
        <v>2.569604485118412E-5</v>
      </c>
      <c r="AU68" s="295">
        <f si="97" t="shared"/>
        <v>0</v>
      </c>
      <c r="AV68" s="295">
        <f si="97" t="shared"/>
        <v>2.1179916424423174E-2</v>
      </c>
      <c r="AX68" t="s">
        <v>208</v>
      </c>
      <c r="AY68" s="330" t="s">
        <v>291</v>
      </c>
      <c r="AZ68" s="332">
        <f ref="AZ68:BT68" si="98" t="shared">C62</f>
        <v>88673.679172823817</v>
      </c>
      <c r="BA68" s="332">
        <f si="98" t="shared"/>
        <v>41520.875202031151</v>
      </c>
      <c r="BB68" s="332">
        <f si="98" t="shared"/>
        <v>132894.32106733543</v>
      </c>
      <c r="BC68" s="332">
        <f si="98" t="shared"/>
        <v>51691.440536574977</v>
      </c>
      <c r="BD68" s="332">
        <f si="98" t="shared"/>
        <v>51863.577612949193</v>
      </c>
      <c r="BE68" s="332">
        <f si="98" t="shared"/>
        <v>111950.10843897084</v>
      </c>
      <c r="BF68" s="332">
        <f si="98" t="shared"/>
        <v>261565.79423832186</v>
      </c>
      <c r="BG68" s="332">
        <f si="98" t="shared"/>
        <v>10176.983034082925</v>
      </c>
      <c r="BH68" s="332">
        <f si="98" t="shared"/>
        <v>204975.19730590936</v>
      </c>
      <c r="BI68" s="332">
        <f si="98" t="shared"/>
        <v>85564.78451915906</v>
      </c>
      <c r="BJ68" s="332">
        <f si="98" t="shared"/>
        <v>195653.34237299277</v>
      </c>
      <c r="BK68" s="332">
        <f si="98" t="shared"/>
        <v>412745.00721886341</v>
      </c>
      <c r="BL68" s="332">
        <f si="98" t="shared"/>
        <v>326531.09516496427</v>
      </c>
      <c r="BM68" s="332">
        <f si="98" t="shared"/>
        <v>65329.697818623303</v>
      </c>
      <c r="BN68" s="332">
        <f si="98" t="shared"/>
        <v>100181.91874650751</v>
      </c>
      <c r="BO68" s="332">
        <f si="98" t="shared"/>
        <v>37733.744294275581</v>
      </c>
      <c r="BP68" s="332">
        <f si="98" t="shared"/>
        <v>48530.48423436335</v>
      </c>
      <c r="BQ68" s="332">
        <f si="98" t="shared"/>
        <v>101653.06714116494</v>
      </c>
      <c r="BR68" s="332">
        <f si="98" t="shared"/>
        <v>114480.58614077448</v>
      </c>
      <c r="BS68" s="332">
        <f si="98" t="shared"/>
        <v>93049.406560606105</v>
      </c>
      <c r="BT68" s="332">
        <f si="98" t="shared"/>
        <v>0</v>
      </c>
      <c r="BU68" s="349">
        <f>SUM(AZ68:BT68)</f>
        <v>2536765.1108212946</v>
      </c>
      <c r="CU68">
        <v>67</v>
      </c>
      <c r="CV68">
        <f ref="CV68:CV131" si="99" t="shared">IF(CW67&lt;$CS$2,CV67,CV67+1)</f>
        <v>4</v>
      </c>
      <c r="CW68">
        <f si="88" t="shared"/>
        <v>7</v>
      </c>
      <c r="CX68" s="355" t="str">
        <f si="89" t="shared"/>
        <v>4_7</v>
      </c>
      <c r="CY68" s="246">
        <f si="84" t="shared"/>
        <v>1890.3477680668589</v>
      </c>
      <c r="CZ68" s="246">
        <f si="85" t="shared"/>
        <v>721.28571428571399</v>
      </c>
      <c r="DA68" s="246">
        <f si="90" t="shared"/>
        <v>1879.2221665774898</v>
      </c>
      <c r="DB68" s="246">
        <f si="91" t="shared"/>
        <v>716.21428571428555</v>
      </c>
      <c r="DC68" s="301">
        <f si="92" t="shared"/>
        <v>-1163.0078808632043</v>
      </c>
      <c r="DD68" s="302">
        <f si="93" t="shared"/>
        <v>-0.61523487926908815</v>
      </c>
      <c r="DE68" s="357">
        <f si="94" t="shared"/>
        <v>2.6238267011154743</v>
      </c>
    </row>
    <row r="69" spans="2:110" x14ac:dyDescent="0.25">
      <c r="B69">
        <v>3</v>
      </c>
      <c r="C69" s="289">
        <f ref="C69:V69" si="100" t="shared">C43*$AV$62/$X$62</f>
        <v>8299.8618473478509</v>
      </c>
      <c r="D69" s="289">
        <f si="100" t="shared"/>
        <v>3221.6913248524661</v>
      </c>
      <c r="E69" s="289">
        <f si="100" t="shared"/>
        <v>63896.106215946238</v>
      </c>
      <c r="F69" s="289">
        <f si="100" t="shared"/>
        <v>5869.1199058411576</v>
      </c>
      <c r="G69" s="289">
        <f si="100" t="shared"/>
        <v>2484.2949293702754</v>
      </c>
      <c r="H69" s="289">
        <f si="100" t="shared"/>
        <v>4315.3407867855067</v>
      </c>
      <c r="I69" s="289">
        <f si="100" t="shared"/>
        <v>3069.3964998091096</v>
      </c>
      <c r="J69" s="289">
        <f si="100" t="shared"/>
        <v>1836.4753475845639</v>
      </c>
      <c r="K69" s="289">
        <f si="100" t="shared"/>
        <v>5654.5640316158369</v>
      </c>
      <c r="L69" s="289">
        <f si="100" t="shared"/>
        <v>1176.8297877276632</v>
      </c>
      <c r="M69" s="289">
        <f si="100" t="shared"/>
        <v>12151.302212223625</v>
      </c>
      <c r="N69" s="289">
        <f si="100" t="shared"/>
        <v>2131.0910924540785</v>
      </c>
      <c r="O69" s="289">
        <f si="100" t="shared"/>
        <v>673.6687886499833</v>
      </c>
      <c r="P69" s="289">
        <f si="100" t="shared"/>
        <v>0</v>
      </c>
      <c r="Q69" s="289">
        <f si="100" t="shared"/>
        <v>280.35746568354409</v>
      </c>
      <c r="R69" s="289">
        <f si="100" t="shared"/>
        <v>100.63910499049766</v>
      </c>
      <c r="S69" s="289">
        <f si="100" t="shared"/>
        <v>0</v>
      </c>
      <c r="T69" s="289">
        <f si="100" t="shared"/>
        <v>127.29906692416974</v>
      </c>
      <c r="U69" s="289">
        <f si="100" t="shared"/>
        <v>778.34609196252393</v>
      </c>
      <c r="V69" s="289">
        <f si="100" t="shared"/>
        <v>0</v>
      </c>
      <c r="W69" s="289"/>
      <c r="X69" s="289">
        <f si="96" t="shared"/>
        <v>116066.38449976909</v>
      </c>
      <c r="Z69">
        <v>3</v>
      </c>
      <c r="AA69" s="295">
        <f ref="AA69:AV69" si="101" t="shared">IF($AV$62&gt;0,AA43/$AV$62,0)</f>
        <v>5.6297315795685605E-3</v>
      </c>
      <c r="AB69" s="295">
        <f si="101" t="shared"/>
        <v>1.3569065094715957E-3</v>
      </c>
      <c r="AC69" s="295">
        <f si="101" t="shared"/>
        <v>1.9569123930244368E-2</v>
      </c>
      <c r="AD69" s="295">
        <f si="101" t="shared"/>
        <v>2.5959801482843018E-3</v>
      </c>
      <c r="AE69" s="295">
        <f si="101" t="shared"/>
        <v>1.070657747873709E-3</v>
      </c>
      <c r="AF69" s="295">
        <f si="101" t="shared"/>
        <v>2.2218017218744866E-3</v>
      </c>
      <c r="AG69" s="295">
        <f si="101" t="shared"/>
        <v>9.6874736344502099E-4</v>
      </c>
      <c r="AH69" s="295">
        <f si="101" t="shared"/>
        <v>8.092959617047393E-4</v>
      </c>
      <c r="AI69" s="295">
        <f si="101" t="shared"/>
        <v>1.93755945244382E-3</v>
      </c>
      <c r="AJ69" s="295">
        <f si="101" t="shared"/>
        <v>4.9097568820820586E-4</v>
      </c>
      <c r="AK69" s="295">
        <f si="101" t="shared"/>
        <v>6.3548195958037807E-3</v>
      </c>
      <c r="AL69" s="295">
        <f si="101" t="shared"/>
        <v>1.1386519421209865E-3</v>
      </c>
      <c r="AM69" s="295">
        <f si="101" t="shared"/>
        <v>1.0320489550431494E-4</v>
      </c>
      <c r="AN69" s="295">
        <f si="101" t="shared"/>
        <v>8.3987878586641313E-4</v>
      </c>
      <c r="AO69" s="295">
        <f si="101" t="shared"/>
        <v>2.3676607573206956E-4</v>
      </c>
      <c r="AP69" s="295">
        <f si="101" t="shared"/>
        <v>1.6026047116254899E-4</v>
      </c>
      <c r="AQ69" s="295">
        <f si="101" t="shared"/>
        <v>7.2327570072936147E-4</v>
      </c>
      <c r="AR69" s="295">
        <f si="101" t="shared"/>
        <v>1.0013043169970237E-4</v>
      </c>
      <c r="AS69" s="295">
        <f si="101" t="shared"/>
        <v>9.0790534289057734E-4</v>
      </c>
      <c r="AT69" s="295">
        <f si="101" t="shared"/>
        <v>4.521079931625218E-5</v>
      </c>
      <c r="AU69" s="295">
        <f si="101" t="shared"/>
        <v>0</v>
      </c>
      <c r="AV69" s="295">
        <f si="101" t="shared"/>
        <v>4.726088414394481E-2</v>
      </c>
      <c r="AY69" s="330" t="s">
        <v>291</v>
      </c>
      <c r="AZ69" s="332">
        <f ref="AZ69:BT69" si="102" t="shared">C88</f>
        <v>77150.839711659879</v>
      </c>
      <c r="BA69" s="332">
        <f si="102" t="shared"/>
        <v>36125.380352792337</v>
      </c>
      <c r="BB69" s="332">
        <f si="102" t="shared"/>
        <v>115625.16136578795</v>
      </c>
      <c r="BC69" s="332">
        <f si="102" t="shared"/>
        <v>44974.31572146072</v>
      </c>
      <c r="BD69" s="332">
        <f si="102" t="shared"/>
        <v>45124.084177124983</v>
      </c>
      <c r="BE69" s="332">
        <f si="102" t="shared"/>
        <v>97402.577094432927</v>
      </c>
      <c r="BF69" s="332">
        <f si="102" t="shared"/>
        <v>227576.21938752756</v>
      </c>
      <c r="BG69" s="332">
        <f si="102" t="shared"/>
        <v>8854.5191102372337</v>
      </c>
      <c r="BH69" s="332">
        <f si="102" t="shared"/>
        <v>178339.37578469905</v>
      </c>
      <c r="BI69" s="332">
        <f si="102" t="shared"/>
        <v>74445.935219788589</v>
      </c>
      <c r="BJ69" s="332">
        <f si="102" t="shared"/>
        <v>170228.86382158202</v>
      </c>
      <c r="BK69" s="332">
        <f si="102" t="shared"/>
        <v>359110.21388508804</v>
      </c>
      <c r="BL69" s="332">
        <f si="102" t="shared"/>
        <v>284099.50301989581</v>
      </c>
      <c r="BM69" s="332">
        <f si="102" t="shared"/>
        <v>56840.328402213032</v>
      </c>
      <c r="BN69" s="332">
        <f si="102" t="shared"/>
        <v>87163.623155349022</v>
      </c>
      <c r="BO69" s="332">
        <f si="102" t="shared"/>
        <v>32830.374074076099</v>
      </c>
      <c r="BP69" s="332">
        <f si="102" t="shared"/>
        <v>42224.114813114633</v>
      </c>
      <c r="BQ69" s="332">
        <f si="102" t="shared"/>
        <v>88443.600878694313</v>
      </c>
      <c r="BR69" s="332">
        <f si="102" t="shared"/>
        <v>99604.227926866355</v>
      </c>
      <c r="BS69" s="332">
        <f si="102" t="shared"/>
        <v>80957.956383324679</v>
      </c>
      <c r="BT69" s="332">
        <f si="102" t="shared"/>
        <v>0</v>
      </c>
      <c r="BU69" s="349">
        <f>SUM(AZ69:BT69)</f>
        <v>2207121.214285715</v>
      </c>
      <c r="CU69">
        <v>68</v>
      </c>
      <c r="CV69">
        <f si="99" t="shared"/>
        <v>4</v>
      </c>
      <c r="CW69">
        <f si="88" t="shared"/>
        <v>8</v>
      </c>
      <c r="CX69" s="355" t="str">
        <f si="89" t="shared"/>
        <v>4_8</v>
      </c>
      <c r="CY69" s="246">
        <f si="84" t="shared"/>
        <v>1530.5586506955285</v>
      </c>
      <c r="CZ69" s="246">
        <f si="85" t="shared"/>
        <v>1367.57142857143</v>
      </c>
      <c r="DA69" s="246">
        <f si="90" t="shared"/>
        <v>1534.2499063727701</v>
      </c>
      <c r="DB69" s="246">
        <f si="91" t="shared"/>
        <v>1356.5</v>
      </c>
      <c r="DC69" s="301">
        <f si="92" t="shared"/>
        <v>-177.74990637277006</v>
      </c>
      <c r="DD69" s="302">
        <f si="93" t="shared"/>
        <v>-0.11613400524834219</v>
      </c>
      <c r="DE69" s="357">
        <f si="94" t="shared"/>
        <v>1.1310356847569261</v>
      </c>
    </row>
    <row r="70" spans="2:110" x14ac:dyDescent="0.25">
      <c r="B70">
        <v>4</v>
      </c>
      <c r="C70" s="289">
        <f ref="C70:V70" si="103" t="shared">C44*$AV$62/$X$62</f>
        <v>3146.7827641848503</v>
      </c>
      <c r="D70" s="289">
        <f si="103" t="shared"/>
        <v>330.88144933934871</v>
      </c>
      <c r="E70" s="289">
        <f si="103" t="shared"/>
        <v>5752.2840371096718</v>
      </c>
      <c r="F70" s="289">
        <f si="103" t="shared"/>
        <v>19109.753808559275</v>
      </c>
      <c r="G70" s="289">
        <f si="103" t="shared"/>
        <v>5085.1631451837729</v>
      </c>
      <c r="H70" s="289">
        <f si="103" t="shared"/>
        <v>1657.8005935166384</v>
      </c>
      <c r="I70" s="289">
        <f si="103" t="shared"/>
        <v>1890.3477680668589</v>
      </c>
      <c r="J70" s="289">
        <f si="103" t="shared"/>
        <v>1530.5586506955285</v>
      </c>
      <c r="K70" s="289">
        <f si="103" t="shared"/>
        <v>1003.0332111874349</v>
      </c>
      <c r="L70" s="289">
        <f si="103" t="shared"/>
        <v>1447.9614150443399</v>
      </c>
      <c r="M70" s="289">
        <f si="103" t="shared"/>
        <v>2839.251649508421</v>
      </c>
      <c r="N70" s="289">
        <f si="103" t="shared"/>
        <v>0</v>
      </c>
      <c r="O70" s="289">
        <f si="103" t="shared"/>
        <v>396.04731075429368</v>
      </c>
      <c r="P70" s="289">
        <f si="103" t="shared"/>
        <v>0</v>
      </c>
      <c r="Q70" s="289">
        <f si="103" t="shared"/>
        <v>93.070200489775729</v>
      </c>
      <c r="R70" s="289">
        <f si="103" t="shared"/>
        <v>176.63504284803491</v>
      </c>
      <c r="S70" s="289">
        <f si="103" t="shared"/>
        <v>0</v>
      </c>
      <c r="T70" s="289">
        <f si="103" t="shared"/>
        <v>0</v>
      </c>
      <c r="U70" s="289">
        <f si="103" t="shared"/>
        <v>258.02667495897441</v>
      </c>
      <c r="V70" s="289">
        <f si="103" t="shared"/>
        <v>0</v>
      </c>
      <c r="W70" s="289"/>
      <c r="X70" s="289">
        <f si="96" t="shared"/>
        <v>44717.597721447215</v>
      </c>
      <c r="Z70">
        <v>4</v>
      </c>
      <c r="AA70" s="295">
        <f ref="AA70:AV70" si="104" t="shared">IF($AV$62&gt;0,AA44/$AV$62,0)</f>
        <v>2.3258156868010689E-3</v>
      </c>
      <c r="AB70" s="295">
        <f si="104" t="shared"/>
        <v>4.1356392588574539E-4</v>
      </c>
      <c r="AC70" s="295">
        <f si="104" t="shared"/>
        <v>2.5771126493570459E-3</v>
      </c>
      <c r="AD70" s="295">
        <f si="104" t="shared"/>
        <v>4.945517750546205E-3</v>
      </c>
      <c r="AE70" s="295">
        <f si="104" t="shared"/>
        <v>1.501891749941753E-3</v>
      </c>
      <c r="AF70" s="295">
        <f si="104" t="shared"/>
        <v>1.6216987499909762E-3</v>
      </c>
      <c r="AG70" s="295">
        <f si="104" t="shared"/>
        <v>3.2679932104188563E-4</v>
      </c>
      <c r="AH70" s="295">
        <f si="104" t="shared"/>
        <v>6.1961772634857909E-4</v>
      </c>
      <c r="AI70" s="295">
        <f si="104" t="shared"/>
        <v>4.0631466386223749E-4</v>
      </c>
      <c r="AJ70" s="295">
        <f si="104" t="shared"/>
        <v>6.9644695868700682E-4</v>
      </c>
      <c r="AK70" s="295">
        <f si="104" t="shared"/>
        <v>1.1393315604356904E-3</v>
      </c>
      <c r="AL70" s="295">
        <f si="104" t="shared"/>
        <v>5.9149447323059482E-4</v>
      </c>
      <c r="AM70" s="295">
        <f si="104" t="shared"/>
        <v>3.8155713954088256E-5</v>
      </c>
      <c r="AN70" s="295">
        <f si="104" t="shared"/>
        <v>5.9401876982806694E-4</v>
      </c>
      <c r="AO70" s="295">
        <f si="104" t="shared"/>
        <v>7.1715913589702669E-5</v>
      </c>
      <c r="AP70" s="295">
        <f si="104" t="shared"/>
        <v>1.7048710865999732E-4</v>
      </c>
      <c r="AQ70" s="295">
        <f si="104" t="shared"/>
        <v>2.3213819863670502E-4</v>
      </c>
      <c r="AR70" s="295">
        <f si="104" t="shared"/>
        <v>4.5955143184737162E-5</v>
      </c>
      <c r="AS70" s="295">
        <f si="104" t="shared"/>
        <v>2.7022918703701172E-4</v>
      </c>
      <c r="AT70" s="295">
        <f si="104" t="shared"/>
        <v>2.3074659923040645E-5</v>
      </c>
      <c r="AU70" s="295">
        <f si="104" t="shared"/>
        <v>0</v>
      </c>
      <c r="AV70" s="295">
        <f si="104" t="shared"/>
        <v>1.8611379910942145E-2</v>
      </c>
      <c r="AX70" t="s">
        <v>297</v>
      </c>
      <c r="AY70" s="350" t="s">
        <v>292</v>
      </c>
      <c r="AZ70" s="251">
        <f ref="AZ70:BU70" si="105" t="shared">AZ62</f>
        <v>91069.071428571435</v>
      </c>
      <c r="BA70" s="251">
        <f si="105" t="shared"/>
        <v>44190.857142857145</v>
      </c>
      <c r="BB70" s="251">
        <f si="105" t="shared"/>
        <v>104383.50000000004</v>
      </c>
      <c r="BC70" s="251">
        <f si="105" t="shared"/>
        <v>41475.642857142833</v>
      </c>
      <c r="BD70" s="251">
        <f si="105" t="shared"/>
        <v>39763.285714285739</v>
      </c>
      <c r="BE70" s="251">
        <f si="105" t="shared"/>
        <v>103026.28571428565</v>
      </c>
      <c r="BF70" s="251">
        <f si="105" t="shared"/>
        <v>221294.99999999988</v>
      </c>
      <c r="BG70" s="251">
        <f si="105" t="shared"/>
        <v>8812.1428571428623</v>
      </c>
      <c r="BH70" s="251">
        <f si="105" t="shared"/>
        <v>175249.00000000041</v>
      </c>
      <c r="BI70" s="251">
        <f si="105" t="shared"/>
        <v>70553.214285714319</v>
      </c>
      <c r="BJ70" s="251">
        <f si="105" t="shared"/>
        <v>173148.78571428612</v>
      </c>
      <c r="BK70" s="251">
        <f si="105" t="shared"/>
        <v>368661.00000000023</v>
      </c>
      <c r="BL70" s="251">
        <f si="105" t="shared"/>
        <v>270363.42857142893</v>
      </c>
      <c r="BM70" s="251">
        <f si="105" t="shared"/>
        <v>58049.428571428536</v>
      </c>
      <c r="BN70" s="251">
        <f si="105" t="shared"/>
        <v>85258.071428571391</v>
      </c>
      <c r="BO70" s="251">
        <f si="105" t="shared"/>
        <v>29591.285714285728</v>
      </c>
      <c r="BP70" s="251">
        <f si="105" t="shared"/>
        <v>43290.571428571471</v>
      </c>
      <c r="BQ70" s="251">
        <f si="105" t="shared"/>
        <v>89477.357142857087</v>
      </c>
      <c r="BR70" s="251">
        <f si="105" t="shared"/>
        <v>104681.57142857142</v>
      </c>
      <c r="BS70" s="251">
        <f si="105" t="shared"/>
        <v>84781.71428571429</v>
      </c>
      <c r="BT70" s="251">
        <f si="105" t="shared"/>
        <v>0</v>
      </c>
      <c r="BU70" s="351">
        <f si="105" t="shared"/>
        <v>2207121.2142857155</v>
      </c>
      <c r="CU70">
        <v>69</v>
      </c>
      <c r="CV70">
        <f si="99" t="shared"/>
        <v>4</v>
      </c>
      <c r="CW70">
        <f si="88" t="shared"/>
        <v>9</v>
      </c>
      <c r="CX70" s="355" t="str">
        <f si="89" t="shared"/>
        <v>4_9</v>
      </c>
      <c r="CY70" s="246">
        <f si="84" t="shared"/>
        <v>1003.0332111874349</v>
      </c>
      <c r="CZ70" s="246">
        <f si="85" t="shared"/>
        <v>896.78571428571399</v>
      </c>
      <c r="DA70" s="246">
        <f si="90" t="shared"/>
        <v>1005.9592926897194</v>
      </c>
      <c r="DB70" s="246">
        <f si="91" t="shared"/>
        <v>884.57142857142844</v>
      </c>
      <c r="DC70" s="301">
        <f si="92" t="shared"/>
        <v>-121.38786411829096</v>
      </c>
      <c r="DD70" s="302">
        <f si="93" t="shared"/>
        <v>-0.1210207825268185</v>
      </c>
      <c r="DE70" s="357">
        <f si="94" t="shared"/>
        <v>1.1372278825626674</v>
      </c>
    </row>
    <row r="71" spans="2:110" x14ac:dyDescent="0.25">
      <c r="B71">
        <v>5</v>
      </c>
      <c r="C71" s="289">
        <f ref="C71:V71" si="106" t="shared">C45*$AV$62/$X$62</f>
        <v>3184.3751232602331</v>
      </c>
      <c r="D71" s="289">
        <f si="106" t="shared"/>
        <v>259.13488861445006</v>
      </c>
      <c r="E71" s="289">
        <f si="106" t="shared"/>
        <v>2466.3644175691275</v>
      </c>
      <c r="F71" s="289">
        <f si="106" t="shared"/>
        <v>5178.1129055585661</v>
      </c>
      <c r="G71" s="289">
        <f si="106" t="shared"/>
        <v>14288.157322716741</v>
      </c>
      <c r="H71" s="289">
        <f si="106" t="shared"/>
        <v>6542.6363053951973</v>
      </c>
      <c r="I71" s="289">
        <f si="106" t="shared"/>
        <v>1988.5406773717723</v>
      </c>
      <c r="J71" s="289">
        <f si="106" t="shared"/>
        <v>219.30785963805491</v>
      </c>
      <c r="K71" s="289">
        <f si="106" t="shared"/>
        <v>1006.3845725273683</v>
      </c>
      <c r="L71" s="289">
        <f si="106" t="shared"/>
        <v>5981.5422251780274</v>
      </c>
      <c r="M71" s="289">
        <f si="106" t="shared"/>
        <v>1469.9194027665199</v>
      </c>
      <c r="N71" s="289">
        <f si="106" t="shared"/>
        <v>954.66996894066369</v>
      </c>
      <c r="O71" s="289">
        <f si="106" t="shared"/>
        <v>452.72602389113132</v>
      </c>
      <c r="P71" s="289">
        <f si="106" t="shared"/>
        <v>204.25627389687534</v>
      </c>
      <c r="Q71" s="289">
        <f si="106" t="shared"/>
        <v>60.973406216936134</v>
      </c>
      <c r="R71" s="289">
        <f si="106" t="shared"/>
        <v>594.42104244750703</v>
      </c>
      <c r="S71" s="289">
        <f si="106" t="shared"/>
        <v>38.376740286025836</v>
      </c>
      <c r="T71" s="289">
        <f si="106" t="shared"/>
        <v>47.698911732750283</v>
      </c>
      <c r="U71" s="289">
        <f si="106" t="shared"/>
        <v>174.90053081159058</v>
      </c>
      <c r="V71" s="289">
        <f si="106" t="shared"/>
        <v>0</v>
      </c>
      <c r="W71" s="289"/>
      <c r="X71" s="289">
        <f si="96" t="shared"/>
        <v>45112.498598819555</v>
      </c>
      <c r="Z71">
        <v>5</v>
      </c>
      <c r="AA71" s="295">
        <f ref="AA71:AV71" si="107" t="shared">IF($AV$62&gt;0,AA45/$AV$62,0)</f>
        <v>2.1168168736411877E-3</v>
      </c>
      <c r="AB71" s="295">
        <f si="107" t="shared"/>
        <v>4.595514318473716E-4</v>
      </c>
      <c r="AC71" s="295">
        <f si="107" t="shared"/>
        <v>1.0975512154698464E-3</v>
      </c>
      <c r="AD71" s="295">
        <f si="107" t="shared"/>
        <v>1.5168109900883468E-3</v>
      </c>
      <c r="AE71" s="295">
        <f si="107" t="shared"/>
        <v>3.3996773495869538E-3</v>
      </c>
      <c r="AF71" s="295">
        <f si="107" t="shared"/>
        <v>3.3771852196479439E-3</v>
      </c>
      <c r="AG71" s="295">
        <f si="107" t="shared"/>
        <v>4.1612058526010749E-4</v>
      </c>
      <c r="AH71" s="295">
        <f si="107" t="shared"/>
        <v>1.7660367349233208E-4</v>
      </c>
      <c r="AI71" s="295">
        <f si="107" t="shared"/>
        <v>4.5220508149319388E-4</v>
      </c>
      <c r="AJ71" s="295">
        <f si="107" t="shared"/>
        <v>2.4086967584180485E-3</v>
      </c>
      <c r="AK71" s="295">
        <f si="107" t="shared"/>
        <v>5.5667212529624584E-4</v>
      </c>
      <c r="AL71" s="295">
        <f si="107" t="shared"/>
        <v>1.1916945334447791E-3</v>
      </c>
      <c r="AM71" s="295">
        <f si="107" t="shared"/>
        <v>4.1650893858279545E-5</v>
      </c>
      <c r="AN71" s="295">
        <f si="107" t="shared"/>
        <v>2.9184752199997279E-4</v>
      </c>
      <c r="AO71" s="295">
        <f si="107" t="shared"/>
        <v>7.7897203975818674E-5</v>
      </c>
      <c r="AP71" s="295">
        <f si="107" t="shared"/>
        <v>4.1285194479415111E-4</v>
      </c>
      <c r="AQ71" s="295">
        <f si="107" t="shared"/>
        <v>1.3676509513992969E-4</v>
      </c>
      <c r="AR71" s="295">
        <f si="107" t="shared"/>
        <v>7.3139875772891644E-5</v>
      </c>
      <c r="AS71" s="295">
        <f si="107" t="shared"/>
        <v>1.6035755949322063E-4</v>
      </c>
      <c r="AT71" s="295">
        <f si="107" t="shared"/>
        <v>3.8802969491901451E-5</v>
      </c>
      <c r="AU71" s="295">
        <f si="107" t="shared"/>
        <v>0</v>
      </c>
      <c r="AV71" s="295">
        <f si="107" t="shared"/>
        <v>1.8402898902212524E-2</v>
      </c>
      <c r="AY71" s="330" t="s">
        <v>291</v>
      </c>
      <c r="AZ71" s="295">
        <f ref="AZ71:BU71" si="108" t="shared">C115</f>
        <v>3.4955415775217408E-2</v>
      </c>
      <c r="BA71" s="295">
        <f si="108" t="shared"/>
        <v>1.6367646742267167E-2</v>
      </c>
      <c r="BB71" s="295">
        <f si="108" t="shared"/>
        <v>5.2387318203185963E-2</v>
      </c>
      <c r="BC71" s="295">
        <f si="108" t="shared"/>
        <v>2.037691243705237E-2</v>
      </c>
      <c r="BD71" s="295">
        <f si="108" t="shared"/>
        <v>2.0444769360675269E-2</v>
      </c>
      <c r="BE71" s="295">
        <f si="108" t="shared"/>
        <v>4.4131050195154356E-2</v>
      </c>
      <c r="BF71" s="295">
        <f si="108" t="shared"/>
        <v>0.10310997779121862</v>
      </c>
      <c r="BG71" s="295">
        <f si="108" t="shared"/>
        <v>4.0117955701417145E-3</v>
      </c>
      <c r="BH71" s="295">
        <f si="108" t="shared"/>
        <v>8.0801804010757317E-2</v>
      </c>
      <c r="BI71" s="295">
        <f si="108" t="shared"/>
        <v>3.3729880687083755E-2</v>
      </c>
      <c r="BJ71" s="295">
        <f si="108" t="shared"/>
        <v>7.7127102362917907E-2</v>
      </c>
      <c r="BK71" s="295">
        <f si="108" t="shared"/>
        <v>0.16270525223568474</v>
      </c>
      <c r="BL71" s="295">
        <f si="108" t="shared"/>
        <v>0.12871948363372432</v>
      </c>
      <c r="BM71" s="295">
        <f si="108" t="shared"/>
        <v>2.5753152130617404E-2</v>
      </c>
      <c r="BN71" s="295">
        <f si="108" t="shared"/>
        <v>3.9491996448213905E-2</v>
      </c>
      <c r="BO71" s="295">
        <f si="108" t="shared"/>
        <v>1.4874748999547317E-2</v>
      </c>
      <c r="BP71" s="295">
        <f si="108" t="shared"/>
        <v>1.913085449943424E-2</v>
      </c>
      <c r="BQ71" s="295">
        <f si="108" t="shared"/>
        <v>4.0071927317012847E-2</v>
      </c>
      <c r="BR71" s="295">
        <f si="108" t="shared"/>
        <v>4.5128571680690864E-2</v>
      </c>
      <c r="BS71" s="295">
        <f si="108" t="shared"/>
        <v>3.6680339919402609E-2</v>
      </c>
      <c r="BT71" s="295">
        <f si="108" t="shared"/>
        <v>0</v>
      </c>
      <c r="BU71" s="352">
        <f si="108" t="shared"/>
        <v>1</v>
      </c>
      <c r="CU71">
        <v>70</v>
      </c>
      <c r="CV71">
        <f si="99" t="shared"/>
        <v>4</v>
      </c>
      <c r="CW71">
        <f si="88" t="shared"/>
        <v>10</v>
      </c>
      <c r="CX71" s="355" t="str">
        <f si="89" t="shared"/>
        <v>4_10</v>
      </c>
      <c r="CY71" s="246">
        <f si="84" t="shared"/>
        <v>1447.9614150443399</v>
      </c>
      <c r="CZ71" s="246">
        <f si="85" t="shared"/>
        <v>1537.1428571428601</v>
      </c>
      <c r="DA71" s="246">
        <f si="90" t="shared"/>
        <v>1436.7745773805891</v>
      </c>
      <c r="DB71" s="246">
        <f si="91" t="shared"/>
        <v>1556.8928571428601</v>
      </c>
      <c r="DC71" s="301">
        <f si="92" t="shared"/>
        <v>120.11827976227096</v>
      </c>
      <c r="DD71" s="302">
        <f si="93" t="shared"/>
        <v>8.2956823651680431E-2</v>
      </c>
      <c r="DE71" s="357">
        <f si="94" t="shared"/>
        <v>0.92284743345620668</v>
      </c>
    </row>
    <row ht="15.75" r="72" spans="2:110" thickBot="1" x14ac:dyDescent="0.3">
      <c r="B72">
        <v>6</v>
      </c>
      <c r="C72" s="289">
        <f ref="C72:V72" si="109" t="shared">C46*$AV$62/$X$62</f>
        <v>8561.0372340079884</v>
      </c>
      <c r="D72" s="289">
        <f si="109" t="shared"/>
        <v>0</v>
      </c>
      <c r="E72" s="289">
        <f si="109" t="shared"/>
        <v>4265.5131432945018</v>
      </c>
      <c r="F72" s="289">
        <f si="109" t="shared"/>
        <v>1655.2840433229221</v>
      </c>
      <c r="G72" s="289">
        <f si="109" t="shared"/>
        <v>6474.6501608954159</v>
      </c>
      <c r="H72" s="289">
        <f si="109" t="shared"/>
        <v>49500.837281536544</v>
      </c>
      <c r="I72" s="289">
        <f si="109" t="shared"/>
        <v>4286.1254837167207</v>
      </c>
      <c r="J72" s="289">
        <f si="109" t="shared"/>
        <v>0</v>
      </c>
      <c r="K72" s="289">
        <f si="109" t="shared"/>
        <v>2672.7706350846393</v>
      </c>
      <c r="L72" s="289">
        <f si="109" t="shared"/>
        <v>6288.7334031205419</v>
      </c>
      <c r="M72" s="289">
        <f si="109" t="shared"/>
        <v>914.23077531413105</v>
      </c>
      <c r="N72" s="289">
        <f si="109" t="shared"/>
        <v>10223.101769197736</v>
      </c>
      <c r="O72" s="289">
        <f si="109" t="shared"/>
        <v>1399.3064741212513</v>
      </c>
      <c r="P72" s="289">
        <f si="109" t="shared"/>
        <v>0</v>
      </c>
      <c r="Q72" s="289">
        <f si="109" t="shared"/>
        <v>0</v>
      </c>
      <c r="R72" s="289">
        <f si="109" t="shared"/>
        <v>1148.7207748300477</v>
      </c>
      <c r="S72" s="289">
        <f si="109" t="shared"/>
        <v>0</v>
      </c>
      <c r="T72" s="289">
        <f si="109" t="shared"/>
        <v>0</v>
      </c>
      <c r="U72" s="289">
        <f si="109" t="shared"/>
        <v>626.46015158386376</v>
      </c>
      <c r="V72" s="289">
        <f si="109" t="shared"/>
        <v>0</v>
      </c>
      <c r="W72" s="289"/>
      <c r="X72" s="289">
        <f si="96" t="shared"/>
        <v>98016.771330026299</v>
      </c>
      <c r="Z72">
        <v>6</v>
      </c>
      <c r="AA72" s="295">
        <f ref="AA72:AV72" si="110" t="shared">IF($AV$62&gt;0,AA46/$AV$62,0)</f>
        <v>5.967760784191492E-3</v>
      </c>
      <c r="AB72" s="295">
        <f si="110" t="shared"/>
        <v>2.159632827467531E-3</v>
      </c>
      <c r="AC72" s="295">
        <f si="110" t="shared"/>
        <v>2.3858162751563519E-3</v>
      </c>
      <c r="AD72" s="295">
        <f si="110" t="shared"/>
        <v>1.767557785437185E-3</v>
      </c>
      <c r="AE72" s="295">
        <f si="110" t="shared"/>
        <v>3.4449852372338777E-3</v>
      </c>
      <c r="AF72" s="295">
        <f si="110" t="shared"/>
        <v>1.44330865121428E-2</v>
      </c>
      <c r="AG72" s="295">
        <f si="110" t="shared"/>
        <v>2.0741950964761877E-3</v>
      </c>
      <c r="AH72" s="295">
        <f si="110" t="shared"/>
        <v>2.4641018324548613E-4</v>
      </c>
      <c r="AI72" s="295">
        <f si="110" t="shared"/>
        <v>1.7477194032032078E-3</v>
      </c>
      <c r="AJ72" s="295">
        <f si="110" t="shared"/>
        <v>3.584371717301952E-3</v>
      </c>
      <c r="AK72" s="295">
        <f si="110" t="shared"/>
        <v>1.2456109197446189E-3</v>
      </c>
      <c r="AL72" s="295">
        <f si="110" t="shared"/>
        <v>7.1815914570295134E-3</v>
      </c>
      <c r="AM72" s="295">
        <f si="110" t="shared"/>
        <v>1.872833898662501E-4</v>
      </c>
      <c r="AN72" s="295">
        <f si="110" t="shared"/>
        <v>4.7625062472295544E-4</v>
      </c>
      <c r="AO72" s="295">
        <f si="110" t="shared"/>
        <v>2.4174994337323121E-4</v>
      </c>
      <c r="AP72" s="295">
        <f si="110" t="shared"/>
        <v>7.1699732201257473E-4</v>
      </c>
      <c r="AQ72" s="295">
        <f si="110" t="shared"/>
        <v>2.4854612652026984E-4</v>
      </c>
      <c r="AR72" s="295">
        <f si="110" t="shared"/>
        <v>2.4686326212195538E-4</v>
      </c>
      <c r="AS72" s="295">
        <f si="110" t="shared"/>
        <v>3.4967980430358232E-4</v>
      </c>
      <c r="AT72" s="295">
        <f si="110" t="shared"/>
        <v>1.2077788335594372E-4</v>
      </c>
      <c r="AU72" s="295">
        <f si="110" t="shared"/>
        <v>0</v>
      </c>
      <c r="AV72" s="295">
        <f si="110" t="shared"/>
        <v>4.8826886554906967E-2</v>
      </c>
      <c r="AY72" s="353" t="s">
        <v>292</v>
      </c>
      <c r="AZ72" s="297">
        <f ref="AZ72:BU72" si="111" t="shared">AA88</f>
        <v>4.1261472563954252E-2</v>
      </c>
      <c r="BA72" s="297">
        <f si="111" t="shared"/>
        <v>2.002194390449847E-2</v>
      </c>
      <c r="BB72" s="297">
        <f si="111" t="shared"/>
        <v>4.7293958901927093E-2</v>
      </c>
      <c r="BC72" s="297">
        <f si="111" t="shared"/>
        <v>1.8791737666553798E-2</v>
      </c>
      <c r="BD72" s="297">
        <f si="111" t="shared"/>
        <v>1.8015904816154026E-2</v>
      </c>
      <c r="BE72" s="297">
        <f si="111" t="shared"/>
        <v>4.6679033778227609E-2</v>
      </c>
      <c r="BF72" s="297">
        <f si="111" t="shared"/>
        <v>0.10026408996826075</v>
      </c>
      <c r="BG72" s="297">
        <f si="111" t="shared"/>
        <v>3.9925957850007396E-3</v>
      </c>
      <c r="BH72" s="297">
        <f si="111" t="shared"/>
        <v>7.9401620022358288E-2</v>
      </c>
      <c r="BI72" s="297">
        <f si="111" t="shared"/>
        <v>3.196617105986508E-2</v>
      </c>
      <c r="BJ72" s="297">
        <f si="111" t="shared"/>
        <v>7.8450057293442205E-2</v>
      </c>
      <c r="BK72" s="297">
        <f si="111" t="shared"/>
        <v>0.16703251167802716</v>
      </c>
      <c r="BL72" s="297">
        <f si="111" t="shared"/>
        <v>0.12249595845551504</v>
      </c>
      <c r="BM72" s="297">
        <f si="111" t="shared"/>
        <v>2.6300969876824329E-2</v>
      </c>
      <c r="BN72" s="297">
        <f si="111" t="shared"/>
        <v>3.8628631212791469E-2</v>
      </c>
      <c r="BO72" s="297">
        <f si="111" t="shared"/>
        <v>1.3407186484708894E-2</v>
      </c>
      <c r="BP72" s="297">
        <f si="111" t="shared"/>
        <v>1.961404346456861E-2</v>
      </c>
      <c r="BQ72" s="297">
        <f si="111" t="shared"/>
        <v>4.0540300443722747E-2</v>
      </c>
      <c r="BR72" s="297">
        <f si="111" t="shared"/>
        <v>4.7429008769891791E-2</v>
      </c>
      <c r="BS72" s="297">
        <f si="111" t="shared"/>
        <v>3.8412803853707669E-2</v>
      </c>
      <c r="BT72" s="297">
        <f si="111" t="shared"/>
        <v>0</v>
      </c>
      <c r="BU72" s="354">
        <f si="111" t="shared"/>
        <v>1</v>
      </c>
      <c r="CU72">
        <v>71</v>
      </c>
      <c r="CV72">
        <f si="99" t="shared"/>
        <v>4</v>
      </c>
      <c r="CW72">
        <f si="88" t="shared"/>
        <v>11</v>
      </c>
      <c r="CX72" s="355" t="str">
        <f si="89" t="shared"/>
        <v>4_11</v>
      </c>
      <c r="CY72" s="246">
        <f si="84" t="shared"/>
        <v>2839.251649508421</v>
      </c>
      <c r="CZ72" s="246">
        <f si="85" t="shared"/>
        <v>2514.6428571428601</v>
      </c>
      <c r="DA72" s="246">
        <f si="90" t="shared"/>
        <v>2828.8092768414172</v>
      </c>
      <c r="DB72" s="246">
        <f si="91" t="shared"/>
        <v>2460.5357142857151</v>
      </c>
      <c r="DC72" s="301">
        <f si="92" t="shared"/>
        <v>-368.27356255570203</v>
      </c>
      <c r="DD72" s="302">
        <f si="93" t="shared"/>
        <v>-0.12970796816106939</v>
      </c>
      <c r="DE72" s="357">
        <f si="94" t="shared"/>
        <v>1.149672106126129</v>
      </c>
    </row>
    <row r="73" spans="2:110" x14ac:dyDescent="0.25">
      <c r="B73">
        <v>7</v>
      </c>
      <c r="C73" s="289">
        <f ref="C73:V73" si="112" t="shared">C47*$AV$62/$X$62</f>
        <v>2938.4912456319039</v>
      </c>
      <c r="D73" s="289">
        <f si="112" t="shared"/>
        <v>5641.8665156433153</v>
      </c>
      <c r="E73" s="289">
        <f si="112" t="shared"/>
        <v>3011.9625191670239</v>
      </c>
      <c r="F73" s="289">
        <f si="112" t="shared"/>
        <v>1868.0965650881208</v>
      </c>
      <c r="G73" s="289">
        <f si="112" t="shared"/>
        <v>1913.9838963065001</v>
      </c>
      <c r="H73" s="289">
        <f si="112" t="shared"/>
        <v>4194.1309144914721</v>
      </c>
      <c r="I73" s="289">
        <f si="112" t="shared"/>
        <v>156283.2396141846</v>
      </c>
      <c r="J73" s="289">
        <f si="112" t="shared"/>
        <v>161.36279909985836</v>
      </c>
      <c r="K73" s="289">
        <f si="112" t="shared"/>
        <v>10444.427166310346</v>
      </c>
      <c r="L73" s="289">
        <f si="112" t="shared"/>
        <v>897.79671931533073</v>
      </c>
      <c r="M73" s="289">
        <f si="112" t="shared"/>
        <v>812.17128815106992</v>
      </c>
      <c r="N73" s="289">
        <f si="112" t="shared"/>
        <v>18407.414099823087</v>
      </c>
      <c r="O73" s="289">
        <f si="112" t="shared"/>
        <v>19146.943644207709</v>
      </c>
      <c r="P73" s="289">
        <f si="112" t="shared"/>
        <v>0</v>
      </c>
      <c r="Q73" s="289">
        <f si="112" t="shared"/>
        <v>0</v>
      </c>
      <c r="R73" s="289">
        <f si="112" t="shared"/>
        <v>0</v>
      </c>
      <c r="S73" s="289">
        <f si="112" t="shared"/>
        <v>0</v>
      </c>
      <c r="T73" s="289">
        <f si="112" t="shared"/>
        <v>1169.0087039798814</v>
      </c>
      <c r="U73" s="289">
        <f si="112" t="shared"/>
        <v>0</v>
      </c>
      <c r="V73" s="289">
        <f si="112" t="shared"/>
        <v>0</v>
      </c>
      <c r="W73" s="289"/>
      <c r="X73" s="289">
        <f si="96" t="shared"/>
        <v>226890.89569140016</v>
      </c>
      <c r="Z73">
        <v>7</v>
      </c>
      <c r="AA73" s="295">
        <f ref="AA73:AV73" si="113" t="shared">IF($AV$62&gt;0,AA47/$AV$62,0)</f>
        <v>1.6953240674172278E-3</v>
      </c>
      <c r="AB73" s="295">
        <f si="113" t="shared"/>
        <v>2.1999892102501847E-3</v>
      </c>
      <c r="AC73" s="295">
        <f si="113" t="shared"/>
        <v>8.9301846552087498E-4</v>
      </c>
      <c r="AD73" s="295">
        <f si="113" t="shared"/>
        <v>3.2220380672341194E-4</v>
      </c>
      <c r="AE73" s="295">
        <f si="113" t="shared"/>
        <v>3.976090768786503E-4</v>
      </c>
      <c r="AF73" s="295">
        <f si="113" t="shared"/>
        <v>1.8438368505684696E-3</v>
      </c>
      <c r="AG73" s="295">
        <f si="113" t="shared"/>
        <v>6.711337654864373E-2</v>
      </c>
      <c r="AH73" s="295">
        <f si="113" t="shared"/>
        <v>4.1909796073404836E-5</v>
      </c>
      <c r="AI73" s="295">
        <f si="113" t="shared"/>
        <v>5.8103806001722318E-3</v>
      </c>
      <c r="AJ73" s="295">
        <f si="113" t="shared"/>
        <v>2.7081171702104392E-4</v>
      </c>
      <c r="AK73" s="295">
        <f si="113" t="shared"/>
        <v>3.2802910656373085E-4</v>
      </c>
      <c r="AL73" s="295">
        <f si="113" t="shared"/>
        <v>1.0078901420942712E-2</v>
      </c>
      <c r="AM73" s="295">
        <f si="113" t="shared"/>
        <v>6.538057638558711E-3</v>
      </c>
      <c r="AN73" s="295">
        <f si="113" t="shared"/>
        <v>6.3431042705693809E-5</v>
      </c>
      <c r="AO73" s="295">
        <f si="113" t="shared"/>
        <v>8.2437701573578491E-4</v>
      </c>
      <c r="AP73" s="295">
        <f si="113" t="shared"/>
        <v>7.5308181824566204E-5</v>
      </c>
      <c r="AQ73" s="295">
        <f si="113" t="shared"/>
        <v>5.1456815256149763E-5</v>
      </c>
      <c r="AR73" s="295">
        <f si="113" t="shared"/>
        <v>6.3732016530777087E-4</v>
      </c>
      <c r="AS73" s="295">
        <f si="113" t="shared"/>
        <v>1.1265482635638777E-4</v>
      </c>
      <c r="AT73" s="295">
        <f si="113" t="shared"/>
        <v>8.8091478696376613E-5</v>
      </c>
      <c r="AU73" s="295">
        <f si="113" t="shared"/>
        <v>0</v>
      </c>
      <c r="AV73" s="295">
        <f si="113" t="shared"/>
        <v>9.9386087831217135E-2</v>
      </c>
      <c r="CU73">
        <v>72</v>
      </c>
      <c r="CV73">
        <f si="99" t="shared"/>
        <v>4</v>
      </c>
      <c r="CW73">
        <f si="88" t="shared"/>
        <v>12</v>
      </c>
      <c r="CX73" s="355" t="str">
        <f si="89" t="shared"/>
        <v>4_12</v>
      </c>
      <c r="CY73" s="246">
        <f si="84" t="shared"/>
        <v>0</v>
      </c>
      <c r="CZ73" s="246">
        <f si="85" t="shared"/>
        <v>1305.5</v>
      </c>
      <c r="DA73" s="246">
        <f si="90" t="shared"/>
        <v>0</v>
      </c>
      <c r="DB73" s="246">
        <f si="91" t="shared"/>
        <v>1285</v>
      </c>
      <c r="DC73" s="301">
        <f si="92" t="shared"/>
        <v>1285</v>
      </c>
      <c r="DD73" s="302">
        <f si="93" t="shared"/>
        <v>0</v>
      </c>
      <c r="DE73" s="357">
        <f si="94" t="shared"/>
        <v>0</v>
      </c>
    </row>
    <row r="74" spans="2:110" x14ac:dyDescent="0.25">
      <c r="B74">
        <v>8</v>
      </c>
      <c r="C74" s="289">
        <f ref="C74:V74" si="114" t="shared">C48*$AV$62/$X$62</f>
        <v>93.53286881800463</v>
      </c>
      <c r="D74" s="289">
        <f si="114" t="shared"/>
        <v>5.8018585480811931</v>
      </c>
      <c r="E74" s="289">
        <f si="114" t="shared"/>
        <v>1802.15182314256</v>
      </c>
      <c r="F74" s="289">
        <f si="114" t="shared"/>
        <v>1537.9411620500116</v>
      </c>
      <c r="G74" s="289">
        <f si="114" t="shared"/>
        <v>191.45952569500162</v>
      </c>
      <c r="H74" s="289">
        <f si="114" t="shared"/>
        <v>0</v>
      </c>
      <c r="I74" s="289">
        <f si="114" t="shared"/>
        <v>157.68447002190823</v>
      </c>
      <c r="J74" s="289">
        <f si="114" t="shared"/>
        <v>1089.939118256666</v>
      </c>
      <c r="K74" s="289">
        <f si="114" t="shared"/>
        <v>163.43351202504223</v>
      </c>
      <c r="L74" s="289">
        <f si="114" t="shared"/>
        <v>0</v>
      </c>
      <c r="M74" s="289">
        <f si="114" t="shared"/>
        <v>2806.4380736300068</v>
      </c>
      <c r="N74" s="289">
        <f si="114" t="shared"/>
        <v>0</v>
      </c>
      <c r="O74" s="289">
        <f si="114" t="shared"/>
        <v>133.33886940070036</v>
      </c>
      <c r="P74" s="289">
        <f si="114" t="shared"/>
        <v>685.65360539659969</v>
      </c>
      <c r="Q74" s="289">
        <f si="114" t="shared"/>
        <v>38.037148465850017</v>
      </c>
      <c r="R74" s="289">
        <f si="114" t="shared"/>
        <v>0</v>
      </c>
      <c r="S74" s="289">
        <f si="114" t="shared"/>
        <v>0</v>
      </c>
      <c r="T74" s="289">
        <f si="114" t="shared"/>
        <v>0</v>
      </c>
      <c r="U74" s="289">
        <f si="114" t="shared"/>
        <v>131.15183260195323</v>
      </c>
      <c r="V74" s="289">
        <f si="114" t="shared"/>
        <v>0</v>
      </c>
      <c r="W74" s="289"/>
      <c r="X74" s="289">
        <f si="96" t="shared"/>
        <v>8836.5638680523862</v>
      </c>
      <c r="Z74">
        <v>8</v>
      </c>
      <c r="AA74" s="295">
        <f ref="AA74:AV74" si="115" t="shared">IF($AV$62&gt;0,AA48/$AV$62,0)</f>
        <v>4.220106106542076E-4</v>
      </c>
      <c r="AB74" s="295">
        <f si="115" t="shared"/>
        <v>5.5599250698154199E-5</v>
      </c>
      <c r="AC74" s="295">
        <f si="115" t="shared"/>
        <v>7.8631839011236867E-4</v>
      </c>
      <c r="AD74" s="295">
        <f si="115" t="shared"/>
        <v>6.0958526551247317E-4</v>
      </c>
      <c r="AE74" s="295">
        <f si="115" t="shared"/>
        <v>1.7517971130914309E-4</v>
      </c>
      <c r="AF74" s="295">
        <f si="115" t="shared"/>
        <v>2.1304416027121561E-4</v>
      </c>
      <c r="AG74" s="295">
        <f si="115" t="shared"/>
        <v>4.0421108336434467E-5</v>
      </c>
      <c r="AH74" s="295">
        <f si="115" t="shared"/>
        <v>3.0365993556506391E-4</v>
      </c>
      <c r="AI74" s="295">
        <f si="115" t="shared"/>
        <v>1.0068059890684373E-4</v>
      </c>
      <c r="AJ74" s="295">
        <f si="115" t="shared"/>
        <v>8.1586560541354328E-5</v>
      </c>
      <c r="AK74" s="295">
        <f si="115" t="shared"/>
        <v>6.6088026688417142E-4</v>
      </c>
      <c r="AL74" s="295">
        <f si="115" t="shared"/>
        <v>7.3172238549782504E-5</v>
      </c>
      <c r="AM74" s="295">
        <f si="115" t="shared"/>
        <v>6.5049181550227014E-6</v>
      </c>
      <c r="AN74" s="295">
        <f si="115" t="shared"/>
        <v>2.2385332775269617E-4</v>
      </c>
      <c r="AO74" s="295">
        <f si="115" t="shared"/>
        <v>6.8932714777105957E-6</v>
      </c>
      <c r="AP74" s="295">
        <f si="115" t="shared"/>
        <v>1.3915994062983841E-5</v>
      </c>
      <c r="AQ74" s="295">
        <f si="115" t="shared"/>
        <v>4.0065117790637199E-5</v>
      </c>
      <c r="AR74" s="295">
        <f si="115" t="shared"/>
        <v>3.851170449988553E-6</v>
      </c>
      <c r="AS74" s="295">
        <f si="115" t="shared"/>
        <v>4.3527934917937859E-5</v>
      </c>
      <c r="AT74" s="295">
        <f si="115" t="shared"/>
        <v>1.0356088605011255E-6</v>
      </c>
      <c r="AU74" s="295">
        <f si="115" t="shared"/>
        <v>0</v>
      </c>
      <c r="AV74" s="295">
        <f si="115" t="shared"/>
        <v>3.8617854408086916E-3</v>
      </c>
      <c r="CU74">
        <v>73</v>
      </c>
      <c r="CV74">
        <f si="99" t="shared"/>
        <v>4</v>
      </c>
      <c r="CW74">
        <f si="88" t="shared"/>
        <v>13</v>
      </c>
      <c r="CX74" s="355" t="str">
        <f si="89" t="shared"/>
        <v>4_13</v>
      </c>
      <c r="CY74" s="246">
        <f si="84" t="shared"/>
        <v>396.04731075429368</v>
      </c>
      <c r="CZ74" s="246">
        <f si="85" t="shared"/>
        <v>84.214285714285694</v>
      </c>
      <c r="DA74" s="246">
        <f si="90" t="shared"/>
        <v>388.03450848274213</v>
      </c>
      <c r="DB74" s="246">
        <f si="91" t="shared"/>
        <v>73.321428571428555</v>
      </c>
      <c r="DC74" s="301">
        <f si="92" t="shared"/>
        <v>-314.71307991131357</v>
      </c>
      <c r="DD74" s="302">
        <f si="93" t="shared"/>
        <v>-0.79463506345220569</v>
      </c>
      <c r="DE74" s="357">
        <f si="94" t="shared"/>
        <v>5.2922387908021342</v>
      </c>
    </row>
    <row r="75" spans="2:110" x14ac:dyDescent="0.25">
      <c r="B75">
        <v>9</v>
      </c>
      <c r="C75" s="289">
        <f ref="C75:V75" si="116" t="shared">C49*$AV$62/$X$62</f>
        <v>3347.4708335368227</v>
      </c>
      <c r="D75" s="289">
        <f si="116" t="shared"/>
        <v>4299.8847187288393</v>
      </c>
      <c r="E75" s="289">
        <f si="116" t="shared"/>
        <v>5484.6474958636045</v>
      </c>
      <c r="F75" s="289">
        <f si="116" t="shared"/>
        <v>1008.8853741920038</v>
      </c>
      <c r="G75" s="289">
        <f si="116" t="shared"/>
        <v>992.75379733949001</v>
      </c>
      <c r="H75" s="289">
        <f si="116" t="shared"/>
        <v>2617.0510308156577</v>
      </c>
      <c r="I75" s="289">
        <f si="116" t="shared"/>
        <v>10397.013459863723</v>
      </c>
      <c r="J75" s="289">
        <f si="116" t="shared"/>
        <v>167.99693361614067</v>
      </c>
      <c r="K75" s="289">
        <f si="116" t="shared"/>
        <v>126590.27378328187</v>
      </c>
      <c r="L75" s="289">
        <f si="116" t="shared"/>
        <v>796.04151230517311</v>
      </c>
      <c r="M75" s="289">
        <f si="116" t="shared"/>
        <v>8066.7476346838821</v>
      </c>
      <c r="N75" s="289">
        <f si="116" t="shared"/>
        <v>3445.4651235213396</v>
      </c>
      <c r="O75" s="289">
        <f si="116" t="shared"/>
        <v>809.8718922678114</v>
      </c>
      <c r="P75" s="289">
        <f si="116" t="shared"/>
        <v>0</v>
      </c>
      <c r="Q75" s="289">
        <f si="116" t="shared"/>
        <v>9318.8861305164428</v>
      </c>
      <c r="R75" s="289">
        <f si="116" t="shared"/>
        <v>278.0057162193653</v>
      </c>
      <c r="S75" s="289">
        <f si="116" t="shared"/>
        <v>0</v>
      </c>
      <c r="T75" s="289">
        <f si="116" t="shared"/>
        <v>1.3954345044302709</v>
      </c>
      <c r="U75" s="289">
        <f si="116" t="shared"/>
        <v>595.33546303843377</v>
      </c>
      <c r="V75" s="289">
        <f si="116" t="shared"/>
        <v>0</v>
      </c>
      <c r="W75" s="289"/>
      <c r="X75" s="289">
        <f si="96" t="shared"/>
        <v>178217.72633429506</v>
      </c>
      <c r="Z75">
        <v>9</v>
      </c>
      <c r="AA75" s="295">
        <f ref="AA75:AV75" si="117" t="shared">IF($AV$62&gt;0,AA49/$AV$62,0)</f>
        <v>1.9619286234424894E-3</v>
      </c>
      <c r="AB75" s="295">
        <f si="117" t="shared"/>
        <v>2.9795761427692928E-3</v>
      </c>
      <c r="AC75" s="295">
        <f si="117" t="shared"/>
        <v>1.9050995872224867E-3</v>
      </c>
      <c r="AD75" s="295">
        <f si="117" t="shared"/>
        <v>3.9524659416563198E-4</v>
      </c>
      <c r="AE75" s="295">
        <f si="117" t="shared"/>
        <v>4.1181633593364967E-4</v>
      </c>
      <c r="AF75" s="295">
        <f si="117" t="shared"/>
        <v>1.5361962934458545E-3</v>
      </c>
      <c r="AG75" s="295">
        <f si="117" t="shared"/>
        <v>5.7181466860338637E-3</v>
      </c>
      <c r="AH75" s="295">
        <f si="117" t="shared"/>
        <v>9.8026851201809531E-5</v>
      </c>
      <c r="AI75" s="295">
        <f si="117" t="shared"/>
        <v>5.2348701024479471E-2</v>
      </c>
      <c r="AJ75" s="295">
        <f si="117" t="shared"/>
        <v>2.1534191743045222E-4</v>
      </c>
      <c r="AK75" s="295">
        <f si="117" t="shared"/>
        <v>3.7450852673409675E-3</v>
      </c>
      <c r="AL75" s="295">
        <f si="117" t="shared"/>
        <v>1.6339318796556456E-3</v>
      </c>
      <c r="AM75" s="295">
        <f si="117" t="shared"/>
        <v>5.7450401536299819E-4</v>
      </c>
      <c r="AN75" s="295">
        <f si="117" t="shared"/>
        <v>2.0705704654644337E-4</v>
      </c>
      <c r="AO75" s="295">
        <f si="117" t="shared"/>
        <v>3.4600986540418151E-3</v>
      </c>
      <c r="AP75" s="295">
        <f si="117" t="shared"/>
        <v>5.3333856315807988E-5</v>
      </c>
      <c r="AQ75" s="295">
        <f si="117" t="shared"/>
        <v>2.3223528696737712E-4</v>
      </c>
      <c r="AR75" s="295">
        <f si="117" t="shared"/>
        <v>9.9547901715670625E-5</v>
      </c>
      <c r="AS75" s="295">
        <f si="117" t="shared"/>
        <v>7.5476468264397368E-4</v>
      </c>
      <c r="AT75" s="295">
        <f si="117" t="shared"/>
        <v>2.715236981126382E-5</v>
      </c>
      <c r="AU75" s="295">
        <f si="117" t="shared"/>
        <v>0</v>
      </c>
      <c r="AV75" s="295">
        <f si="117" t="shared"/>
        <v>7.8357791016526943E-2</v>
      </c>
      <c r="CU75">
        <v>74</v>
      </c>
      <c r="CV75">
        <f si="99" t="shared"/>
        <v>4</v>
      </c>
      <c r="CW75">
        <f si="88" t="shared"/>
        <v>14</v>
      </c>
      <c r="CX75" s="355" t="str">
        <f si="89" t="shared"/>
        <v>4_14</v>
      </c>
      <c r="CY75" s="246">
        <f si="84" t="shared"/>
        <v>0</v>
      </c>
      <c r="CZ75" s="246">
        <f si="85" t="shared"/>
        <v>1311.07142857143</v>
      </c>
      <c r="DA75" s="246">
        <f si="90" t="shared"/>
        <v>0</v>
      </c>
      <c r="DB75" s="246">
        <f si="91" t="shared"/>
        <v>1299.25</v>
      </c>
      <c r="DC75" s="301">
        <f si="92" t="shared"/>
        <v>1299.25</v>
      </c>
      <c r="DD75" s="302">
        <f si="93" t="shared"/>
        <v>0</v>
      </c>
      <c r="DE75" s="357">
        <f si="94" t="shared"/>
        <v>0</v>
      </c>
    </row>
    <row r="76" spans="2:110" x14ac:dyDescent="0.25">
      <c r="B76">
        <v>10</v>
      </c>
      <c r="C76" s="289">
        <f ref="C76:V76" si="118" t="shared">C50*$AV$62/$X$62</f>
        <v>2027.821768893305</v>
      </c>
      <c r="D76" s="289">
        <f si="118" t="shared"/>
        <v>18.390596659724693</v>
      </c>
      <c r="E76" s="289">
        <f si="118" t="shared"/>
        <v>1187.6983290149142</v>
      </c>
      <c r="F76" s="289">
        <f si="118" t="shared"/>
        <v>1425.5877397168385</v>
      </c>
      <c r="G76" s="289">
        <f si="118" t="shared"/>
        <v>6100.0648068858873</v>
      </c>
      <c r="H76" s="289">
        <f si="118" t="shared"/>
        <v>6288.6093680413951</v>
      </c>
      <c r="I76" s="289">
        <f si="118" t="shared"/>
        <v>936.98917777417478</v>
      </c>
      <c r="J76" s="289">
        <f si="118" t="shared"/>
        <v>0</v>
      </c>
      <c r="K76" s="289">
        <f si="118" t="shared"/>
        <v>807.9478990059348</v>
      </c>
      <c r="L76" s="289">
        <f si="118" t="shared"/>
        <v>38651.428432770583</v>
      </c>
      <c r="M76" s="289">
        <f si="118" t="shared"/>
        <v>575.852389331621</v>
      </c>
      <c r="N76" s="289">
        <f si="118" t="shared"/>
        <v>6951.8955236350575</v>
      </c>
      <c r="O76" s="289">
        <f si="118" t="shared"/>
        <v>367.04779787262981</v>
      </c>
      <c r="P76" s="289">
        <f si="118" t="shared"/>
        <v>148.3613361699984</v>
      </c>
      <c r="Q76" s="289">
        <f si="118" t="shared"/>
        <v>118.42156598792317</v>
      </c>
      <c r="R76" s="289">
        <f si="118" t="shared"/>
        <v>9361.0213959108805</v>
      </c>
      <c r="S76" s="289">
        <f si="118" t="shared"/>
        <v>0</v>
      </c>
      <c r="T76" s="289">
        <f si="118" t="shared"/>
        <v>0</v>
      </c>
      <c r="U76" s="289">
        <f si="118" t="shared"/>
        <v>1.2750691753010786</v>
      </c>
      <c r="V76" s="289">
        <f si="118" t="shared"/>
        <v>0</v>
      </c>
      <c r="W76" s="289"/>
      <c r="X76" s="289">
        <f si="96" t="shared"/>
        <v>74968.413196846173</v>
      </c>
      <c r="Z76">
        <v>10</v>
      </c>
      <c r="AA76" s="295">
        <f ref="AA76:AV76" si="119" t="shared">IF($AV$62&gt;0,AA50/$AV$62,0)</f>
        <v>1.4973609611770606E-3</v>
      </c>
      <c r="AB76" s="295">
        <f si="119" t="shared"/>
        <v>2.8586040827520052E-4</v>
      </c>
      <c r="AC76" s="295">
        <f si="119" t="shared"/>
        <v>5.0068452127540321E-4</v>
      </c>
      <c r="AD76" s="295">
        <f si="119" t="shared"/>
        <v>7.1434357430754183E-4</v>
      </c>
      <c r="AE76" s="295">
        <f si="119" t="shared"/>
        <v>2.2896988277910945E-3</v>
      </c>
      <c r="AF76" s="295">
        <f si="119" t="shared"/>
        <v>3.2836244316570454E-3</v>
      </c>
      <c r="AG76" s="295">
        <f si="119" t="shared"/>
        <v>2.7912895068194361E-4</v>
      </c>
      <c r="AH76" s="295">
        <f si="119" t="shared"/>
        <v>8.362541548546591E-5</v>
      </c>
      <c r="AI76" s="295">
        <f si="119" t="shared"/>
        <v>2.3145858032200115E-4</v>
      </c>
      <c r="AJ76" s="295">
        <f si="119" t="shared"/>
        <v>1.55863340666415E-2</v>
      </c>
      <c r="AK76" s="295">
        <f si="119" t="shared"/>
        <v>2.0327060165023606E-4</v>
      </c>
      <c r="AL76" s="295">
        <f si="119" t="shared"/>
        <v>2.8494777796688421E-3</v>
      </c>
      <c r="AM76" s="295">
        <f si="119" t="shared"/>
        <v>4.0291657228871821E-5</v>
      </c>
      <c r="AN76" s="295">
        <f si="119" t="shared"/>
        <v>1.3417607298867675E-4</v>
      </c>
      <c r="AO76" s="295">
        <f si="119" t="shared"/>
        <v>3.8738243938120152E-5</v>
      </c>
      <c r="AP76" s="295">
        <f si="119" t="shared"/>
        <v>3.0221655571574016E-3</v>
      </c>
      <c r="AQ76" s="295">
        <f si="119" t="shared"/>
        <v>5.7767556749828292E-5</v>
      </c>
      <c r="AR76" s="295">
        <f si="119" t="shared"/>
        <v>7.9062263943882643E-5</v>
      </c>
      <c r="AS76" s="295">
        <f si="119" t="shared"/>
        <v>7.0324314183404553E-5</v>
      </c>
      <c r="AT76" s="295">
        <f si="119" t="shared"/>
        <v>5.0421206395648318E-5</v>
      </c>
      <c r="AU76" s="295">
        <f si="119" t="shared"/>
        <v>0</v>
      </c>
      <c r="AV76" s="295">
        <f si="119" t="shared"/>
        <v>3.1297814991519166E-2</v>
      </c>
      <c r="CU76">
        <v>75</v>
      </c>
      <c r="CV76">
        <f si="99" t="shared"/>
        <v>4</v>
      </c>
      <c r="CW76">
        <f si="88" t="shared"/>
        <v>15</v>
      </c>
      <c r="CX76" s="355" t="str">
        <f si="89" t="shared"/>
        <v>4_15</v>
      </c>
      <c r="CY76" s="246">
        <f si="84" t="shared"/>
        <v>93.070200489775729</v>
      </c>
      <c r="CZ76" s="246">
        <f si="85" t="shared"/>
        <v>158.28571428571399</v>
      </c>
      <c r="DA76" s="246">
        <f si="90" t="shared"/>
        <v>88.164747173362045</v>
      </c>
      <c r="DB76" s="246">
        <f si="91" t="shared"/>
        <v>159.0714285714285</v>
      </c>
      <c r="DC76" s="301">
        <f si="92" t="shared"/>
        <v>70.906681398066453</v>
      </c>
      <c r="DD76" s="302">
        <f si="93" t="shared"/>
        <v>0.76186234718443457</v>
      </c>
      <c r="DE76" s="357">
        <f si="94" t="shared"/>
        <v>0.55424627769513657</v>
      </c>
    </row>
    <row r="77" spans="2:110" x14ac:dyDescent="0.25">
      <c r="B77">
        <v>11</v>
      </c>
      <c r="C77" s="289">
        <f ref="C77:V77" si="120" t="shared">C51*$AV$62/$X$62</f>
        <v>1315.79819576201</v>
      </c>
      <c r="D77" s="289">
        <f si="120" t="shared"/>
        <v>624.84312460033914</v>
      </c>
      <c r="E77" s="289">
        <f si="120" t="shared"/>
        <v>12277.407855700798</v>
      </c>
      <c r="F77" s="289">
        <f si="120" t="shared"/>
        <v>2818.3669041744129</v>
      </c>
      <c r="G77" s="289">
        <f si="120" t="shared"/>
        <v>1459.8394976660286</v>
      </c>
      <c r="H77" s="289">
        <f si="120" t="shared"/>
        <v>917.16305337853396</v>
      </c>
      <c r="I77" s="289">
        <f si="120" t="shared"/>
        <v>759.15695460255745</v>
      </c>
      <c r="J77" s="289">
        <f si="120" t="shared"/>
        <v>2782.2725288787674</v>
      </c>
      <c r="K77" s="289">
        <f si="120" t="shared"/>
        <v>7970.3587640567239</v>
      </c>
      <c r="L77" s="289">
        <f si="120" t="shared"/>
        <v>555.40677681509362</v>
      </c>
      <c r="M77" s="289">
        <f si="120" t="shared"/>
        <v>118034.19635728835</v>
      </c>
      <c r="N77" s="289">
        <f si="120" t="shared"/>
        <v>0</v>
      </c>
      <c r="O77" s="289">
        <f si="120" t="shared"/>
        <v>0</v>
      </c>
      <c r="P77" s="289">
        <f si="120" t="shared"/>
        <v>0</v>
      </c>
      <c r="Q77" s="289">
        <f si="120" t="shared"/>
        <v>0</v>
      </c>
      <c r="R77" s="289">
        <f si="120" t="shared"/>
        <v>94.385046932869599</v>
      </c>
      <c r="S77" s="289">
        <f si="120" t="shared"/>
        <v>5219.0492970661326</v>
      </c>
      <c r="T77" s="289">
        <f si="120" t="shared"/>
        <v>0</v>
      </c>
      <c r="U77" s="289">
        <f si="120" t="shared"/>
        <v>16278.043065089661</v>
      </c>
      <c r="V77" s="289">
        <f si="120" t="shared"/>
        <v>0</v>
      </c>
      <c r="W77" s="289"/>
      <c r="X77" s="289">
        <f si="96" t="shared"/>
        <v>171106.2874220123</v>
      </c>
      <c r="Z77">
        <v>11</v>
      </c>
      <c r="AA77" s="295">
        <f ref="AA77:AV77" si="121" t="shared">IF($AV$62&gt;0,AA51/$AV$62,0)</f>
        <v>2.1086614538647413E-3</v>
      </c>
      <c r="AB77" s="295">
        <f si="121" t="shared"/>
        <v>4.5689768414233875E-4</v>
      </c>
      <c r="AC77" s="295">
        <f si="121" t="shared"/>
        <v>6.1376006373137027E-3</v>
      </c>
      <c r="AD77" s="295">
        <f si="121" t="shared"/>
        <v>1.0903019534463385E-3</v>
      </c>
      <c r="AE77" s="295">
        <f si="121" t="shared"/>
        <v>5.1929311798753336E-4</v>
      </c>
      <c r="AF77" s="295">
        <f si="121" t="shared"/>
        <v>1.0241200747049379E-3</v>
      </c>
      <c r="AG77" s="295">
        <f si="121" t="shared"/>
        <v>3.412007567582297E-4</v>
      </c>
      <c r="AH77" s="295">
        <f si="121" t="shared"/>
        <v>6.5845305861736859E-4</v>
      </c>
      <c r="AI77" s="295">
        <f si="121" t="shared"/>
        <v>3.7236287462624612E-3</v>
      </c>
      <c r="AJ77" s="295">
        <f si="121" t="shared"/>
        <v>2.0624797712417699E-4</v>
      </c>
      <c r="AK77" s="295">
        <f si="121" t="shared"/>
        <v>5.0148096921468363E-2</v>
      </c>
      <c r="AL77" s="295">
        <f si="121" t="shared"/>
        <v>4.7311143536456213E-4</v>
      </c>
      <c r="AM77" s="295">
        <f si="121" t="shared"/>
        <v>6.5631711534258768E-5</v>
      </c>
      <c r="AN77" s="295">
        <f si="121" t="shared"/>
        <v>1.3430876037392838E-3</v>
      </c>
      <c r="AO77" s="295">
        <f si="121" t="shared"/>
        <v>2.5255911085471128E-4</v>
      </c>
      <c r="AP77" s="295">
        <f si="121" t="shared"/>
        <v>3.2621679105785391E-5</v>
      </c>
      <c r="AQ77" s="295">
        <f si="121" t="shared"/>
        <v>2.7533926950804723E-3</v>
      </c>
      <c r="AR77" s="295">
        <f si="121" t="shared"/>
        <v>1.9255852249942765E-5</v>
      </c>
      <c r="AS77" s="295">
        <f si="121" t="shared"/>
        <v>6.6453078811743648E-3</v>
      </c>
      <c r="AT77" s="295">
        <f si="121" t="shared"/>
        <v>1.0712079150808476E-5</v>
      </c>
      <c r="AU77" s="295">
        <f si="121" t="shared"/>
        <v>0</v>
      </c>
      <c r="AV77" s="295">
        <f si="121" t="shared"/>
        <v>7.8010182429944369E-2</v>
      </c>
      <c r="CU77">
        <v>76</v>
      </c>
      <c r="CV77">
        <f si="99" t="shared"/>
        <v>4</v>
      </c>
      <c r="CW77">
        <f si="88" t="shared"/>
        <v>16</v>
      </c>
      <c r="CX77" s="355" t="str">
        <f si="89" t="shared"/>
        <v>4_16</v>
      </c>
      <c r="CY77" s="246">
        <f si="84" t="shared"/>
        <v>176.63504284803491</v>
      </c>
      <c r="CZ77" s="246">
        <f si="85" t="shared"/>
        <v>376.28571428571399</v>
      </c>
      <c r="DA77" s="246">
        <f si="90" t="shared"/>
        <v>174.84585564182649</v>
      </c>
      <c r="DB77" s="246">
        <f si="91" t="shared"/>
        <v>372.6785714285715</v>
      </c>
      <c r="DC77" s="301">
        <f si="92" t="shared"/>
        <v>197.83271578674501</v>
      </c>
      <c r="DD77" s="302">
        <f si="93" t="shared"/>
        <v>1.1200083097720714</v>
      </c>
      <c r="DE77" s="357">
        <f si="94" t="shared"/>
        <v>0.46915993847351611</v>
      </c>
    </row>
    <row r="78" spans="2:110" x14ac:dyDescent="0.25">
      <c r="B78">
        <v>12</v>
      </c>
      <c r="C78" s="289">
        <f ref="C78:V78" si="122" t="shared">C52*$AV$62/$X$62</f>
        <v>237.61962698596653</v>
      </c>
      <c r="D78" s="289">
        <f si="122" t="shared"/>
        <v>0</v>
      </c>
      <c r="E78" s="289">
        <f si="122" t="shared"/>
        <v>2128.9219138832109</v>
      </c>
      <c r="F78" s="289">
        <f si="122" t="shared"/>
        <v>0</v>
      </c>
      <c r="G78" s="289">
        <f si="122" t="shared"/>
        <v>1074.8024896380814</v>
      </c>
      <c r="H78" s="289">
        <f si="122" t="shared"/>
        <v>9766.5904539068379</v>
      </c>
      <c r="I78" s="289">
        <f si="122" t="shared"/>
        <v>18888.445629892227</v>
      </c>
      <c r="J78" s="289">
        <f si="122" t="shared"/>
        <v>0</v>
      </c>
      <c r="K78" s="289">
        <f si="122" t="shared"/>
        <v>3478.3879842853153</v>
      </c>
      <c r="L78" s="289">
        <f si="122" t="shared"/>
        <v>6947.1759725164457</v>
      </c>
      <c r="M78" s="289">
        <f si="122" t="shared"/>
        <v>0</v>
      </c>
      <c r="N78" s="289">
        <f si="122" t="shared"/>
        <v>297893.39063680155</v>
      </c>
      <c r="O78" s="289">
        <f si="122" t="shared"/>
        <v>46.923746860304483</v>
      </c>
      <c r="P78" s="289">
        <f si="122" t="shared"/>
        <v>0</v>
      </c>
      <c r="Q78" s="289">
        <f si="122" t="shared"/>
        <v>0</v>
      </c>
      <c r="R78" s="289">
        <f si="122" t="shared"/>
        <v>4015.326549058093</v>
      </c>
      <c r="S78" s="289">
        <f si="122" t="shared"/>
        <v>0</v>
      </c>
      <c r="T78" s="289">
        <f si="122" t="shared"/>
        <v>15750.620284239265</v>
      </c>
      <c r="U78" s="289">
        <f si="122" t="shared"/>
        <v>73.41423502222851</v>
      </c>
      <c r="V78" s="289">
        <f si="122" t="shared"/>
        <v>0</v>
      </c>
      <c r="W78" s="289"/>
      <c r="X78" s="289">
        <f si="96" t="shared"/>
        <v>360301.61952308944</v>
      </c>
      <c r="Z78">
        <v>12</v>
      </c>
      <c r="AA78" s="295">
        <f ref="AA78:AV78" si="123" t="shared">IF($AV$62&gt;0,AA52/$AV$62,0)</f>
        <v>2.7911600557118709E-3</v>
      </c>
      <c r="AB78" s="295">
        <f si="123" t="shared"/>
        <v>2.7093793185091726E-3</v>
      </c>
      <c r="AC78" s="295">
        <f si="123" t="shared"/>
        <v>1.119428452647935E-3</v>
      </c>
      <c r="AD78" s="295">
        <f si="123" t="shared"/>
        <v>5.7291823929535583E-4</v>
      </c>
      <c r="AE78" s="295">
        <f si="123" t="shared"/>
        <v>1.0826967008770352E-3</v>
      </c>
      <c r="AF78" s="295">
        <f si="123" t="shared"/>
        <v>6.7082858450035901E-3</v>
      </c>
      <c r="AG78" s="295">
        <f si="123" t="shared"/>
        <v>1.0463759563726454E-2</v>
      </c>
      <c r="AH78" s="295">
        <f si="123" t="shared"/>
        <v>8.0906942226650463E-5</v>
      </c>
      <c r="AI78" s="295">
        <f si="123" t="shared"/>
        <v>1.725777440471341E-3</v>
      </c>
      <c r="AJ78" s="295">
        <f si="123" t="shared"/>
        <v>3.0109356735763446E-3</v>
      </c>
      <c r="AK78" s="295">
        <f si="123" t="shared"/>
        <v>4.934676220287867E-4</v>
      </c>
      <c r="AL78" s="295">
        <f si="123" t="shared"/>
        <v>0.12593544202067747</v>
      </c>
      <c r="AM78" s="295">
        <f si="123" t="shared"/>
        <v>1.2954819589331222E-3</v>
      </c>
      <c r="AN78" s="295">
        <f si="123" t="shared"/>
        <v>1.5631221238188831E-4</v>
      </c>
      <c r="AO78" s="295">
        <f si="123" t="shared"/>
        <v>2.8404809276932354E-4</v>
      </c>
      <c r="AP78" s="295">
        <f si="123" t="shared"/>
        <v>1.5714069947028904E-3</v>
      </c>
      <c r="AQ78" s="295">
        <f si="123" t="shared"/>
        <v>1.0857711646816459E-4</v>
      </c>
      <c r="AR78" s="295">
        <f si="123" t="shared"/>
        <v>5.6062038407690374E-3</v>
      </c>
      <c r="AS78" s="295">
        <f si="123" t="shared"/>
        <v>1.7760691957594268E-4</v>
      </c>
      <c r="AT78" s="295">
        <f si="123" t="shared"/>
        <v>1.667200814299248E-3</v>
      </c>
      <c r="AU78" s="295">
        <f si="123" t="shared"/>
        <v>0</v>
      </c>
      <c r="AV78" s="295">
        <f si="123" t="shared"/>
        <v>0.16756099582465162</v>
      </c>
      <c r="CU78">
        <v>77</v>
      </c>
      <c r="CV78">
        <f si="99" t="shared"/>
        <v>4</v>
      </c>
      <c r="CW78">
        <f si="88" t="shared"/>
        <v>17</v>
      </c>
      <c r="CX78" s="355" t="str">
        <f si="89" t="shared"/>
        <v>4_17</v>
      </c>
      <c r="CY78" s="246">
        <f si="84" t="shared"/>
        <v>0</v>
      </c>
      <c r="CZ78" s="246">
        <f si="85" t="shared"/>
        <v>512.357142857143</v>
      </c>
      <c r="DA78" s="246">
        <f si="90" t="shared"/>
        <v>0</v>
      </c>
      <c r="DB78" s="246">
        <f si="91" t="shared"/>
        <v>521.57142857142844</v>
      </c>
      <c r="DC78" s="301">
        <f si="92" t="shared"/>
        <v>521.57142857142844</v>
      </c>
      <c r="DD78" s="302">
        <f si="93" t="shared"/>
        <v>0</v>
      </c>
      <c r="DE78" s="357">
        <f si="94" t="shared"/>
        <v>0</v>
      </c>
    </row>
    <row r="79" spans="2:110" x14ac:dyDescent="0.25">
      <c r="B79">
        <v>13</v>
      </c>
      <c r="C79" s="289">
        <f ref="C79:V79" si="124" t="shared">C53*$AV$62/$X$62</f>
        <v>902.5170455102126</v>
      </c>
      <c r="D79" s="289">
        <f si="124" t="shared"/>
        <v>20.108529593583086</v>
      </c>
      <c r="E79" s="289">
        <f si="124" t="shared"/>
        <v>677.24219675062182</v>
      </c>
      <c r="F79" s="289">
        <f si="124" t="shared"/>
        <v>380.02170621119058</v>
      </c>
      <c r="G79" s="289">
        <f si="124" t="shared"/>
        <v>447.24497024860921</v>
      </c>
      <c r="H79" s="289">
        <f si="124" t="shared"/>
        <v>1386.6112099068421</v>
      </c>
      <c r="I79" s="289">
        <f si="124" t="shared"/>
        <v>18836.349038516011</v>
      </c>
      <c r="J79" s="289">
        <f si="124" t="shared"/>
        <v>132.28896033190674</v>
      </c>
      <c r="K79" s="289">
        <f si="124" t="shared"/>
        <v>922.6574849128798</v>
      </c>
      <c r="L79" s="289">
        <f si="124" t="shared"/>
        <v>362.85445910963784</v>
      </c>
      <c r="M79" s="289">
        <f si="124" t="shared"/>
        <v>0</v>
      </c>
      <c r="N79" s="289">
        <f si="124" t="shared"/>
        <v>0</v>
      </c>
      <c r="O79" s="289">
        <f si="124" t="shared"/>
        <v>245034.39877904631</v>
      </c>
      <c r="P79" s="289">
        <f si="124" t="shared"/>
        <v>95.218306554091413</v>
      </c>
      <c r="Q79" s="289">
        <f si="124" t="shared"/>
        <v>6580.459773953502</v>
      </c>
      <c r="R79" s="289">
        <f si="124" t="shared"/>
        <v>0</v>
      </c>
      <c r="S79" s="289">
        <f si="124" t="shared"/>
        <v>0</v>
      </c>
      <c r="T79" s="289">
        <f si="124" t="shared"/>
        <v>8584.3233209207465</v>
      </c>
      <c r="U79" s="289">
        <f si="124" t="shared"/>
        <v>0</v>
      </c>
      <c r="V79" s="289">
        <f si="124" t="shared"/>
        <v>0</v>
      </c>
      <c r="W79" s="289"/>
      <c r="X79" s="289">
        <f si="96" t="shared"/>
        <v>284362.29578156612</v>
      </c>
      <c r="Z79">
        <v>13</v>
      </c>
      <c r="AA79" s="295">
        <f ref="AA79:AV79" si="125" t="shared">IF($AV$62&gt;0,AA53/$AV$62,0)</f>
        <v>1.2948347033953095E-4</v>
      </c>
      <c r="AB79" s="295">
        <f si="125" t="shared"/>
        <v>1.1996881393367689E-4</v>
      </c>
      <c r="AC79" s="295">
        <f si="125" t="shared"/>
        <v>8.9483078102675203E-5</v>
      </c>
      <c r="AD79" s="295">
        <f si="125" t="shared"/>
        <v>2.8285067002436922E-5</v>
      </c>
      <c r="AE79" s="295">
        <f si="125" t="shared"/>
        <v>4.5534427085158771E-5</v>
      </c>
      <c r="AF79" s="295">
        <f si="125" t="shared"/>
        <v>1.5844815565667201E-4</v>
      </c>
      <c r="AG79" s="295">
        <f si="125" t="shared"/>
        <v>6.3920691520049366E-3</v>
      </c>
      <c r="AH79" s="295">
        <f si="125" t="shared"/>
        <v>6.3754670474600539E-6</v>
      </c>
      <c r="AI79" s="295">
        <f si="125" t="shared"/>
        <v>5.6832272497688084E-4</v>
      </c>
      <c r="AJ79" s="295">
        <f si="125" t="shared"/>
        <v>3.6116859009976673E-5</v>
      </c>
      <c r="AK79" s="295">
        <f si="125" t="shared"/>
        <v>6.66025948409785E-5</v>
      </c>
      <c r="AL79" s="295">
        <f si="125" t="shared"/>
        <v>1.1481665985268407E-3</v>
      </c>
      <c r="AM79" s="295">
        <f si="125" t="shared"/>
        <v>0.10538702046172181</v>
      </c>
      <c r="AN79" s="295">
        <f si="125" t="shared"/>
        <v>8.4466847684622688E-6</v>
      </c>
      <c r="AO79" s="295">
        <f si="125" t="shared"/>
        <v>3.3641430205610095E-3</v>
      </c>
      <c r="AP79" s="295">
        <f si="125" t="shared"/>
        <v>3.656993788644591E-5</v>
      </c>
      <c r="AQ79" s="295">
        <f si="125" t="shared"/>
        <v>1.4401435716343754E-5</v>
      </c>
      <c r="AR79" s="295">
        <f si="125" t="shared"/>
        <v>4.5149633667928828E-3</v>
      </c>
      <c r="AS79" s="295">
        <f si="125" t="shared"/>
        <v>9.3690239098460885E-5</v>
      </c>
      <c r="AT79" s="295">
        <f si="125" t="shared"/>
        <v>2.1252635584096514E-4</v>
      </c>
      <c r="AU79" s="295">
        <f si="125" t="shared"/>
        <v>0</v>
      </c>
      <c r="AV79" s="295">
        <f si="125" t="shared"/>
        <v>0.1224206179109136</v>
      </c>
      <c r="CU79">
        <v>78</v>
      </c>
      <c r="CV79">
        <f si="99" t="shared"/>
        <v>4</v>
      </c>
      <c r="CW79">
        <f si="88" t="shared"/>
        <v>18</v>
      </c>
      <c r="CX79" s="355" t="str">
        <f si="89" t="shared"/>
        <v>4_18</v>
      </c>
      <c r="CY79" s="246">
        <f si="84" t="shared"/>
        <v>0</v>
      </c>
      <c r="CZ79" s="246">
        <f si="85" t="shared"/>
        <v>101.428571428571</v>
      </c>
      <c r="DA79" s="246">
        <f si="90" t="shared"/>
        <v>0</v>
      </c>
      <c r="DB79" s="246">
        <f si="91" t="shared"/>
        <v>105.392857142857</v>
      </c>
      <c r="DC79" s="301">
        <f si="92" t="shared"/>
        <v>105.392857142857</v>
      </c>
      <c r="DD79" s="302">
        <f si="93" t="shared"/>
        <v>0</v>
      </c>
      <c r="DE79" s="357">
        <f si="94" t="shared"/>
        <v>0</v>
      </c>
    </row>
    <row r="80" spans="2:110" x14ac:dyDescent="0.25">
      <c r="B80">
        <v>14</v>
      </c>
      <c r="C80" s="289">
        <f ref="C80:V80" si="126" t="shared">C54*$AV$62/$X$62</f>
        <v>0</v>
      </c>
      <c r="D80" s="289">
        <f si="126" t="shared"/>
        <v>0</v>
      </c>
      <c r="E80" s="289">
        <f si="126" t="shared"/>
        <v>0</v>
      </c>
      <c r="F80" s="289">
        <f si="126" t="shared"/>
        <v>0</v>
      </c>
      <c r="G80" s="289">
        <f si="126" t="shared"/>
        <v>193.36741632988782</v>
      </c>
      <c r="H80" s="289">
        <f si="126" t="shared"/>
        <v>0</v>
      </c>
      <c r="I80" s="289">
        <f si="126" t="shared"/>
        <v>0</v>
      </c>
      <c r="J80" s="289">
        <f si="126" t="shared"/>
        <v>655.39098708364099</v>
      </c>
      <c r="K80" s="289">
        <f si="126" t="shared"/>
        <v>0</v>
      </c>
      <c r="L80" s="289">
        <f si="126" t="shared"/>
        <v>153.140242440333</v>
      </c>
      <c r="M80" s="289">
        <f si="126" t="shared"/>
        <v>0</v>
      </c>
      <c r="N80" s="289">
        <f si="126" t="shared"/>
        <v>0</v>
      </c>
      <c r="O80" s="289">
        <f si="126" t="shared"/>
        <v>93.627004626314033</v>
      </c>
      <c r="P80" s="289">
        <f si="126" t="shared"/>
        <v>53696.734353672764</v>
      </c>
      <c r="Q80" s="289">
        <f si="126" t="shared"/>
        <v>0</v>
      </c>
      <c r="R80" s="289">
        <f si="126" t="shared"/>
        <v>29.019918718980946</v>
      </c>
      <c r="S80" s="289">
        <f si="126" t="shared"/>
        <v>1982.3835005116418</v>
      </c>
      <c r="T80" s="289">
        <f si="126" t="shared"/>
        <v>0</v>
      </c>
      <c r="U80" s="289">
        <f si="126" t="shared"/>
        <v>0</v>
      </c>
      <c r="V80" s="289">
        <f si="126" t="shared"/>
        <v>0</v>
      </c>
      <c r="W80" s="289"/>
      <c r="X80" s="289">
        <f si="96" t="shared"/>
        <v>56803.663423383558</v>
      </c>
      <c r="Z80">
        <v>14</v>
      </c>
      <c r="AA80" s="295">
        <f ref="AA80:AV80" si="127" t="shared">IF($AV$62&gt;0,AA54/$AV$62,0)</f>
        <v>6.6550814397953314E-4</v>
      </c>
      <c r="AB80" s="295">
        <f si="127" t="shared"/>
        <v>8.0680402788415841E-5</v>
      </c>
      <c r="AC80" s="295">
        <f si="127" t="shared"/>
        <v>8.0262922966526133E-4</v>
      </c>
      <c r="AD80" s="295">
        <f si="127" t="shared"/>
        <v>5.8330669067725716E-4</v>
      </c>
      <c r="AE80" s="295">
        <f si="127" t="shared"/>
        <v>2.6090870729250187E-4</v>
      </c>
      <c r="AF80" s="295">
        <f si="127" t="shared"/>
        <v>4.0592631053954951E-4</v>
      </c>
      <c r="AG80" s="295">
        <f si="127" t="shared"/>
        <v>6.155400164603559E-5</v>
      </c>
      <c r="AH80" s="295">
        <f si="127" t="shared"/>
        <v>2.2061705006362975E-4</v>
      </c>
      <c r="AI80" s="295">
        <f si="127" t="shared"/>
        <v>2.0479165216409715E-4</v>
      </c>
      <c r="AJ80" s="295">
        <f si="127" t="shared"/>
        <v>1.2822132204079535E-4</v>
      </c>
      <c r="AK80" s="295">
        <f si="127" t="shared"/>
        <v>1.2409506798723613E-3</v>
      </c>
      <c r="AL80" s="295">
        <f si="127" t="shared"/>
        <v>1.4407908271721879E-4</v>
      </c>
      <c r="AM80" s="295">
        <f si="127" t="shared"/>
        <v>1.0453176935683229E-5</v>
      </c>
      <c r="AN80" s="295">
        <f si="127" t="shared"/>
        <v>1.9815566476266713E-2</v>
      </c>
      <c r="AO80" s="295">
        <f si="127" t="shared"/>
        <v>1.0647353597027175E-5</v>
      </c>
      <c r="AP80" s="295">
        <f si="127" t="shared"/>
        <v>7.5405270155237852E-6</v>
      </c>
      <c r="AQ80" s="295">
        <f si="127" t="shared"/>
        <v>1.1129558972698005E-3</v>
      </c>
      <c r="AR80" s="295">
        <f si="127" t="shared"/>
        <v>2.5890221512528068E-6</v>
      </c>
      <c r="AS80" s="295">
        <f si="127" t="shared"/>
        <v>1.9540644686580561E-4</v>
      </c>
      <c r="AT80" s="295">
        <f si="127" t="shared"/>
        <v>0</v>
      </c>
      <c r="AU80" s="295">
        <f si="127" t="shared"/>
        <v>0</v>
      </c>
      <c r="AV80" s="295">
        <f si="127" t="shared"/>
        <v>2.595433217354846E-2</v>
      </c>
      <c r="CU80">
        <v>79</v>
      </c>
      <c r="CV80">
        <f si="99" t="shared"/>
        <v>4</v>
      </c>
      <c r="CW80">
        <f si="88" t="shared"/>
        <v>19</v>
      </c>
      <c r="CX80" s="355" t="str">
        <f si="89" t="shared"/>
        <v>4_19</v>
      </c>
      <c r="CY80" s="246">
        <f si="84" t="shared"/>
        <v>258.02667495897441</v>
      </c>
      <c r="CZ80" s="246">
        <f si="85" t="shared"/>
        <v>596.42857142857099</v>
      </c>
      <c r="DA80" s="246">
        <f si="90" t="shared"/>
        <v>255.04573820296247</v>
      </c>
      <c r="DB80" s="246">
        <f si="91" t="shared"/>
        <v>611.42857142857099</v>
      </c>
      <c r="DC80" s="301">
        <f si="92" t="shared"/>
        <v>356.38283322560852</v>
      </c>
      <c r="DD80" s="302">
        <f si="93" t="shared"/>
        <v>1.381186008315894</v>
      </c>
      <c r="DE80" s="357">
        <f si="94" t="shared"/>
        <v>0.41713088023849032</v>
      </c>
    </row>
    <row r="81" spans="2:109" x14ac:dyDescent="0.25">
      <c r="B81">
        <v>15</v>
      </c>
      <c r="C81" s="289">
        <f ref="C81:V81" si="128" t="shared">C55*$AV$62/$X$62</f>
        <v>287.47863774205643</v>
      </c>
      <c r="D81" s="289">
        <f si="128" t="shared"/>
        <v>51.555209459771163</v>
      </c>
      <c r="E81" s="289">
        <f si="128" t="shared"/>
        <v>289.28462140140806</v>
      </c>
      <c r="F81" s="289">
        <f si="128" t="shared"/>
        <v>83.259293856948361</v>
      </c>
      <c r="G81" s="289">
        <f si="128" t="shared"/>
        <v>54.44115836916891</v>
      </c>
      <c r="H81" s="289">
        <f si="128" t="shared"/>
        <v>0</v>
      </c>
      <c r="I81" s="289">
        <f si="128" t="shared"/>
        <v>0</v>
      </c>
      <c r="J81" s="289">
        <f si="128" t="shared"/>
        <v>24.212390782303572</v>
      </c>
      <c r="K81" s="289">
        <f si="128" t="shared"/>
        <v>8958.855059736723</v>
      </c>
      <c r="L81" s="289">
        <f si="128" t="shared"/>
        <v>117.54558833017852</v>
      </c>
      <c r="M81" s="289">
        <f si="128" t="shared"/>
        <v>0</v>
      </c>
      <c r="N81" s="289">
        <f si="128" t="shared"/>
        <v>0</v>
      </c>
      <c r="O81" s="289">
        <f si="128" t="shared"/>
        <v>6286.5920406839441</v>
      </c>
      <c r="P81" s="289">
        <f si="128" t="shared"/>
        <v>0</v>
      </c>
      <c r="Q81" s="289">
        <f si="128" t="shared"/>
        <v>70213.482994787657</v>
      </c>
      <c r="R81" s="289">
        <f si="128" t="shared"/>
        <v>14.228676171406958</v>
      </c>
      <c r="S81" s="289">
        <f si="128" t="shared"/>
        <v>0</v>
      </c>
      <c r="T81" s="289">
        <f si="128" t="shared"/>
        <v>52.084159421023955</v>
      </c>
      <c r="U81" s="289">
        <f si="128" t="shared"/>
        <v>0</v>
      </c>
      <c r="V81" s="289">
        <f si="128" t="shared"/>
        <v>0</v>
      </c>
      <c r="W81" s="289"/>
      <c r="X81" s="289">
        <f si="96" t="shared"/>
        <v>86433.019830742589</v>
      </c>
      <c r="Z81">
        <v>15</v>
      </c>
      <c r="AA81" s="295">
        <f ref="AA81:AV81" si="129" t="shared">IF($AV$62&gt;0,AA55/$AV$62,0)</f>
        <v>3.1592542800662384E-4</v>
      </c>
      <c r="AB81" s="295">
        <f si="129" t="shared"/>
        <v>1.6382037662052168E-4</v>
      </c>
      <c r="AC81" s="295">
        <f si="129" t="shared"/>
        <v>2.1530955465356183E-4</v>
      </c>
      <c r="AD81" s="295">
        <f si="129" t="shared"/>
        <v>7.2427894681297394E-5</v>
      </c>
      <c r="AE81" s="295">
        <f si="129" t="shared"/>
        <v>7.6796869561536439E-5</v>
      </c>
      <c r="AF81" s="295">
        <f si="129" t="shared"/>
        <v>2.1058458922752519E-4</v>
      </c>
      <c r="AG81" s="295">
        <f si="129" t="shared"/>
        <v>7.7534740874643287E-4</v>
      </c>
      <c r="AH81" s="295">
        <f si="129" t="shared"/>
        <v>7.3787131310705109E-6</v>
      </c>
      <c r="AI81" s="295">
        <f si="129" t="shared"/>
        <v>3.4056644633117276E-3</v>
      </c>
      <c r="AJ81" s="295">
        <f si="129" t="shared"/>
        <v>3.6796477324680532E-5</v>
      </c>
      <c r="AK81" s="295">
        <f si="129" t="shared"/>
        <v>2.4116741338919899E-4</v>
      </c>
      <c r="AL81" s="295">
        <f si="129" t="shared"/>
        <v>2.4621600658414193E-4</v>
      </c>
      <c r="AM81" s="295">
        <f si="129" t="shared"/>
        <v>3.2358893357433229E-3</v>
      </c>
      <c r="AN81" s="295">
        <f si="129" t="shared"/>
        <v>1.0938618589043096E-5</v>
      </c>
      <c r="AO81" s="295">
        <f si="129" t="shared"/>
        <v>2.8372187597826573E-2</v>
      </c>
      <c r="AP81" s="295">
        <f si="129" t="shared"/>
        <v>6.2783787167880805E-6</v>
      </c>
      <c r="AQ81" s="295">
        <f si="129" t="shared"/>
        <v>2.1618334962960945E-5</v>
      </c>
      <c r="AR81" s="295">
        <f si="129" t="shared"/>
        <v>4.2427600503655379E-5</v>
      </c>
      <c r="AS81" s="295">
        <f si="129" t="shared"/>
        <v>7.6194921911370357E-4</v>
      </c>
      <c r="AT81" s="295">
        <f si="129" t="shared"/>
        <v>6.8285459239292957E-6</v>
      </c>
      <c r="AU81" s="295">
        <f si="129" t="shared"/>
        <v>0</v>
      </c>
      <c r="AV81" s="295">
        <f si="129" t="shared"/>
        <v>3.8225552826618305E-2</v>
      </c>
      <c r="CU81">
        <v>80</v>
      </c>
      <c r="CV81">
        <f si="99" t="shared"/>
        <v>4</v>
      </c>
      <c r="CW81">
        <f si="88" t="shared"/>
        <v>20</v>
      </c>
      <c r="CX81" s="355" t="str">
        <f si="89" t="shared"/>
        <v>4_20</v>
      </c>
      <c r="CY81" s="246">
        <f si="84" t="shared"/>
        <v>0</v>
      </c>
      <c r="CZ81" s="246">
        <f si="85" t="shared"/>
        <v>50.928571428571402</v>
      </c>
      <c r="DA81" s="246">
        <f si="90" t="shared"/>
        <v>0</v>
      </c>
      <c r="DB81" s="246">
        <f si="91" t="shared"/>
        <v>54.928571428571402</v>
      </c>
      <c r="DC81" s="301">
        <f si="92" t="shared"/>
        <v>54.928571428571402</v>
      </c>
      <c r="DD81" s="302">
        <f si="93" t="shared"/>
        <v>0</v>
      </c>
      <c r="DE81" s="357">
        <f si="94" t="shared"/>
        <v>0</v>
      </c>
    </row>
    <row r="82" spans="2:109" x14ac:dyDescent="0.25">
      <c r="B82">
        <v>16</v>
      </c>
      <c r="C82" s="289">
        <f ref="C82:V82" si="130" t="shared">C56*$AV$62/$X$62</f>
        <v>473.37172763810537</v>
      </c>
      <c r="D82" s="289">
        <f si="130" t="shared"/>
        <v>115.64014202084344</v>
      </c>
      <c r="E82" s="289">
        <f si="130" t="shared"/>
        <v>102.51586404583213</v>
      </c>
      <c r="F82" s="289">
        <f si="130" t="shared"/>
        <v>173.05666843561806</v>
      </c>
      <c r="G82" s="289">
        <f si="130" t="shared"/>
        <v>591.30615085961176</v>
      </c>
      <c r="H82" s="289">
        <f si="130" t="shared"/>
        <v>1137.5119127894993</v>
      </c>
      <c r="I82" s="289">
        <f si="130" t="shared"/>
        <v>0</v>
      </c>
      <c r="J82" s="289">
        <f si="130" t="shared"/>
        <v>0</v>
      </c>
      <c r="K82" s="289">
        <f si="130" t="shared"/>
        <v>271.87972505849024</v>
      </c>
      <c r="L82" s="289">
        <f si="130" t="shared"/>
        <v>9044.7365177430802</v>
      </c>
      <c r="M82" s="289">
        <f si="130" t="shared"/>
        <v>92.025242521195892</v>
      </c>
      <c r="N82" s="289">
        <f si="130" t="shared"/>
        <v>3761.1278366587458</v>
      </c>
      <c r="O82" s="289">
        <f si="130" t="shared"/>
        <v>0</v>
      </c>
      <c r="P82" s="289">
        <f si="130" t="shared"/>
        <v>29.588982144237225</v>
      </c>
      <c r="Q82" s="289">
        <f si="130" t="shared"/>
        <v>14.517197608786478</v>
      </c>
      <c r="R82" s="289">
        <f si="130" t="shared"/>
        <v>16138.55151078607</v>
      </c>
      <c r="S82" s="289">
        <f si="130" t="shared"/>
        <v>0</v>
      </c>
      <c r="T82" s="289">
        <f si="130" t="shared"/>
        <v>232.43958763732527</v>
      </c>
      <c r="U82" s="289">
        <f si="130" t="shared"/>
        <v>0</v>
      </c>
      <c r="V82" s="289">
        <f si="130" t="shared"/>
        <v>0</v>
      </c>
      <c r="W82" s="289"/>
      <c r="X82" s="289">
        <f si="96" t="shared"/>
        <v>32178.269065947439</v>
      </c>
      <c r="Z82">
        <v>16</v>
      </c>
      <c r="AA82" s="295">
        <f ref="AA82:AV82" si="131" t="shared">IF($AV$62&gt;0,AA56/$AV$62,0)</f>
        <v>4.172532824512806E-4</v>
      </c>
      <c r="AB82" s="295">
        <f si="131" t="shared"/>
        <v>6.7055673717447743E-5</v>
      </c>
      <c r="AC82" s="295">
        <f si="131" t="shared"/>
        <v>1.4424089660167215E-4</v>
      </c>
      <c r="AD82" s="295">
        <f si="131" t="shared"/>
        <v>1.6721846819404097E-4</v>
      </c>
      <c r="AE82" s="295">
        <f si="131" t="shared"/>
        <v>3.6000353013170325E-4</v>
      </c>
      <c r="AF82" s="295">
        <f si="131" t="shared"/>
        <v>6.1249791543263187E-4</v>
      </c>
      <c r="AG82" s="295">
        <f si="131" t="shared"/>
        <v>7.0097774745169931E-5</v>
      </c>
      <c r="AH82" s="295">
        <f si="131" t="shared"/>
        <v>1.1003344142824443E-5</v>
      </c>
      <c r="AI82" s="295">
        <f si="131" t="shared"/>
        <v>5.7023212881343175E-5</v>
      </c>
      <c r="AJ82" s="295">
        <f si="131" t="shared"/>
        <v>3.002618439915446E-3</v>
      </c>
      <c r="AK82" s="295">
        <f si="131" t="shared"/>
        <v>3.1132991368815015E-5</v>
      </c>
      <c r="AL82" s="295">
        <f si="131" t="shared"/>
        <v>1.3973923433618146E-3</v>
      </c>
      <c r="AM82" s="295">
        <f si="131" t="shared"/>
        <v>3.6343398448211288E-5</v>
      </c>
      <c r="AN82" s="295">
        <f si="131" t="shared"/>
        <v>7.8317920075397519E-6</v>
      </c>
      <c r="AO82" s="295">
        <f si="131" t="shared"/>
        <v>5.0162304180523292E-6</v>
      </c>
      <c r="AP82" s="295">
        <f si="131" t="shared"/>
        <v>6.2666310287767578E-3</v>
      </c>
      <c r="AQ82" s="295">
        <f si="131" t="shared"/>
        <v>2.9773754739407295E-6</v>
      </c>
      <c r="AR82" s="295">
        <f si="131" t="shared"/>
        <v>1.4064862836680862E-4</v>
      </c>
      <c r="AS82" s="295">
        <f si="131" t="shared"/>
        <v>9.4175680751820974E-6</v>
      </c>
      <c r="AT82" s="295">
        <f si="131" t="shared"/>
        <v>1.1928919561897302E-4</v>
      </c>
      <c r="AU82" s="295">
        <f si="131" t="shared"/>
        <v>0</v>
      </c>
      <c r="AV82" s="295">
        <f si="131" t="shared"/>
        <v>1.2925693090129656E-2</v>
      </c>
      <c r="CU82">
        <v>81</v>
      </c>
      <c r="CV82">
        <f si="99" t="shared"/>
        <v>5</v>
      </c>
      <c r="CW82">
        <f si="88" t="shared"/>
        <v>1</v>
      </c>
      <c r="CX82" s="355" t="str">
        <f si="89" t="shared"/>
        <v>1_5</v>
      </c>
      <c r="CY82" s="246">
        <f si="84" t="shared"/>
        <v>3184.3751232602331</v>
      </c>
      <c r="CZ82" s="246">
        <f si="85" t="shared"/>
        <v>4672.0714285714303</v>
      </c>
      <c r="DA82" s="246">
        <f si="90" t="shared"/>
        <v>3243.0963212930506</v>
      </c>
      <c r="DB82" s="246">
        <f si="91" t="shared"/>
        <v>4709.8571428571449</v>
      </c>
      <c r="DC82" s="301">
        <f si="92" t="shared"/>
        <v>1466.7608215640944</v>
      </c>
      <c r="DD82" s="302">
        <f si="93" t="shared"/>
        <v>0.46061182014962876</v>
      </c>
      <c r="DE82" s="357">
        <f si="94" t="shared"/>
        <v>0.68857636716464998</v>
      </c>
    </row>
    <row r="83" spans="2:109" x14ac:dyDescent="0.25">
      <c r="B83">
        <v>17</v>
      </c>
      <c r="C83" s="289">
        <f ref="C83:V83" si="132" t="shared">C57*$AV$62/$X$62</f>
        <v>0</v>
      </c>
      <c r="D83" s="289">
        <f si="132" t="shared"/>
        <v>0</v>
      </c>
      <c r="E83" s="289">
        <f si="132" t="shared"/>
        <v>0</v>
      </c>
      <c r="F83" s="289">
        <f si="132" t="shared"/>
        <v>0</v>
      </c>
      <c r="G83" s="289">
        <f si="132" t="shared"/>
        <v>34.174130013872919</v>
      </c>
      <c r="H83" s="289">
        <f si="132" t="shared"/>
        <v>0</v>
      </c>
      <c r="I83" s="289">
        <f si="132" t="shared"/>
        <v>0</v>
      </c>
      <c r="J83" s="289">
        <f si="132" t="shared"/>
        <v>0</v>
      </c>
      <c r="K83" s="289">
        <f si="132" t="shared"/>
        <v>0</v>
      </c>
      <c r="L83" s="289">
        <f si="132" t="shared"/>
        <v>0</v>
      </c>
      <c r="M83" s="289">
        <f si="132" t="shared"/>
        <v>4915.9912187417913</v>
      </c>
      <c r="N83" s="289">
        <f si="132" t="shared"/>
        <v>0</v>
      </c>
      <c r="O83" s="289">
        <f si="132" t="shared"/>
        <v>0</v>
      </c>
      <c r="P83" s="289">
        <f si="132" t="shared"/>
        <v>1980.5155443784624</v>
      </c>
      <c r="Q83" s="289">
        <f si="132" t="shared"/>
        <v>0</v>
      </c>
      <c r="R83" s="289">
        <f si="132" t="shared"/>
        <v>0</v>
      </c>
      <c r="S83" s="289">
        <f si="132" t="shared"/>
        <v>31225.381148375323</v>
      </c>
      <c r="T83" s="289">
        <f si="132" t="shared"/>
        <v>0</v>
      </c>
      <c r="U83" s="289">
        <f si="132" t="shared"/>
        <v>3626.3820581669556</v>
      </c>
      <c r="V83" s="289">
        <f si="132" t="shared"/>
        <v>0</v>
      </c>
      <c r="W83" s="289"/>
      <c r="X83" s="289">
        <f si="96" t="shared"/>
        <v>41782.44409967641</v>
      </c>
      <c r="Z83">
        <v>17</v>
      </c>
      <c r="AA83" s="295">
        <f ref="AA83:AV83" si="133" t="shared">IF($AV$62&gt;0,AA57/$AV$62,0)</f>
        <v>4.4123410012725998E-4</v>
      </c>
      <c r="AB83" s="295">
        <f si="133" t="shared"/>
        <v>5.4563641837652748E-5</v>
      </c>
      <c r="AC83" s="295">
        <f si="133" t="shared"/>
        <v>6.6670556672448892E-4</v>
      </c>
      <c r="AD83" s="295">
        <f si="133" t="shared"/>
        <v>2.4048779507449512E-4</v>
      </c>
      <c r="AE83" s="295">
        <f si="133" t="shared"/>
        <v>1.3608547682522582E-4</v>
      </c>
      <c r="AF83" s="295">
        <f si="133" t="shared"/>
        <v>2.3977581398290087E-4</v>
      </c>
      <c r="AG83" s="295">
        <f si="133" t="shared"/>
        <v>4.8252900343974219E-5</v>
      </c>
      <c r="AH83" s="295">
        <f si="133" t="shared"/>
        <v>4.3139581595249914E-5</v>
      </c>
      <c r="AI83" s="295">
        <f si="133" t="shared"/>
        <v>2.1388559247037284E-4</v>
      </c>
      <c r="AJ83" s="295">
        <f si="133" t="shared"/>
        <v>5.1812805801946901E-5</v>
      </c>
      <c r="AK83" s="295">
        <f si="133" t="shared"/>
        <v>2.5728407628074794E-3</v>
      </c>
      <c r="AL83" s="295">
        <f si="133" t="shared"/>
        <v>1.0249291441272069E-4</v>
      </c>
      <c r="AM83" s="295">
        <f si="133" t="shared"/>
        <v>1.4207259054999807E-5</v>
      </c>
      <c r="AN83" s="295">
        <f si="133" t="shared"/>
        <v>1.073602760570759E-3</v>
      </c>
      <c r="AO83" s="295">
        <f si="133" t="shared"/>
        <v>2.3268836584384634E-5</v>
      </c>
      <c r="AP83" s="295">
        <f si="133" t="shared"/>
        <v>2.783198812596768E-6</v>
      </c>
      <c r="AQ83" s="295">
        <f si="133" t="shared"/>
        <v>1.0564051809310636E-2</v>
      </c>
      <c r="AR83" s="295">
        <f si="133" t="shared"/>
        <v>1.7152271752049876E-6</v>
      </c>
      <c r="AS83" s="295">
        <f si="133" t="shared"/>
        <v>2.7110621829074888E-3</v>
      </c>
      <c r="AT83" s="295">
        <f si="133" t="shared"/>
        <v>2.2653943823462076E-7</v>
      </c>
      <c r="AU83" s="295">
        <f si="133" t="shared"/>
        <v>0</v>
      </c>
      <c r="AV83" s="295">
        <f si="133" t="shared"/>
        <v>1.9202194765858074E-2</v>
      </c>
      <c r="CU83">
        <v>82</v>
      </c>
      <c r="CV83">
        <f si="99" t="shared"/>
        <v>5</v>
      </c>
      <c r="CW83">
        <f si="88" t="shared"/>
        <v>2</v>
      </c>
      <c r="CX83" s="355" t="str">
        <f si="89" t="shared"/>
        <v>2_5</v>
      </c>
      <c r="CY83" s="246">
        <f si="84" t="shared"/>
        <v>259.13488861445006</v>
      </c>
      <c r="CZ83" s="246">
        <f si="85" t="shared"/>
        <v>1014.28571428571</v>
      </c>
      <c r="DA83" s="246">
        <f si="90" t="shared"/>
        <v>244.81225399141726</v>
      </c>
      <c r="DB83" s="246">
        <f si="91" t="shared"/>
        <v>979.03571428571195</v>
      </c>
      <c r="DC83" s="301">
        <f si="92" t="shared"/>
        <v>734.22346029429468</v>
      </c>
      <c r="DD83" s="302">
        <f si="93" t="shared"/>
        <v>2.8333639835996687</v>
      </c>
      <c r="DE83" s="357">
        <f si="94" t="shared"/>
        <v>0.2500544672877722</v>
      </c>
    </row>
    <row r="84" spans="2:109" x14ac:dyDescent="0.25">
      <c r="B84">
        <v>18</v>
      </c>
      <c r="C84" s="289">
        <f ref="C84:V84" si="134" t="shared">C58*$AV$62/$X$62</f>
        <v>78.924798496323817</v>
      </c>
      <c r="D84" s="289">
        <f si="134" t="shared"/>
        <v>0</v>
      </c>
      <c r="E84" s="289">
        <f si="134" t="shared"/>
        <v>126.279323096765</v>
      </c>
      <c r="F84" s="289">
        <f si="134" t="shared"/>
        <v>0</v>
      </c>
      <c r="G84" s="289">
        <f si="134" t="shared"/>
        <v>43.503910764872536</v>
      </c>
      <c r="H84" s="289">
        <f si="134" t="shared"/>
        <v>0</v>
      </c>
      <c r="I84" s="289">
        <f si="134" t="shared"/>
        <v>1075.2914544115756</v>
      </c>
      <c r="J84" s="289">
        <f si="134" t="shared"/>
        <v>0</v>
      </c>
      <c r="K84" s="289">
        <f si="134" t="shared"/>
        <v>0</v>
      </c>
      <c r="L84" s="289">
        <f si="134" t="shared"/>
        <v>1.0314590921360949</v>
      </c>
      <c r="M84" s="289">
        <f si="134" t="shared"/>
        <v>0</v>
      </c>
      <c r="N84" s="289">
        <f si="134" t="shared"/>
        <v>14877.229131394453</v>
      </c>
      <c r="O84" s="289">
        <f si="134" t="shared"/>
        <v>8323.6866326829531</v>
      </c>
      <c r="P84" s="289">
        <f si="134" t="shared"/>
        <v>0</v>
      </c>
      <c r="Q84" s="289">
        <f si="134" t="shared"/>
        <v>63.309193910396125</v>
      </c>
      <c r="R84" s="289">
        <f si="134" t="shared"/>
        <v>231.81788436179991</v>
      </c>
      <c r="S84" s="289">
        <f si="134" t="shared"/>
        <v>0</v>
      </c>
      <c r="T84" s="289">
        <f si="134" t="shared"/>
        <v>53751.881467584739</v>
      </c>
      <c r="U84" s="289">
        <f si="134" t="shared"/>
        <v>39.18462610018824</v>
      </c>
      <c r="V84" s="289">
        <f si="134" t="shared"/>
        <v>8827.5343688063967</v>
      </c>
      <c r="W84" s="289"/>
      <c r="X84" s="289">
        <f si="96" t="shared"/>
        <v>87439.674250702621</v>
      </c>
      <c r="Z84">
        <v>18</v>
      </c>
      <c r="AA84" s="295">
        <f ref="AA84:AV84" si="135" t="shared">IF($AV$62&gt;0,AA58/$AV$62,0)</f>
        <v>1.872833898662501E-4</v>
      </c>
      <c r="AB84" s="295">
        <f si="135" t="shared"/>
        <v>7.2201355243062772E-5</v>
      </c>
      <c r="AC84" s="295">
        <f si="135" t="shared"/>
        <v>9.4596396851399358E-5</v>
      </c>
      <c r="AD84" s="295">
        <f si="135" t="shared"/>
        <v>4.9547411419600691E-5</v>
      </c>
      <c r="AE84" s="295">
        <f si="135" t="shared"/>
        <v>6.9709421422481933E-5</v>
      </c>
      <c r="AF84" s="295">
        <f si="135" t="shared"/>
        <v>2.1653934017540658E-4</v>
      </c>
      <c r="AG84" s="295">
        <f si="135" t="shared"/>
        <v>6.0437485843307687E-4</v>
      </c>
      <c r="AH84" s="295">
        <f si="135" t="shared"/>
        <v>2.2006688285648888E-6</v>
      </c>
      <c r="AI84" s="295">
        <f si="135" t="shared"/>
        <v>9.5858545150135431E-5</v>
      </c>
      <c r="AJ84" s="295">
        <f si="135" t="shared"/>
        <v>7.0000686414497813E-5</v>
      </c>
      <c r="AK84" s="295">
        <f si="135" t="shared"/>
        <v>2.2524492715899429E-5</v>
      </c>
      <c r="AL84" s="295">
        <f si="135" t="shared"/>
        <v>5.0419588256803982E-3</v>
      </c>
      <c r="AM84" s="295">
        <f si="135" t="shared"/>
        <v>4.2909482251557345E-3</v>
      </c>
      <c r="AN84" s="295">
        <f si="135" t="shared"/>
        <v>2.5242965974714877E-6</v>
      </c>
      <c r="AO84" s="295">
        <f si="135" t="shared"/>
        <v>4.5372613200705408E-5</v>
      </c>
      <c r="AP84" s="295">
        <f si="135" t="shared"/>
        <v>1.5022801032644442E-4</v>
      </c>
      <c r="AQ84" s="295">
        <f si="135" t="shared"/>
        <v>1.6181388445330047E-6</v>
      </c>
      <c r="AR84" s="295">
        <f si="135" t="shared"/>
        <v>2.4428233066492503E-2</v>
      </c>
      <c r="AS84" s="295">
        <f si="135" t="shared"/>
        <v>4.4660632109110962E-6</v>
      </c>
      <c r="AT84" s="295">
        <f si="135" t="shared"/>
        <v>4.2338602867206098E-3</v>
      </c>
      <c r="AU84" s="295">
        <f si="135" t="shared"/>
        <v>0</v>
      </c>
      <c r="AV84" s="295">
        <f si="135" t="shared"/>
        <v>3.9684046092749684E-2</v>
      </c>
      <c r="CU84">
        <v>83</v>
      </c>
      <c r="CV84">
        <f si="99" t="shared"/>
        <v>5</v>
      </c>
      <c r="CW84">
        <f si="88" t="shared"/>
        <v>3</v>
      </c>
      <c r="CX84" s="355" t="str">
        <f si="89" t="shared"/>
        <v>3_5</v>
      </c>
      <c r="CY84" s="246">
        <f si="84" t="shared"/>
        <v>2466.3644175691275</v>
      </c>
      <c r="CZ84" s="246">
        <f si="85" t="shared"/>
        <v>2422.4285714285702</v>
      </c>
      <c r="DA84" s="246">
        <f si="90" t="shared"/>
        <v>2475.3296734697014</v>
      </c>
      <c r="DB84" s="246">
        <f si="91" t="shared"/>
        <v>2392.75</v>
      </c>
      <c r="DC84" s="301">
        <f si="92" t="shared"/>
        <v>-82.579673469701447</v>
      </c>
      <c r="DD84" s="302">
        <f si="93" t="shared"/>
        <v>-3.3482348707857525E-2</v>
      </c>
      <c r="DE84" s="357">
        <f si="94" t="shared"/>
        <v>1.0345124536494417</v>
      </c>
    </row>
    <row r="85" spans="2:109" x14ac:dyDescent="0.25">
      <c r="B85">
        <v>19</v>
      </c>
      <c r="C85" s="289">
        <f ref="C85:V85" si="136" t="shared">C59*$AV$62/$X$62</f>
        <v>439.04605068877754</v>
      </c>
      <c r="D85" s="289">
        <f si="136" t="shared"/>
        <v>194.46646367581585</v>
      </c>
      <c r="E85" s="289">
        <f si="136" t="shared"/>
        <v>773.30981330461475</v>
      </c>
      <c r="F85" s="289">
        <f si="136" t="shared"/>
        <v>252.06480144695055</v>
      </c>
      <c r="G85" s="289">
        <f si="136" t="shared"/>
        <v>162.56973014751006</v>
      </c>
      <c r="H85" s="289">
        <f si="136" t="shared"/>
        <v>589.33934370343547</v>
      </c>
      <c r="I85" s="289">
        <f si="136" t="shared"/>
        <v>0</v>
      </c>
      <c r="J85" s="289">
        <f si="136" t="shared"/>
        <v>142.03837565277641</v>
      </c>
      <c r="K85" s="289">
        <f si="136" t="shared"/>
        <v>550.7430171629353</v>
      </c>
      <c r="L85" s="289">
        <f si="136" t="shared"/>
        <v>0</v>
      </c>
      <c r="M85" s="289">
        <f si="136" t="shared"/>
        <v>15537.022607052979</v>
      </c>
      <c r="N85" s="289">
        <f si="136" t="shared"/>
        <v>55.6382084918584</v>
      </c>
      <c r="O85" s="289">
        <f si="136" t="shared"/>
        <v>0</v>
      </c>
      <c r="P85" s="289">
        <f si="136" t="shared"/>
        <v>0</v>
      </c>
      <c r="Q85" s="289">
        <f si="136" t="shared"/>
        <v>0</v>
      </c>
      <c r="R85" s="289">
        <f si="136" t="shared"/>
        <v>0</v>
      </c>
      <c r="S85" s="289">
        <f si="136" t="shared"/>
        <v>3758.924126875509</v>
      </c>
      <c r="T85" s="289">
        <f si="136" t="shared"/>
        <v>37.315587431591595</v>
      </c>
      <c r="U85" s="289">
        <f si="136" t="shared"/>
        <v>76347.273145808664</v>
      </c>
      <c r="V85" s="289">
        <f si="136" t="shared"/>
        <v>0</v>
      </c>
      <c r="W85" s="289"/>
      <c r="X85" s="289">
        <f si="96" t="shared"/>
        <v>98839.751271443412</v>
      </c>
      <c r="Z85">
        <v>19</v>
      </c>
      <c r="AA85" s="295">
        <f ref="AA85:AV85" si="137" t="shared">IF($AV$62&gt;0,AA59/$AV$62,0)</f>
        <v>5.6877580385335008E-4</v>
      </c>
      <c r="AB85" s="295">
        <f si="137" t="shared"/>
        <v>8.1392383880010105E-5</v>
      </c>
      <c r="AC85" s="295">
        <f si="137" t="shared"/>
        <v>8.7049397280497358E-4</v>
      </c>
      <c r="AD85" s="295">
        <f si="137" t="shared"/>
        <v>2.8382155333108892E-4</v>
      </c>
      <c r="AE85" s="295">
        <f si="137" t="shared"/>
        <v>1.5922486230204752E-4</v>
      </c>
      <c r="AF85" s="295">
        <f si="137" t="shared"/>
        <v>2.8168561005630571E-4</v>
      </c>
      <c r="AG85" s="295">
        <f si="137" t="shared"/>
        <v>1.1064833418916704E-4</v>
      </c>
      <c r="AH85" s="295">
        <f si="137" t="shared"/>
        <v>3.653757510955524E-5</v>
      </c>
      <c r="AI85" s="295">
        <f si="137" t="shared"/>
        <v>7.476772345049224E-4</v>
      </c>
      <c r="AJ85" s="295">
        <f si="137" t="shared"/>
        <v>7.0745030282982923E-5</v>
      </c>
      <c r="AK85" s="295">
        <f si="137" t="shared"/>
        <v>6.4068913038208657E-3</v>
      </c>
      <c r="AL85" s="295">
        <f si="137" t="shared"/>
        <v>1.5621512405121621E-4</v>
      </c>
      <c r="AM85" s="295">
        <f si="137" t="shared"/>
        <v>9.116594250098966E-5</v>
      </c>
      <c r="AN85" s="295">
        <f si="137" t="shared"/>
        <v>1.9265561083009976E-4</v>
      </c>
      <c r="AO85" s="295">
        <f si="137" t="shared"/>
        <v>7.4055742358897529E-4</v>
      </c>
      <c r="AP85" s="295">
        <f si="137" t="shared"/>
        <v>6.7638203701479499E-6</v>
      </c>
      <c r="AQ85" s="295">
        <f si="137" t="shared"/>
        <v>2.7251076280780354E-3</v>
      </c>
      <c r="AR85" s="295">
        <f si="137" t="shared"/>
        <v>3.8188076730978932E-6</v>
      </c>
      <c r="AS85" s="295">
        <f si="137" t="shared"/>
        <v>3.3425667572080056E-2</v>
      </c>
      <c r="AT85" s="295">
        <f si="137" t="shared"/>
        <v>2.2653943823462076E-7</v>
      </c>
      <c r="AU85" s="295">
        <f si="137" t="shared"/>
        <v>0</v>
      </c>
      <c r="AV85" s="295">
        <f si="137" t="shared"/>
        <v>4.6960072132746125E-2</v>
      </c>
      <c r="CU85">
        <v>84</v>
      </c>
      <c r="CV85">
        <f si="99" t="shared"/>
        <v>5</v>
      </c>
      <c r="CW85">
        <f si="88" t="shared"/>
        <v>4</v>
      </c>
      <c r="CX85" s="355" t="str">
        <f si="89" t="shared"/>
        <v>4_5</v>
      </c>
      <c r="CY85" s="246">
        <f si="84" t="shared"/>
        <v>5178.1129055585661</v>
      </c>
      <c r="CZ85" s="246">
        <f si="85" t="shared"/>
        <v>3347.7857142857101</v>
      </c>
      <c r="DA85" s="246">
        <f si="90" t="shared"/>
        <v>5131.6380253711695</v>
      </c>
      <c r="DB85" s="246">
        <f si="91" t="shared"/>
        <v>3331.3214285714248</v>
      </c>
      <c r="DC85" s="301">
        <f si="92" t="shared"/>
        <v>-1800.3165967997447</v>
      </c>
      <c r="DD85" s="302">
        <f si="93" t="shared"/>
        <v>-0.34767812707736689</v>
      </c>
      <c r="DE85" s="357">
        <f si="94" t="shared"/>
        <v>1.5404211618125896</v>
      </c>
    </row>
    <row r="86" spans="2:109" x14ac:dyDescent="0.25">
      <c r="B86">
        <v>20</v>
      </c>
      <c r="C86" s="289">
        <f ref="C86:V86" si="138" t="shared">C60*$AV$62/$X$62</f>
        <v>0</v>
      </c>
      <c r="D86" s="289">
        <f si="138" t="shared"/>
        <v>0</v>
      </c>
      <c r="E86" s="289">
        <f si="138" t="shared"/>
        <v>0</v>
      </c>
      <c r="F86" s="289">
        <f si="138" t="shared"/>
        <v>0</v>
      </c>
      <c r="G86" s="289">
        <f si="138" t="shared"/>
        <v>0</v>
      </c>
      <c r="H86" s="289">
        <f si="138" t="shared"/>
        <v>0</v>
      </c>
      <c r="I86" s="289">
        <f si="138" t="shared"/>
        <v>0</v>
      </c>
      <c r="J86" s="289">
        <f si="138" t="shared"/>
        <v>0</v>
      </c>
      <c r="K86" s="289">
        <f si="138" t="shared"/>
        <v>0</v>
      </c>
      <c r="L86" s="289">
        <f si="138" t="shared"/>
        <v>0</v>
      </c>
      <c r="M86" s="289">
        <f si="138" t="shared"/>
        <v>0</v>
      </c>
      <c r="N86" s="289">
        <f si="138" t="shared"/>
        <v>0</v>
      </c>
      <c r="O86" s="289">
        <f si="138" t="shared"/>
        <v>0</v>
      </c>
      <c r="P86" s="289">
        <f si="138" t="shared"/>
        <v>0</v>
      </c>
      <c r="Q86" s="289">
        <f si="138" t="shared"/>
        <v>0</v>
      </c>
      <c r="R86" s="289">
        <f si="138" t="shared"/>
        <v>0</v>
      </c>
      <c r="S86" s="289">
        <f si="138" t="shared"/>
        <v>0</v>
      </c>
      <c r="T86" s="289">
        <f si="138" t="shared"/>
        <v>8604.208460917007</v>
      </c>
      <c r="U86" s="289">
        <f si="138" t="shared"/>
        <v>0</v>
      </c>
      <c r="V86" s="289">
        <f si="138" t="shared"/>
        <v>72130.422014518277</v>
      </c>
      <c r="W86" s="289"/>
      <c r="X86" s="289">
        <f si="96" t="shared"/>
        <v>80734.63047543529</v>
      </c>
      <c r="Z86">
        <v>20</v>
      </c>
      <c r="AA86" s="295">
        <f ref="AA86:AV86" si="139" t="shared">IF($AV$62&gt;0,AA60/$AV$62,0)</f>
        <v>9.0227421971160313E-5</v>
      </c>
      <c r="AB86" s="295">
        <f si="139" t="shared"/>
        <v>2.1035804978929059E-5</v>
      </c>
      <c r="AC86" s="295">
        <f si="139" t="shared"/>
        <v>3.6828840101571209E-5</v>
      </c>
      <c r="AD86" s="295">
        <f si="139" t="shared"/>
        <v>2.6699290934794576E-5</v>
      </c>
      <c r="AE86" s="295">
        <f si="139" t="shared"/>
        <v>3.5469603472163485E-5</v>
      </c>
      <c r="AF86" s="295">
        <f si="139" t="shared"/>
        <v>1.139817002089051E-4</v>
      </c>
      <c r="AG86" s="295">
        <f si="139" t="shared"/>
        <v>8.4563936015294796E-5</v>
      </c>
      <c r="AH86" s="295">
        <f si="139" t="shared"/>
        <v>6.7961831470386222E-7</v>
      </c>
      <c r="AI86" s="295">
        <f si="139" t="shared"/>
        <v>2.9741391962516618E-5</v>
      </c>
      <c r="AJ86" s="295">
        <f si="139" t="shared"/>
        <v>5.3948749076730595E-5</v>
      </c>
      <c r="AK86" s="295">
        <f si="139" t="shared"/>
        <v>1.1553511349965659E-5</v>
      </c>
      <c r="AL86" s="295">
        <f si="139" t="shared"/>
        <v>1.5122802013236543E-3</v>
      </c>
      <c r="AM86" s="295">
        <f si="139" t="shared"/>
        <v>2.0773666486114723E-4</v>
      </c>
      <c r="AN86" s="295">
        <f si="139" t="shared"/>
        <v>4.5307887646924151E-7</v>
      </c>
      <c r="AO86" s="295">
        <f si="139" t="shared"/>
        <v>1.0614990820136502E-5</v>
      </c>
      <c r="AP86" s="295">
        <f si="139" t="shared"/>
        <v>1.2139277611686586E-4</v>
      </c>
      <c r="AQ86" s="295">
        <f si="139" t="shared"/>
        <v>2.2653943823462076E-7</v>
      </c>
      <c r="AR86" s="295">
        <f si="139" t="shared"/>
        <v>4.1915945001014046E-3</v>
      </c>
      <c r="AS86" s="295">
        <f si="139" t="shared"/>
        <v>2.5890221512528063E-7</v>
      </c>
      <c r="AT86" s="295">
        <f si="139" t="shared"/>
        <v>3.1649371836882399E-2</v>
      </c>
      <c r="AU86" s="295">
        <f si="139" t="shared"/>
        <v>0</v>
      </c>
      <c r="AV86" s="295">
        <f si="139" t="shared"/>
        <v>3.8198659359022169E-2</v>
      </c>
      <c r="CU86">
        <v>85</v>
      </c>
      <c r="CV86">
        <f si="99" t="shared"/>
        <v>5</v>
      </c>
      <c r="CW86">
        <f si="88" t="shared"/>
        <v>5</v>
      </c>
      <c r="CX86" s="355" t="str">
        <f si="89" t="shared"/>
        <v>5_5</v>
      </c>
      <c r="CY86" s="246">
        <f si="84" t="shared"/>
        <v>14288.157322716741</v>
      </c>
      <c r="CZ86" s="246">
        <f si="85" t="shared"/>
        <v>7503.5</v>
      </c>
      <c r="DA86" s="246">
        <f si="90" t="shared"/>
        <v>14288.157322716741</v>
      </c>
      <c r="DB86" s="246">
        <f si="91" t="shared"/>
        <v>7503.5</v>
      </c>
      <c r="DC86" s="301">
        <f si="92" t="shared"/>
        <v>-6784.657322716741</v>
      </c>
      <c r="DD86" s="302">
        <f si="93" t="shared"/>
        <v>-0.47484480814960056</v>
      </c>
      <c r="DE86" s="357">
        <f si="94" t="shared"/>
        <v>1.904199016821049</v>
      </c>
    </row>
    <row r="87" spans="2:109" x14ac:dyDescent="0.25">
      <c r="B87" s="291" t="s">
        <v>13</v>
      </c>
      <c r="C87" s="289">
        <f ref="C87:V87" si="140" t="shared">C61*$AV$62/$X$62</f>
        <v>0</v>
      </c>
      <c r="D87" s="289">
        <f si="140" t="shared"/>
        <v>0</v>
      </c>
      <c r="E87" s="289">
        <f si="140" t="shared"/>
        <v>0</v>
      </c>
      <c r="F87" s="289">
        <f si="140" t="shared"/>
        <v>0</v>
      </c>
      <c r="G87" s="289">
        <f si="140" t="shared"/>
        <v>0</v>
      </c>
      <c r="H87" s="289">
        <f si="140" t="shared"/>
        <v>0</v>
      </c>
      <c r="I87" s="289">
        <f si="140" t="shared"/>
        <v>0</v>
      </c>
      <c r="J87" s="289">
        <f si="140" t="shared"/>
        <v>0</v>
      </c>
      <c r="K87" s="289">
        <f si="140" t="shared"/>
        <v>0</v>
      </c>
      <c r="L87" s="289">
        <f si="140" t="shared"/>
        <v>0</v>
      </c>
      <c r="M87" s="289">
        <f si="140" t="shared"/>
        <v>0</v>
      </c>
      <c r="N87" s="289">
        <f si="140" t="shared"/>
        <v>0</v>
      </c>
      <c r="O87" s="289">
        <f si="140" t="shared"/>
        <v>0</v>
      </c>
      <c r="P87" s="289">
        <f si="140" t="shared"/>
        <v>0</v>
      </c>
      <c r="Q87" s="289">
        <f si="140" t="shared"/>
        <v>0</v>
      </c>
      <c r="R87" s="289">
        <f si="140" t="shared"/>
        <v>0</v>
      </c>
      <c r="S87" s="289">
        <f si="140" t="shared"/>
        <v>0</v>
      </c>
      <c r="T87" s="289">
        <f si="140" t="shared"/>
        <v>0</v>
      </c>
      <c r="U87" s="289">
        <f si="140" t="shared"/>
        <v>0</v>
      </c>
      <c r="V87" s="289">
        <f si="140" t="shared"/>
        <v>0</v>
      </c>
      <c r="W87" s="289"/>
      <c r="X87" s="289">
        <f si="96" t="shared"/>
        <v>0</v>
      </c>
      <c r="Z87" s="291" t="s">
        <v>13</v>
      </c>
      <c r="AA87" s="296">
        <f ref="AA87:AV87" si="141" t="shared">IF($AV$62&gt;0,AA61/$AV$62,0)</f>
        <v>0</v>
      </c>
      <c r="AB87" s="296">
        <f si="141" t="shared"/>
        <v>0</v>
      </c>
      <c r="AC87" s="296">
        <f si="141" t="shared"/>
        <v>0</v>
      </c>
      <c r="AD87" s="296">
        <f si="141" t="shared"/>
        <v>0</v>
      </c>
      <c r="AE87" s="296">
        <f si="141" t="shared"/>
        <v>0</v>
      </c>
      <c r="AF87" s="296">
        <f si="141" t="shared"/>
        <v>0</v>
      </c>
      <c r="AG87" s="296">
        <f si="141" t="shared"/>
        <v>0</v>
      </c>
      <c r="AH87" s="296">
        <f si="141" t="shared"/>
        <v>0</v>
      </c>
      <c r="AI87" s="296">
        <f si="141" t="shared"/>
        <v>0</v>
      </c>
      <c r="AJ87" s="296">
        <f si="141" t="shared"/>
        <v>0</v>
      </c>
      <c r="AK87" s="296">
        <f si="141" t="shared"/>
        <v>0</v>
      </c>
      <c r="AL87" s="296">
        <f si="141" t="shared"/>
        <v>0</v>
      </c>
      <c r="AM87" s="296">
        <f si="141" t="shared"/>
        <v>0</v>
      </c>
      <c r="AN87" s="296">
        <f si="141" t="shared"/>
        <v>0</v>
      </c>
      <c r="AO87" s="296">
        <f si="141" t="shared"/>
        <v>0</v>
      </c>
      <c r="AP87" s="296">
        <f si="141" t="shared"/>
        <v>0</v>
      </c>
      <c r="AQ87" s="296">
        <f si="141" t="shared"/>
        <v>0</v>
      </c>
      <c r="AR87" s="296">
        <f si="141" t="shared"/>
        <v>0</v>
      </c>
      <c r="AS87" s="296">
        <f si="141" t="shared"/>
        <v>0</v>
      </c>
      <c r="AT87" s="296">
        <f si="141" t="shared"/>
        <v>0</v>
      </c>
      <c r="AU87" s="296">
        <f si="141" t="shared"/>
        <v>0</v>
      </c>
      <c r="AV87" s="296">
        <f si="141" t="shared"/>
        <v>0</v>
      </c>
      <c r="CU87">
        <v>86</v>
      </c>
      <c r="CV87">
        <f si="99" t="shared"/>
        <v>5</v>
      </c>
      <c r="CW87">
        <f si="88" t="shared"/>
        <v>6</v>
      </c>
      <c r="CX87" s="355" t="str">
        <f si="89" t="shared"/>
        <v>5_6</v>
      </c>
      <c r="CY87" s="246">
        <f si="84" t="shared"/>
        <v>6542.6363053951973</v>
      </c>
      <c r="CZ87" s="246">
        <f si="85" t="shared"/>
        <v>7453.8571428571404</v>
      </c>
      <c r="DA87" s="246">
        <f si="90" t="shared"/>
        <v>6508.643233145307</v>
      </c>
      <c r="DB87" s="246">
        <f si="91" t="shared"/>
        <v>7528.6785714285706</v>
      </c>
      <c r="DC87" s="301">
        <f si="92" t="shared"/>
        <v>1020.0353382832636</v>
      </c>
      <c r="DD87" s="302">
        <f si="93" t="shared"/>
        <v>0.15590585975902721</v>
      </c>
      <c r="DE87" s="357">
        <f si="94" t="shared"/>
        <v>0.86451336332058182</v>
      </c>
    </row>
    <row ht="15.75" r="88" spans="2:109" thickBot="1" x14ac:dyDescent="0.3">
      <c r="B88" s="1" t="s">
        <v>4</v>
      </c>
      <c r="C88" s="292">
        <f>SUM(C67:C87)</f>
        <v>77150.839711659879</v>
      </c>
      <c r="D88" s="292">
        <f ref="D88:W88" si="142" t="shared">SUM(D67:D87)</f>
        <v>36125.380352792337</v>
      </c>
      <c r="E88" s="292">
        <f si="142" t="shared"/>
        <v>115625.16136578795</v>
      </c>
      <c r="F88" s="292">
        <f si="142" t="shared"/>
        <v>44974.31572146072</v>
      </c>
      <c r="G88" s="292">
        <f si="142" t="shared"/>
        <v>45124.084177124983</v>
      </c>
      <c r="H88" s="292">
        <f si="142" t="shared"/>
        <v>97402.577094432927</v>
      </c>
      <c r="I88" s="292">
        <f si="142" t="shared"/>
        <v>227576.21938752756</v>
      </c>
      <c r="J88" s="292">
        <f si="142" t="shared"/>
        <v>8854.5191102372337</v>
      </c>
      <c r="K88" s="292">
        <f si="142" t="shared"/>
        <v>178339.37578469905</v>
      </c>
      <c r="L88" s="292">
        <f si="142" t="shared"/>
        <v>74445.935219788589</v>
      </c>
      <c r="M88" s="292">
        <f si="142" t="shared"/>
        <v>170228.86382158202</v>
      </c>
      <c r="N88" s="292">
        <f si="142" t="shared"/>
        <v>359110.21388508804</v>
      </c>
      <c r="O88" s="292">
        <f si="142" t="shared"/>
        <v>284099.50301989581</v>
      </c>
      <c r="P88" s="292">
        <f si="142" t="shared"/>
        <v>56840.328402213032</v>
      </c>
      <c r="Q88" s="292">
        <f si="142" t="shared"/>
        <v>87163.623155349022</v>
      </c>
      <c r="R88" s="292">
        <f si="142" t="shared"/>
        <v>32830.374074076099</v>
      </c>
      <c r="S88" s="292">
        <f si="142" t="shared"/>
        <v>42224.114813114633</v>
      </c>
      <c r="T88" s="292">
        <f si="142" t="shared"/>
        <v>88443.600878694313</v>
      </c>
      <c r="U88" s="292">
        <f si="142" t="shared"/>
        <v>99604.227926866355</v>
      </c>
      <c r="V88" s="292">
        <f si="142" t="shared"/>
        <v>80957.956383324679</v>
      </c>
      <c r="W88" s="292">
        <f si="142" t="shared"/>
        <v>0</v>
      </c>
      <c r="X88" s="292">
        <f si="96" t="shared"/>
        <v>2207121.214285715</v>
      </c>
      <c r="Z88" s="1" t="s">
        <v>4</v>
      </c>
      <c r="AA88" s="297">
        <f ref="AA88:AV88" si="143" t="shared">IF($AV$62&gt;0,AA62/$AV$62,0)</f>
        <v>4.1261472563954252E-2</v>
      </c>
      <c r="AB88" s="297">
        <f si="143" t="shared"/>
        <v>2.002194390449847E-2</v>
      </c>
      <c r="AC88" s="297">
        <f si="143" t="shared"/>
        <v>4.7293958901927093E-2</v>
      </c>
      <c r="AD88" s="297">
        <f si="143" t="shared"/>
        <v>1.8791737666553798E-2</v>
      </c>
      <c r="AE88" s="297">
        <f si="143" t="shared"/>
        <v>1.8015904816154026E-2</v>
      </c>
      <c r="AF88" s="297">
        <f si="143" t="shared"/>
        <v>4.6679033778227609E-2</v>
      </c>
      <c r="AG88" s="297">
        <f si="143" t="shared"/>
        <v>0.10026408996826075</v>
      </c>
      <c r="AH88" s="297">
        <f si="143" t="shared"/>
        <v>3.9925957850007396E-3</v>
      </c>
      <c r="AI88" s="297">
        <f si="143" t="shared"/>
        <v>7.9401620022358288E-2</v>
      </c>
      <c r="AJ88" s="297">
        <f si="143" t="shared"/>
        <v>3.196617105986508E-2</v>
      </c>
      <c r="AK88" s="297">
        <f si="143" t="shared"/>
        <v>7.8450057293442205E-2</v>
      </c>
      <c r="AL88" s="297">
        <f si="143" t="shared"/>
        <v>0.16703251167802716</v>
      </c>
      <c r="AM88" s="297">
        <f si="143" t="shared"/>
        <v>0.12249595845551504</v>
      </c>
      <c r="AN88" s="297">
        <f si="143" t="shared"/>
        <v>2.6300969876824329E-2</v>
      </c>
      <c r="AO88" s="297">
        <f si="143" t="shared"/>
        <v>3.8628631212791469E-2</v>
      </c>
      <c r="AP88" s="297">
        <f si="143" t="shared"/>
        <v>1.3407186484708894E-2</v>
      </c>
      <c r="AQ88" s="297">
        <f si="143" t="shared"/>
        <v>1.961404346456861E-2</v>
      </c>
      <c r="AR88" s="297">
        <f si="143" t="shared"/>
        <v>4.0540300443722747E-2</v>
      </c>
      <c r="AS88" s="297">
        <f si="143" t="shared"/>
        <v>4.7429008769891791E-2</v>
      </c>
      <c r="AT88" s="297">
        <f si="143" t="shared"/>
        <v>3.8412803853707669E-2</v>
      </c>
      <c r="AU88" s="297">
        <f si="143" t="shared"/>
        <v>0</v>
      </c>
      <c r="AV88" s="297">
        <f si="143" t="shared"/>
        <v>1</v>
      </c>
      <c r="CU88">
        <v>87</v>
      </c>
      <c r="CV88">
        <f si="99" t="shared"/>
        <v>5</v>
      </c>
      <c r="CW88">
        <f si="88" t="shared"/>
        <v>7</v>
      </c>
      <c r="CX88" s="355" t="str">
        <f si="89" t="shared"/>
        <v>5_7</v>
      </c>
      <c r="CY88" s="246">
        <f si="84" t="shared"/>
        <v>1988.5406773717723</v>
      </c>
      <c r="CZ88" s="246">
        <f si="85" t="shared"/>
        <v>918.42857142857099</v>
      </c>
      <c r="DA88" s="246">
        <f si="90" t="shared"/>
        <v>1951.2622868391363</v>
      </c>
      <c r="DB88" s="246">
        <f si="91" t="shared"/>
        <v>898</v>
      </c>
      <c r="DC88" s="301">
        <f si="92" t="shared"/>
        <v>-1053.2622868391363</v>
      </c>
      <c r="DD88" s="302">
        <f si="93" t="shared"/>
        <v>-0.52966594992224103</v>
      </c>
      <c r="DE88" s="357">
        <f si="94" t="shared"/>
        <v>2.1728978695313321</v>
      </c>
    </row>
    <row r="89" spans="2:109" x14ac:dyDescent="0.25">
      <c r="CU89">
        <v>88</v>
      </c>
      <c r="CV89">
        <f si="99" t="shared"/>
        <v>5</v>
      </c>
      <c r="CW89">
        <f si="88" t="shared"/>
        <v>8</v>
      </c>
      <c r="CX89" s="355" t="str">
        <f si="89" t="shared"/>
        <v>5_8</v>
      </c>
      <c r="CY89" s="246">
        <f si="84" t="shared"/>
        <v>219.30785963805491</v>
      </c>
      <c r="CZ89" s="246">
        <f si="85" t="shared"/>
        <v>389.78571428571399</v>
      </c>
      <c r="DA89" s="246">
        <f si="90" t="shared"/>
        <v>205.38369266652825</v>
      </c>
      <c r="DB89" s="246">
        <f si="91" t="shared"/>
        <v>388.2142857142855</v>
      </c>
      <c r="DC89" s="301">
        <f si="92" t="shared"/>
        <v>182.83059304775725</v>
      </c>
      <c r="DD89" s="302">
        <f si="93" t="shared"/>
        <v>0.8336709562051281</v>
      </c>
      <c r="DE89" s="357">
        <f si="94" t="shared"/>
        <v>0.52904723041976032</v>
      </c>
    </row>
    <row r="90" spans="2:109" x14ac:dyDescent="0.25">
      <c r="CU90">
        <v>89</v>
      </c>
      <c r="CV90">
        <f si="99" t="shared"/>
        <v>5</v>
      </c>
      <c r="CW90">
        <f si="88" t="shared"/>
        <v>9</v>
      </c>
      <c r="CX90" s="355" t="str">
        <f si="89" t="shared"/>
        <v>5_9</v>
      </c>
      <c r="CY90" s="246">
        <f si="84" t="shared"/>
        <v>1006.3845725273683</v>
      </c>
      <c r="CZ90" s="246">
        <f si="85" t="shared"/>
        <v>998.07142857142901</v>
      </c>
      <c r="DA90" s="246">
        <f si="90" t="shared"/>
        <v>999.56918493342914</v>
      </c>
      <c r="DB90" s="246">
        <f si="91" t="shared"/>
        <v>953.5</v>
      </c>
      <c r="DC90" s="301">
        <f si="92" t="shared"/>
        <v>-46.069184933429142</v>
      </c>
      <c r="DD90" s="302">
        <f si="93" t="shared"/>
        <v>-4.5776918874793571E-2</v>
      </c>
      <c r="DE90" s="357">
        <f si="94" t="shared"/>
        <v>1.0483158730292912</v>
      </c>
    </row>
    <row r="91" spans="2:109" x14ac:dyDescent="0.25">
      <c r="CU91">
        <v>90</v>
      </c>
      <c r="CV91">
        <f si="99" t="shared"/>
        <v>5</v>
      </c>
      <c r="CW91">
        <f si="88" t="shared"/>
        <v>10</v>
      </c>
      <c r="CX91" s="355" t="str">
        <f si="89" t="shared"/>
        <v>5_10</v>
      </c>
      <c r="CY91" s="246">
        <f si="84" t="shared"/>
        <v>5981.5422251780274</v>
      </c>
      <c r="CZ91" s="246">
        <f si="85" t="shared"/>
        <v>5316.2857142857101</v>
      </c>
      <c r="DA91" s="246">
        <f si="90" t="shared"/>
        <v>6040.8035160319578</v>
      </c>
      <c r="DB91" s="246">
        <f si="91" t="shared"/>
        <v>5184.9642857142844</v>
      </c>
      <c r="DC91" s="301">
        <f si="92" t="shared"/>
        <v>-855.83923031767335</v>
      </c>
      <c r="DD91" s="302">
        <f si="93" t="shared"/>
        <v>-0.14308002820998245</v>
      </c>
      <c r="DE91" s="357">
        <f si="94" t="shared"/>
        <v>1.1650617406711361</v>
      </c>
    </row>
    <row ht="15.75" r="92" spans="2:109" thickBot="1" x14ac:dyDescent="0.3">
      <c r="B92" s="345" t="s">
        <v>330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6"/>
      <c r="Q92" s="6"/>
      <c r="R92" s="6"/>
      <c r="S92" s="6"/>
      <c r="T92" s="6"/>
      <c r="U92" s="6"/>
      <c r="V92" s="6"/>
      <c r="W92" s="6"/>
      <c r="X92" s="6"/>
      <c r="CU92">
        <v>91</v>
      </c>
      <c r="CV92">
        <f si="99" t="shared"/>
        <v>5</v>
      </c>
      <c r="CW92">
        <f si="88" t="shared"/>
        <v>11</v>
      </c>
      <c r="CX92" s="355" t="str">
        <f si="89" t="shared"/>
        <v>5_11</v>
      </c>
      <c r="CY92" s="246">
        <f si="84" t="shared"/>
        <v>1469.9194027665199</v>
      </c>
      <c r="CZ92" s="246">
        <f si="85" t="shared"/>
        <v>1228.6428571428601</v>
      </c>
      <c r="DA92" s="246">
        <f si="90" t="shared"/>
        <v>1464.8794502162741</v>
      </c>
      <c r="DB92" s="246">
        <f si="91" t="shared"/>
        <v>1187.3928571428601</v>
      </c>
      <c r="DC92" s="301">
        <f si="92" t="shared"/>
        <v>-277.48659307341404</v>
      </c>
      <c r="DD92" s="302">
        <f si="93" t="shared"/>
        <v>-0.18877674010640275</v>
      </c>
      <c r="DE92" s="357">
        <f si="94" t="shared"/>
        <v>1.233694005656317</v>
      </c>
    </row>
    <row ht="15.75" r="93" spans="2:109" thickBot="1" x14ac:dyDescent="0.3">
      <c r="B93" s="2" t="s">
        <v>12</v>
      </c>
      <c r="C93" s="2">
        <v>1</v>
      </c>
      <c r="D93" s="2">
        <v>2</v>
      </c>
      <c r="E93" s="2">
        <v>3</v>
      </c>
      <c r="F93" s="2">
        <v>4</v>
      </c>
      <c r="G93" s="2">
        <v>5</v>
      </c>
      <c r="H93" s="2">
        <v>6</v>
      </c>
      <c r="I93" s="2">
        <v>7</v>
      </c>
      <c r="J93" s="2">
        <v>8</v>
      </c>
      <c r="K93" s="2">
        <v>9</v>
      </c>
      <c r="L93" s="2">
        <v>10</v>
      </c>
      <c r="M93" s="2">
        <v>11</v>
      </c>
      <c r="N93" s="2">
        <v>12</v>
      </c>
      <c r="O93" s="2">
        <v>13</v>
      </c>
      <c r="P93" s="2">
        <v>14</v>
      </c>
      <c r="Q93" s="2">
        <v>15</v>
      </c>
      <c r="R93" s="2">
        <v>16</v>
      </c>
      <c r="S93" s="2">
        <v>17</v>
      </c>
      <c r="T93" s="2">
        <v>18</v>
      </c>
      <c r="U93" s="2">
        <v>19</v>
      </c>
      <c r="V93" s="2">
        <v>20</v>
      </c>
      <c r="W93" s="3" t="s">
        <v>13</v>
      </c>
      <c r="X93" s="3" t="s">
        <v>4</v>
      </c>
      <c r="Z93" s="298" t="s">
        <v>287</v>
      </c>
      <c r="AA93" s="299"/>
      <c r="AB93" s="299"/>
      <c r="AC93" s="299"/>
      <c r="AD93" s="299"/>
      <c r="AE93" s="299"/>
      <c r="AF93" s="299"/>
      <c r="AG93" s="299"/>
      <c r="AH93" s="299"/>
      <c r="AI93" s="299"/>
      <c r="CU93">
        <v>92</v>
      </c>
      <c r="CV93">
        <f si="99" t="shared"/>
        <v>5</v>
      </c>
      <c r="CW93">
        <f si="88" t="shared"/>
        <v>12</v>
      </c>
      <c r="CX93" s="355" t="str">
        <f si="89" t="shared"/>
        <v>5_12</v>
      </c>
      <c r="CY93" s="246">
        <f si="84" t="shared"/>
        <v>954.66996894066369</v>
      </c>
      <c r="CZ93" s="246">
        <f si="85" t="shared"/>
        <v>2630.2142857142899</v>
      </c>
      <c r="DA93" s="246">
        <f si="90" t="shared"/>
        <v>1014.7362292893725</v>
      </c>
      <c r="DB93" s="246">
        <f si="91" t="shared"/>
        <v>2509.9285714285752</v>
      </c>
      <c r="DC93" s="301">
        <f si="92" t="shared"/>
        <v>1495.1923421392025</v>
      </c>
      <c r="DD93" s="302">
        <f si="93" t="shared"/>
        <v>1.5661876782385038</v>
      </c>
      <c r="DE93" s="357">
        <f si="94" t="shared"/>
        <v>0.40428888727770268</v>
      </c>
    </row>
    <row r="94" spans="2:109" x14ac:dyDescent="0.25">
      <c r="B94" s="202">
        <v>1</v>
      </c>
      <c r="C94" s="294">
        <f ref="C94:X94" si="144" t="shared">IF($X$88&gt;0,C67/$X$88,0)</f>
        <v>1.8821813919099942E-2</v>
      </c>
      <c r="D94" s="294">
        <f si="144" t="shared"/>
        <v>8.5551795513719048E-5</v>
      </c>
      <c r="E94" s="294">
        <f si="144" t="shared"/>
        <v>3.7371905318649497E-3</v>
      </c>
      <c r="F94" s="294">
        <f si="144" t="shared"/>
        <v>1.4771246519321437E-3</v>
      </c>
      <c r="G94" s="294">
        <f si="144" t="shared"/>
        <v>1.4959837719626227E-3</v>
      </c>
      <c r="H94" s="294">
        <f si="144" t="shared"/>
        <v>3.8461661213802555E-3</v>
      </c>
      <c r="I94" s="294">
        <f si="144" t="shared"/>
        <v>1.3533851224684979E-3</v>
      </c>
      <c r="J94" s="294">
        <f si="144" t="shared"/>
        <v>5.10507342721961E-5</v>
      </c>
      <c r="K94" s="294">
        <f si="144" t="shared"/>
        <v>1.5800005667279044E-3</v>
      </c>
      <c r="L94" s="294">
        <f si="144" t="shared"/>
        <v>8.905238724833172E-4</v>
      </c>
      <c r="M94" s="294">
        <f si="144" t="shared"/>
        <v>6.1361532511402335E-4</v>
      </c>
      <c r="N94" s="294">
        <f si="144" t="shared"/>
        <v>1.8539556936020212E-4</v>
      </c>
      <c r="O94" s="294">
        <f si="144" t="shared"/>
        <v>4.0733727273022428E-4</v>
      </c>
      <c r="P94" s="294">
        <f si="144" t="shared"/>
        <v>0</v>
      </c>
      <c r="Q94" s="294">
        <f si="144" t="shared"/>
        <v>1.3998487441153245E-4</v>
      </c>
      <c r="R94" s="294">
        <f si="144" t="shared"/>
        <v>2.4438611072889407E-4</v>
      </c>
      <c r="S94" s="294">
        <f si="144" t="shared"/>
        <v>0</v>
      </c>
      <c r="T94" s="294">
        <f si="144" t="shared"/>
        <v>3.8659359916031559E-5</v>
      </c>
      <c r="U94" s="294">
        <f si="144" t="shared"/>
        <v>2.0197337170854365E-4</v>
      </c>
      <c r="V94" s="294">
        <f si="144" t="shared"/>
        <v>0</v>
      </c>
      <c r="W94" s="294">
        <f si="144" t="shared"/>
        <v>0</v>
      </c>
      <c r="X94" s="294">
        <f si="144" t="shared"/>
        <v>3.5170142971674999E-2</v>
      </c>
      <c r="Z94" s="2" t="s">
        <v>12</v>
      </c>
      <c r="AA94" s="2">
        <v>1</v>
      </c>
      <c r="AB94" s="2">
        <v>2</v>
      </c>
      <c r="AC94" s="2">
        <v>3</v>
      </c>
      <c r="AD94" s="2">
        <v>4</v>
      </c>
      <c r="AE94" s="2">
        <v>5</v>
      </c>
      <c r="AF94" s="2">
        <v>6</v>
      </c>
      <c r="AG94" s="2">
        <v>7</v>
      </c>
      <c r="AH94" s="2">
        <v>8</v>
      </c>
      <c r="AI94" s="2">
        <v>9</v>
      </c>
      <c r="AJ94" s="2">
        <v>10</v>
      </c>
      <c r="AK94" s="2">
        <v>11</v>
      </c>
      <c r="AL94" s="2">
        <v>12</v>
      </c>
      <c r="AM94" s="2">
        <v>13</v>
      </c>
      <c r="AN94" s="2">
        <v>14</v>
      </c>
      <c r="AO94" s="2">
        <v>15</v>
      </c>
      <c r="AP94" s="2">
        <v>16</v>
      </c>
      <c r="AQ94" s="2">
        <v>17</v>
      </c>
      <c r="AR94" s="2">
        <v>18</v>
      </c>
      <c r="AS94" s="2">
        <v>19</v>
      </c>
      <c r="AT94" s="2">
        <v>20</v>
      </c>
      <c r="AU94" s="3" t="s">
        <v>13</v>
      </c>
      <c r="AV94" s="3" t="s">
        <v>4</v>
      </c>
      <c r="CU94">
        <v>93</v>
      </c>
      <c r="CV94">
        <f si="99" t="shared"/>
        <v>5</v>
      </c>
      <c r="CW94">
        <f si="88" t="shared"/>
        <v>13</v>
      </c>
      <c r="CX94" s="355" t="str">
        <f si="89" t="shared"/>
        <v>5_13</v>
      </c>
      <c r="CY94" s="246">
        <f si="84" t="shared"/>
        <v>452.72602389113132</v>
      </c>
      <c r="CZ94" s="246">
        <f si="85" t="shared"/>
        <v>91.928571428571402</v>
      </c>
      <c r="DA94" s="246">
        <f si="90" t="shared"/>
        <v>449.98549706987023</v>
      </c>
      <c r="DB94" s="246">
        <f si="91" t="shared"/>
        <v>96.214285714285694</v>
      </c>
      <c r="DC94" s="301">
        <f si="92" t="shared"/>
        <v>-353.77121135558457</v>
      </c>
      <c r="DD94" s="302">
        <f si="93" t="shared"/>
        <v>-0.78142450993861401</v>
      </c>
      <c r="DE94" s="357">
        <f si="94" t="shared"/>
        <v>4.6769093979051108</v>
      </c>
    </row>
    <row r="95" spans="2:109" x14ac:dyDescent="0.25">
      <c r="B95">
        <v>2</v>
      </c>
      <c r="C95" s="295">
        <f ref="C95:X95" si="145" t="shared">IF($X$88&gt;0,C68/$X$88,0)</f>
        <v>1.244540395851064E-4</v>
      </c>
      <c r="D95" s="295">
        <f si="145" t="shared"/>
        <v>9.5836568518973056E-3</v>
      </c>
      <c r="E95" s="295">
        <f si="145" t="shared"/>
        <v>1.42042008001123E-3</v>
      </c>
      <c r="F95" s="295">
        <f si="145" t="shared"/>
        <v>1.6064894183785109E-4</v>
      </c>
      <c r="G95" s="295">
        <f si="145" t="shared"/>
        <v>1.0442997778125078E-4</v>
      </c>
      <c r="H95" s="295">
        <f si="145" t="shared"/>
        <v>0</v>
      </c>
      <c r="I95" s="295">
        <f si="145" t="shared"/>
        <v>2.7277859074658181E-3</v>
      </c>
      <c r="J95" s="295">
        <f si="145" t="shared"/>
        <v>0</v>
      </c>
      <c r="K95" s="295">
        <f si="145" t="shared"/>
        <v>1.9737956125118433E-3</v>
      </c>
      <c r="L95" s="295">
        <f si="145" t="shared"/>
        <v>2.6376701522971037E-5</v>
      </c>
      <c r="M95" s="295">
        <f si="145" t="shared"/>
        <v>2.9875639118980289E-4</v>
      </c>
      <c r="N95" s="295">
        <f si="145" t="shared"/>
        <v>0</v>
      </c>
      <c r="O95" s="295">
        <f si="145" t="shared"/>
        <v>1.6438281043840653E-5</v>
      </c>
      <c r="P95" s="295">
        <f si="145" t="shared"/>
        <v>0</v>
      </c>
      <c r="Q95" s="295">
        <f si="145" t="shared"/>
        <v>3.314022413538603E-5</v>
      </c>
      <c r="R95" s="295">
        <f si="145" t="shared"/>
        <v>4.9028408876513687E-5</v>
      </c>
      <c r="S95" s="295">
        <f si="145" t="shared"/>
        <v>0</v>
      </c>
      <c r="T95" s="295">
        <f si="145" t="shared"/>
        <v>0</v>
      </c>
      <c r="U95" s="295">
        <f si="145" t="shared"/>
        <v>1.0359887243495785E-4</v>
      </c>
      <c r="V95" s="295">
        <f si="145" t="shared"/>
        <v>0</v>
      </c>
      <c r="W95" s="295">
        <f si="145" t="shared"/>
        <v>0</v>
      </c>
      <c r="X95" s="295">
        <f si="145" t="shared"/>
        <v>1.6622530290293876E-2</v>
      </c>
      <c r="Z95" s="202">
        <v>1</v>
      </c>
      <c r="AA95" s="294">
        <f ref="AA95:AA116" si="146" t="shared">AA67-C94</f>
        <v>-9.8795579481109567E-3</v>
      </c>
      <c r="AB95" s="294">
        <f ref="AB95:AB116" si="147" t="shared">AB67-D94</f>
        <v>3.0629580426248222E-3</v>
      </c>
      <c r="AC95" s="294">
        <f ref="AC95:AC116" si="148" t="shared">AC67-E94</f>
        <v>2.2305378895496647E-3</v>
      </c>
      <c r="AD95" s="294">
        <f ref="AD95:AD116" si="149" t="shared">AD67-F94</f>
        <v>9.1497000194099942E-4</v>
      </c>
      <c r="AE95" s="294">
        <f ref="AE95:AE116" si="150" t="shared">AE67-G94</f>
        <v>6.5507291962888371E-4</v>
      </c>
      <c r="AF95" s="294">
        <f ref="AF95:AF116" si="151" t="shared">AF67-H94</f>
        <v>2.2345407541596342E-3</v>
      </c>
      <c r="AG95" s="294">
        <f ref="AG95:AG116" si="152" t="shared">AG67-I94</f>
        <v>5.6061422839892138E-4</v>
      </c>
      <c r="AH95" s="294">
        <f ref="AH95:AH116" si="153" t="shared">AH67-J94</f>
        <v>4.2494098823563347E-4</v>
      </c>
      <c r="AI95" s="294">
        <f ref="AI95:AI116" si="154" t="shared">AI67-K94</f>
        <v>6.7037748714103562E-4</v>
      </c>
      <c r="AJ95" s="294">
        <f ref="AJ95:AJ116" si="155" t="shared">AJ67-L94</f>
        <v>7.4010700392948309E-4</v>
      </c>
      <c r="AK95" s="294">
        <f ref="AK95:AK116" si="156" t="shared">AK67-M94</f>
        <v>1.7602267225927848E-3</v>
      </c>
      <c r="AL95" s="294">
        <f ref="AL95:AL116" si="157" t="shared">AL67-N94</f>
        <v>2.9815610516060135E-3</v>
      </c>
      <c r="AM95" s="294">
        <f ref="AM95:AM116" si="158" t="shared">AM67-O94</f>
        <v>-2.4219002225718574E-4</v>
      </c>
      <c r="AN95" s="294">
        <f ref="AN95:AN116" si="159" t="shared">AN67-P94</f>
        <v>7.4563837956081091E-4</v>
      </c>
      <c r="AO95" s="294">
        <f ref="AO95:AO116" si="160" t="shared">AO67-Q94</f>
        <v>2.1260757981220955E-4</v>
      </c>
      <c r="AP95" s="294">
        <f ref="AP95:AP116" si="161" t="shared">AP67-R94</f>
        <v>2.3937267823269522E-4</v>
      </c>
      <c r="AQ95" s="294">
        <f ref="AQ95:AQ116" si="162" t="shared">AQ67-S94</f>
        <v>5.0356480841867062E-4</v>
      </c>
      <c r="AR95" s="294">
        <f ref="AR95:AR116" si="163" t="shared">AR67-T94</f>
        <v>1.7846251024340726E-4</v>
      </c>
      <c r="AS95" s="294">
        <f ref="AS95:AS116" si="164" t="shared">AS67-U94</f>
        <v>4.1596149024171914E-4</v>
      </c>
      <c r="AT95" s="294">
        <f ref="AT95:AT116" si="165" t="shared">AT67-V94</f>
        <v>9.2298639692162755E-5</v>
      </c>
      <c r="AU95" s="294">
        <f ref="AU95:AU116" si="166" t="shared">AU67-W94</f>
        <v>0</v>
      </c>
      <c r="AV95" s="294">
        <f ref="AV95:AV116" si="167" t="shared">AV67-X94</f>
        <v>8.5020652056414237E-3</v>
      </c>
      <c r="CU95">
        <v>94</v>
      </c>
      <c r="CV95">
        <f si="99" t="shared"/>
        <v>5</v>
      </c>
      <c r="CW95">
        <f si="88" t="shared"/>
        <v>14</v>
      </c>
      <c r="CX95" s="355" t="str">
        <f si="89" t="shared"/>
        <v>5_14</v>
      </c>
      <c r="CY95" s="246">
        <f si="84" t="shared"/>
        <v>204.25627389687534</v>
      </c>
      <c r="CZ95" s="246">
        <f si="85" t="shared"/>
        <v>644.142857142857</v>
      </c>
      <c r="DA95" s="246">
        <f si="90" t="shared"/>
        <v>198.81184511338159</v>
      </c>
      <c r="DB95" s="246">
        <f si="91" t="shared"/>
        <v>610</v>
      </c>
      <c r="DC95" s="301">
        <f si="92" t="shared"/>
        <v>411.18815488661841</v>
      </c>
      <c r="DD95" s="302">
        <f si="93" t="shared"/>
        <v>2.0130992651624426</v>
      </c>
      <c r="DE95" s="357">
        <f si="94" t="shared"/>
        <v>0.32592105756292067</v>
      </c>
    </row>
    <row r="96" spans="2:109" x14ac:dyDescent="0.25">
      <c r="B96">
        <v>3</v>
      </c>
      <c r="C96" s="295">
        <f ref="C96:X96" si="168" t="shared">IF($X$88&gt;0,C69/$X$88,0)</f>
        <v>3.7604920806462885E-3</v>
      </c>
      <c r="D96" s="295">
        <f si="168" t="shared"/>
        <v>1.4596802857948577E-3</v>
      </c>
      <c r="E96" s="295">
        <f si="168" t="shared"/>
        <v>2.8949976015080245E-2</v>
      </c>
      <c r="F96" s="295">
        <f si="168" t="shared"/>
        <v>2.6591742528017728E-3</v>
      </c>
      <c r="G96" s="295">
        <f si="168" t="shared"/>
        <v>1.1255815554173183E-3</v>
      </c>
      <c r="H96" s="295">
        <f si="168" t="shared"/>
        <v>1.9551897552586702E-3</v>
      </c>
      <c r="I96" s="295">
        <f si="168" t="shared"/>
        <v>1.3906787175721341E-3</v>
      </c>
      <c r="J96" s="295">
        <f si="168" t="shared"/>
        <v>8.3206818714707414E-4</v>
      </c>
      <c r="K96" s="295">
        <f si="168" t="shared"/>
        <v>2.5619635183678885E-3</v>
      </c>
      <c r="L96" s="295">
        <f si="168" t="shared"/>
        <v>5.3319671801918577E-4</v>
      </c>
      <c r="M96" s="295">
        <f si="168" t="shared"/>
        <v>5.5054983539524899E-3</v>
      </c>
      <c r="N96" s="295">
        <f si="168" t="shared"/>
        <v>9.6555235782270262E-4</v>
      </c>
      <c r="O96" s="295">
        <f si="168" t="shared"/>
        <v>3.052250978739294E-4</v>
      </c>
      <c r="P96" s="295">
        <f si="168" t="shared"/>
        <v>0</v>
      </c>
      <c r="Q96" s="295">
        <f si="168" t="shared"/>
        <v>1.2702404556166411E-4</v>
      </c>
      <c r="R96" s="295">
        <f si="168" t="shared"/>
        <v>4.5597452617964725E-5</v>
      </c>
      <c r="S96" s="295">
        <f si="168" t="shared"/>
        <v>0</v>
      </c>
      <c r="T96" s="295">
        <f si="168" t="shared"/>
        <v>5.7676518217585619E-5</v>
      </c>
      <c r="U96" s="295">
        <f si="168" t="shared"/>
        <v>3.5265217285060537E-4</v>
      </c>
      <c r="V96" s="295">
        <f si="168" t="shared"/>
        <v>0</v>
      </c>
      <c r="W96" s="295">
        <f si="168" t="shared"/>
        <v>0</v>
      </c>
      <c r="X96" s="295">
        <f si="168" t="shared"/>
        <v>5.258722708500238E-2</v>
      </c>
      <c r="Z96">
        <v>2</v>
      </c>
      <c r="AA96" s="295">
        <f si="146" t="shared"/>
        <v>2.8625008163152598E-3</v>
      </c>
      <c r="AB96" s="295">
        <f si="147" t="shared"/>
        <v>-6.4478979478536855E-3</v>
      </c>
      <c r="AC96" s="295">
        <f si="148" t="shared"/>
        <v>1.3768740675262816E-5</v>
      </c>
      <c r="AD96" s="295">
        <f si="149" t="shared"/>
        <v>2.5673379172099246E-4</v>
      </c>
      <c r="AE96" s="295">
        <f si="150" t="shared"/>
        <v>3.231793932750411E-4</v>
      </c>
      <c r="AF96" s="295">
        <f si="151" t="shared"/>
        <v>2.0960076081004936E-3</v>
      </c>
      <c r="AG96" s="295">
        <f si="152" t="shared"/>
        <v>-2.6649963660044587E-4</v>
      </c>
      <c r="AH96" s="295">
        <f si="153" t="shared"/>
        <v>7.0162500298951176E-5</v>
      </c>
      <c r="AI96" s="295">
        <f si="154" t="shared"/>
        <v>1.3700559469387199E-3</v>
      </c>
      <c r="AJ96" s="295">
        <f si="155" t="shared"/>
        <v>3.0715407711217197E-4</v>
      </c>
      <c r="AK96" s="295">
        <f si="156" t="shared"/>
        <v>3.0853111716343267E-4</v>
      </c>
      <c r="AL96" s="295">
        <f si="157" t="shared"/>
        <v>2.9692847797180657E-3</v>
      </c>
      <c r="AM96" s="295">
        <f si="158" t="shared"/>
        <v>1.49841666620371E-4</v>
      </c>
      <c r="AN96" s="295">
        <f si="159" t="shared"/>
        <v>1.1339917022487288E-4</v>
      </c>
      <c r="AO96" s="295">
        <f si="160" t="shared"/>
        <v>1.7624694234718479E-4</v>
      </c>
      <c r="AP96" s="295">
        <f si="161" t="shared"/>
        <v>4.6862499050512144E-5</v>
      </c>
      <c r="AQ96" s="295">
        <f si="162" t="shared"/>
        <v>8.3301787716559184E-5</v>
      </c>
      <c r="AR96" s="295">
        <f si="163" t="shared"/>
        <v>8.5858447090921268E-5</v>
      </c>
      <c r="AS96" s="295">
        <f si="164" t="shared"/>
        <v>1.3198389363434349E-5</v>
      </c>
      <c r="AT96" s="295">
        <f si="165" t="shared"/>
        <v>2.569604485118412E-5</v>
      </c>
      <c r="AU96" s="295">
        <f si="166" t="shared"/>
        <v>0</v>
      </c>
      <c r="AV96" s="295">
        <f si="167" t="shared"/>
        <v>4.557386134129298E-3</v>
      </c>
      <c r="CU96">
        <v>95</v>
      </c>
      <c r="CV96">
        <f si="99" t="shared"/>
        <v>5</v>
      </c>
      <c r="CW96">
        <f si="88" t="shared"/>
        <v>15</v>
      </c>
      <c r="CX96" s="355" t="str">
        <f si="89" t="shared"/>
        <v>5_15</v>
      </c>
      <c r="CY96" s="246">
        <f si="84" t="shared"/>
        <v>60.973406216936134</v>
      </c>
      <c r="CZ96" s="246">
        <f si="85" t="shared"/>
        <v>171.92857142857099</v>
      </c>
      <c r="DA96" s="246">
        <f si="90" t="shared"/>
        <v>57.707282293052522</v>
      </c>
      <c r="DB96" s="246">
        <f si="91" t="shared"/>
        <v>170.7142857142855</v>
      </c>
      <c r="DC96" s="301">
        <f si="92" t="shared"/>
        <v>113.00700342123298</v>
      </c>
      <c r="DD96" s="302">
        <f si="93" t="shared"/>
        <v>1.8533818336992276</v>
      </c>
      <c r="DE96" s="357">
        <f si="94" t="shared"/>
        <v>0.33803428958273485</v>
      </c>
    </row>
    <row r="97" spans="2:109" x14ac:dyDescent="0.25">
      <c r="B97">
        <v>4</v>
      </c>
      <c r="C97" s="295">
        <f ref="C97:X97" si="169" t="shared">IF($X$88&gt;0,C70/$X$88,0)</f>
        <v>1.4257407992896464E-3</v>
      </c>
      <c r="D97" s="295">
        <f si="169" t="shared"/>
        <v>1.499153953111864E-4</v>
      </c>
      <c r="E97" s="295">
        <f si="169" t="shared"/>
        <v>2.6062383886656035E-3</v>
      </c>
      <c r="F97" s="295">
        <f si="169" t="shared"/>
        <v>8.6582257851858472E-3</v>
      </c>
      <c r="G97" s="295">
        <f si="169" t="shared"/>
        <v>2.3039800044826588E-3</v>
      </c>
      <c r="H97" s="295">
        <f si="169" t="shared"/>
        <v>7.5111443032056043E-4</v>
      </c>
      <c r="I97" s="295">
        <f si="169" t="shared"/>
        <v>8.5647664289187093E-4</v>
      </c>
      <c r="J97" s="295">
        <f si="169" t="shared"/>
        <v>6.934637938274085E-4</v>
      </c>
      <c r="K97" s="295">
        <f si="169" t="shared"/>
        <v>4.5445316038613851E-4</v>
      </c>
      <c r="L97" s="295">
        <f si="169" t="shared"/>
        <v>6.5604073109910279E-4</v>
      </c>
      <c r="M97" s="295">
        <f si="169" t="shared"/>
        <v>1.2864049473727164E-3</v>
      </c>
      <c r="N97" s="295">
        <f si="169" t="shared"/>
        <v>0</v>
      </c>
      <c r="O97" s="295">
        <f si="169" t="shared"/>
        <v>1.7944067058521998E-4</v>
      </c>
      <c r="P97" s="295">
        <f si="169" t="shared"/>
        <v>0</v>
      </c>
      <c r="Q97" s="295">
        <f si="169" t="shared"/>
        <v>4.2168141870674646E-5</v>
      </c>
      <c r="R97" s="295">
        <f si="169" t="shared"/>
        <v>8.0029606758684002E-5</v>
      </c>
      <c r="S97" s="295">
        <f si="169" t="shared"/>
        <v>0</v>
      </c>
      <c r="T97" s="295">
        <f si="169" t="shared"/>
        <v>0</v>
      </c>
      <c r="U97" s="295">
        <f si="169" t="shared"/>
        <v>1.1690643598950632E-4</v>
      </c>
      <c r="V97" s="295">
        <f si="169" t="shared"/>
        <v>0</v>
      </c>
      <c r="W97" s="295">
        <f si="169" t="shared"/>
        <v>0</v>
      </c>
      <c r="X97" s="295">
        <f si="169" t="shared"/>
        <v>2.0260598934036821E-2</v>
      </c>
      <c r="Z97">
        <v>3</v>
      </c>
      <c r="AA97" s="295">
        <f si="146" t="shared"/>
        <v>1.869239498922272E-3</v>
      </c>
      <c r="AB97" s="295">
        <f si="147" t="shared"/>
        <v>-1.0277377632326198E-4</v>
      </c>
      <c r="AC97" s="295">
        <f si="148" t="shared"/>
        <v>-9.3808520848358765E-3</v>
      </c>
      <c r="AD97" s="295">
        <f si="149" t="shared"/>
        <v>-6.3194104517470991E-5</v>
      </c>
      <c r="AE97" s="295">
        <f si="150" t="shared"/>
        <v>-5.4923807543609364E-5</v>
      </c>
      <c r="AF97" s="295">
        <f si="151" t="shared"/>
        <v>2.666119666158164E-4</v>
      </c>
      <c r="AG97" s="295">
        <f si="152" t="shared"/>
        <v>-4.2193135412711311E-4</v>
      </c>
      <c r="AH97" s="295">
        <f si="153" t="shared"/>
        <v>-2.2772225442334836E-5</v>
      </c>
      <c r="AI97" s="295">
        <f si="154" t="shared"/>
        <v>-6.2440406592406857E-4</v>
      </c>
      <c r="AJ97" s="295">
        <f si="155" t="shared"/>
        <v>-4.2221029810979912E-5</v>
      </c>
      <c r="AK97" s="295">
        <f si="156" t="shared"/>
        <v>8.4932124185129083E-4</v>
      </c>
      <c r="AL97" s="295">
        <f si="157" t="shared"/>
        <v>1.7309958429828393E-4</v>
      </c>
      <c r="AM97" s="295">
        <f si="158" t="shared"/>
        <v>-2.0202020236961447E-4</v>
      </c>
      <c r="AN97" s="295">
        <f si="159" t="shared"/>
        <v>8.3987878586641313E-4</v>
      </c>
      <c r="AO97" s="295">
        <f si="160" t="shared"/>
        <v>1.0974203017040545E-4</v>
      </c>
      <c r="AP97" s="295">
        <f si="161" t="shared"/>
        <v>1.1466301854458425E-4</v>
      </c>
      <c r="AQ97" s="295">
        <f si="162" t="shared"/>
        <v>7.2327570072936147E-4</v>
      </c>
      <c r="AR97" s="295">
        <f si="163" t="shared"/>
        <v>4.2453913482116753E-5</v>
      </c>
      <c r="AS97" s="295">
        <f si="164" t="shared"/>
        <v>5.5525317003997203E-4</v>
      </c>
      <c r="AT97" s="295">
        <f si="165" t="shared"/>
        <v>4.521079931625218E-5</v>
      </c>
      <c r="AU97" s="295">
        <f si="166" t="shared"/>
        <v>0</v>
      </c>
      <c r="AV97" s="295">
        <f si="167" t="shared"/>
        <v>-5.3263429410575699E-3</v>
      </c>
      <c r="CU97">
        <v>96</v>
      </c>
      <c r="CV97">
        <f si="99" t="shared"/>
        <v>5</v>
      </c>
      <c r="CW97">
        <f si="88" t="shared"/>
        <v>16</v>
      </c>
      <c r="CX97" s="355" t="str">
        <f si="89" t="shared"/>
        <v>5_16</v>
      </c>
      <c r="CY97" s="246">
        <f si="84" t="shared"/>
        <v>594.42104244750703</v>
      </c>
      <c r="CZ97" s="246">
        <f si="85" t="shared"/>
        <v>911.21428571428601</v>
      </c>
      <c r="DA97" s="246">
        <f si="90" t="shared"/>
        <v>592.8635966535594</v>
      </c>
      <c r="DB97" s="246">
        <f si="91" t="shared"/>
        <v>852.89285714285757</v>
      </c>
      <c r="DC97" s="301">
        <f si="92" t="shared"/>
        <v>260.02926048929817</v>
      </c>
      <c r="DD97" s="302">
        <f si="93" t="shared"/>
        <v>0.43744962227218126</v>
      </c>
      <c r="DE97" s="357">
        <f si="94" t="shared"/>
        <v>0.69512083691217519</v>
      </c>
    </row>
    <row r="98" spans="2:109" x14ac:dyDescent="0.25">
      <c r="B98">
        <v>5</v>
      </c>
      <c r="C98" s="295">
        <f ref="C98:X98" si="170" t="shared">IF($X$88&gt;0,C71/$X$88,0)</f>
        <v>1.4427731031033491E-3</v>
      </c>
      <c r="D98" s="295">
        <f si="170" t="shared"/>
        <v>1.174085441874171E-4</v>
      </c>
      <c r="E98" s="295">
        <f si="170" t="shared"/>
        <v>1.1174576192759357E-3</v>
      </c>
      <c r="F98" s="295">
        <f si="170" t="shared"/>
        <v>2.3460935774813553E-3</v>
      </c>
      <c r="G98" s="295">
        <f si="170" t="shared"/>
        <v>6.473662266592268E-3</v>
      </c>
      <c r="H98" s="295">
        <f si="170" t="shared"/>
        <v>2.964330306395326E-3</v>
      </c>
      <c r="I98" s="295">
        <f si="170" t="shared"/>
        <v>9.0096577591698723E-4</v>
      </c>
      <c r="J98" s="295">
        <f si="170" t="shared"/>
        <v>9.9363758645684052E-5</v>
      </c>
      <c r="K98" s="295">
        <f si="170" t="shared"/>
        <v>4.55971591416678E-4</v>
      </c>
      <c r="L98" s="295">
        <f si="170" t="shared"/>
        <v>2.7101104309369879E-3</v>
      </c>
      <c r="M98" s="295">
        <f si="170" t="shared"/>
        <v>6.6598943150579341E-4</v>
      </c>
      <c r="N98" s="295">
        <f si="170" t="shared"/>
        <v>4.3254079692656166E-4</v>
      </c>
      <c r="O98" s="295">
        <f si="170" t="shared"/>
        <v>2.0512059825298081E-4</v>
      </c>
      <c r="P98" s="295">
        <f si="170" t="shared"/>
        <v>9.2544203088989961E-5</v>
      </c>
      <c r="Q98" s="295">
        <f si="170" t="shared"/>
        <v>2.7625762383272094E-5</v>
      </c>
      <c r="R98" s="295">
        <f si="170" t="shared"/>
        <v>2.6931961806179186E-4</v>
      </c>
      <c r="S98" s="295">
        <f si="170" t="shared"/>
        <v>1.7387690371344467E-5</v>
      </c>
      <c r="T98" s="295">
        <f si="170" t="shared"/>
        <v>2.1611369336680024E-5</v>
      </c>
      <c r="U98" s="295">
        <f si="170" t="shared"/>
        <v>7.9243735993989441E-5</v>
      </c>
      <c r="V98" s="295">
        <f si="170" t="shared"/>
        <v>0</v>
      </c>
      <c r="W98" s="295">
        <f si="170" t="shared"/>
        <v>0</v>
      </c>
      <c r="X98" s="295">
        <f si="170" t="shared"/>
        <v>2.04395201798734E-2</v>
      </c>
      <c r="Z98">
        <v>4</v>
      </c>
      <c r="AA98" s="295">
        <f si="146" t="shared"/>
        <v>9.0007488751142248E-4</v>
      </c>
      <c r="AB98" s="295">
        <f si="147" t="shared"/>
        <v>2.6364853057455901E-4</v>
      </c>
      <c r="AC98" s="295">
        <f si="148" t="shared"/>
        <v>-2.9125739308557587E-5</v>
      </c>
      <c r="AD98" s="295">
        <f si="149" t="shared"/>
        <v>-3.7127080346396422E-3</v>
      </c>
      <c r="AE98" s="295">
        <f si="150" t="shared"/>
        <v>-8.0208825454090578E-4</v>
      </c>
      <c r="AF98" s="295">
        <f si="151" t="shared"/>
        <v>8.7058431967041577E-4</v>
      </c>
      <c r="AG98" s="295">
        <f si="152" t="shared"/>
        <v>-5.2967732184998535E-4</v>
      </c>
      <c r="AH98" s="295">
        <f si="153" t="shared"/>
        <v>-7.3846067478829406E-5</v>
      </c>
      <c r="AI98" s="295">
        <f si="154" t="shared"/>
        <v>-4.813849652390102E-5</v>
      </c>
      <c r="AJ98" s="295">
        <f si="155" t="shared"/>
        <v>4.0406227587904027E-5</v>
      </c>
      <c r="AK98" s="295">
        <f si="156" t="shared"/>
        <v>-1.4707338693702599E-4</v>
      </c>
      <c r="AL98" s="295">
        <f si="157" t="shared"/>
        <v>5.9149447323059482E-4</v>
      </c>
      <c r="AM98" s="295">
        <f si="158" t="shared"/>
        <v>-1.4128495663113172E-4</v>
      </c>
      <c r="AN98" s="295">
        <f si="159" t="shared"/>
        <v>5.9401876982806694E-4</v>
      </c>
      <c r="AO98" s="295">
        <f si="160" t="shared"/>
        <v>2.9547771719028023E-5</v>
      </c>
      <c r="AP98" s="295">
        <f si="161" t="shared"/>
        <v>9.0457501901313321E-5</v>
      </c>
      <c r="AQ98" s="295">
        <f si="162" t="shared"/>
        <v>2.3213819863670502E-4</v>
      </c>
      <c r="AR98" s="295">
        <f si="163" t="shared"/>
        <v>4.5955143184737162E-5</v>
      </c>
      <c r="AS98" s="295">
        <f si="164" t="shared"/>
        <v>1.5332275104750539E-4</v>
      </c>
      <c r="AT98" s="295">
        <f si="165" t="shared"/>
        <v>2.3074659923040645E-5</v>
      </c>
      <c r="AU98" s="295">
        <f si="166" t="shared"/>
        <v>0</v>
      </c>
      <c r="AV98" s="295">
        <f si="167" t="shared"/>
        <v>-1.6492190230946759E-3</v>
      </c>
      <c r="CU98">
        <v>97</v>
      </c>
      <c r="CV98">
        <f si="99" t="shared"/>
        <v>5</v>
      </c>
      <c r="CW98">
        <f si="88" t="shared"/>
        <v>17</v>
      </c>
      <c r="CX98" s="355" t="str">
        <f si="89" t="shared"/>
        <v>5_17</v>
      </c>
      <c r="CY98" s="246">
        <f si="84" t="shared"/>
        <v>38.376740286025836</v>
      </c>
      <c r="CZ98" s="246">
        <f si="85" t="shared"/>
        <v>301.857142857143</v>
      </c>
      <c r="DA98" s="246">
        <f si="90" t="shared"/>
        <v>36.275435149949374</v>
      </c>
      <c r="DB98" s="246">
        <f si="91" t="shared"/>
        <v>301.107142857143</v>
      </c>
      <c r="DC98" s="301">
        <f si="92" t="shared"/>
        <v>264.83170770719363</v>
      </c>
      <c r="DD98" s="302">
        <f si="93" t="shared"/>
        <v>6.9008390429561075</v>
      </c>
      <c r="DE98" s="357">
        <f si="94" t="shared"/>
        <v>0.12047351253689739</v>
      </c>
    </row>
    <row r="99" spans="2:109" x14ac:dyDescent="0.25">
      <c r="B99">
        <v>6</v>
      </c>
      <c r="C99" s="295">
        <f ref="C99:X99" si="171" t="shared">IF($X$88&gt;0,C72/$X$88,0)</f>
        <v>3.8788251313956832E-3</v>
      </c>
      <c r="D99" s="295">
        <f si="171" t="shared"/>
        <v>0</v>
      </c>
      <c r="E99" s="295">
        <f si="171" t="shared"/>
        <v>1.9326139025286561E-3</v>
      </c>
      <c r="F99" s="295">
        <f si="171" t="shared"/>
        <v>7.4997423458621302E-4</v>
      </c>
      <c r="G99" s="295">
        <f si="171" t="shared"/>
        <v>2.9335272204298892E-3</v>
      </c>
      <c r="H99" s="295">
        <f si="171" t="shared"/>
        <v>2.2427783739805324E-2</v>
      </c>
      <c r="I99" s="295">
        <f si="171" t="shared"/>
        <v>1.9419529185685565E-3</v>
      </c>
      <c r="J99" s="295">
        <f si="171" t="shared"/>
        <v>0</v>
      </c>
      <c r="K99" s="295">
        <f si="171" t="shared"/>
        <v>1.2109759164041296E-3</v>
      </c>
      <c r="L99" s="295">
        <f si="171" t="shared"/>
        <v>2.8492922647004454E-3</v>
      </c>
      <c r="M99" s="295">
        <f si="171" t="shared"/>
        <v>4.1421865251293013E-4</v>
      </c>
      <c r="N99" s="295">
        <f si="171" t="shared"/>
        <v>4.6318714636188266E-3</v>
      </c>
      <c r="O99" s="295">
        <f si="171" t="shared"/>
        <v>6.3399620513099244E-4</v>
      </c>
      <c r="P99" s="295">
        <f si="171" t="shared"/>
        <v>0</v>
      </c>
      <c r="Q99" s="295">
        <f si="171" t="shared"/>
        <v>0</v>
      </c>
      <c r="R99" s="295">
        <f si="171" t="shared"/>
        <v>5.2046111803687471E-4</v>
      </c>
      <c r="S99" s="295">
        <f si="171" t="shared"/>
        <v>0</v>
      </c>
      <c r="T99" s="295">
        <f si="171" t="shared"/>
        <v>0</v>
      </c>
      <c r="U99" s="295">
        <f si="171" t="shared"/>
        <v>2.838358616323678E-4</v>
      </c>
      <c r="V99" s="295">
        <f si="171" t="shared"/>
        <v>0</v>
      </c>
      <c r="W99" s="295">
        <f si="171" t="shared"/>
        <v>0</v>
      </c>
      <c r="X99" s="295">
        <f si="171" t="shared"/>
        <v>4.4409328629350889E-2</v>
      </c>
      <c r="Z99">
        <v>5</v>
      </c>
      <c r="AA99" s="295">
        <f si="146" t="shared"/>
        <v>6.7404377053783865E-4</v>
      </c>
      <c r="AB99" s="295">
        <f si="147" t="shared"/>
        <v>3.4214288765995447E-4</v>
      </c>
      <c r="AC99" s="295">
        <f si="148" t="shared"/>
        <v>-1.9906403806089351E-5</v>
      </c>
      <c r="AD99" s="295">
        <f si="149" t="shared"/>
        <v>-8.2928258739300856E-4</v>
      </c>
      <c r="AE99" s="295">
        <f si="150" t="shared"/>
        <v>-3.0739849170053142E-3</v>
      </c>
      <c r="AF99" s="295">
        <f si="151" t="shared"/>
        <v>4.1285491325261789E-4</v>
      </c>
      <c r="AG99" s="295">
        <f si="152" t="shared"/>
        <v>-4.8484519065687974E-4</v>
      </c>
      <c r="AH99" s="295">
        <f si="153" t="shared"/>
        <v>7.7239914846648032E-5</v>
      </c>
      <c r="AI99" s="295">
        <f si="154" t="shared"/>
        <v>-3.766509923484125E-6</v>
      </c>
      <c r="AJ99" s="295">
        <f si="155" t="shared"/>
        <v>-3.0141367251893935E-4</v>
      </c>
      <c r="AK99" s="295">
        <f si="156" t="shared"/>
        <v>-1.0931730620954757E-4</v>
      </c>
      <c r="AL99" s="295">
        <f si="157" t="shared"/>
        <v>7.5915373651821744E-4</v>
      </c>
      <c r="AM99" s="295">
        <f si="158" t="shared"/>
        <v>-1.6346970439470128E-4</v>
      </c>
      <c r="AN99" s="295">
        <f si="159" t="shared"/>
        <v>1.9930331891098281E-4</v>
      </c>
      <c r="AO99" s="295">
        <f si="160" t="shared"/>
        <v>5.0271441592546581E-5</v>
      </c>
      <c r="AP99" s="295">
        <f si="161" t="shared"/>
        <v>1.4353232673235925E-4</v>
      </c>
      <c r="AQ99" s="295">
        <f si="162" t="shared"/>
        <v>1.1937740476858522E-4</v>
      </c>
      <c r="AR99" s="295">
        <f si="163" t="shared"/>
        <v>5.1528506436211623E-5</v>
      </c>
      <c r="AS99" s="295">
        <f si="164" t="shared"/>
        <v>8.1113823499231189E-5</v>
      </c>
      <c r="AT99" s="295">
        <f si="165" t="shared"/>
        <v>3.8802969491901451E-5</v>
      </c>
      <c r="AU99" s="295">
        <f si="166" t="shared"/>
        <v>0</v>
      </c>
      <c r="AV99" s="295">
        <f si="167" t="shared"/>
        <v>-2.0366212776608758E-3</v>
      </c>
      <c r="CU99">
        <v>98</v>
      </c>
      <c r="CV99">
        <f si="99" t="shared"/>
        <v>5</v>
      </c>
      <c r="CW99">
        <f si="88" t="shared"/>
        <v>18</v>
      </c>
      <c r="CX99" s="355" t="str">
        <f si="89" t="shared"/>
        <v>5_18</v>
      </c>
      <c r="CY99" s="246">
        <f si="84" t="shared"/>
        <v>47.698911732750283</v>
      </c>
      <c r="CZ99" s="246">
        <f si="85" t="shared"/>
        <v>161.42857142857099</v>
      </c>
      <c r="DA99" s="246">
        <f si="90" t="shared"/>
        <v>45.601411248811409</v>
      </c>
      <c r="DB99" s="246">
        <f si="91" t="shared"/>
        <v>157.642857142857</v>
      </c>
      <c r="DC99" s="301">
        <f si="92" t="shared"/>
        <v>112.04144589404558</v>
      </c>
      <c r="DD99" s="302">
        <f si="93" t="shared"/>
        <v>2.3489308628632175</v>
      </c>
      <c r="DE99" s="357">
        <f si="94" t="shared"/>
        <v>0.28927039305997299</v>
      </c>
    </row>
    <row r="100" spans="2:109" x14ac:dyDescent="0.25">
      <c r="B100">
        <v>7</v>
      </c>
      <c r="C100" s="295">
        <f ref="C100:X100" si="172" t="shared">IF($X$88&gt;0,C73/$X$88,0)</f>
        <v>1.3313683120856053E-3</v>
      </c>
      <c r="D100" s="295">
        <f si="172" t="shared"/>
        <v>2.5562105420971083E-3</v>
      </c>
      <c r="E100" s="295">
        <f si="172" t="shared"/>
        <v>1.3646565941516618E-3</v>
      </c>
      <c r="F100" s="295">
        <f si="172" t="shared"/>
        <v>8.463950928461752E-4</v>
      </c>
      <c r="G100" s="295">
        <f si="172" t="shared"/>
        <v>8.6718567331877045E-4</v>
      </c>
      <c r="H100" s="295">
        <f si="172" t="shared"/>
        <v>1.9002721225027091E-3</v>
      </c>
      <c r="I100" s="295">
        <f si="172" t="shared"/>
        <v>7.080863461536803E-2</v>
      </c>
      <c r="J100" s="295">
        <f si="172" t="shared"/>
        <v>7.3110075720095771E-5</v>
      </c>
      <c r="K100" s="295">
        <f si="172" t="shared"/>
        <v>4.7321493258767168E-3</v>
      </c>
      <c r="L100" s="295">
        <f si="172" t="shared"/>
        <v>4.0677272888516112E-4</v>
      </c>
      <c r="M100" s="295">
        <f si="172" t="shared"/>
        <v>3.6797765473606345E-4</v>
      </c>
      <c r="N100" s="295">
        <f si="172" t="shared"/>
        <v>8.3400104990519197E-3</v>
      </c>
      <c r="O100" s="295">
        <f si="172" t="shared"/>
        <v>8.6750757141375156E-3</v>
      </c>
      <c r="P100" s="295">
        <f si="172" t="shared"/>
        <v>0</v>
      </c>
      <c r="Q100" s="295">
        <f si="172" t="shared"/>
        <v>0</v>
      </c>
      <c r="R100" s="295">
        <f si="172" t="shared"/>
        <v>0</v>
      </c>
      <c r="S100" s="295">
        <f si="172" t="shared"/>
        <v>0</v>
      </c>
      <c r="T100" s="295">
        <f si="172" t="shared"/>
        <v>5.296531501819689E-4</v>
      </c>
      <c r="U100" s="295">
        <f si="172" t="shared"/>
        <v>0</v>
      </c>
      <c r="V100" s="295">
        <f si="172" t="shared"/>
        <v>0</v>
      </c>
      <c r="W100" s="295">
        <f si="172" t="shared"/>
        <v>0</v>
      </c>
      <c r="X100" s="295">
        <f si="172" t="shared"/>
        <v>0.10279947210095948</v>
      </c>
      <c r="Z100">
        <v>6</v>
      </c>
      <c r="AA100" s="295">
        <f si="146" t="shared"/>
        <v>2.0889356527958088E-3</v>
      </c>
      <c r="AB100" s="295">
        <f si="147" t="shared"/>
        <v>2.159632827467531E-3</v>
      </c>
      <c r="AC100" s="295">
        <f si="148" t="shared"/>
        <v>4.5320237262769583E-4</v>
      </c>
      <c r="AD100" s="295">
        <f si="149" t="shared"/>
        <v>1.0175835508509719E-3</v>
      </c>
      <c r="AE100" s="295">
        <f si="150" t="shared"/>
        <v>5.1145801680398855E-4</v>
      </c>
      <c r="AF100" s="295">
        <f si="151" t="shared"/>
        <v>-7.9946972276625245E-3</v>
      </c>
      <c r="AG100" s="295">
        <f si="152" t="shared"/>
        <v>1.322421779076312E-4</v>
      </c>
      <c r="AH100" s="295">
        <f si="153" t="shared"/>
        <v>2.4641018324548613E-4</v>
      </c>
      <c r="AI100" s="295">
        <f si="154" t="shared"/>
        <v>5.3674348679907816E-4</v>
      </c>
      <c r="AJ100" s="295">
        <f si="155" t="shared"/>
        <v>7.3507945260150665E-4</v>
      </c>
      <c r="AK100" s="295">
        <f si="156" t="shared"/>
        <v>8.3139226723168873E-4</v>
      </c>
      <c r="AL100" s="295">
        <f si="157" t="shared"/>
        <v>2.5497199934106868E-3</v>
      </c>
      <c r="AM100" s="295">
        <f si="158" t="shared"/>
        <v>-4.4671281526474237E-4</v>
      </c>
      <c r="AN100" s="295">
        <f si="159" t="shared"/>
        <v>4.7625062472295544E-4</v>
      </c>
      <c r="AO100" s="295">
        <f si="160" t="shared"/>
        <v>2.4174994337323121E-4</v>
      </c>
      <c r="AP100" s="295">
        <f si="161" t="shared"/>
        <v>1.9653620397570002E-4</v>
      </c>
      <c r="AQ100" s="295">
        <f si="162" t="shared"/>
        <v>2.4854612652026984E-4</v>
      </c>
      <c r="AR100" s="295">
        <f si="163" t="shared"/>
        <v>2.4686326212195538E-4</v>
      </c>
      <c r="AS100" s="295">
        <f si="164" t="shared"/>
        <v>6.5843942671214525E-5</v>
      </c>
      <c r="AT100" s="295">
        <f si="165" t="shared"/>
        <v>1.2077788335594372E-4</v>
      </c>
      <c r="AU100" s="295">
        <f si="166" t="shared"/>
        <v>0</v>
      </c>
      <c r="AV100" s="295">
        <f si="167" t="shared"/>
        <v>4.4175579255560787E-3</v>
      </c>
      <c r="CU100">
        <v>99</v>
      </c>
      <c r="CV100">
        <f si="99" t="shared"/>
        <v>5</v>
      </c>
      <c r="CW100">
        <f si="88" t="shared"/>
        <v>19</v>
      </c>
      <c r="CX100" s="355" t="str">
        <f si="89" t="shared"/>
        <v>5_19</v>
      </c>
      <c r="CY100" s="246">
        <f si="84" t="shared"/>
        <v>174.90053081159058</v>
      </c>
      <c r="CZ100" s="246">
        <f si="85" t="shared"/>
        <v>353.92857142857099</v>
      </c>
      <c r="DA100" s="246">
        <f si="90" t="shared"/>
        <v>168.73513047955032</v>
      </c>
      <c r="DB100" s="246">
        <f si="91" t="shared"/>
        <v>352.67857142857099</v>
      </c>
      <c r="DC100" s="301">
        <f si="92" t="shared"/>
        <v>183.94344094902067</v>
      </c>
      <c r="DD100" s="302">
        <f si="93" t="shared"/>
        <v>1.0517031600502771</v>
      </c>
      <c r="DE100" s="357">
        <f si="94" t="shared"/>
        <v>0.47843885097999139</v>
      </c>
    </row>
    <row r="101" spans="2:109" x14ac:dyDescent="0.25">
      <c r="B101">
        <v>8</v>
      </c>
      <c r="C101" s="295">
        <f ref="C101:X101" si="173" t="shared">IF($X$88&gt;0,C74/$X$88,0)</f>
        <v>4.2377767117006498E-5</v>
      </c>
      <c r="D101" s="295">
        <f si="173" t="shared"/>
        <v>2.6286995523980923E-6</v>
      </c>
      <c r="E101" s="295">
        <f si="173" t="shared"/>
        <v>8.1651692325642648E-4</v>
      </c>
      <c r="F101" s="295">
        <f si="173" t="shared"/>
        <v>6.9680865377741907E-4</v>
      </c>
      <c r="G101" s="295">
        <f si="173" t="shared"/>
        <v>8.6746266791225219E-5</v>
      </c>
      <c r="H101" s="295">
        <f si="173" t="shared"/>
        <v>0</v>
      </c>
      <c r="I101" s="295">
        <f si="173" t="shared"/>
        <v>7.144350251417399E-5</v>
      </c>
      <c r="J101" s="295">
        <f si="173" t="shared"/>
        <v>4.9382839111960608E-4</v>
      </c>
      <c r="K101" s="295">
        <f si="173" t="shared"/>
        <v>7.4048272005728427E-5</v>
      </c>
      <c r="L101" s="295">
        <f si="173" t="shared"/>
        <v>0</v>
      </c>
      <c r="M101" s="295">
        <f si="173" t="shared"/>
        <v>1.2715378092807861E-3</v>
      </c>
      <c r="N101" s="295">
        <f si="173" t="shared"/>
        <v>0</v>
      </c>
      <c r="O101" s="295">
        <f si="173" t="shared"/>
        <v>6.041302513774826E-5</v>
      </c>
      <c r="P101" s="295">
        <f si="173" t="shared"/>
        <v>3.1065516518017614E-4</v>
      </c>
      <c r="Q101" s="295">
        <f si="173" t="shared"/>
        <v>1.7233828491001063E-5</v>
      </c>
      <c r="R101" s="295">
        <f si="173" t="shared"/>
        <v>0</v>
      </c>
      <c r="S101" s="295">
        <f si="173" t="shared"/>
        <v>0</v>
      </c>
      <c r="T101" s="295">
        <f si="173" t="shared"/>
        <v>0</v>
      </c>
      <c r="U101" s="295">
        <f si="173" t="shared"/>
        <v>5.9422124962175022E-5</v>
      </c>
      <c r="V101" s="295">
        <f si="173" t="shared"/>
        <v>0</v>
      </c>
      <c r="W101" s="295">
        <f si="173" t="shared"/>
        <v>0</v>
      </c>
      <c r="X101" s="295">
        <f si="173" t="shared"/>
        <v>4.0036604291858709E-3</v>
      </c>
      <c r="Z101">
        <v>7</v>
      </c>
      <c r="AA101" s="295">
        <f si="146" t="shared"/>
        <v>3.6395575533162256E-4</v>
      </c>
      <c r="AB101" s="295">
        <f si="147" t="shared"/>
        <v>-3.5622133184692352E-4</v>
      </c>
      <c r="AC101" s="295">
        <f si="148" t="shared"/>
        <v>-4.7163812863078682E-4</v>
      </c>
      <c r="AD101" s="295">
        <f si="149" t="shared"/>
        <v>-5.2419128612276331E-4</v>
      </c>
      <c r="AE101" s="295">
        <f si="150" t="shared"/>
        <v>-4.6957659644012014E-4</v>
      </c>
      <c r="AF101" s="295">
        <f si="151" t="shared"/>
        <v>-5.6435271934239528E-5</v>
      </c>
      <c r="AG101" s="295">
        <f si="152" t="shared"/>
        <v>-3.6952580667242996E-3</v>
      </c>
      <c r="AH101" s="295">
        <f si="153" t="shared"/>
        <v>-3.1200279646690935E-5</v>
      </c>
      <c r="AI101" s="295">
        <f si="154" t="shared"/>
        <v>1.0782312742955149E-3</v>
      </c>
      <c r="AJ101" s="295">
        <f si="155" t="shared"/>
        <v>-1.359610118641172E-4</v>
      </c>
      <c r="AK101" s="295">
        <f si="156" t="shared"/>
        <v>-3.9948548172332604E-5</v>
      </c>
      <c r="AL101" s="295">
        <f si="157" t="shared"/>
        <v>1.7388909218907928E-3</v>
      </c>
      <c r="AM101" s="295">
        <f si="158" t="shared"/>
        <v>-2.1370180755788046E-3</v>
      </c>
      <c r="AN101" s="295">
        <f si="159" t="shared"/>
        <v>6.3431042705693809E-5</v>
      </c>
      <c r="AO101" s="295">
        <f si="160" t="shared"/>
        <v>8.2437701573578491E-4</v>
      </c>
      <c r="AP101" s="295">
        <f si="161" t="shared"/>
        <v>7.5308181824566204E-5</v>
      </c>
      <c r="AQ101" s="295">
        <f si="162" t="shared"/>
        <v>5.1456815256149763E-5</v>
      </c>
      <c r="AR101" s="295">
        <f si="163" t="shared"/>
        <v>1.0766701512580196E-4</v>
      </c>
      <c r="AS101" s="295">
        <f si="164" t="shared"/>
        <v>1.1265482635638777E-4</v>
      </c>
      <c r="AT101" s="295">
        <f si="165" t="shared"/>
        <v>8.8091478696376613E-5</v>
      </c>
      <c r="AU101" s="295">
        <f si="166" t="shared"/>
        <v>0</v>
      </c>
      <c r="AV101" s="295">
        <f si="167" t="shared"/>
        <v>-3.413384269742345E-3</v>
      </c>
      <c r="CU101">
        <v>100</v>
      </c>
      <c r="CV101">
        <f si="99" t="shared"/>
        <v>5</v>
      </c>
      <c r="CW101">
        <f si="88" t="shared"/>
        <v>20</v>
      </c>
      <c r="CX101" s="355" t="str">
        <f si="89" t="shared"/>
        <v>5_20</v>
      </c>
      <c r="CY101" s="246">
        <f si="84" t="shared"/>
        <v>0</v>
      </c>
      <c r="CZ101" s="246">
        <f si="85" t="shared"/>
        <v>85.642857142857096</v>
      </c>
      <c r="DA101" s="246">
        <f si="90" t="shared"/>
        <v>0</v>
      </c>
      <c r="DB101" s="246">
        <f si="91" t="shared"/>
        <v>81.964285714285694</v>
      </c>
      <c r="DC101" s="301">
        <f si="92" t="shared"/>
        <v>81.964285714285694</v>
      </c>
      <c r="DD101" s="302">
        <f si="93" t="shared"/>
        <v>0</v>
      </c>
      <c r="DE101" s="357">
        <f si="94" t="shared"/>
        <v>0</v>
      </c>
    </row>
    <row r="102" spans="2:109" x14ac:dyDescent="0.25">
      <c r="B102">
        <v>9</v>
      </c>
      <c r="C102" s="295">
        <f ref="C102:X102" si="174" t="shared">IF($X$88&gt;0,C75/$X$88,0)</f>
        <v>1.5166683242724193E-3</v>
      </c>
      <c r="D102" s="295">
        <f si="174" t="shared"/>
        <v>1.9481869373089234E-3</v>
      </c>
      <c r="E102" s="295">
        <f si="174" t="shared"/>
        <v>2.4849779252557212E-3</v>
      </c>
      <c r="F102" s="295">
        <f si="174" t="shared"/>
        <v>4.5710465182516351E-4</v>
      </c>
      <c r="G102" s="295">
        <f si="174" t="shared"/>
        <v>4.4979577510914929E-4</v>
      </c>
      <c r="H102" s="295">
        <f si="174" t="shared"/>
        <v>1.1857305407046287E-3</v>
      </c>
      <c r="I102" s="295">
        <f si="174" t="shared"/>
        <v>4.7106671770306384E-3</v>
      </c>
      <c r="J102" s="295">
        <f si="174" t="shared"/>
        <v>7.6115861933078783E-5</v>
      </c>
      <c r="K102" s="295">
        <f si="174" t="shared"/>
        <v>5.7355379017663036E-2</v>
      </c>
      <c r="L102" s="295">
        <f si="174" t="shared"/>
        <v>3.6066959401810379E-4</v>
      </c>
      <c r="M102" s="295">
        <f si="174" t="shared"/>
        <v>3.6548729550834854E-3</v>
      </c>
      <c r="N102" s="295">
        <f si="174" t="shared"/>
        <v>1.5610674670790052E-3</v>
      </c>
      <c r="O102" s="295">
        <f si="174" t="shared"/>
        <v>3.6693584703271869E-4</v>
      </c>
      <c r="P102" s="295">
        <f si="174" t="shared"/>
        <v>0</v>
      </c>
      <c r="Q102" s="295">
        <f si="174" t="shared"/>
        <v>4.2221904579591886E-3</v>
      </c>
      <c r="R102" s="295">
        <f si="174" t="shared"/>
        <v>1.2595851755669684E-4</v>
      </c>
      <c r="S102" s="295">
        <f si="174" t="shared"/>
        <v>0</v>
      </c>
      <c r="T102" s="295">
        <f si="174" t="shared"/>
        <v>6.3224189745368006E-7</v>
      </c>
      <c r="U102" s="295">
        <f si="174" t="shared"/>
        <v>2.6973392271574927E-4</v>
      </c>
      <c r="V102" s="295">
        <f si="174" t="shared"/>
        <v>0</v>
      </c>
      <c r="W102" s="295">
        <f si="174" t="shared"/>
        <v>0</v>
      </c>
      <c r="X102" s="295">
        <f si="174" t="shared"/>
        <v>8.0746687214445181E-2</v>
      </c>
      <c r="Z102">
        <v>8</v>
      </c>
      <c r="AA102" s="295">
        <f si="146" t="shared"/>
        <v>3.7963284353720111E-4</v>
      </c>
      <c r="AB102" s="295">
        <f si="147" t="shared"/>
        <v>5.2970551145756105E-5</v>
      </c>
      <c r="AC102" s="295">
        <f si="148" t="shared"/>
        <v>-3.0198533144057817E-5</v>
      </c>
      <c r="AD102" s="295">
        <f si="149" t="shared"/>
        <v>-8.7223388264945898E-5</v>
      </c>
      <c r="AE102" s="295">
        <f si="150" t="shared"/>
        <v>8.8433444517917875E-5</v>
      </c>
      <c r="AF102" s="295">
        <f si="151" t="shared"/>
        <v>2.1304416027121561E-4</v>
      </c>
      <c r="AG102" s="295">
        <f si="152" t="shared"/>
        <v>-3.1022394177739523E-5</v>
      </c>
      <c r="AH102" s="295">
        <f si="153" t="shared"/>
        <v>-1.9016845555454217E-4</v>
      </c>
      <c r="AI102" s="295">
        <f si="154" t="shared"/>
        <v>2.6632326901115307E-5</v>
      </c>
      <c r="AJ102" s="295">
        <f si="155" t="shared"/>
        <v>8.1586560541354328E-5</v>
      </c>
      <c r="AK102" s="295">
        <f si="156" t="shared"/>
        <v>-6.1065754239661473E-4</v>
      </c>
      <c r="AL102" s="295">
        <f si="157" t="shared"/>
        <v>7.3172238549782504E-5</v>
      </c>
      <c r="AM102" s="295">
        <f si="158" t="shared"/>
        <v>-5.3908106982725562E-5</v>
      </c>
      <c r="AN102" s="295">
        <f si="159" t="shared"/>
        <v>-8.6801837427479965E-5</v>
      </c>
      <c r="AO102" s="295">
        <f si="160" t="shared"/>
        <v>-1.0340557013290468E-5</v>
      </c>
      <c r="AP102" s="295">
        <f si="161" t="shared"/>
        <v>1.3915994062983841E-5</v>
      </c>
      <c r="AQ102" s="295">
        <f si="162" t="shared"/>
        <v>4.0065117790637199E-5</v>
      </c>
      <c r="AR102" s="295">
        <f si="163" t="shared"/>
        <v>3.851170449988553E-6</v>
      </c>
      <c r="AS102" s="295">
        <f si="164" t="shared"/>
        <v>-1.5894190044237163E-5</v>
      </c>
      <c r="AT102" s="295">
        <f si="165" t="shared"/>
        <v>1.0356088605011255E-6</v>
      </c>
      <c r="AU102" s="295">
        <f si="166" t="shared"/>
        <v>0</v>
      </c>
      <c r="AV102" s="295">
        <f si="167" t="shared"/>
        <v>-1.4187498837717931E-4</v>
      </c>
      <c r="CU102">
        <v>101</v>
      </c>
      <c r="CV102">
        <f si="99" t="shared"/>
        <v>6</v>
      </c>
      <c r="CW102">
        <f si="88" t="shared"/>
        <v>1</v>
      </c>
      <c r="CX102" s="355" t="str">
        <f si="89" t="shared"/>
        <v>1_6</v>
      </c>
      <c r="CY102" s="246">
        <f si="84" t="shared"/>
        <v>8561.0372340079884</v>
      </c>
      <c r="CZ102" s="246">
        <f si="85" t="shared"/>
        <v>13171.5714285714</v>
      </c>
      <c r="DA102" s="246">
        <f si="90" t="shared"/>
        <v>8524.9960370866793</v>
      </c>
      <c r="DB102" s="246">
        <f si="91" t="shared"/>
        <v>13296.21428571425</v>
      </c>
      <c r="DC102" s="301">
        <f si="92" t="shared"/>
        <v>4771.2182486275706</v>
      </c>
      <c r="DD102" s="302">
        <f si="93" t="shared"/>
        <v>0.55731777799941273</v>
      </c>
      <c r="DE102" s="357">
        <f si="94" t="shared"/>
        <v>0.64115964543728254</v>
      </c>
    </row>
    <row r="103" spans="2:109" x14ac:dyDescent="0.25">
      <c r="B103">
        <v>10</v>
      </c>
      <c r="C103" s="295">
        <f ref="C103:X103" si="175" t="shared">IF($X$88&gt;0,C76/$X$88,0)</f>
        <v>9.1876320873004872E-4</v>
      </c>
      <c r="D103" s="295">
        <f si="175" t="shared"/>
        <v>8.3323908721870519E-6</v>
      </c>
      <c r="E103" s="295">
        <f si="175" t="shared"/>
        <v>5.3812102449447299E-4</v>
      </c>
      <c r="F103" s="295">
        <f si="175" t="shared"/>
        <v>6.4590369141923087E-4</v>
      </c>
      <c r="G103" s="295">
        <f si="175" t="shared"/>
        <v>2.7638105090934191E-3</v>
      </c>
      <c r="H103" s="295">
        <f si="175" t="shared"/>
        <v>2.8492360670261427E-3</v>
      </c>
      <c r="I103" s="295">
        <f si="175" t="shared"/>
        <v>4.2453000392976158E-4</v>
      </c>
      <c r="J103" s="295">
        <f si="175" t="shared"/>
        <v>0</v>
      </c>
      <c r="K103" s="295">
        <f si="175" t="shared"/>
        <v>3.6606412632729323E-4</v>
      </c>
      <c r="L103" s="295">
        <f si="175" t="shared"/>
        <v>1.7512145768250994E-2</v>
      </c>
      <c r="M103" s="295">
        <f si="175" t="shared"/>
        <v>2.6090655357049916E-4</v>
      </c>
      <c r="N103" s="295">
        <f si="175" t="shared"/>
        <v>3.1497570131801219E-3</v>
      </c>
      <c r="O103" s="295">
        <f si="175" t="shared"/>
        <v>1.6630160387064041E-4</v>
      </c>
      <c r="P103" s="295">
        <f si="175" t="shared"/>
        <v>6.7219387503378325E-5</v>
      </c>
      <c r="Q103" s="295">
        <f si="175" t="shared"/>
        <v>5.3654310067536389E-5</v>
      </c>
      <c r="R103" s="295">
        <f si="175" t="shared"/>
        <v>4.2412810566638337E-3</v>
      </c>
      <c r="S103" s="295">
        <f si="175" t="shared"/>
        <v>0</v>
      </c>
      <c r="T103" s="295">
        <f si="175" t="shared"/>
        <v>0</v>
      </c>
      <c r="U103" s="295">
        <f si="175" t="shared"/>
        <v>5.7770690936597516E-7</v>
      </c>
      <c r="V103" s="295">
        <f si="175" t="shared"/>
        <v>0</v>
      </c>
      <c r="W103" s="295">
        <f si="175" t="shared"/>
        <v>0</v>
      </c>
      <c r="X103" s="295">
        <f si="175" t="shared"/>
        <v>3.3966604421908929E-2</v>
      </c>
      <c r="Z103">
        <v>9</v>
      </c>
      <c r="AA103" s="295">
        <f si="146" t="shared"/>
        <v>4.4526029917007007E-4</v>
      </c>
      <c r="AB103" s="295">
        <f si="147" t="shared"/>
        <v>1.0313892054603694E-3</v>
      </c>
      <c r="AC103" s="295">
        <f si="148" t="shared"/>
        <v>-5.7987833803323447E-4</v>
      </c>
      <c r="AD103" s="295">
        <f si="149" t="shared"/>
        <v>-6.1858057659531531E-5</v>
      </c>
      <c r="AE103" s="295">
        <f si="150" t="shared"/>
        <v>-3.797943917549962E-5</v>
      </c>
      <c r="AF103" s="295">
        <f si="151" t="shared"/>
        <v>3.504657527412258E-4</v>
      </c>
      <c r="AG103" s="295">
        <f si="152" t="shared"/>
        <v>1.0074795090032253E-3</v>
      </c>
      <c r="AH103" s="295">
        <f si="153" t="shared"/>
        <v>2.1910989268730748E-5</v>
      </c>
      <c r="AI103" s="295">
        <f si="154" t="shared"/>
        <v>-5.0066779931835642E-3</v>
      </c>
      <c r="AJ103" s="295">
        <f si="155" t="shared"/>
        <v>-1.4532767658765157E-4</v>
      </c>
      <c r="AK103" s="295">
        <f si="156" t="shared"/>
        <v>9.0212312257482129E-5</v>
      </c>
      <c r="AL103" s="295">
        <f si="157" t="shared"/>
        <v>7.2864412576640345E-5</v>
      </c>
      <c r="AM103" s="295">
        <f si="158" t="shared"/>
        <v>2.075681683302795E-4</v>
      </c>
      <c r="AN103" s="295">
        <f si="159" t="shared"/>
        <v>2.0705704654644337E-4</v>
      </c>
      <c r="AO103" s="295">
        <f si="160" t="shared"/>
        <v>-7.6209180391737354E-4</v>
      </c>
      <c r="AP103" s="295">
        <f si="161" t="shared"/>
        <v>-7.2624661240888855E-5</v>
      </c>
      <c r="AQ103" s="295">
        <f si="162" t="shared"/>
        <v>2.3223528696737712E-4</v>
      </c>
      <c r="AR103" s="295">
        <f si="163" t="shared"/>
        <v>9.8915659818216948E-5</v>
      </c>
      <c r="AS103" s="295">
        <f si="164" t="shared"/>
        <v>4.8503075992822442E-4</v>
      </c>
      <c r="AT103" s="295">
        <f si="165" t="shared"/>
        <v>2.715236981126382E-5</v>
      </c>
      <c r="AU103" s="295">
        <f si="166" t="shared"/>
        <v>0</v>
      </c>
      <c r="AV103" s="295">
        <f si="167" t="shared"/>
        <v>-2.3888961979182388E-3</v>
      </c>
      <c r="CU103">
        <v>102</v>
      </c>
      <c r="CV103">
        <f si="99" t="shared"/>
        <v>6</v>
      </c>
      <c r="CW103">
        <f si="88" t="shared"/>
        <v>2</v>
      </c>
      <c r="CX103" s="355" t="str">
        <f si="89" t="shared"/>
        <v>2_6</v>
      </c>
      <c r="CY103" s="246">
        <f si="84" t="shared"/>
        <v>0</v>
      </c>
      <c r="CZ103" s="246">
        <f si="85" t="shared"/>
        <v>4766.5714285714303</v>
      </c>
      <c r="DA103" s="246">
        <f si="90" t="shared"/>
        <v>0</v>
      </c>
      <c r="DB103" s="246">
        <f si="91" t="shared"/>
        <v>4696.3571428571449</v>
      </c>
      <c r="DC103" s="301">
        <f si="92" t="shared"/>
        <v>4696.3571428571449</v>
      </c>
      <c r="DD103" s="302">
        <f si="93" t="shared"/>
        <v>0</v>
      </c>
      <c r="DE103" s="357">
        <f si="94" t="shared"/>
        <v>0</v>
      </c>
    </row>
    <row r="104" spans="2:109" x14ac:dyDescent="0.25">
      <c r="B104">
        <v>11</v>
      </c>
      <c r="C104" s="295">
        <f ref="C104:X104" si="176" t="shared">IF($X$88&gt;0,C77/$X$88,0)</f>
        <v>5.9616036819610673E-4</v>
      </c>
      <c r="D104" s="295">
        <f si="176" t="shared"/>
        <v>2.8310322086345197E-4</v>
      </c>
      <c r="E104" s="295">
        <f si="176" t="shared"/>
        <v>5.5626341572155586E-3</v>
      </c>
      <c r="F104" s="295">
        <f si="176" t="shared"/>
        <v>1.2769425104214376E-3</v>
      </c>
      <c r="G104" s="295">
        <f si="176" t="shared"/>
        <v>6.6142243942794623E-4</v>
      </c>
      <c r="H104" s="295">
        <f si="176" t="shared"/>
        <v>4.1554720576384525E-4</v>
      </c>
      <c r="I104" s="295">
        <f si="176" t="shared"/>
        <v>3.4395798005513778E-4</v>
      </c>
      <c r="J104" s="295">
        <f si="176" t="shared"/>
        <v>1.2605889114156274E-3</v>
      </c>
      <c r="K104" s="295">
        <f si="176" t="shared"/>
        <v>3.6112011938755936E-3</v>
      </c>
      <c r="L104" s="295">
        <f si="176" t="shared"/>
        <v>2.5164307842278543E-4</v>
      </c>
      <c r="M104" s="295">
        <f si="176" t="shared"/>
        <v>5.3478801070510056E-2</v>
      </c>
      <c r="N104" s="295">
        <f si="176" t="shared"/>
        <v>0</v>
      </c>
      <c r="O104" s="295">
        <f si="176" t="shared"/>
        <v>0</v>
      </c>
      <c r="P104" s="295">
        <f si="176" t="shared"/>
        <v>0</v>
      </c>
      <c r="Q104" s="295">
        <f si="176" t="shared"/>
        <v>0</v>
      </c>
      <c r="R104" s="295">
        <f si="176" t="shared"/>
        <v>4.2763871019841198E-5</v>
      </c>
      <c r="S104" s="295">
        <f si="176" t="shared"/>
        <v>2.3646409917523086E-3</v>
      </c>
      <c r="T104" s="295">
        <f si="176" t="shared"/>
        <v>0</v>
      </c>
      <c r="U104" s="295">
        <f si="176" t="shared"/>
        <v>7.3752374630487536E-3</v>
      </c>
      <c r="V104" s="295">
        <f si="176" t="shared"/>
        <v>0</v>
      </c>
      <c r="W104" s="295">
        <f si="176" t="shared"/>
        <v>0</v>
      </c>
      <c r="X104" s="295">
        <f si="176" t="shared"/>
        <v>7.7524644461988465E-2</v>
      </c>
      <c r="Z104">
        <v>10</v>
      </c>
      <c r="AA104" s="295">
        <f si="146" t="shared"/>
        <v>5.7859775244701185E-4</v>
      </c>
      <c r="AB104" s="295">
        <f si="147" t="shared"/>
        <v>2.7752801740301347E-4</v>
      </c>
      <c r="AC104" s="295">
        <f si="148" t="shared"/>
        <v>-3.7436503219069779E-5</v>
      </c>
      <c r="AD104" s="295">
        <f si="149" t="shared"/>
        <v>6.8439882888310963E-5</v>
      </c>
      <c r="AE104" s="295">
        <f si="150" t="shared"/>
        <v>-4.741116813023246E-4</v>
      </c>
      <c r="AF104" s="295">
        <f si="151" t="shared"/>
        <v>4.3438836463090269E-4</v>
      </c>
      <c r="AG104" s="295">
        <f si="152" t="shared"/>
        <v>-1.4540105324781797E-4</v>
      </c>
      <c r="AH104" s="295">
        <f si="153" t="shared"/>
        <v>8.362541548546591E-5</v>
      </c>
      <c r="AI104" s="295">
        <f si="154" t="shared"/>
        <v>-1.3460554600529208E-4</v>
      </c>
      <c r="AJ104" s="295">
        <f si="155" t="shared"/>
        <v>-1.925811701609494E-3</v>
      </c>
      <c r="AK104" s="295">
        <f si="156" t="shared"/>
        <v>-5.76359519202631E-5</v>
      </c>
      <c r="AL104" s="295">
        <f si="157" t="shared"/>
        <v>-3.0027923351127984E-4</v>
      </c>
      <c r="AM104" s="295">
        <f si="158" t="shared"/>
        <v>-1.2600994664176859E-4</v>
      </c>
      <c r="AN104" s="295">
        <f si="159" t="shared"/>
        <v>6.6956685485298421E-5</v>
      </c>
      <c r="AO104" s="295">
        <f si="160" t="shared"/>
        <v>-1.4916066129416238E-5</v>
      </c>
      <c r="AP104" s="295">
        <f si="161" t="shared"/>
        <v>-1.2191154995064321E-3</v>
      </c>
      <c r="AQ104" s="295">
        <f si="162" t="shared"/>
        <v>5.7767556749828292E-5</v>
      </c>
      <c r="AR104" s="295">
        <f si="163" t="shared"/>
        <v>7.9062263943882643E-5</v>
      </c>
      <c r="AS104" s="295">
        <f si="164" t="shared"/>
        <v>6.9746607274038584E-5</v>
      </c>
      <c r="AT104" s="295">
        <f si="165" t="shared"/>
        <v>5.0421206395648318E-5</v>
      </c>
      <c r="AU104" s="295">
        <f si="166" t="shared"/>
        <v>0</v>
      </c>
      <c r="AV104" s="295">
        <f si="167" t="shared"/>
        <v>-2.6687894303897633E-3</v>
      </c>
      <c r="CU104">
        <v>103</v>
      </c>
      <c r="CV104">
        <f si="99" t="shared"/>
        <v>6</v>
      </c>
      <c r="CW104">
        <f si="88" t="shared"/>
        <v>3</v>
      </c>
      <c r="CX104" s="355" t="str">
        <f si="89" t="shared"/>
        <v>3_6</v>
      </c>
      <c r="CY104" s="246">
        <f si="84" t="shared"/>
        <v>4265.5131432945018</v>
      </c>
      <c r="CZ104" s="246">
        <f si="85" t="shared"/>
        <v>5265.7857142857101</v>
      </c>
      <c r="DA104" s="246">
        <f si="90" t="shared"/>
        <v>4290.4269650400038</v>
      </c>
      <c r="DB104" s="246">
        <f si="91" t="shared"/>
        <v>5084.7857142857101</v>
      </c>
      <c r="DC104" s="301">
        <f si="92" t="shared"/>
        <v>794.35874924570635</v>
      </c>
      <c r="DD104" s="302">
        <f si="93" t="shared"/>
        <v>0.18622817995402477</v>
      </c>
      <c r="DE104" s="357">
        <f si="94" t="shared"/>
        <v>0.84377734011210059</v>
      </c>
    </row>
    <row r="105" spans="2:109" x14ac:dyDescent="0.25">
      <c r="B105">
        <v>12</v>
      </c>
      <c r="C105" s="295">
        <f ref="C105:X105" si="177" t="shared">IF($X$88&gt;0,C78/$X$88,0)</f>
        <v>1.07660433621842E-4</v>
      </c>
      <c r="D105" s="295">
        <f si="177" t="shared"/>
        <v>0</v>
      </c>
      <c r="E105" s="295">
        <f si="177" t="shared"/>
        <v>9.6456954883295269E-4</v>
      </c>
      <c r="F105" s="295">
        <f si="177" t="shared"/>
        <v>0</v>
      </c>
      <c r="G105" s="295">
        <f si="177" t="shared"/>
        <v>4.869703044315656E-4</v>
      </c>
      <c r="H105" s="295">
        <f si="177" t="shared"/>
        <v>4.4250358297913302E-3</v>
      </c>
      <c r="I105" s="295">
        <f si="177" t="shared"/>
        <v>8.5579557242419259E-3</v>
      </c>
      <c r="J105" s="295">
        <f si="177" t="shared"/>
        <v>0</v>
      </c>
      <c r="K105" s="295">
        <f si="177" t="shared"/>
        <v>1.5759841198441007E-3</v>
      </c>
      <c r="L105" s="295">
        <f si="177" t="shared"/>
        <v>3.147618684261862E-3</v>
      </c>
      <c r="M105" s="295">
        <f si="177" t="shared"/>
        <v>0</v>
      </c>
      <c r="N105" s="295">
        <f si="177" t="shared"/>
        <v>0.13496920273733495</v>
      </c>
      <c r="O105" s="295">
        <f si="177" t="shared"/>
        <v>2.1260158507193858E-5</v>
      </c>
      <c r="P105" s="295">
        <f si="177" t="shared"/>
        <v>0</v>
      </c>
      <c r="Q105" s="295">
        <f si="177" t="shared"/>
        <v>0</v>
      </c>
      <c r="R105" s="295">
        <f si="177" t="shared"/>
        <v>1.8192596415043578E-3</v>
      </c>
      <c r="S105" s="295">
        <f si="177" t="shared"/>
        <v>0</v>
      </c>
      <c r="T105" s="295">
        <f si="177" t="shared"/>
        <v>7.1362733420767726E-3</v>
      </c>
      <c r="U105" s="295">
        <f si="177" t="shared"/>
        <v>3.326243912072014E-5</v>
      </c>
      <c r="V105" s="295">
        <f si="177" t="shared"/>
        <v>0</v>
      </c>
      <c r="W105" s="295">
        <f si="177" t="shared"/>
        <v>0</v>
      </c>
      <c r="X105" s="295">
        <f si="177" t="shared"/>
        <v>0.16324505296356953</v>
      </c>
      <c r="Z105">
        <v>11</v>
      </c>
      <c r="AA105" s="295">
        <f si="146" t="shared"/>
        <v>1.5125010856686346E-3</v>
      </c>
      <c r="AB105" s="295">
        <f si="147" t="shared"/>
        <v>1.7379446327888678E-4</v>
      </c>
      <c r="AC105" s="295">
        <f si="148" t="shared"/>
        <v>5.7496648009814407E-4</v>
      </c>
      <c r="AD105" s="295">
        <f si="149" t="shared"/>
        <v>-1.8664055697509914E-4</v>
      </c>
      <c r="AE105" s="295">
        <f si="150" t="shared"/>
        <v>-1.4212932144041287E-4</v>
      </c>
      <c r="AF105" s="295">
        <f si="151" t="shared"/>
        <v>6.0857286894109262E-4</v>
      </c>
      <c r="AG105" s="295">
        <f si="152" t="shared"/>
        <v>-2.757223296908078E-6</v>
      </c>
      <c r="AH105" s="295">
        <f si="153" t="shared"/>
        <v>-6.0213585279825883E-4</v>
      </c>
      <c r="AI105" s="295">
        <f si="154" t="shared"/>
        <v>1.124275523868676E-4</v>
      </c>
      <c r="AJ105" s="295">
        <f si="155" t="shared"/>
        <v>-4.5395101298608439E-5</v>
      </c>
      <c r="AK105" s="295">
        <f si="156" t="shared"/>
        <v>-3.3307041490416925E-3</v>
      </c>
      <c r="AL105" s="295">
        <f si="157" t="shared"/>
        <v>4.7311143536456213E-4</v>
      </c>
      <c r="AM105" s="295">
        <f si="158" t="shared"/>
        <v>6.5631711534258768E-5</v>
      </c>
      <c r="AN105" s="295">
        <f si="159" t="shared"/>
        <v>1.3430876037392838E-3</v>
      </c>
      <c r="AO105" s="295">
        <f si="160" t="shared"/>
        <v>2.5255911085471128E-4</v>
      </c>
      <c r="AP105" s="295">
        <f si="161" t="shared"/>
        <v>-1.0142191914055806E-5</v>
      </c>
      <c r="AQ105" s="295">
        <f si="162" t="shared"/>
        <v>3.8875170332816362E-4</v>
      </c>
      <c r="AR105" s="295">
        <f si="163" t="shared"/>
        <v>1.9255852249942765E-5</v>
      </c>
      <c r="AS105" s="295">
        <f si="164" t="shared"/>
        <v>-7.2992958187438877E-4</v>
      </c>
      <c r="AT105" s="295">
        <f si="165" t="shared"/>
        <v>1.0712079150808476E-5</v>
      </c>
      <c r="AU105" s="295">
        <f si="166" t="shared"/>
        <v>0</v>
      </c>
      <c r="AV105" s="295">
        <f si="167" t="shared"/>
        <v>4.8553796795590409E-4</v>
      </c>
      <c r="CU105">
        <v>104</v>
      </c>
      <c r="CV105">
        <f si="99" t="shared"/>
        <v>6</v>
      </c>
      <c r="CW105">
        <f si="88" t="shared"/>
        <v>4</v>
      </c>
      <c r="CX105" s="355" t="str">
        <f si="89" t="shared"/>
        <v>4_6</v>
      </c>
      <c r="CY105" s="246">
        <f si="84" t="shared"/>
        <v>1655.2840433229221</v>
      </c>
      <c r="CZ105" s="246">
        <f si="85" t="shared"/>
        <v>3901.2142857142899</v>
      </c>
      <c r="DA105" s="246">
        <f si="90" t="shared"/>
        <v>1656.5423184197803</v>
      </c>
      <c r="DB105" s="246">
        <f si="91" t="shared"/>
        <v>3740.25</v>
      </c>
      <c r="DC105" s="301">
        <f si="92" t="shared"/>
        <v>2083.7076815802197</v>
      </c>
      <c r="DD105" s="302">
        <f si="93" t="shared"/>
        <v>1.2588218257678923</v>
      </c>
      <c r="DE105" s="357">
        <f si="94" t="shared"/>
        <v>0.44289614823067447</v>
      </c>
    </row>
    <row r="106" spans="2:109" x14ac:dyDescent="0.25">
      <c r="B106">
        <v>13</v>
      </c>
      <c r="C106" s="295">
        <f ref="C106:X106" si="178" t="shared">IF($X$88&gt;0,C79/$X$88,0)</f>
        <v>4.0891140897410651E-4</v>
      </c>
      <c r="D106" s="295">
        <f si="178" t="shared"/>
        <v>9.1107499957091199E-6</v>
      </c>
      <c r="E106" s="295">
        <f si="178" t="shared"/>
        <v>3.0684413360133281E-4</v>
      </c>
      <c r="F106" s="295">
        <f si="178" t="shared"/>
        <v>1.7217980768409043E-4</v>
      </c>
      <c r="G106" s="295">
        <f si="178" t="shared"/>
        <v>2.0263724862675924E-4</v>
      </c>
      <c r="H106" s="295">
        <f si="178" t="shared"/>
        <v>6.2824424908424772E-4</v>
      </c>
      <c r="I106" s="295">
        <f si="178" t="shared"/>
        <v>8.5343518591533135E-3</v>
      </c>
      <c r="J106" s="295">
        <f si="178" t="shared"/>
        <v>5.9937333516464377E-5</v>
      </c>
      <c r="K106" s="295">
        <f si="178" t="shared"/>
        <v>4.1803661663026382E-4</v>
      </c>
      <c r="L106" s="295">
        <f si="178" t="shared"/>
        <v>1.6440169065524908E-4</v>
      </c>
      <c r="M106" s="295">
        <f si="178" t="shared"/>
        <v>0</v>
      </c>
      <c r="N106" s="295">
        <f si="178" t="shared"/>
        <v>0</v>
      </c>
      <c r="O106" s="295">
        <f si="178" t="shared"/>
        <v>0.11101991009512641</v>
      </c>
      <c r="P106" s="295">
        <f si="178" t="shared"/>
        <v>4.3141403352831562E-5</v>
      </c>
      <c r="Q106" s="295">
        <f si="178" t="shared"/>
        <v>2.9814673210338924E-3</v>
      </c>
      <c r="R106" s="295">
        <f si="178" t="shared"/>
        <v>0</v>
      </c>
      <c r="S106" s="295">
        <f si="178" t="shared"/>
        <v>0</v>
      </c>
      <c r="T106" s="295">
        <f si="178" t="shared"/>
        <v>3.8893755654914809E-3</v>
      </c>
      <c r="U106" s="295">
        <f si="178" t="shared"/>
        <v>0</v>
      </c>
      <c r="V106" s="295">
        <f si="178" t="shared"/>
        <v>0</v>
      </c>
      <c r="W106" s="295">
        <f si="178" t="shared"/>
        <v>0</v>
      </c>
      <c r="X106" s="295">
        <f si="178" t="shared"/>
        <v>0.12883854948292614</v>
      </c>
      <c r="Z106">
        <v>12</v>
      </c>
      <c r="AA106" s="295">
        <f si="146" t="shared"/>
        <v>2.683499622090029E-3</v>
      </c>
      <c r="AB106" s="295">
        <f si="147" t="shared"/>
        <v>2.7093793185091726E-3</v>
      </c>
      <c r="AC106" s="295">
        <f si="148" t="shared"/>
        <v>1.5485890381498229E-4</v>
      </c>
      <c r="AD106" s="295">
        <f si="149" t="shared"/>
        <v>5.7291823929535583E-4</v>
      </c>
      <c r="AE106" s="295">
        <f si="150" t="shared"/>
        <v>5.9572639644546953E-4</v>
      </c>
      <c r="AF106" s="295">
        <f si="151" t="shared"/>
        <v>2.28325001521226E-3</v>
      </c>
      <c r="AG106" s="295">
        <f si="152" t="shared"/>
        <v>1.9058038394845281E-3</v>
      </c>
      <c r="AH106" s="295">
        <f si="153" t="shared"/>
        <v>8.0906942226650463E-5</v>
      </c>
      <c r="AI106" s="295">
        <f si="154" t="shared"/>
        <v>1.4979332062724031E-4</v>
      </c>
      <c r="AJ106" s="295">
        <f si="155" t="shared"/>
        <v>-1.3668301068551743E-4</v>
      </c>
      <c r="AK106" s="295">
        <f si="156" t="shared"/>
        <v>4.934676220287867E-4</v>
      </c>
      <c r="AL106" s="295">
        <f si="157" t="shared"/>
        <v>-9.0337607166574851E-3</v>
      </c>
      <c r="AM106" s="295">
        <f si="158" t="shared"/>
        <v>1.2742218004259283E-3</v>
      </c>
      <c r="AN106" s="295">
        <f si="159" t="shared"/>
        <v>1.5631221238188831E-4</v>
      </c>
      <c r="AO106" s="295">
        <f si="160" t="shared"/>
        <v>2.8404809276932354E-4</v>
      </c>
      <c r="AP106" s="295">
        <f si="161" t="shared"/>
        <v>-2.4785264680146743E-4</v>
      </c>
      <c r="AQ106" s="295">
        <f si="162" t="shared"/>
        <v>1.0857711646816459E-4</v>
      </c>
      <c r="AR106" s="295">
        <f si="163" t="shared"/>
        <v>-1.5300695013077351E-3</v>
      </c>
      <c r="AS106" s="295">
        <f si="164" t="shared"/>
        <v>1.4434448045522254E-4</v>
      </c>
      <c r="AT106" s="295">
        <f si="165" t="shared"/>
        <v>1.667200814299248E-3</v>
      </c>
      <c r="AU106" s="295">
        <f si="166" t="shared"/>
        <v>0</v>
      </c>
      <c r="AV106" s="295">
        <f si="167" t="shared"/>
        <v>4.3159428610820838E-3</v>
      </c>
      <c r="CU106">
        <v>105</v>
      </c>
      <c r="CV106">
        <f si="99" t="shared"/>
        <v>6</v>
      </c>
      <c r="CW106">
        <f si="88" t="shared"/>
        <v>5</v>
      </c>
      <c r="CX106" s="355" t="str">
        <f si="89" t="shared"/>
        <v>5_6</v>
      </c>
      <c r="CY106" s="246">
        <f si="84" t="shared"/>
        <v>6474.6501608954159</v>
      </c>
      <c r="CZ106" s="246">
        <f si="85" t="shared"/>
        <v>7603.5</v>
      </c>
      <c r="DA106" s="246">
        <f si="90" t="shared"/>
        <v>6508.643233145307</v>
      </c>
      <c r="DB106" s="246">
        <f si="91" t="shared"/>
        <v>7528.6785714285706</v>
      </c>
      <c r="DC106" s="301">
        <f si="92" t="shared"/>
        <v>1020.0353382832636</v>
      </c>
      <c r="DD106" s="302">
        <f si="93" t="shared"/>
        <v>0.15754292709804063</v>
      </c>
      <c r="DE106" s="357">
        <f si="94" t="shared"/>
        <v>0.86451336332058182</v>
      </c>
    </row>
    <row r="107" spans="2:109" x14ac:dyDescent="0.25">
      <c r="B107">
        <v>14</v>
      </c>
      <c r="C107" s="295">
        <f ref="C107:X107" si="179" t="shared">IF($X$88&gt;0,C80/$X$88,0)</f>
        <v>0</v>
      </c>
      <c r="D107" s="295">
        <f si="179" t="shared"/>
        <v>0</v>
      </c>
      <c r="E107" s="295">
        <f si="179" t="shared"/>
        <v>0</v>
      </c>
      <c r="F107" s="295">
        <f si="179" t="shared"/>
        <v>0</v>
      </c>
      <c r="G107" s="295">
        <f si="179" t="shared"/>
        <v>8.7610691736505651E-5</v>
      </c>
      <c r="H107" s="295">
        <f si="179" t="shared"/>
        <v>0</v>
      </c>
      <c r="I107" s="295">
        <f si="179" t="shared"/>
        <v>0</v>
      </c>
      <c r="J107" s="295">
        <f si="179" t="shared"/>
        <v>2.969438120759233E-4</v>
      </c>
      <c r="K107" s="295">
        <f si="179" t="shared"/>
        <v>0</v>
      </c>
      <c r="L107" s="295">
        <f si="179" t="shared"/>
        <v>6.938460898709335E-5</v>
      </c>
      <c r="M107" s="295">
        <f si="179" t="shared"/>
        <v>0</v>
      </c>
      <c r="N107" s="295">
        <f si="179" t="shared"/>
        <v>0</v>
      </c>
      <c r="O107" s="295">
        <f si="179" t="shared"/>
        <v>4.2420418063270848E-5</v>
      </c>
      <c r="P107" s="295">
        <f si="179" t="shared"/>
        <v>2.4328856071029383E-2</v>
      </c>
      <c r="Q107" s="295">
        <f si="179" t="shared"/>
        <v>0</v>
      </c>
      <c r="R107" s="295">
        <f si="179" t="shared"/>
        <v>1.3148312168424601E-5</v>
      </c>
      <c r="S107" s="295">
        <f si="179" t="shared"/>
        <v>8.9817608914297695E-4</v>
      </c>
      <c r="T107" s="295">
        <f si="179" t="shared"/>
        <v>0</v>
      </c>
      <c r="U107" s="295">
        <f si="179" t="shared"/>
        <v>0</v>
      </c>
      <c r="V107" s="295">
        <f si="179" t="shared"/>
        <v>0</v>
      </c>
      <c r="W107" s="295">
        <f si="179" t="shared"/>
        <v>0</v>
      </c>
      <c r="X107" s="295">
        <f si="179" t="shared"/>
        <v>2.5736540003203575E-2</v>
      </c>
      <c r="Z107">
        <v>13</v>
      </c>
      <c r="AA107" s="295">
        <f si="146" t="shared"/>
        <v>-2.7942793863457556E-4</v>
      </c>
      <c r="AB107" s="295">
        <f si="147" t="shared"/>
        <v>1.1085806393796777E-4</v>
      </c>
      <c r="AC107" s="295">
        <f si="148" t="shared"/>
        <v>-2.173610554986576E-4</v>
      </c>
      <c r="AD107" s="295">
        <f si="149" t="shared"/>
        <v>-1.438947406816535E-4</v>
      </c>
      <c r="AE107" s="295">
        <f si="150" t="shared"/>
        <v>-1.5710282154160048E-4</v>
      </c>
      <c r="AF107" s="295">
        <f si="151" t="shared"/>
        <v>-4.6979609342757571E-4</v>
      </c>
      <c r="AG107" s="295">
        <f si="152" t="shared"/>
        <v>-2.1422827071483769E-3</v>
      </c>
      <c r="AH107" s="295">
        <f si="153" t="shared"/>
        <v>-5.3561866469004325E-5</v>
      </c>
      <c r="AI107" s="295">
        <f si="154" t="shared"/>
        <v>1.5028610834661701E-4</v>
      </c>
      <c r="AJ107" s="295">
        <f si="155" t="shared"/>
        <v>-1.2828483164527242E-4</v>
      </c>
      <c r="AK107" s="295">
        <f si="156" t="shared"/>
        <v>6.66025948409785E-5</v>
      </c>
      <c r="AL107" s="295">
        <f si="157" t="shared"/>
        <v>1.1481665985268407E-3</v>
      </c>
      <c r="AM107" s="295">
        <f si="158" t="shared"/>
        <v>-5.6328896334045947E-3</v>
      </c>
      <c r="AN107" s="295">
        <f si="159" t="shared"/>
        <v>-3.4694718584369292E-5</v>
      </c>
      <c r="AO107" s="295">
        <f si="160" t="shared"/>
        <v>3.8267569952711708E-4</v>
      </c>
      <c r="AP107" s="295">
        <f si="161" t="shared"/>
        <v>3.656993788644591E-5</v>
      </c>
      <c r="AQ107" s="295">
        <f si="162" t="shared"/>
        <v>1.4401435716343754E-5</v>
      </c>
      <c r="AR107" s="295">
        <f si="163" t="shared"/>
        <v>6.255878013014019E-4</v>
      </c>
      <c r="AS107" s="295">
        <f si="164" t="shared"/>
        <v>9.3690239098460885E-5</v>
      </c>
      <c r="AT107" s="295">
        <f si="165" t="shared"/>
        <v>2.1252635584096514E-4</v>
      </c>
      <c r="AU107" s="295">
        <f si="166" t="shared"/>
        <v>0</v>
      </c>
      <c r="AV107" s="295">
        <f si="167" t="shared"/>
        <v>-6.4179315720125363E-3</v>
      </c>
      <c r="CU107">
        <v>106</v>
      </c>
      <c r="CV107">
        <f si="99" t="shared"/>
        <v>6</v>
      </c>
      <c r="CW107">
        <f si="88" t="shared"/>
        <v>6</v>
      </c>
      <c r="CX107" s="355" t="str">
        <f si="89" t="shared"/>
        <v>6_6</v>
      </c>
      <c r="CY107" s="246">
        <f si="84" t="shared"/>
        <v>49500.837281536544</v>
      </c>
      <c r="CZ107" s="246">
        <f si="85" t="shared"/>
        <v>31855.571428571398</v>
      </c>
      <c r="DA107" s="246">
        <f si="90" t="shared"/>
        <v>49500.837281536544</v>
      </c>
      <c r="DB107" s="246">
        <f si="91" t="shared"/>
        <v>31855.571428571398</v>
      </c>
      <c r="DC107" s="301">
        <f si="92" t="shared"/>
        <v>-17645.265852965145</v>
      </c>
      <c r="DD107" s="302">
        <f si="93" t="shared"/>
        <v>-0.35646398772221782</v>
      </c>
      <c r="DE107" s="357">
        <f si="94" t="shared"/>
        <v>1.5539145920684703</v>
      </c>
    </row>
    <row r="108" spans="2:109" x14ac:dyDescent="0.25">
      <c r="B108">
        <v>15</v>
      </c>
      <c r="C108" s="295">
        <f ref="C108:X108" si="180" t="shared">IF($X$88&gt;0,C81/$X$88,0)</f>
        <v>1.3025049819707904E-4</v>
      </c>
      <c r="D108" s="295">
        <f si="180" t="shared"/>
        <v>2.3358576378169536E-5</v>
      </c>
      <c r="E108" s="295">
        <f si="180" t="shared"/>
        <v>1.3106875124437988E-4</v>
      </c>
      <c r="F108" s="295">
        <f si="180" t="shared"/>
        <v>3.7723027316328593E-5</v>
      </c>
      <c r="G108" s="295">
        <f si="180" t="shared"/>
        <v>2.4666138867587098E-5</v>
      </c>
      <c r="H108" s="295">
        <f si="180" t="shared"/>
        <v>0</v>
      </c>
      <c r="I108" s="295">
        <f si="180" t="shared"/>
        <v>0</v>
      </c>
      <c r="J108" s="295">
        <f si="180" t="shared"/>
        <v>1.0970122812280324E-5</v>
      </c>
      <c r="K108" s="295">
        <f si="180" t="shared"/>
        <v>4.0590679849162948E-3</v>
      </c>
      <c r="L108" s="295">
        <f si="180" t="shared"/>
        <v>5.3257423094553277E-5</v>
      </c>
      <c r="M108" s="295">
        <f si="180" t="shared"/>
        <v>0</v>
      </c>
      <c r="N108" s="295">
        <f si="180" t="shared"/>
        <v>0</v>
      </c>
      <c r="O108" s="295">
        <f si="180" t="shared"/>
        <v>2.8483220586135584E-3</v>
      </c>
      <c r="P108" s="295">
        <f si="180" t="shared"/>
        <v>0</v>
      </c>
      <c r="Q108" s="295">
        <f si="180" t="shared"/>
        <v>3.1812245988270593E-2</v>
      </c>
      <c r="R108" s="295">
        <f si="180" t="shared"/>
        <v>6.4467126133857349E-6</v>
      </c>
      <c r="S108" s="295">
        <f si="180" t="shared"/>
        <v>0</v>
      </c>
      <c r="T108" s="295">
        <f si="180" t="shared"/>
        <v>2.3598232432322399E-5</v>
      </c>
      <c r="U108" s="295">
        <f si="180" t="shared"/>
        <v>0</v>
      </c>
      <c r="V108" s="295">
        <f si="180" t="shared"/>
        <v>0</v>
      </c>
      <c r="W108" s="295">
        <f si="180" t="shared"/>
        <v>0</v>
      </c>
      <c r="X108" s="295">
        <f si="180" t="shared"/>
        <v>3.916097551475653E-2</v>
      </c>
      <c r="Z108">
        <v>14</v>
      </c>
      <c r="AA108" s="295">
        <f si="146" t="shared"/>
        <v>6.6550814397953314E-4</v>
      </c>
      <c r="AB108" s="295">
        <f si="147" t="shared"/>
        <v>8.0680402788415841E-5</v>
      </c>
      <c r="AC108" s="295">
        <f si="148" t="shared"/>
        <v>8.0262922966526133E-4</v>
      </c>
      <c r="AD108" s="295">
        <f si="149" t="shared"/>
        <v>5.8330669067725716E-4</v>
      </c>
      <c r="AE108" s="295">
        <f si="150" t="shared"/>
        <v>1.7329801555599622E-4</v>
      </c>
      <c r="AF108" s="295">
        <f si="151" t="shared"/>
        <v>4.0592631053954951E-4</v>
      </c>
      <c r="AG108" s="295">
        <f si="152" t="shared"/>
        <v>6.155400164603559E-5</v>
      </c>
      <c r="AH108" s="295">
        <f si="153" t="shared"/>
        <v>-7.6326762012293557E-5</v>
      </c>
      <c r="AI108" s="295">
        <f si="154" t="shared"/>
        <v>2.0479165216409715E-4</v>
      </c>
      <c r="AJ108" s="295">
        <f si="155" t="shared"/>
        <v>5.8836713053701998E-5</v>
      </c>
      <c r="AK108" s="295">
        <f si="156" t="shared"/>
        <v>1.2409506798723613E-3</v>
      </c>
      <c r="AL108" s="295">
        <f si="157" t="shared"/>
        <v>1.4407908271721879E-4</v>
      </c>
      <c r="AM108" s="295">
        <f si="158" t="shared"/>
        <v>-3.1967241127587617E-5</v>
      </c>
      <c r="AN108" s="295">
        <f si="159" t="shared"/>
        <v>-4.5132895947626699E-3</v>
      </c>
      <c r="AO108" s="295">
        <f si="160" t="shared"/>
        <v>1.0647353597027175E-5</v>
      </c>
      <c r="AP108" s="295">
        <f si="161" t="shared"/>
        <v>-5.6077851529008156E-6</v>
      </c>
      <c r="AQ108" s="295">
        <f si="162" t="shared"/>
        <v>2.147798081268235E-4</v>
      </c>
      <c r="AR108" s="295">
        <f si="163" t="shared"/>
        <v>2.5890221512528068E-6</v>
      </c>
      <c r="AS108" s="295">
        <f si="164" t="shared"/>
        <v>1.9540644686580561E-4</v>
      </c>
      <c r="AT108" s="295">
        <f si="165" t="shared"/>
        <v>0</v>
      </c>
      <c r="AU108" s="295">
        <f si="166" t="shared"/>
        <v>0</v>
      </c>
      <c r="AV108" s="295">
        <f si="167" t="shared"/>
        <v>2.1779217034488541E-4</v>
      </c>
      <c r="CU108">
        <v>107</v>
      </c>
      <c r="CV108">
        <f si="99" t="shared"/>
        <v>6</v>
      </c>
      <c r="CW108">
        <f si="88" t="shared"/>
        <v>7</v>
      </c>
      <c r="CX108" s="355" t="str">
        <f si="89" t="shared"/>
        <v>6_7</v>
      </c>
      <c r="CY108" s="246">
        <f si="84" t="shared"/>
        <v>4286.1254837167207</v>
      </c>
      <c r="CZ108" s="246">
        <f si="85" t="shared"/>
        <v>4578</v>
      </c>
      <c r="DA108" s="246">
        <f si="90" t="shared"/>
        <v>4240.128199104096</v>
      </c>
      <c r="DB108" s="246">
        <f si="91" t="shared"/>
        <v>4323.7857142857147</v>
      </c>
      <c r="DC108" s="301">
        <f si="92" t="shared"/>
        <v>83.657515181618692</v>
      </c>
      <c r="DD108" s="302">
        <f si="93" t="shared"/>
        <v>1.951821417721885E-2</v>
      </c>
      <c r="DE108" s="357">
        <f si="94" t="shared"/>
        <v>0.98065178972556022</v>
      </c>
    </row>
    <row r="109" spans="2:109" x14ac:dyDescent="0.25">
      <c r="B109">
        <v>16</v>
      </c>
      <c r="C109" s="295">
        <f ref="C109:X109" si="181" t="shared">IF($X$88&gt;0,C82/$X$88,0)</f>
        <v>2.1447473051057662E-4</v>
      </c>
      <c r="D109" s="295">
        <f si="181" t="shared"/>
        <v>5.2394105621547282E-5</v>
      </c>
      <c r="E109" s="295">
        <f si="181" t="shared"/>
        <v>4.6447772502159142E-5</v>
      </c>
      <c r="F109" s="295">
        <f si="181" t="shared"/>
        <v>7.8408320900319906E-5</v>
      </c>
      <c r="G109" s="295">
        <f si="181" t="shared"/>
        <v>2.6790832648082477E-4</v>
      </c>
      <c r="H109" s="295">
        <f si="181" t="shared"/>
        <v>5.1538261941704434E-4</v>
      </c>
      <c r="I109" s="295">
        <f si="181" t="shared"/>
        <v>0</v>
      </c>
      <c r="J109" s="295">
        <f si="181" t="shared"/>
        <v>0</v>
      </c>
      <c r="K109" s="295">
        <f si="181" t="shared"/>
        <v>1.2318296036426706E-4</v>
      </c>
      <c r="L109" s="295">
        <f si="181" t="shared"/>
        <v>4.0979790594193556E-3</v>
      </c>
      <c r="M109" s="295">
        <f si="181" t="shared"/>
        <v>4.1694693488312915E-5</v>
      </c>
      <c r="N109" s="295">
        <f si="181" t="shared"/>
        <v>1.7040875744905339E-3</v>
      </c>
      <c r="O109" s="295">
        <f si="181" t="shared"/>
        <v>0</v>
      </c>
      <c r="P109" s="295">
        <f si="181" t="shared"/>
        <v>1.3406142785779453E-5</v>
      </c>
      <c r="Q109" s="295">
        <f si="181" t="shared"/>
        <v>6.5774355820709386E-6</v>
      </c>
      <c r="R109" s="295">
        <f si="181" t="shared"/>
        <v>7.3120367863479347E-3</v>
      </c>
      <c r="S109" s="295">
        <f si="181" t="shared"/>
        <v>0</v>
      </c>
      <c r="T109" s="295">
        <f si="181" t="shared"/>
        <v>1.0531346721369316E-4</v>
      </c>
      <c r="U109" s="295">
        <f si="181" t="shared"/>
        <v>0</v>
      </c>
      <c r="V109" s="295">
        <f si="181" t="shared"/>
        <v>0</v>
      </c>
      <c r="W109" s="295">
        <f si="181" t="shared"/>
        <v>0</v>
      </c>
      <c r="X109" s="295">
        <f si="181" t="shared"/>
        <v>1.4579293995124419E-2</v>
      </c>
      <c r="Z109">
        <v>15</v>
      </c>
      <c r="AA109" s="295">
        <f si="146" t="shared"/>
        <v>1.856749298095448E-4</v>
      </c>
      <c r="AB109" s="295">
        <f si="147" t="shared"/>
        <v>1.4046180024235213E-4</v>
      </c>
      <c r="AC109" s="295">
        <f si="148" t="shared"/>
        <v>8.4240803409181948E-5</v>
      </c>
      <c r="AD109" s="295">
        <f si="149" t="shared"/>
        <v>3.4704867364968801E-5</v>
      </c>
      <c r="AE109" s="295">
        <f si="150" t="shared"/>
        <v>5.2130730693949341E-5</v>
      </c>
      <c r="AF109" s="295">
        <f si="151" t="shared"/>
        <v>2.1058458922752519E-4</v>
      </c>
      <c r="AG109" s="295">
        <f si="152" t="shared"/>
        <v>7.7534740874643287E-4</v>
      </c>
      <c r="AH109" s="295">
        <f si="153" t="shared"/>
        <v>-3.5914096812098133E-6</v>
      </c>
      <c r="AI109" s="295">
        <f si="154" t="shared"/>
        <v>-6.5340352160456715E-4</v>
      </c>
      <c r="AJ109" s="295">
        <f si="155" t="shared"/>
        <v>-1.6460945769872745E-5</v>
      </c>
      <c r="AK109" s="295">
        <f si="156" t="shared"/>
        <v>2.4116741338919899E-4</v>
      </c>
      <c r="AL109" s="295">
        <f si="157" t="shared"/>
        <v>2.4621600658414193E-4</v>
      </c>
      <c r="AM109" s="295">
        <f si="158" t="shared"/>
        <v>3.8756727712976457E-4</v>
      </c>
      <c r="AN109" s="295">
        <f si="159" t="shared"/>
        <v>1.0938618589043096E-5</v>
      </c>
      <c r="AO109" s="295">
        <f si="160" t="shared"/>
        <v>-3.4400583904440202E-3</v>
      </c>
      <c r="AP109" s="295">
        <f si="161" t="shared"/>
        <v>-1.6833389659765445E-7</v>
      </c>
      <c r="AQ109" s="295">
        <f si="162" t="shared"/>
        <v>2.1618334962960945E-5</v>
      </c>
      <c r="AR109" s="295">
        <f si="163" t="shared"/>
        <v>1.882936807133298E-5</v>
      </c>
      <c r="AS109" s="295">
        <f si="164" t="shared"/>
        <v>7.6194921911370357E-4</v>
      </c>
      <c r="AT109" s="295">
        <f si="165" t="shared"/>
        <v>6.8285459239292957E-6</v>
      </c>
      <c r="AU109" s="295">
        <f si="166" t="shared"/>
        <v>0</v>
      </c>
      <c r="AV109" s="295">
        <f si="167" t="shared"/>
        <v>-9.3542268813822521E-4</v>
      </c>
      <c r="CU109">
        <v>108</v>
      </c>
      <c r="CV109">
        <f si="99" t="shared"/>
        <v>6</v>
      </c>
      <c r="CW109">
        <f si="88" t="shared"/>
        <v>8</v>
      </c>
      <c r="CX109" s="355" t="str">
        <f si="89" t="shared"/>
        <v>6_8</v>
      </c>
      <c r="CY109" s="246">
        <f si="84" t="shared"/>
        <v>0</v>
      </c>
      <c r="CZ109" s="246">
        <f si="85" t="shared"/>
        <v>543.857142857143</v>
      </c>
      <c r="DA109" s="246">
        <f si="90" t="shared"/>
        <v>0</v>
      </c>
      <c r="DB109" s="246">
        <f si="91" t="shared"/>
        <v>507.0357142857145</v>
      </c>
      <c r="DC109" s="301">
        <f si="92" t="shared"/>
        <v>507.0357142857145</v>
      </c>
      <c r="DD109" s="302">
        <f si="93" t="shared"/>
        <v>0</v>
      </c>
      <c r="DE109" s="357">
        <f si="94" t="shared"/>
        <v>0</v>
      </c>
    </row>
    <row r="110" spans="2:109" x14ac:dyDescent="0.25">
      <c r="B110">
        <v>17</v>
      </c>
      <c r="C110" s="295">
        <f ref="C110:X110" si="182" t="shared">IF($X$88&gt;0,C83/$X$88,0)</f>
        <v>0</v>
      </c>
      <c r="D110" s="295">
        <f si="182" t="shared"/>
        <v>0</v>
      </c>
      <c r="E110" s="295">
        <f si="182" t="shared"/>
        <v>0</v>
      </c>
      <c r="F110" s="295">
        <f si="182" t="shared"/>
        <v>0</v>
      </c>
      <c r="G110" s="295">
        <f si="182" t="shared"/>
        <v>1.5483576430999328E-5</v>
      </c>
      <c r="H110" s="295">
        <f si="182" t="shared"/>
        <v>0</v>
      </c>
      <c r="I110" s="295">
        <f si="182" t="shared"/>
        <v>0</v>
      </c>
      <c r="J110" s="295">
        <f si="182" t="shared"/>
        <v>0</v>
      </c>
      <c r="K110" s="295">
        <f si="182" t="shared"/>
        <v>0</v>
      </c>
      <c r="L110" s="295">
        <f si="182" t="shared"/>
        <v>0</v>
      </c>
      <c r="M110" s="295">
        <f si="182" t="shared"/>
        <v>2.2273317781201884E-3</v>
      </c>
      <c r="N110" s="295">
        <f si="182" t="shared"/>
        <v>0</v>
      </c>
      <c r="O110" s="295">
        <f si="182" t="shared"/>
        <v>0</v>
      </c>
      <c r="P110" s="295">
        <f si="182" t="shared"/>
        <v>8.9732975767686221E-4</v>
      </c>
      <c r="Q110" s="295">
        <f si="182" t="shared"/>
        <v>0</v>
      </c>
      <c r="R110" s="295">
        <f si="182" t="shared"/>
        <v>0</v>
      </c>
      <c r="S110" s="295">
        <f si="182" t="shared"/>
        <v>1.4147560608029729E-2</v>
      </c>
      <c r="T110" s="295">
        <f si="182" t="shared"/>
        <v>0</v>
      </c>
      <c r="U110" s="295">
        <f si="182" t="shared"/>
        <v>1.6430371085625001E-3</v>
      </c>
      <c r="V110" s="295">
        <f si="182" t="shared"/>
        <v>0</v>
      </c>
      <c r="W110" s="295">
        <f si="182" t="shared"/>
        <v>0</v>
      </c>
      <c r="X110" s="295">
        <f si="182" t="shared"/>
        <v>1.893074282882028E-2</v>
      </c>
      <c r="Z110">
        <v>16</v>
      </c>
      <c r="AA110" s="295">
        <f si="146" t="shared"/>
        <v>2.0277855194070397E-4</v>
      </c>
      <c r="AB110" s="295">
        <f si="147" t="shared"/>
        <v>1.4661568095900462E-5</v>
      </c>
      <c r="AC110" s="295">
        <f si="148" t="shared"/>
        <v>9.7793124099513018E-5</v>
      </c>
      <c r="AD110" s="295">
        <f si="149" t="shared"/>
        <v>8.8810147293721069E-5</v>
      </c>
      <c r="AE110" s="295">
        <f si="150" t="shared"/>
        <v>9.2095203650878487E-5</v>
      </c>
      <c r="AF110" s="295">
        <f si="151" t="shared"/>
        <v>9.7115296015587525E-5</v>
      </c>
      <c r="AG110" s="295">
        <f si="152" t="shared"/>
        <v>7.0097774745169931E-5</v>
      </c>
      <c r="AH110" s="295">
        <f si="153" t="shared"/>
        <v>1.1003344142824443E-5</v>
      </c>
      <c r="AI110" s="295">
        <f si="154" t="shared"/>
        <v>-6.615974748292388E-5</v>
      </c>
      <c r="AJ110" s="295">
        <f si="155" t="shared"/>
        <v>-1.0953606195039096E-3</v>
      </c>
      <c r="AK110" s="295">
        <f si="156" t="shared"/>
        <v>-1.05617021194979E-5</v>
      </c>
      <c r="AL110" s="295">
        <f si="157" t="shared"/>
        <v>-3.066952311287193E-4</v>
      </c>
      <c r="AM110" s="295">
        <f si="158" t="shared"/>
        <v>3.6343398448211288E-5</v>
      </c>
      <c r="AN110" s="295">
        <f si="159" t="shared"/>
        <v>-5.5743507782397013E-6</v>
      </c>
      <c r="AO110" s="295">
        <f si="160" t="shared"/>
        <v>-1.5612051640186094E-6</v>
      </c>
      <c r="AP110" s="295">
        <f si="161" t="shared"/>
        <v>-1.0454057575711769E-3</v>
      </c>
      <c r="AQ110" s="295">
        <f si="162" t="shared"/>
        <v>2.9773754739407295E-6</v>
      </c>
      <c r="AR110" s="295">
        <f si="163" t="shared"/>
        <v>3.5335161153115456E-5</v>
      </c>
      <c r="AS110" s="295">
        <f si="164" t="shared"/>
        <v>9.4175680751820974E-6</v>
      </c>
      <c r="AT110" s="295">
        <f si="165" t="shared"/>
        <v>1.1928919561897302E-4</v>
      </c>
      <c r="AU110" s="295">
        <f si="166" t="shared"/>
        <v>0</v>
      </c>
      <c r="AV110" s="295">
        <f si="167" t="shared"/>
        <v>-1.653600904994763E-3</v>
      </c>
      <c r="CU110">
        <v>109</v>
      </c>
      <c r="CV110">
        <f si="99" t="shared"/>
        <v>6</v>
      </c>
      <c r="CW110">
        <f si="88" t="shared"/>
        <v>9</v>
      </c>
      <c r="CX110" s="355" t="str">
        <f si="89" t="shared"/>
        <v>6_9</v>
      </c>
      <c r="CY110" s="246">
        <f si="84" t="shared"/>
        <v>2672.7706350846393</v>
      </c>
      <c r="CZ110" s="246">
        <f si="85" t="shared"/>
        <v>3857.4285714285702</v>
      </c>
      <c r="DA110" s="246">
        <f si="90" t="shared"/>
        <v>2644.9108329501487</v>
      </c>
      <c r="DB110" s="246">
        <f si="91" t="shared"/>
        <v>3624</v>
      </c>
      <c r="DC110" s="301">
        <f si="92" t="shared"/>
        <v>979.08916704985131</v>
      </c>
      <c r="DD110" s="302">
        <f si="93" t="shared"/>
        <v>0.36631993564941506</v>
      </c>
      <c r="DE110" s="357">
        <f si="94" t="shared"/>
        <v>0.72983190754695049</v>
      </c>
    </row>
    <row r="111" spans="2:109" x14ac:dyDescent="0.25">
      <c r="B111">
        <v>18</v>
      </c>
      <c r="C111" s="295">
        <f ref="C111:X111" si="183" t="shared">IF($X$88&gt;0,C84/$X$88,0)</f>
        <v>3.5759159028275684E-5</v>
      </c>
      <c r="D111" s="295">
        <f si="183" t="shared"/>
        <v>0</v>
      </c>
      <c r="E111" s="295">
        <f si="183" t="shared"/>
        <v>5.7214493829978637E-5</v>
      </c>
      <c r="F111" s="295">
        <f si="183" t="shared"/>
        <v>0</v>
      </c>
      <c r="G111" s="295">
        <f si="183" t="shared"/>
        <v>1.9710703011366595E-5</v>
      </c>
      <c r="H111" s="295">
        <f si="183" t="shared"/>
        <v>0</v>
      </c>
      <c r="I111" s="295">
        <f si="183" t="shared"/>
        <v>4.8719184404177342E-4</v>
      </c>
      <c r="J111" s="295">
        <f si="183" t="shared"/>
        <v>0</v>
      </c>
      <c r="K111" s="295">
        <f si="183" t="shared"/>
        <v>0</v>
      </c>
      <c r="L111" s="295">
        <f si="183" t="shared"/>
        <v>4.6733232658900581E-7</v>
      </c>
      <c r="M111" s="295">
        <f si="183" t="shared"/>
        <v>0</v>
      </c>
      <c r="N111" s="295">
        <f si="183" t="shared"/>
        <v>6.7405582598276705E-3</v>
      </c>
      <c r="O111" s="295">
        <f si="183" t="shared"/>
        <v>3.7712865876180371E-3</v>
      </c>
      <c r="P111" s="295">
        <f si="183" t="shared"/>
        <v>0</v>
      </c>
      <c r="Q111" s="295">
        <f si="183" t="shared"/>
        <v>2.8684058447095628E-5</v>
      </c>
      <c r="R111" s="295">
        <f si="183" t="shared"/>
        <v>1.0503178659212088E-4</v>
      </c>
      <c r="S111" s="295">
        <f si="183" t="shared"/>
        <v>0</v>
      </c>
      <c r="T111" s="295">
        <f si="183" t="shared"/>
        <v>2.4353842063441142E-2</v>
      </c>
      <c r="U111" s="295">
        <f si="183" t="shared"/>
        <v>1.7753726368340609E-5</v>
      </c>
      <c r="V111" s="295">
        <f si="183" t="shared"/>
        <v>3.9995693538124183E-3</v>
      </c>
      <c r="W111" s="295">
        <f si="183" t="shared"/>
        <v>0</v>
      </c>
      <c r="X111" s="295">
        <f si="183" t="shared"/>
        <v>3.9617069368344818E-2</v>
      </c>
      <c r="Z111">
        <v>17</v>
      </c>
      <c r="AA111" s="295">
        <f si="146" t="shared"/>
        <v>4.4123410012725998E-4</v>
      </c>
      <c r="AB111" s="295">
        <f si="147" t="shared"/>
        <v>5.4563641837652748E-5</v>
      </c>
      <c r="AC111" s="295">
        <f si="148" t="shared"/>
        <v>6.6670556672448892E-4</v>
      </c>
      <c r="AD111" s="295">
        <f si="149" t="shared"/>
        <v>2.4048779507449512E-4</v>
      </c>
      <c r="AE111" s="295">
        <f si="150" t="shared"/>
        <v>1.206019003942265E-4</v>
      </c>
      <c r="AF111" s="295">
        <f si="151" t="shared"/>
        <v>2.3977581398290087E-4</v>
      </c>
      <c r="AG111" s="295">
        <f si="152" t="shared"/>
        <v>4.8252900343974219E-5</v>
      </c>
      <c r="AH111" s="295">
        <f si="153" t="shared"/>
        <v>4.3139581595249914E-5</v>
      </c>
      <c r="AI111" s="295">
        <f si="154" t="shared"/>
        <v>2.1388559247037284E-4</v>
      </c>
      <c r="AJ111" s="295">
        <f si="155" t="shared"/>
        <v>5.1812805801946901E-5</v>
      </c>
      <c r="AK111" s="295">
        <f si="156" t="shared"/>
        <v>3.4550898468729092E-4</v>
      </c>
      <c r="AL111" s="295">
        <f si="157" t="shared"/>
        <v>1.0249291441272069E-4</v>
      </c>
      <c r="AM111" s="295">
        <f si="158" t="shared"/>
        <v>1.4207259054999807E-5</v>
      </c>
      <c r="AN111" s="295">
        <f si="159" t="shared"/>
        <v>1.7627300289389683E-4</v>
      </c>
      <c r="AO111" s="295">
        <f si="160" t="shared"/>
        <v>2.3268836584384634E-5</v>
      </c>
      <c r="AP111" s="295">
        <f si="161" t="shared"/>
        <v>2.783198812596768E-6</v>
      </c>
      <c r="AQ111" s="295">
        <f si="162" t="shared"/>
        <v>-3.5835087987190935E-3</v>
      </c>
      <c r="AR111" s="295">
        <f si="163" t="shared"/>
        <v>1.7152271752049876E-6</v>
      </c>
      <c r="AS111" s="295">
        <f si="164" t="shared"/>
        <v>1.0680250743449887E-3</v>
      </c>
      <c r="AT111" s="295">
        <f si="165" t="shared"/>
        <v>2.2653943823462076E-7</v>
      </c>
      <c r="AU111" s="295">
        <f si="166" t="shared"/>
        <v>0</v>
      </c>
      <c r="AV111" s="295">
        <f si="167" t="shared"/>
        <v>2.7145193703779352E-4</v>
      </c>
      <c r="CU111">
        <v>110</v>
      </c>
      <c r="CV111">
        <f si="99" t="shared"/>
        <v>6</v>
      </c>
      <c r="CW111">
        <f si="88" t="shared"/>
        <v>10</v>
      </c>
      <c r="CX111" s="355" t="str">
        <f si="89" t="shared"/>
        <v>6_10</v>
      </c>
      <c r="CY111" s="246">
        <f si="84" t="shared"/>
        <v>6288.7334031205419</v>
      </c>
      <c r="CZ111" s="246">
        <f si="85" t="shared"/>
        <v>7911.1428571428596</v>
      </c>
      <c r="DA111" s="246">
        <f si="90" t="shared"/>
        <v>6288.6713855809685</v>
      </c>
      <c r="DB111" s="246">
        <f si="91" t="shared"/>
        <v>7579.25</v>
      </c>
      <c r="DC111" s="301">
        <f si="92" t="shared"/>
        <v>1290.5786144190315</v>
      </c>
      <c r="DD111" s="302">
        <f si="93" t="shared"/>
        <v>0.20522075459243216</v>
      </c>
      <c r="DE111" s="357">
        <f si="94" t="shared"/>
        <v>0.8297221209989073</v>
      </c>
    </row>
    <row r="112" spans="2:109" x14ac:dyDescent="0.25">
      <c r="B112">
        <v>19</v>
      </c>
      <c r="C112" s="295">
        <f ref="C112:X112" si="184" t="shared">IF($X$88&gt;0,C85/$X$88,0)</f>
        <v>1.9892249136432903E-4</v>
      </c>
      <c r="D112" s="295">
        <f si="184" t="shared"/>
        <v>8.810864687318523E-5</v>
      </c>
      <c r="E112" s="295">
        <f si="184" t="shared"/>
        <v>3.5037034137469383E-4</v>
      </c>
      <c r="F112" s="295">
        <f si="184" t="shared"/>
        <v>1.1420523703702682E-4</v>
      </c>
      <c r="G112" s="295">
        <f si="184" t="shared"/>
        <v>7.365691068314165E-5</v>
      </c>
      <c r="H112" s="295">
        <f si="184" t="shared"/>
        <v>2.6701720770427276E-4</v>
      </c>
      <c r="I112" s="295">
        <f si="184" t="shared"/>
        <v>0</v>
      </c>
      <c r="J112" s="295">
        <f si="184" t="shared"/>
        <v>6.4354587656276018E-5</v>
      </c>
      <c r="K112" s="295">
        <f si="184" t="shared"/>
        <v>2.4953002743946295E-4</v>
      </c>
      <c r="L112" s="295">
        <f si="184" t="shared"/>
        <v>0</v>
      </c>
      <c r="M112" s="295">
        <f si="184" t="shared"/>
        <v>7.0394967464807705E-3</v>
      </c>
      <c r="N112" s="295">
        <f si="184" t="shared"/>
        <v>2.5208496992252623E-5</v>
      </c>
      <c r="O112" s="295">
        <f si="184" t="shared"/>
        <v>0</v>
      </c>
      <c r="P112" s="295">
        <f si="184" t="shared"/>
        <v>0</v>
      </c>
      <c r="Q112" s="295">
        <f si="184" t="shared"/>
        <v>0</v>
      </c>
      <c r="R112" s="295">
        <f si="184" t="shared"/>
        <v>0</v>
      </c>
      <c r="S112" s="295">
        <f si="184" t="shared"/>
        <v>1.7030891201378806E-3</v>
      </c>
      <c r="T112" s="295">
        <f si="184" t="shared"/>
        <v>1.6906904428295274E-5</v>
      </c>
      <c r="U112" s="295">
        <f si="184" t="shared"/>
        <v>3.4591336738393291E-2</v>
      </c>
      <c r="V112" s="295">
        <f si="184" t="shared"/>
        <v>0</v>
      </c>
      <c r="W112" s="295">
        <f si="184" t="shared"/>
        <v>0</v>
      </c>
      <c r="X112" s="295">
        <f si="184" t="shared"/>
        <v>4.4782203456564876E-2</v>
      </c>
      <c r="Z112">
        <v>18</v>
      </c>
      <c r="AA112" s="295">
        <f si="146" t="shared"/>
        <v>1.5152423083797441E-4</v>
      </c>
      <c r="AB112" s="295">
        <f si="147" t="shared"/>
        <v>7.2201355243062772E-5</v>
      </c>
      <c r="AC112" s="295">
        <f si="148" t="shared"/>
        <v>3.7381903021420721E-5</v>
      </c>
      <c r="AD112" s="295">
        <f si="149" t="shared"/>
        <v>4.9547411419600691E-5</v>
      </c>
      <c r="AE112" s="295">
        <f si="150" t="shared"/>
        <v>4.9998718411115337E-5</v>
      </c>
      <c r="AF112" s="295">
        <f si="151" t="shared"/>
        <v>2.1653934017540658E-4</v>
      </c>
      <c r="AG112" s="295">
        <f si="152" t="shared"/>
        <v>1.1718301439130345E-4</v>
      </c>
      <c r="AH112" s="295">
        <f si="153" t="shared"/>
        <v>2.2006688285648888E-6</v>
      </c>
      <c r="AI112" s="295">
        <f si="154" t="shared"/>
        <v>9.5858545150135431E-5</v>
      </c>
      <c r="AJ112" s="295">
        <f si="155" t="shared"/>
        <v>6.9533354087908801E-5</v>
      </c>
      <c r="AK112" s="295">
        <f si="156" t="shared"/>
        <v>2.2524492715899429E-5</v>
      </c>
      <c r="AL112" s="295">
        <f si="157" t="shared"/>
        <v>-1.6985994341472722E-3</v>
      </c>
      <c r="AM112" s="295">
        <f si="158" t="shared"/>
        <v>5.1966163753769737E-4</v>
      </c>
      <c r="AN112" s="295">
        <f si="159" t="shared"/>
        <v>2.5242965974714877E-6</v>
      </c>
      <c r="AO112" s="295">
        <f si="160" t="shared"/>
        <v>1.6688554753609779E-5</v>
      </c>
      <c r="AP112" s="295">
        <f si="161" t="shared"/>
        <v>4.519622373432354E-5</v>
      </c>
      <c r="AQ112" s="295">
        <f si="162" t="shared"/>
        <v>1.6181388445330047E-6</v>
      </c>
      <c r="AR112" s="295">
        <f si="163" t="shared"/>
        <v>7.4391003051361287E-5</v>
      </c>
      <c r="AS112" s="295">
        <f si="164" t="shared"/>
        <v>-1.3287663157429513E-5</v>
      </c>
      <c r="AT112" s="295">
        <f si="165" t="shared"/>
        <v>2.3429093290819152E-4</v>
      </c>
      <c r="AU112" s="295">
        <f si="166" t="shared"/>
        <v>0</v>
      </c>
      <c r="AV112" s="295">
        <f si="167" t="shared"/>
        <v>6.6976724404865795E-5</v>
      </c>
      <c r="CU112">
        <v>111</v>
      </c>
      <c r="CV112">
        <f si="99" t="shared"/>
        <v>6</v>
      </c>
      <c r="CW112">
        <f si="88" t="shared"/>
        <v>11</v>
      </c>
      <c r="CX112" s="355" t="str">
        <f si="89" t="shared"/>
        <v>6_11</v>
      </c>
      <c r="CY112" s="246">
        <f si="84" t="shared"/>
        <v>914.23077531413105</v>
      </c>
      <c r="CZ112" s="246">
        <f si="85" t="shared"/>
        <v>2749.2142857142899</v>
      </c>
      <c r="DA112" s="246">
        <f si="90" t="shared"/>
        <v>915.69691434633251</v>
      </c>
      <c r="DB112" s="246">
        <f si="91" t="shared"/>
        <v>2504.7857142857147</v>
      </c>
      <c r="DC112" s="301">
        <f si="92" t="shared"/>
        <v>1589.0887999393822</v>
      </c>
      <c r="DD112" s="302">
        <f si="93" t="shared"/>
        <v>1.7381703207194801</v>
      </c>
      <c r="DE112" s="357">
        <f si="94" t="shared"/>
        <v>0.36557894319014039</v>
      </c>
    </row>
    <row r="113" spans="2:109" x14ac:dyDescent="0.25">
      <c r="B113">
        <v>20</v>
      </c>
      <c r="C113" s="295">
        <f ref="C113:X113" si="185" t="shared">IF($X$88&gt;0,C86/$X$88,0)</f>
        <v>0</v>
      </c>
      <c r="D113" s="295">
        <f si="185" t="shared"/>
        <v>0</v>
      </c>
      <c r="E113" s="295">
        <f si="185" t="shared"/>
        <v>0</v>
      </c>
      <c r="F113" s="295">
        <f si="185" t="shared"/>
        <v>0</v>
      </c>
      <c r="G113" s="295">
        <f si="185" t="shared"/>
        <v>0</v>
      </c>
      <c r="H113" s="295">
        <f si="185" t="shared"/>
        <v>0</v>
      </c>
      <c r="I113" s="295">
        <f si="185" t="shared"/>
        <v>0</v>
      </c>
      <c r="J113" s="295">
        <f si="185" t="shared"/>
        <v>0</v>
      </c>
      <c r="K113" s="295">
        <f si="185" t="shared"/>
        <v>0</v>
      </c>
      <c r="L113" s="295">
        <f si="185" t="shared"/>
        <v>0</v>
      </c>
      <c r="M113" s="295">
        <f si="185" t="shared"/>
        <v>0</v>
      </c>
      <c r="N113" s="295">
        <f si="185" t="shared"/>
        <v>0</v>
      </c>
      <c r="O113" s="295">
        <f si="185" t="shared"/>
        <v>0</v>
      </c>
      <c r="P113" s="295">
        <f si="185" t="shared"/>
        <v>0</v>
      </c>
      <c r="Q113" s="295">
        <f si="185" t="shared"/>
        <v>0</v>
      </c>
      <c r="R113" s="295">
        <f si="185" t="shared"/>
        <v>0</v>
      </c>
      <c r="S113" s="295">
        <f si="185" t="shared"/>
        <v>0</v>
      </c>
      <c r="T113" s="295">
        <f si="185" t="shared"/>
        <v>3.8983851023794199E-3</v>
      </c>
      <c r="U113" s="295">
        <f si="185" t="shared"/>
        <v>0</v>
      </c>
      <c r="V113" s="295">
        <f si="185" t="shared"/>
        <v>3.2680770565590191E-2</v>
      </c>
      <c r="W113" s="295">
        <f si="185" t="shared"/>
        <v>0</v>
      </c>
      <c r="X113" s="295">
        <f si="185" t="shared"/>
        <v>3.6579155667969612E-2</v>
      </c>
      <c r="Z113">
        <v>19</v>
      </c>
      <c r="AA113" s="295">
        <f si="146" t="shared"/>
        <v>3.6985331248902105E-4</v>
      </c>
      <c r="AB113" s="295">
        <f si="147" t="shared"/>
        <v>-6.7162629931751244E-6</v>
      </c>
      <c r="AC113" s="295">
        <f si="148" t="shared"/>
        <v>5.2012363143027975E-4</v>
      </c>
      <c r="AD113" s="295">
        <f si="149" t="shared"/>
        <v>1.6961631629406211E-4</v>
      </c>
      <c r="AE113" s="295">
        <f si="150" t="shared"/>
        <v>8.5567951618905871E-5</v>
      </c>
      <c r="AF113" s="295">
        <f si="151" t="shared"/>
        <v>1.4668402352032946E-5</v>
      </c>
      <c r="AG113" s="295">
        <f si="152" t="shared"/>
        <v>1.1064833418916704E-4</v>
      </c>
      <c r="AH113" s="295">
        <f si="153" t="shared"/>
        <v>-2.7817012546720778E-5</v>
      </c>
      <c r="AI113" s="295">
        <f si="154" t="shared"/>
        <v>4.981472070654594E-4</v>
      </c>
      <c r="AJ113" s="295">
        <f si="155" t="shared"/>
        <v>7.0745030282982923E-5</v>
      </c>
      <c r="AK113" s="295">
        <f si="156" t="shared"/>
        <v>-6.3260544265990488E-4</v>
      </c>
      <c r="AL113" s="295">
        <f si="157" t="shared"/>
        <v>1.3100662705896359E-4</v>
      </c>
      <c r="AM113" s="295">
        <f si="158" t="shared"/>
        <v>9.116594250098966E-5</v>
      </c>
      <c r="AN113" s="295">
        <f si="159" t="shared"/>
        <v>1.9265561083009976E-4</v>
      </c>
      <c r="AO113" s="295">
        <f si="160" t="shared"/>
        <v>7.4055742358897529E-4</v>
      </c>
      <c r="AP113" s="295">
        <f si="161" t="shared"/>
        <v>6.7638203701479499E-6</v>
      </c>
      <c r="AQ113" s="295">
        <f si="162" t="shared"/>
        <v>1.0220185079401548E-3</v>
      </c>
      <c r="AR113" s="295">
        <f si="163" t="shared"/>
        <v>-1.3088096755197381E-5</v>
      </c>
      <c r="AS113" s="295">
        <f si="164" t="shared"/>
        <v>-1.1656691663132351E-3</v>
      </c>
      <c r="AT113" s="295">
        <f si="165" t="shared"/>
        <v>2.2653943823462076E-7</v>
      </c>
      <c r="AU113" s="295">
        <f si="166" t="shared"/>
        <v>0</v>
      </c>
      <c r="AV113" s="295">
        <f si="167" t="shared"/>
        <v>2.1778686761812494E-3</v>
      </c>
      <c r="CU113">
        <v>112</v>
      </c>
      <c r="CV113">
        <f si="99" t="shared"/>
        <v>6</v>
      </c>
      <c r="CW113">
        <f si="88" t="shared"/>
        <v>12</v>
      </c>
      <c r="CX113" s="355" t="str">
        <f si="89" t="shared"/>
        <v>6_12</v>
      </c>
      <c r="CY113" s="246">
        <f si="84" t="shared"/>
        <v>10223.101769197736</v>
      </c>
      <c r="CZ113" s="246">
        <f si="85" t="shared"/>
        <v>15850.642857142901</v>
      </c>
      <c r="DA113" s="246">
        <f si="90" t="shared"/>
        <v>9994.8461115522878</v>
      </c>
      <c r="DB113" s="246">
        <f si="91" t="shared"/>
        <v>15328.321428571449</v>
      </c>
      <c r="DC113" s="301">
        <f si="92" t="shared"/>
        <v>5333.4753170191616</v>
      </c>
      <c r="DD113" s="302">
        <f si="93" t="shared"/>
        <v>0.5217081309988475</v>
      </c>
      <c r="DE113" s="357">
        <f si="94" t="shared"/>
        <v>0.6520509214350273</v>
      </c>
    </row>
    <row r="114" spans="2:109" x14ac:dyDescent="0.25">
      <c r="B114" s="291" t="s">
        <v>13</v>
      </c>
      <c r="C114" s="296">
        <f ref="C114:X114" si="186" t="shared">IF($X$88&gt;0,C87/$X$88,0)</f>
        <v>0</v>
      </c>
      <c r="D114" s="296">
        <f si="186" t="shared"/>
        <v>0</v>
      </c>
      <c r="E114" s="296">
        <f si="186" t="shared"/>
        <v>0</v>
      </c>
      <c r="F114" s="296">
        <f si="186" t="shared"/>
        <v>0</v>
      </c>
      <c r="G114" s="296">
        <f si="186" t="shared"/>
        <v>0</v>
      </c>
      <c r="H114" s="296">
        <f si="186" t="shared"/>
        <v>0</v>
      </c>
      <c r="I114" s="296">
        <f si="186" t="shared"/>
        <v>0</v>
      </c>
      <c r="J114" s="296">
        <f si="186" t="shared"/>
        <v>0</v>
      </c>
      <c r="K114" s="296">
        <f si="186" t="shared"/>
        <v>0</v>
      </c>
      <c r="L114" s="296">
        <f si="186" t="shared"/>
        <v>0</v>
      </c>
      <c r="M114" s="296">
        <f si="186" t="shared"/>
        <v>0</v>
      </c>
      <c r="N114" s="296">
        <f si="186" t="shared"/>
        <v>0</v>
      </c>
      <c r="O114" s="296">
        <f si="186" t="shared"/>
        <v>0</v>
      </c>
      <c r="P114" s="296">
        <f si="186" t="shared"/>
        <v>0</v>
      </c>
      <c r="Q114" s="296">
        <f si="186" t="shared"/>
        <v>0</v>
      </c>
      <c r="R114" s="296">
        <f si="186" t="shared"/>
        <v>0</v>
      </c>
      <c r="S114" s="296">
        <f si="186" t="shared"/>
        <v>0</v>
      </c>
      <c r="T114" s="296">
        <f si="186" t="shared"/>
        <v>0</v>
      </c>
      <c r="U114" s="296">
        <f si="186" t="shared"/>
        <v>0</v>
      </c>
      <c r="V114" s="296">
        <f si="186" t="shared"/>
        <v>0</v>
      </c>
      <c r="W114" s="296">
        <f si="186" t="shared"/>
        <v>0</v>
      </c>
      <c r="X114" s="296">
        <f si="186" t="shared"/>
        <v>0</v>
      </c>
      <c r="Z114">
        <v>20</v>
      </c>
      <c r="AA114" s="295">
        <f si="146" t="shared"/>
        <v>9.0227421971160313E-5</v>
      </c>
      <c r="AB114" s="295">
        <f si="147" t="shared"/>
        <v>2.1035804978929059E-5</v>
      </c>
      <c r="AC114" s="295">
        <f si="148" t="shared"/>
        <v>3.6828840101571209E-5</v>
      </c>
      <c r="AD114" s="295">
        <f si="149" t="shared"/>
        <v>2.6699290934794576E-5</v>
      </c>
      <c r="AE114" s="295">
        <f si="150" t="shared"/>
        <v>3.5469603472163485E-5</v>
      </c>
      <c r="AF114" s="295">
        <f si="151" t="shared"/>
        <v>1.139817002089051E-4</v>
      </c>
      <c r="AG114" s="295">
        <f si="152" t="shared"/>
        <v>8.4563936015294796E-5</v>
      </c>
      <c r="AH114" s="295">
        <f si="153" t="shared"/>
        <v>6.7961831470386222E-7</v>
      </c>
      <c r="AI114" s="295">
        <f si="154" t="shared"/>
        <v>2.9741391962516618E-5</v>
      </c>
      <c r="AJ114" s="295">
        <f si="155" t="shared"/>
        <v>5.3948749076730595E-5</v>
      </c>
      <c r="AK114" s="295">
        <f si="156" t="shared"/>
        <v>1.1553511349965659E-5</v>
      </c>
      <c r="AL114" s="295">
        <f si="157" t="shared"/>
        <v>1.5122802013236543E-3</v>
      </c>
      <c r="AM114" s="295">
        <f si="158" t="shared"/>
        <v>2.0773666486114723E-4</v>
      </c>
      <c r="AN114" s="295">
        <f si="159" t="shared"/>
        <v>4.5307887646924151E-7</v>
      </c>
      <c r="AO114" s="295">
        <f si="160" t="shared"/>
        <v>1.0614990820136502E-5</v>
      </c>
      <c r="AP114" s="295">
        <f si="161" t="shared"/>
        <v>1.2139277611686586E-4</v>
      </c>
      <c r="AQ114" s="295">
        <f si="162" t="shared"/>
        <v>2.2653943823462076E-7</v>
      </c>
      <c r="AR114" s="295">
        <f si="163" t="shared"/>
        <v>2.9320939772198469E-4</v>
      </c>
      <c r="AS114" s="295">
        <f si="164" t="shared"/>
        <v>2.5890221512528063E-7</v>
      </c>
      <c r="AT114" s="295">
        <f si="165" t="shared"/>
        <v>-1.0313987287077914E-3</v>
      </c>
      <c r="AU114" s="295">
        <f si="166" t="shared"/>
        <v>0</v>
      </c>
      <c r="AV114" s="295">
        <f si="167" t="shared"/>
        <v>1.6195036910525568E-3</v>
      </c>
      <c r="CU114">
        <v>113</v>
      </c>
      <c r="CV114">
        <f si="99" t="shared"/>
        <v>6</v>
      </c>
      <c r="CW114">
        <f si="88" t="shared"/>
        <v>13</v>
      </c>
      <c r="CX114" s="355" t="str">
        <f si="89" t="shared"/>
        <v>6_13</v>
      </c>
      <c r="CY114" s="246">
        <f si="84" t="shared"/>
        <v>1399.3064741212513</v>
      </c>
      <c r="CZ114" s="246">
        <f si="85" t="shared"/>
        <v>413.357142857143</v>
      </c>
      <c r="DA114" s="246">
        <f si="90" t="shared"/>
        <v>1392.9588420140467</v>
      </c>
      <c r="DB114" s="246">
        <f si="91" t="shared"/>
        <v>381.5357142857145</v>
      </c>
      <c r="DC114" s="301">
        <f si="92" t="shared"/>
        <v>-1011.4231277283322</v>
      </c>
      <c r="DD114" s="302">
        <f si="93" t="shared"/>
        <v>-0.72280315029878972</v>
      </c>
      <c r="DE114" s="357">
        <f si="94" t="shared"/>
        <v>3.6509264791157245</v>
      </c>
    </row>
    <row ht="15.75" r="115" spans="2:109" thickBot="1" x14ac:dyDescent="0.3">
      <c r="B115" s="1" t="s">
        <v>4</v>
      </c>
      <c r="C115" s="297">
        <f ref="C115:X115" si="187" t="shared">IF($X$88&gt;0,C88/$X$88,0)</f>
        <v>3.4955415775217408E-2</v>
      </c>
      <c r="D115" s="297">
        <f si="187" t="shared"/>
        <v>1.6367646742267167E-2</v>
      </c>
      <c r="E115" s="297">
        <f si="187" t="shared"/>
        <v>5.2387318203185963E-2</v>
      </c>
      <c r="F115" s="297">
        <f si="187" t="shared"/>
        <v>2.037691243705237E-2</v>
      </c>
      <c r="G115" s="297">
        <f si="187" t="shared"/>
        <v>2.0444769360675269E-2</v>
      </c>
      <c r="H115" s="297">
        <f si="187" t="shared"/>
        <v>4.4131050195154356E-2</v>
      </c>
      <c r="I115" s="297">
        <f si="187" t="shared"/>
        <v>0.10310997779121862</v>
      </c>
      <c r="J115" s="297">
        <f si="187" t="shared"/>
        <v>4.0117955701417145E-3</v>
      </c>
      <c r="K115" s="297">
        <f si="187" t="shared"/>
        <v>8.0801804010757317E-2</v>
      </c>
      <c r="L115" s="297">
        <f si="187" t="shared"/>
        <v>3.3729880687083755E-2</v>
      </c>
      <c r="M115" s="297">
        <f si="187" t="shared"/>
        <v>7.7127102362917907E-2</v>
      </c>
      <c r="N115" s="297">
        <f si="187" t="shared"/>
        <v>0.16270525223568474</v>
      </c>
      <c r="O115" s="297">
        <f si="187" t="shared"/>
        <v>0.12871948363372432</v>
      </c>
      <c r="P115" s="297">
        <f si="187" t="shared"/>
        <v>2.5753152130617404E-2</v>
      </c>
      <c r="Q115" s="297">
        <f si="187" t="shared"/>
        <v>3.9491996448213905E-2</v>
      </c>
      <c r="R115" s="297">
        <f si="187" t="shared"/>
        <v>1.4874748999547317E-2</v>
      </c>
      <c r="S115" s="297">
        <f si="187" t="shared"/>
        <v>1.913085449943424E-2</v>
      </c>
      <c r="T115" s="297">
        <f si="187" t="shared"/>
        <v>4.0071927317012847E-2</v>
      </c>
      <c r="U115" s="297">
        <f si="187" t="shared"/>
        <v>4.5128571680690864E-2</v>
      </c>
      <c r="V115" s="297">
        <f si="187" t="shared"/>
        <v>3.6680339919402609E-2</v>
      </c>
      <c r="W115" s="297">
        <f si="187" t="shared"/>
        <v>0</v>
      </c>
      <c r="X115" s="297">
        <f si="187" t="shared"/>
        <v>1</v>
      </c>
      <c r="Z115" s="291" t="s">
        <v>13</v>
      </c>
      <c r="AA115" s="296">
        <f si="146" t="shared"/>
        <v>0</v>
      </c>
      <c r="AB115" s="296">
        <f si="147" t="shared"/>
        <v>0</v>
      </c>
      <c r="AC115" s="296">
        <f si="148" t="shared"/>
        <v>0</v>
      </c>
      <c r="AD115" s="296">
        <f si="149" t="shared"/>
        <v>0</v>
      </c>
      <c r="AE115" s="296">
        <f si="150" t="shared"/>
        <v>0</v>
      </c>
      <c r="AF115" s="296">
        <f si="151" t="shared"/>
        <v>0</v>
      </c>
      <c r="AG115" s="296">
        <f si="152" t="shared"/>
        <v>0</v>
      </c>
      <c r="AH115" s="296">
        <f si="153" t="shared"/>
        <v>0</v>
      </c>
      <c r="AI115" s="296">
        <f si="154" t="shared"/>
        <v>0</v>
      </c>
      <c r="AJ115" s="296">
        <f si="155" t="shared"/>
        <v>0</v>
      </c>
      <c r="AK115" s="296">
        <f si="156" t="shared"/>
        <v>0</v>
      </c>
      <c r="AL115" s="296">
        <f si="157" t="shared"/>
        <v>0</v>
      </c>
      <c r="AM115" s="296">
        <f si="158" t="shared"/>
        <v>0</v>
      </c>
      <c r="AN115" s="296">
        <f si="159" t="shared"/>
        <v>0</v>
      </c>
      <c r="AO115" s="296">
        <f si="160" t="shared"/>
        <v>0</v>
      </c>
      <c r="AP115" s="296">
        <f si="161" t="shared"/>
        <v>0</v>
      </c>
      <c r="AQ115" s="296">
        <f si="162" t="shared"/>
        <v>0</v>
      </c>
      <c r="AR115" s="296">
        <f si="163" t="shared"/>
        <v>0</v>
      </c>
      <c r="AS115" s="296">
        <f si="164" t="shared"/>
        <v>0</v>
      </c>
      <c r="AT115" s="296">
        <f si="165" t="shared"/>
        <v>0</v>
      </c>
      <c r="AU115" s="296">
        <f si="166" t="shared"/>
        <v>0</v>
      </c>
      <c r="AV115" s="296">
        <f si="167" t="shared"/>
        <v>0</v>
      </c>
      <c r="CU115">
        <v>114</v>
      </c>
      <c r="CV115">
        <f si="99" t="shared"/>
        <v>6</v>
      </c>
      <c r="CW115">
        <f si="88" t="shared"/>
        <v>14</v>
      </c>
      <c r="CX115" s="355" t="str">
        <f si="89" t="shared"/>
        <v>6_14</v>
      </c>
      <c r="CY115" s="246">
        <f si="84" t="shared"/>
        <v>0</v>
      </c>
      <c r="CZ115" s="246">
        <f si="85" t="shared"/>
        <v>1051.1428571428601</v>
      </c>
      <c r="DA115" s="246">
        <f si="90" t="shared"/>
        <v>0</v>
      </c>
      <c r="DB115" s="246">
        <f si="91" t="shared"/>
        <v>973.53571428571558</v>
      </c>
      <c r="DC115" s="301">
        <f si="92" t="shared"/>
        <v>973.53571428571558</v>
      </c>
      <c r="DD115" s="302">
        <f si="93" t="shared"/>
        <v>0</v>
      </c>
      <c r="DE115" s="357">
        <f si="94" t="shared"/>
        <v>0</v>
      </c>
    </row>
    <row ht="15.75" r="116" spans="2:109" thickBot="1" x14ac:dyDescent="0.3">
      <c r="Z116" s="1" t="s">
        <v>4</v>
      </c>
      <c r="AA116" s="297">
        <f si="146" t="shared"/>
        <v>6.3060567887368441E-3</v>
      </c>
      <c r="AB116" s="297">
        <f si="147" t="shared"/>
        <v>3.6542971622313021E-3</v>
      </c>
      <c r="AC116" s="297">
        <f si="148" t="shared"/>
        <v>-5.0933593012588707E-3</v>
      </c>
      <c r="AD116" s="297">
        <f si="149" t="shared"/>
        <v>-1.5851747704985729E-3</v>
      </c>
      <c r="AE116" s="297">
        <f si="150" t="shared"/>
        <v>-2.4288645445212434E-3</v>
      </c>
      <c r="AF116" s="297">
        <f si="151" t="shared"/>
        <v>2.5479835830732531E-3</v>
      </c>
      <c r="AG116" s="297">
        <f si="152" t="shared"/>
        <v>-2.8458878229578738E-3</v>
      </c>
      <c r="AH116" s="297">
        <f si="153" t="shared"/>
        <v>-1.919978514097493E-5</v>
      </c>
      <c r="AI116" s="297">
        <f si="154" t="shared"/>
        <v>-1.4001839883990286E-3</v>
      </c>
      <c r="AJ116" s="297">
        <f si="155" t="shared"/>
        <v>-1.763709627218675E-3</v>
      </c>
      <c r="AK116" s="297">
        <f si="156" t="shared"/>
        <v>1.3229549305242977E-3</v>
      </c>
      <c r="AL116" s="297">
        <f si="157" t="shared"/>
        <v>4.3272594423424127E-3</v>
      </c>
      <c r="AM116" s="297">
        <f si="158" t="shared"/>
        <v>-6.2235251782092743E-3</v>
      </c>
      <c r="AN116" s="297">
        <f si="159" t="shared"/>
        <v>5.4781774620692517E-4</v>
      </c>
      <c r="AO116" s="297">
        <f si="160" t="shared"/>
        <v>-8.6336523542243637E-4</v>
      </c>
      <c r="AP116" s="297">
        <f si="161" t="shared"/>
        <v>-1.4675625148384223E-3</v>
      </c>
      <c r="AQ116" s="297">
        <f si="162" t="shared"/>
        <v>4.8318896513437071E-4</v>
      </c>
      <c r="AR116" s="297">
        <f si="163" t="shared"/>
        <v>4.6837312670990061E-4</v>
      </c>
      <c r="AS116" s="297">
        <f si="164" t="shared"/>
        <v>2.3004370892009268E-3</v>
      </c>
      <c r="AT116" s="297">
        <f si="165" t="shared"/>
        <v>1.7324639343050605E-3</v>
      </c>
      <c r="AU116" s="297">
        <f si="166" t="shared"/>
        <v>0</v>
      </c>
      <c r="AV116" s="297">
        <f si="167" t="shared"/>
        <v>0</v>
      </c>
      <c r="CU116">
        <v>115</v>
      </c>
      <c r="CV116">
        <f si="99" t="shared"/>
        <v>6</v>
      </c>
      <c r="CW116">
        <f si="88" t="shared"/>
        <v>15</v>
      </c>
      <c r="CX116" s="355" t="str">
        <f si="89" t="shared"/>
        <v>6_15</v>
      </c>
      <c r="CY116" s="246">
        <f si="84" t="shared"/>
        <v>0</v>
      </c>
      <c r="CZ116" s="246">
        <f si="85" t="shared"/>
        <v>533.57142857142901</v>
      </c>
      <c r="DA116" s="246">
        <f si="90" t="shared"/>
        <v>0</v>
      </c>
      <c r="DB116" s="246">
        <f si="91" t="shared"/>
        <v>499.1785714285715</v>
      </c>
      <c r="DC116" s="301">
        <f si="92" t="shared"/>
        <v>499.1785714285715</v>
      </c>
      <c r="DD116" s="302">
        <f si="93" t="shared"/>
        <v>0</v>
      </c>
      <c r="DE116" s="357">
        <f si="94" t="shared"/>
        <v>0</v>
      </c>
    </row>
    <row r="117" spans="2:109" x14ac:dyDescent="0.25">
      <c r="CU117">
        <v>116</v>
      </c>
      <c r="CV117">
        <f si="99" t="shared"/>
        <v>6</v>
      </c>
      <c r="CW117">
        <f si="88" t="shared"/>
        <v>16</v>
      </c>
      <c r="CX117" s="355" t="str">
        <f si="89" t="shared"/>
        <v>6_16</v>
      </c>
      <c r="CY117" s="246">
        <f si="84" t="shared"/>
        <v>1148.7207748300477</v>
      </c>
      <c r="CZ117" s="246">
        <f si="85" t="shared"/>
        <v>1582.5</v>
      </c>
      <c r="DA117" s="246">
        <f si="90" t="shared"/>
        <v>1143.1163438097735</v>
      </c>
      <c r="DB117" s="246">
        <f si="91" t="shared"/>
        <v>1467.17857142857</v>
      </c>
      <c r="DC117" s="301">
        <f si="92" t="shared"/>
        <v>324.06222761879644</v>
      </c>
      <c r="DD117" s="302">
        <f si="93" t="shared"/>
        <v>0.28210704874449682</v>
      </c>
      <c r="DE117" s="357">
        <f si="94" t="shared"/>
        <v>0.77912557208134392</v>
      </c>
    </row>
    <row r="118" spans="2:109" x14ac:dyDescent="0.25">
      <c r="CU118">
        <v>117</v>
      </c>
      <c r="CV118">
        <f si="99" t="shared"/>
        <v>6</v>
      </c>
      <c r="CW118">
        <f si="88" t="shared"/>
        <v>17</v>
      </c>
      <c r="CX118" s="355" t="str">
        <f si="89" t="shared"/>
        <v>6_17</v>
      </c>
      <c r="CY118" s="246">
        <f si="84" t="shared"/>
        <v>0</v>
      </c>
      <c r="CZ118" s="246">
        <f si="85" t="shared"/>
        <v>548.57142857142901</v>
      </c>
      <c r="DA118" s="246">
        <f si="90" t="shared"/>
        <v>0</v>
      </c>
      <c r="DB118" s="246">
        <f si="91" t="shared"/>
        <v>538.89285714285757</v>
      </c>
      <c r="DC118" s="301">
        <f si="92" t="shared"/>
        <v>538.89285714285757</v>
      </c>
      <c r="DD118" s="302">
        <f si="93" t="shared"/>
        <v>0</v>
      </c>
      <c r="DE118" s="357">
        <f si="94" t="shared"/>
        <v>0</v>
      </c>
    </row>
    <row ht="15.75" r="119" spans="2:109" thickBot="1" x14ac:dyDescent="0.3">
      <c r="Z119" s="298" t="s">
        <v>331</v>
      </c>
      <c r="AA119" s="299"/>
      <c r="AB119" s="299"/>
      <c r="AC119" s="299"/>
      <c r="AD119" s="299"/>
      <c r="AE119" s="299"/>
      <c r="AF119" s="299"/>
      <c r="AG119" s="299"/>
      <c r="AH119" s="299"/>
      <c r="AI119" s="299"/>
      <c r="CU119">
        <v>118</v>
      </c>
      <c r="CV119">
        <f si="99" t="shared"/>
        <v>6</v>
      </c>
      <c r="CW119">
        <f si="88" t="shared"/>
        <v>18</v>
      </c>
      <c r="CX119" s="355" t="str">
        <f si="89" t="shared"/>
        <v>6_18</v>
      </c>
      <c r="CY119" s="246">
        <f si="84" t="shared"/>
        <v>0</v>
      </c>
      <c r="CZ119" s="246">
        <f si="85" t="shared"/>
        <v>544.857142857143</v>
      </c>
      <c r="DA119" s="246">
        <f si="90" t="shared"/>
        <v>0</v>
      </c>
      <c r="DB119" s="246">
        <f si="91" t="shared"/>
        <v>511.392857142857</v>
      </c>
      <c r="DC119" s="301">
        <f si="92" t="shared"/>
        <v>511.392857142857</v>
      </c>
      <c r="DD119" s="302">
        <f si="93" t="shared"/>
        <v>0</v>
      </c>
      <c r="DE119" s="357">
        <f si="94" t="shared"/>
        <v>0</v>
      </c>
    </row>
    <row r="120" spans="2:109" x14ac:dyDescent="0.25">
      <c r="Z120" s="2" t="s">
        <v>12</v>
      </c>
      <c r="AA120" s="2">
        <v>1</v>
      </c>
      <c r="AB120" s="2">
        <v>2</v>
      </c>
      <c r="AC120" s="2">
        <v>3</v>
      </c>
      <c r="AD120" s="2">
        <v>4</v>
      </c>
      <c r="AE120" s="2">
        <v>5</v>
      </c>
      <c r="AF120" s="2">
        <v>6</v>
      </c>
      <c r="AG120" s="2">
        <v>7</v>
      </c>
      <c r="AH120" s="2">
        <v>8</v>
      </c>
      <c r="AI120" s="2">
        <v>9</v>
      </c>
      <c r="AJ120" s="2">
        <v>10</v>
      </c>
      <c r="AK120" s="2">
        <v>11</v>
      </c>
      <c r="AL120" s="2">
        <v>12</v>
      </c>
      <c r="AM120" s="2">
        <v>13</v>
      </c>
      <c r="AN120" s="2">
        <v>14</v>
      </c>
      <c r="AO120" s="2">
        <v>15</v>
      </c>
      <c r="AP120" s="2">
        <v>16</v>
      </c>
      <c r="AQ120" s="2">
        <v>17</v>
      </c>
      <c r="AR120" s="2">
        <v>18</v>
      </c>
      <c r="AS120" s="2">
        <v>19</v>
      </c>
      <c r="AT120" s="2">
        <v>20</v>
      </c>
      <c r="AU120" s="3" t="s">
        <v>13</v>
      </c>
      <c r="AV120" s="3" t="s">
        <v>4</v>
      </c>
      <c r="CU120">
        <v>119</v>
      </c>
      <c r="CV120">
        <f si="99" t="shared"/>
        <v>6</v>
      </c>
      <c r="CW120">
        <f si="88" t="shared"/>
        <v>19</v>
      </c>
      <c r="CX120" s="355" t="str">
        <f si="89" t="shared"/>
        <v>6_19</v>
      </c>
      <c r="CY120" s="246">
        <f si="84" t="shared"/>
        <v>626.46015158386376</v>
      </c>
      <c r="CZ120" s="246">
        <f si="85" t="shared"/>
        <v>771.78571428571399</v>
      </c>
      <c r="DA120" s="246">
        <f si="90" t="shared"/>
        <v>607.89974764364956</v>
      </c>
      <c r="DB120" s="246">
        <f si="91" t="shared"/>
        <v>696.75</v>
      </c>
      <c r="DC120" s="301">
        <f si="92" t="shared"/>
        <v>88.850252356350438</v>
      </c>
      <c r="DD120" s="302">
        <f si="93" t="shared"/>
        <v>0.14182905669532617</v>
      </c>
      <c r="DE120" s="357">
        <f si="94" t="shared"/>
        <v>0.87247900630591968</v>
      </c>
    </row>
    <row r="121" spans="2:109" x14ac:dyDescent="0.25">
      <c r="Z121" s="202">
        <v>1</v>
      </c>
      <c r="AA121" s="294">
        <f>IF(C67&gt;0,(AA41-C67)/C67,0)</f>
        <v>-0.52489935298347667</v>
      </c>
      <c r="AB121" s="294">
        <f ref="AB121:AV121" si="188" t="shared">IF(D67&gt;0,(AB41-D67)/D67,0)</f>
        <v>35.802381752860448</v>
      </c>
      <c r="AC121" s="294">
        <f si="188" t="shared"/>
        <v>0.59684885491684392</v>
      </c>
      <c r="AD121" s="294">
        <f si="188" t="shared"/>
        <v>0.61942639759222684</v>
      </c>
      <c r="AE121" s="294">
        <f si="188" t="shared"/>
        <v>0.4378877177053036</v>
      </c>
      <c r="AF121" s="294">
        <f si="188" t="shared"/>
        <v>0.58097874185365039</v>
      </c>
      <c r="AG121" s="294">
        <f si="188" t="shared"/>
        <v>0.41423111506973936</v>
      </c>
      <c r="AH121" s="294">
        <f si="188" t="shared"/>
        <v>8.323895714602294</v>
      </c>
      <c r="AI121" s="294">
        <f si="188" t="shared"/>
        <v>0.42428939663569343</v>
      </c>
      <c r="AJ121" s="294">
        <f si="188" t="shared"/>
        <v>0.83109170545380118</v>
      </c>
      <c r="AK121" s="294">
        <f si="188" t="shared"/>
        <v>2.8686159724998661</v>
      </c>
      <c r="AL121" s="294">
        <f si="188" t="shared"/>
        <v>16.082159147035419</v>
      </c>
      <c r="AM121" s="294">
        <f si="188" t="shared"/>
        <v>-0.59456877254045426</v>
      </c>
      <c r="AN121" s="294">
        <f si="188" t="shared"/>
        <v>0</v>
      </c>
      <c r="AO121" s="294">
        <f si="188" t="shared"/>
        <v>1.5187896599969681</v>
      </c>
      <c r="AP121" s="294">
        <f si="188" t="shared"/>
        <v>0.97948560791263506</v>
      </c>
      <c r="AQ121" s="294">
        <f si="188" t="shared"/>
        <v>0</v>
      </c>
      <c r="AR121" s="294">
        <f si="188" t="shared"/>
        <v>4.6162820758292247</v>
      </c>
      <c r="AS121" s="294">
        <f si="188" t="shared"/>
        <v>2.0594867864164281</v>
      </c>
      <c r="AT121" s="294">
        <f si="188" t="shared"/>
        <v>0</v>
      </c>
      <c r="AU121" s="294">
        <f si="188" t="shared"/>
        <v>0</v>
      </c>
      <c r="AV121" s="294">
        <f si="188" t="shared"/>
        <v>0.24174099071728944</v>
      </c>
      <c r="CU121">
        <v>120</v>
      </c>
      <c r="CV121">
        <f si="99" t="shared"/>
        <v>6</v>
      </c>
      <c r="CW121">
        <f si="88" t="shared"/>
        <v>20</v>
      </c>
      <c r="CX121" s="355" t="str">
        <f si="89" t="shared"/>
        <v>6_20</v>
      </c>
      <c r="CY121" s="246">
        <f si="84" t="shared"/>
        <v>0</v>
      </c>
      <c r="CZ121" s="246">
        <f si="85" t="shared"/>
        <v>266.57142857142901</v>
      </c>
      <c r="DA121" s="246">
        <f si="90" t="shared"/>
        <v>0</v>
      </c>
      <c r="DB121" s="246">
        <f si="91" t="shared"/>
        <v>259.07142857142901</v>
      </c>
      <c r="DC121" s="301">
        <f si="92" t="shared"/>
        <v>259.07142857142901</v>
      </c>
      <c r="DD121" s="302">
        <f si="93" t="shared"/>
        <v>0</v>
      </c>
      <c r="DE121" s="357">
        <f si="94" t="shared"/>
        <v>0</v>
      </c>
    </row>
    <row r="122" spans="2:109" x14ac:dyDescent="0.25">
      <c r="Z122">
        <v>2</v>
      </c>
      <c r="AA122" s="295">
        <f ref="AA122:AA142" si="189" t="shared">IF(C68&gt;0,(AA42-C68)/C68,0)</f>
        <v>23.000465279054069</v>
      </c>
      <c r="AB122" s="295">
        <f ref="AB122:AB142" si="190" t="shared">IF(D68&gt;0,(AB42-D68)/D68,0)</f>
        <v>-0.67280142094999718</v>
      </c>
      <c r="AC122" s="295">
        <f ref="AC122:AC142" si="191" t="shared">IF(E68&gt;0,(AC42-E68)/E68,0)</f>
        <v>9.6934286335589835E-3</v>
      </c>
      <c r="AD122" s="295">
        <f ref="AD122:AD142" si="192" t="shared">IF(F68&gt;0,(AD42-F68)/F68,0)</f>
        <v>1.5981044679405574</v>
      </c>
      <c r="AE122" s="295">
        <f ref="AE122:AE142" si="193" t="shared">IF(G68&gt;0,(AE42-G68)/G68,0)</f>
        <v>3.0946994353671538</v>
      </c>
      <c r="AF122" s="295">
        <f ref="AF122:AF142" si="194" t="shared">IF(H68&gt;0,(AF42-H68)/H68,0)</f>
        <v>0</v>
      </c>
      <c r="AG122" s="295">
        <f ref="AG122:AG142" si="195" t="shared">IF(I68&gt;0,(AG42-I68)/I68,0)</f>
        <v>-9.7698149943164198E-2</v>
      </c>
      <c r="AH122" s="295">
        <f ref="AH122:AH142" si="196" t="shared">IF(J68&gt;0,(AH42-J68)/J68,0)</f>
        <v>0</v>
      </c>
      <c r="AI122" s="295">
        <f ref="AI122:AI142" si="197" t="shared">IF(K68&gt;0,(AI42-K68)/K68,0)</f>
        <v>0.69412250095904993</v>
      </c>
      <c r="AJ122" s="295">
        <f ref="AJ122:AJ142" si="198" t="shared">IF(L68&gt;0,(AJ42-L68)/L68,0)</f>
        <v>11.644900968556533</v>
      </c>
      <c r="AK122" s="295">
        <f ref="AK122:AK142" si="199" t="shared">IF(M68&gt;0,(AK42-M68)/M68,0)</f>
        <v>1.0327180480882834</v>
      </c>
      <c r="AL122" s="295">
        <f ref="AL122:AL142" si="200" t="shared">IF(N68&gt;0,(AL42-N68)/N68,0)</f>
        <v>0</v>
      </c>
      <c r="AM122" s="295">
        <f ref="AM122:AM142" si="201" t="shared">IF(O68&gt;0,(AM42-O68)/O68,0)</f>
        <v>9.1154097086395769</v>
      </c>
      <c r="AN122" s="295">
        <f ref="AN122:AN142" si="202" t="shared">IF(P68&gt;0,(AN42-P68)/P68,0)</f>
        <v>0</v>
      </c>
      <c r="AO122" s="295">
        <f ref="AO122:AO142" si="203" t="shared">IF(Q68&gt;0,(AO42-Q68)/Q68,0)</f>
        <v>5.3182181758087221</v>
      </c>
      <c r="AP122" s="295">
        <f ref="AP122:AP142" si="204" t="shared">IF(R68&gt;0,(AP42-R68)/R68,0)</f>
        <v>0.95582337106927673</v>
      </c>
      <c r="AQ122" s="295">
        <f ref="AQ122:AQ142" si="205" t="shared">IF(S68&gt;0,(AQ42-S68)/S68,0)</f>
        <v>0</v>
      </c>
      <c r="AR122" s="295">
        <f ref="AR122:AR142" si="206" t="shared">IF(T68&gt;0,(AR42-T68)/T68,0)</f>
        <v>0</v>
      </c>
      <c r="AS122" s="295">
        <f ref="AS122:AS142" si="207" t="shared">IF(U68&gt;0,(AS42-U68)/U68,0)</f>
        <v>0.12739896731714598</v>
      </c>
      <c r="AT122" s="295">
        <f ref="AT122:AT142" si="208" t="shared">IF(V68&gt;0,(AT42-V68)/V68,0)</f>
        <v>0</v>
      </c>
      <c r="AU122" s="295">
        <f ref="AU122:AU142" si="209" t="shared">IF(W68&gt;0,(AU42-W68)/W68,0)</f>
        <v>0</v>
      </c>
      <c r="AV122" s="295">
        <f ref="AV122:AV142" si="210" t="shared">IF(X68&gt;0,(AV42-X68)/X68,0)</f>
        <v>0.27416921819600615</v>
      </c>
      <c r="CU122">
        <v>121</v>
      </c>
      <c r="CV122">
        <f si="99" t="shared"/>
        <v>7</v>
      </c>
      <c r="CW122">
        <f si="88" t="shared"/>
        <v>1</v>
      </c>
      <c r="CX122" s="355" t="str">
        <f si="89" t="shared"/>
        <v>1_7</v>
      </c>
      <c r="CY122" s="246">
        <f si="84" t="shared"/>
        <v>2938.4912456319039</v>
      </c>
      <c r="CZ122" s="246">
        <f si="85" t="shared"/>
        <v>3741.7857142857101</v>
      </c>
      <c r="DA122" s="246">
        <f si="90" t="shared"/>
        <v>2962.7881302653982</v>
      </c>
      <c r="DB122" s="246">
        <f si="91" t="shared"/>
        <v>3983.1071428571399</v>
      </c>
      <c r="DC122" s="301">
        <f si="92" t="shared"/>
        <v>1020.3190125917417</v>
      </c>
      <c r="DD122" s="302">
        <f si="93" t="shared"/>
        <v>0.34722547297306261</v>
      </c>
      <c r="DE122" s="357">
        <f si="94" t="shared"/>
        <v>0.74383842161477676</v>
      </c>
    </row>
    <row r="123" spans="2:109" x14ac:dyDescent="0.25">
      <c r="Z123">
        <v>3</v>
      </c>
      <c r="AA123" s="295">
        <f si="189" t="shared"/>
        <v>0.49707311140009652</v>
      </c>
      <c r="AB123" s="295">
        <f si="190" t="shared"/>
        <v>-7.0408415680764752E-2</v>
      </c>
      <c r="AC123" s="295">
        <f si="191" t="shared"/>
        <v>-0.32403660990770156</v>
      </c>
      <c r="AD123" s="295">
        <f si="192" t="shared"/>
        <v>-2.3764559411963183E-2</v>
      </c>
      <c r="AE123" s="295">
        <f si="193" t="shared"/>
        <v>-4.879593777924493E-2</v>
      </c>
      <c r="AF123" s="295">
        <f si="194" t="shared"/>
        <v>0.13636117205439424</v>
      </c>
      <c r="AG123" s="295">
        <f si="195" t="shared"/>
        <v>-0.30339959100238945</v>
      </c>
      <c r="AH123" s="295">
        <f si="196" t="shared"/>
        <v>-2.7368220290231501E-2</v>
      </c>
      <c r="AI123" s="295">
        <f si="197" t="shared"/>
        <v>-0.24372090447324088</v>
      </c>
      <c r="AJ123" s="295">
        <f si="198" t="shared"/>
        <v>-7.9184714354263122E-2</v>
      </c>
      <c r="AK123" s="295">
        <f si="199" t="shared"/>
        <v>0.15426782232012648</v>
      </c>
      <c r="AL123" s="295">
        <f si="200" t="shared"/>
        <v>0.17927519196226668</v>
      </c>
      <c r="AM123" s="295">
        <f si="201" t="shared"/>
        <v>-0.66187284000169977</v>
      </c>
      <c r="AN123" s="295">
        <f si="202" t="shared"/>
        <v>0</v>
      </c>
      <c r="AO123" s="295">
        <f si="203" t="shared"/>
        <v>0.86394689828337234</v>
      </c>
      <c r="AP123" s="295">
        <f si="204" t="shared"/>
        <v>2.5146803595648404</v>
      </c>
      <c r="AQ123" s="295">
        <f si="205" t="shared"/>
        <v>0</v>
      </c>
      <c r="AR123" s="295">
        <f si="206" t="shared"/>
        <v>0.73606928424421669</v>
      </c>
      <c r="AS123" s="295">
        <f si="207" t="shared"/>
        <v>1.5745065897416006</v>
      </c>
      <c r="AT123" s="295">
        <f si="208" t="shared"/>
        <v>0</v>
      </c>
      <c r="AU123" s="295">
        <f si="209" t="shared"/>
        <v>0</v>
      </c>
      <c r="AV123" s="295">
        <f si="210" t="shared"/>
        <v>-0.10128586800076031</v>
      </c>
      <c r="CU123">
        <v>122</v>
      </c>
      <c r="CV123">
        <f si="99" t="shared"/>
        <v>7</v>
      </c>
      <c r="CW123">
        <f si="88" t="shared"/>
        <v>2</v>
      </c>
      <c r="CX123" s="355" t="str">
        <f si="89" t="shared"/>
        <v>2_7</v>
      </c>
      <c r="CY123" s="246">
        <f si="84" t="shared"/>
        <v>5641.8665156433153</v>
      </c>
      <c r="CZ123" s="246">
        <f si="85" t="shared"/>
        <v>4855.6428571428596</v>
      </c>
      <c r="DA123" s="246">
        <f si="90" t="shared"/>
        <v>5831.2103300203671</v>
      </c>
      <c r="DB123" s="246">
        <f si="91" t="shared"/>
        <v>5144</v>
      </c>
      <c r="DC123" s="301">
        <f si="92" t="shared"/>
        <v>-687.21033002036711</v>
      </c>
      <c r="DD123" s="302">
        <f si="93" t="shared"/>
        <v>-0.1218054925820959</v>
      </c>
      <c r="DE123" s="357">
        <f si="94" t="shared"/>
        <v>1.1335945431610357</v>
      </c>
    </row>
    <row r="124" spans="2:109" x14ac:dyDescent="0.25">
      <c r="Z124">
        <v>4</v>
      </c>
      <c r="AA124" s="295">
        <f si="189" t="shared"/>
        <v>0.63130331120486383</v>
      </c>
      <c r="AB124" s="295">
        <f si="190" t="shared"/>
        <v>1.7586488033953518</v>
      </c>
      <c r="AC124" s="295">
        <f si="191" t="shared"/>
        <v>-1.1175393408071749E-2</v>
      </c>
      <c r="AD124" s="295">
        <f si="192" t="shared"/>
        <v>-0.42880702429729356</v>
      </c>
      <c r="AE124" s="295">
        <f si="193" t="shared"/>
        <v>-0.34813160399845067</v>
      </c>
      <c r="AF124" s="295">
        <f si="194" t="shared"/>
        <v>1.1590568421097545</v>
      </c>
      <c r="AG124" s="295">
        <f si="195" t="shared"/>
        <v>-0.6184375560570381</v>
      </c>
      <c r="AH124" s="295">
        <f si="196" t="shared"/>
        <v>-0.10648871381049824</v>
      </c>
      <c r="AI124" s="295">
        <f si="197" t="shared"/>
        <v>-0.10592620036572907</v>
      </c>
      <c r="AJ124" s="295">
        <f si="198" t="shared"/>
        <v>6.1591034934994605E-2</v>
      </c>
      <c r="AK124" s="295">
        <f si="199" t="shared"/>
        <v>-0.1143289966642311</v>
      </c>
      <c r="AL124" s="295">
        <f si="200" t="shared"/>
        <v>0</v>
      </c>
      <c r="AM124" s="295">
        <f si="201" t="shared"/>
        <v>-0.7873630664127097</v>
      </c>
      <c r="AN124" s="295">
        <f si="202" t="shared"/>
        <v>0</v>
      </c>
      <c r="AO124" s="295">
        <f si="203" t="shared"/>
        <v>0.70071315472348794</v>
      </c>
      <c r="AP124" s="295">
        <f si="204" t="shared"/>
        <v>1.1303004671017929</v>
      </c>
      <c r="AQ124" s="295">
        <f si="205" t="shared"/>
        <v>0</v>
      </c>
      <c r="AR124" s="295">
        <f si="206" t="shared"/>
        <v>0</v>
      </c>
      <c r="AS124" s="295">
        <f si="207" t="shared"/>
        <v>1.3114996599611324</v>
      </c>
      <c r="AT124" s="295">
        <f si="208" t="shared"/>
        <v>0</v>
      </c>
      <c r="AU124" s="295">
        <f si="209" t="shared"/>
        <v>0</v>
      </c>
      <c r="AV124" s="295">
        <f si="210" t="shared"/>
        <v>-8.1400309460944203E-2</v>
      </c>
      <c r="CU124">
        <v>123</v>
      </c>
      <c r="CV124">
        <f si="99" t="shared"/>
        <v>7</v>
      </c>
      <c r="CW124">
        <f si="88" t="shared"/>
        <v>3</v>
      </c>
      <c r="CX124" s="355" t="str">
        <f si="89" t="shared"/>
        <v>3_7</v>
      </c>
      <c r="CY124" s="246">
        <f si="84" t="shared"/>
        <v>3011.9625191670239</v>
      </c>
      <c r="CZ124" s="246">
        <f si="85" t="shared"/>
        <v>1971</v>
      </c>
      <c r="DA124" s="246">
        <f si="90" t="shared"/>
        <v>3040.6795094880667</v>
      </c>
      <c r="DB124" s="246">
        <f si="91" t="shared"/>
        <v>2054.5714285714303</v>
      </c>
      <c r="DC124" s="301">
        <f si="92" t="shared"/>
        <v>-986.10808091663648</v>
      </c>
      <c r="DD124" s="302">
        <f si="93" t="shared"/>
        <v>-0.32739719523115135</v>
      </c>
      <c r="DE124" s="357">
        <f si="94" t="shared"/>
        <v>1.4799580424430852</v>
      </c>
    </row>
    <row r="125" spans="2:109" x14ac:dyDescent="0.25">
      <c r="Z125">
        <v>5</v>
      </c>
      <c r="AA125" s="295">
        <f si="189" t="shared"/>
        <v>0.46718626032603255</v>
      </c>
      <c r="AB125" s="295">
        <f si="190" t="shared"/>
        <v>2.9141225626117824</v>
      </c>
      <c r="AC125" s="295">
        <f si="191" t="shared"/>
        <v>-1.7814012328259608E-2</v>
      </c>
      <c r="AD125" s="295">
        <f si="192" t="shared"/>
        <v>-0.35347378951664971</v>
      </c>
      <c r="AE125" s="295">
        <f si="193" t="shared"/>
        <v>-0.47484480814960056</v>
      </c>
      <c r="AF125" s="295">
        <f si="194" t="shared"/>
        <v>0.1392742611583852</v>
      </c>
      <c r="AG125" s="295">
        <f si="195" t="shared"/>
        <v>-0.53813940952797312</v>
      </c>
      <c r="AH125" s="295">
        <f si="196" t="shared"/>
        <v>0.77734493843045693</v>
      </c>
      <c r="AI125" s="295">
        <f si="197" t="shared"/>
        <v>-8.2604048023730958E-3</v>
      </c>
      <c r="AJ125" s="295">
        <f si="198" t="shared"/>
        <v>-0.1112182253085269</v>
      </c>
      <c r="AK125" s="295">
        <f si="199" t="shared"/>
        <v>-0.16414270413027798</v>
      </c>
      <c r="AL125" s="295">
        <f si="200" t="shared"/>
        <v>1.7551031993107218</v>
      </c>
      <c r="AM125" s="295">
        <f si="201" t="shared"/>
        <v>-0.79694436242375633</v>
      </c>
      <c r="AN125" s="295">
        <f si="202" t="shared"/>
        <v>2.1536013305915445</v>
      </c>
      <c r="AO125" s="295">
        <f si="203" t="shared"/>
        <v>1.8197304709674504</v>
      </c>
      <c r="AP125" s="295">
        <f si="204" t="shared"/>
        <v>0.53294419383673619</v>
      </c>
      <c r="AQ125" s="295">
        <f si="205" t="shared"/>
        <v>6.8656274766269965</v>
      </c>
      <c r="AR125" s="295">
        <f si="206" t="shared"/>
        <v>2.3843239932397333</v>
      </c>
      <c r="AS125" s="295">
        <f si="207" t="shared"/>
        <v>1.0235991839832443</v>
      </c>
      <c r="AT125" s="295">
        <f si="208" t="shared"/>
        <v>0</v>
      </c>
      <c r="AU125" s="295">
        <f si="209" t="shared"/>
        <v>0</v>
      </c>
      <c r="AV125" s="295">
        <f si="210" t="shared"/>
        <v>-9.9641344793715572E-2</v>
      </c>
      <c r="CU125">
        <v>124</v>
      </c>
      <c r="CV125">
        <f si="99" t="shared"/>
        <v>7</v>
      </c>
      <c r="CW125">
        <f si="88" t="shared"/>
        <v>4</v>
      </c>
      <c r="CX125" s="355" t="str">
        <f si="89" t="shared"/>
        <v>4_7</v>
      </c>
      <c r="CY125" s="246">
        <f si="84" t="shared"/>
        <v>1868.0965650881208</v>
      </c>
      <c r="CZ125" s="246">
        <f si="85" t="shared"/>
        <v>711.142857142857</v>
      </c>
      <c r="DA125" s="246">
        <f si="90" t="shared"/>
        <v>1879.2221665774898</v>
      </c>
      <c r="DB125" s="246">
        <f si="91" t="shared"/>
        <v>716.21428571428555</v>
      </c>
      <c r="DC125" s="301">
        <f si="92" t="shared"/>
        <v>-1163.0078808632043</v>
      </c>
      <c r="DD125" s="302">
        <f si="93" t="shared"/>
        <v>-0.62256304229559112</v>
      </c>
      <c r="DE125" s="357">
        <f si="94" t="shared"/>
        <v>2.6238267011154743</v>
      </c>
    </row>
    <row r="126" spans="2:109" x14ac:dyDescent="0.25">
      <c r="Z126">
        <v>6</v>
      </c>
      <c r="AA126" s="295">
        <f si="189" t="shared"/>
        <v>0.53854855066491936</v>
      </c>
      <c r="AB126" s="295">
        <f si="190" t="shared"/>
        <v>0</v>
      </c>
      <c r="AC126" s="295">
        <f si="191" t="shared"/>
        <v>0.23450228316929769</v>
      </c>
      <c r="AD126" s="295">
        <f si="192" t="shared"/>
        <v>1.3568246800003854</v>
      </c>
      <c r="AE126" s="295">
        <f si="193" t="shared"/>
        <v>0.1743491634378079</v>
      </c>
      <c r="AF126" s="295">
        <f si="194" t="shared"/>
        <v>-0.35646398772221782</v>
      </c>
      <c r="AG126" s="295">
        <f si="195" t="shared"/>
        <v>6.8097520101110018E-2</v>
      </c>
      <c r="AH126" s="295">
        <f si="196" t="shared"/>
        <v>0</v>
      </c>
      <c r="AI126" s="295">
        <f si="197" t="shared"/>
        <v>0.44323217293444117</v>
      </c>
      <c r="AJ126" s="295">
        <f si="198" t="shared"/>
        <v>0.25798668030946575</v>
      </c>
      <c r="AK126" s="295">
        <f si="199" t="shared"/>
        <v>2.0071338221683206</v>
      </c>
      <c r="AL126" s="295">
        <f si="200" t="shared"/>
        <v>0.55047295967462417</v>
      </c>
      <c r="AM126" s="295">
        <f si="201" t="shared"/>
        <v>-0.70459856328705506</v>
      </c>
      <c r="AN126" s="295">
        <f si="202" t="shared"/>
        <v>0</v>
      </c>
      <c r="AO126" s="295">
        <f si="203" t="shared"/>
        <v>0</v>
      </c>
      <c r="AP126" s="295">
        <f si="204" t="shared"/>
        <v>0.37761937859453226</v>
      </c>
      <c r="AQ126" s="295">
        <f si="205" t="shared"/>
        <v>0</v>
      </c>
      <c r="AR126" s="295">
        <f si="206" t="shared"/>
        <v>0</v>
      </c>
      <c r="AS126" s="295">
        <f si="207" t="shared"/>
        <v>0.23197894125336974</v>
      </c>
      <c r="AT126" s="295">
        <f si="208" t="shared"/>
        <v>0</v>
      </c>
      <c r="AU126" s="295">
        <f si="209" t="shared"/>
        <v>0</v>
      </c>
      <c r="AV126" s="295">
        <f si="210" t="shared"/>
        <v>9.9473648035211512E-2</v>
      </c>
      <c r="CU126">
        <v>125</v>
      </c>
      <c r="CV126">
        <f si="99" t="shared"/>
        <v>7</v>
      </c>
      <c r="CW126">
        <f si="88" t="shared"/>
        <v>5</v>
      </c>
      <c r="CX126" s="355" t="str">
        <f si="89" t="shared"/>
        <v>5_7</v>
      </c>
      <c r="CY126" s="246">
        <f si="84" t="shared"/>
        <v>1913.9838963065001</v>
      </c>
      <c r="CZ126" s="246">
        <f si="85" t="shared"/>
        <v>877.57142857142901</v>
      </c>
      <c r="DA126" s="246">
        <f si="90" t="shared"/>
        <v>1951.2622868391363</v>
      </c>
      <c r="DB126" s="246">
        <f si="91" t="shared"/>
        <v>898</v>
      </c>
      <c r="DC126" s="301">
        <f si="92" t="shared"/>
        <v>-1053.2622868391363</v>
      </c>
      <c r="DD126" s="302">
        <f si="93" t="shared"/>
        <v>-0.55029840578683209</v>
      </c>
      <c r="DE126" s="357">
        <f si="94" t="shared"/>
        <v>2.1728978695313321</v>
      </c>
    </row>
    <row r="127" spans="2:109" x14ac:dyDescent="0.25">
      <c r="Z127">
        <v>7</v>
      </c>
      <c r="AA127" s="295">
        <f si="189" t="shared"/>
        <v>0.2733696994496449</v>
      </c>
      <c r="AB127" s="295">
        <f si="190" t="shared"/>
        <v>-0.13935523932026356</v>
      </c>
      <c r="AC127" s="295">
        <f si="191" t="shared"/>
        <v>-0.34560938675123626</v>
      </c>
      <c r="AD127" s="295">
        <f si="192" t="shared"/>
        <v>-0.6193222179018828</v>
      </c>
      <c r="AE127" s="295">
        <f si="193" t="shared"/>
        <v>-0.54149487346005487</v>
      </c>
      <c r="AF127" s="295">
        <f si="194" t="shared"/>
        <v>-2.9698521209642514E-2</v>
      </c>
      <c r="AG127" s="295">
        <f si="195" t="shared"/>
        <v>-5.2186545988309151E-2</v>
      </c>
      <c r="AH127" s="295">
        <f si="196" t="shared"/>
        <v>-0.42675758901060618</v>
      </c>
      <c r="AI127" s="295">
        <f si="197" t="shared"/>
        <v>0.22785233517451495</v>
      </c>
      <c r="AJ127" s="295">
        <f si="198" t="shared"/>
        <v>-0.33424318350137294</v>
      </c>
      <c r="AK127" s="295">
        <f si="199" t="shared"/>
        <v>-0.1085624294251946</v>
      </c>
      <c r="AL127" s="295">
        <f si="200" t="shared"/>
        <v>0.20849984806235769</v>
      </c>
      <c r="AM127" s="295">
        <f si="201" t="shared"/>
        <v>-0.24633999125750197</v>
      </c>
      <c r="AN127" s="295">
        <f si="202" t="shared"/>
        <v>0</v>
      </c>
      <c r="AO127" s="295">
        <f si="203" t="shared"/>
        <v>0</v>
      </c>
      <c r="AP127" s="295">
        <f si="204" t="shared"/>
        <v>0</v>
      </c>
      <c r="AQ127" s="295">
        <f si="205" t="shared"/>
        <v>0</v>
      </c>
      <c r="AR127" s="295">
        <f si="206" t="shared"/>
        <v>0.20327834374026044</v>
      </c>
      <c r="AS127" s="295">
        <f si="207" t="shared"/>
        <v>0</v>
      </c>
      <c r="AT127" s="295">
        <f si="208" t="shared"/>
        <v>0</v>
      </c>
      <c r="AU127" s="295">
        <f si="209" t="shared"/>
        <v>0</v>
      </c>
      <c r="AV127" s="295">
        <f si="210" t="shared"/>
        <v>-3.3204297648435736E-2</v>
      </c>
      <c r="CU127">
        <v>126</v>
      </c>
      <c r="CV127">
        <f si="99" t="shared"/>
        <v>7</v>
      </c>
      <c r="CW127">
        <f si="88" t="shared"/>
        <v>6</v>
      </c>
      <c r="CX127" s="355" t="str">
        <f si="89" t="shared"/>
        <v>6_7</v>
      </c>
      <c r="CY127" s="246">
        <f si="84" t="shared"/>
        <v>4194.1309144914721</v>
      </c>
      <c r="CZ127" s="246">
        <f si="85" t="shared"/>
        <v>4069.5714285714298</v>
      </c>
      <c r="DA127" s="246">
        <f si="90" t="shared"/>
        <v>4240.128199104096</v>
      </c>
      <c r="DB127" s="246">
        <f si="91" t="shared"/>
        <v>4323.7857142857147</v>
      </c>
      <c r="DC127" s="301">
        <f si="92" t="shared"/>
        <v>83.657515181618692</v>
      </c>
      <c r="DD127" s="302">
        <f si="93" t="shared"/>
        <v>1.9946329021959478E-2</v>
      </c>
      <c r="DE127" s="357">
        <f si="94" t="shared"/>
        <v>0.98065178972556022</v>
      </c>
    </row>
    <row r="128" spans="2:109" x14ac:dyDescent="0.25">
      <c r="Z128">
        <v>8</v>
      </c>
      <c r="AA128" s="295">
        <f si="189" t="shared"/>
        <v>8.9583021797496212</v>
      </c>
      <c r="AB128" s="295">
        <f si="190" t="shared"/>
        <v>20.150857901365143</v>
      </c>
      <c r="AC128" s="295">
        <f si="191" t="shared"/>
        <v>-3.6984577151959248E-2</v>
      </c>
      <c r="AD128" s="295">
        <f si="192" t="shared"/>
        <v>-0.1251755238573824</v>
      </c>
      <c r="AE128" s="295">
        <f si="193" t="shared"/>
        <v>1.0194495715965883</v>
      </c>
      <c r="AF128" s="295">
        <f si="194" t="shared"/>
        <v>0</v>
      </c>
      <c r="AG128" s="295">
        <f si="195" t="shared"/>
        <v>-0.43422275064950583</v>
      </c>
      <c r="AH128" s="295">
        <f si="196" t="shared"/>
        <v>-0.3850901628466375</v>
      </c>
      <c r="AI128" s="295">
        <f si="197" t="shared"/>
        <v>0.35966169337557308</v>
      </c>
      <c r="AJ128" s="295">
        <f si="198" t="shared"/>
        <v>0</v>
      </c>
      <c r="AK128" s="295">
        <f si="199" t="shared"/>
        <v>-0.48025118713695031</v>
      </c>
      <c r="AL128" s="295">
        <f si="200" t="shared"/>
        <v>0</v>
      </c>
      <c r="AM128" s="295">
        <f si="201" t="shared"/>
        <v>-0.89232589925449379</v>
      </c>
      <c r="AN128" s="295">
        <f si="202" t="shared"/>
        <v>-0.27941540060064968</v>
      </c>
      <c r="AO128" s="295">
        <f si="203" t="shared"/>
        <v>-0.60001508188908592</v>
      </c>
      <c r="AP128" s="295">
        <f si="204" t="shared"/>
        <v>0</v>
      </c>
      <c r="AQ128" s="295">
        <f si="205" t="shared"/>
        <v>0</v>
      </c>
      <c r="AR128" s="295">
        <f si="206" t="shared"/>
        <v>0</v>
      </c>
      <c r="AS128" s="295">
        <f si="207" t="shared"/>
        <v>-0.26747932784892087</v>
      </c>
      <c r="AT128" s="295">
        <f si="208" t="shared"/>
        <v>0</v>
      </c>
      <c r="AU128" s="295">
        <f si="209" t="shared"/>
        <v>0</v>
      </c>
      <c r="AV128" s="295">
        <f si="210" t="shared"/>
        <v>-3.543631906016273E-2</v>
      </c>
      <c r="CU128">
        <v>127</v>
      </c>
      <c r="CV128">
        <f si="99" t="shared"/>
        <v>7</v>
      </c>
      <c r="CW128">
        <f si="88" t="shared"/>
        <v>7</v>
      </c>
      <c r="CX128" s="355" t="str">
        <f si="89" t="shared"/>
        <v>7_7</v>
      </c>
      <c r="CY128" s="246">
        <f si="84" t="shared"/>
        <v>156283.2396141846</v>
      </c>
      <c r="CZ128" s="246">
        <f si="85" t="shared"/>
        <v>148127.35714285701</v>
      </c>
      <c r="DA128" s="246">
        <f si="90" t="shared"/>
        <v>156283.2396141846</v>
      </c>
      <c r="DB128" s="246">
        <f si="91" t="shared"/>
        <v>148127.35714285701</v>
      </c>
      <c r="DC128" s="301">
        <f si="92" t="shared"/>
        <v>-8155.8824713275826</v>
      </c>
      <c r="DD128" s="302">
        <f si="93" t="shared"/>
        <v>-5.2186545988309151E-2</v>
      </c>
      <c r="DE128" s="357">
        <f si="94" t="shared"/>
        <v>1.0550599337532356</v>
      </c>
    </row>
    <row r="129" spans="26:109" x14ac:dyDescent="0.25">
      <c r="Z129">
        <v>9</v>
      </c>
      <c r="AA129" s="295">
        <f si="189" t="shared"/>
        <v>0.29357789837384007</v>
      </c>
      <c r="AB129" s="295">
        <f si="190" t="shared"/>
        <v>0.52940977362524166</v>
      </c>
      <c r="AC129" s="295">
        <f si="191" t="shared"/>
        <v>-0.23335351680178842</v>
      </c>
      <c r="AD129" s="295">
        <f si="192" t="shared"/>
        <v>-0.13532581086746706</v>
      </c>
      <c r="AE129" s="295">
        <f si="193" t="shared"/>
        <v>-8.4437074061630077E-2</v>
      </c>
      <c r="AF129" s="295">
        <f si="194" t="shared"/>
        <v>0.29556947443806192</v>
      </c>
      <c r="AG129" s="295">
        <f si="195" t="shared"/>
        <v>0.2138719360000062</v>
      </c>
      <c r="AH129" s="295">
        <f si="196" t="shared"/>
        <v>0.28786364250850843</v>
      </c>
      <c r="AI129" s="295">
        <f si="197" t="shared"/>
        <v>-8.7292213545336603E-2</v>
      </c>
      <c r="AJ129" s="295">
        <f si="198" t="shared"/>
        <v>-0.40293853154795412</v>
      </c>
      <c r="AK129" s="295">
        <f si="199" t="shared"/>
        <v>2.4682749131405057E-2</v>
      </c>
      <c r="AL129" s="295">
        <f si="200" t="shared"/>
        <v>4.6676017605428097E-2</v>
      </c>
      <c r="AM129" s="295">
        <f si="201" t="shared"/>
        <v>0.56567972306006775</v>
      </c>
      <c r="AN129" s="295">
        <f si="202" t="shared"/>
        <v>0</v>
      </c>
      <c r="AO129" s="295">
        <f si="203" t="shared"/>
        <v>-0.18049678514164719</v>
      </c>
      <c r="AP129" s="295">
        <f si="204" t="shared"/>
        <v>-0.57657602399296903</v>
      </c>
      <c r="AQ129" s="295">
        <f si="205" t="shared"/>
        <v>0</v>
      </c>
      <c r="AR129" s="295">
        <f si="206" t="shared"/>
        <v>156.45223800667816</v>
      </c>
      <c r="AS129" s="295">
        <f si="207" t="shared"/>
        <v>1.7981822792061612</v>
      </c>
      <c r="AT129" s="295">
        <f si="208" t="shared"/>
        <v>0</v>
      </c>
      <c r="AU129" s="295">
        <f si="209" t="shared"/>
        <v>0</v>
      </c>
      <c r="AV129" s="295">
        <f si="210" t="shared"/>
        <v>-2.9585067577742756E-2</v>
      </c>
      <c r="CU129">
        <v>128</v>
      </c>
      <c r="CV129">
        <f si="99" t="shared"/>
        <v>7</v>
      </c>
      <c r="CW129">
        <f si="88" t="shared"/>
        <v>8</v>
      </c>
      <c r="CX129" s="355" t="str">
        <f si="89" t="shared"/>
        <v>7_8</v>
      </c>
      <c r="CY129" s="246">
        <f si="84" t="shared"/>
        <v>161.36279909985836</v>
      </c>
      <c r="CZ129" s="246">
        <f si="85" t="shared"/>
        <v>92.5</v>
      </c>
      <c r="DA129" s="246">
        <f si="90" t="shared"/>
        <v>159.52363456088329</v>
      </c>
      <c r="DB129" s="246">
        <f si="91" t="shared"/>
        <v>90.857142857142847</v>
      </c>
      <c r="DC129" s="301">
        <f si="92" t="shared"/>
        <v>-68.666491703740448</v>
      </c>
      <c r="DD129" s="302">
        <f si="93" t="shared"/>
        <v>-0.42554102982092307</v>
      </c>
      <c r="DE129" s="357">
        <f si="94" t="shared"/>
        <v>1.7557632734688415</v>
      </c>
    </row>
    <row r="130" spans="26:109" x14ac:dyDescent="0.25">
      <c r="Z130">
        <v>10</v>
      </c>
      <c r="AA130" s="295">
        <f si="189" t="shared"/>
        <v>0.62975720724252016</v>
      </c>
      <c r="AB130" s="295">
        <f si="190" t="shared"/>
        <v>33.307128969355361</v>
      </c>
      <c r="AC130" s="295">
        <f si="191" t="shared"/>
        <v>-6.9568928763262219E-2</v>
      </c>
      <c r="AD130" s="295">
        <f si="192" t="shared"/>
        <v>0.10595988813429701</v>
      </c>
      <c r="AE130" s="295">
        <f si="193" t="shared"/>
        <v>-0.17154275944114619</v>
      </c>
      <c r="AF130" s="295">
        <f si="194" t="shared"/>
        <v>0.1524578358592418</v>
      </c>
      <c r="AG130" s="295">
        <f si="195" t="shared"/>
        <v>-0.34249888559555025</v>
      </c>
      <c r="AH130" s="295">
        <f si="196" t="shared"/>
        <v>0</v>
      </c>
      <c r="AI130" s="295">
        <f si="197" t="shared"/>
        <v>-0.36771028987676035</v>
      </c>
      <c r="AJ130" s="295">
        <f si="198" t="shared"/>
        <v>-0.10997005890054501</v>
      </c>
      <c r="AK130" s="295">
        <f si="199" t="shared"/>
        <v>-0.22090649365267592</v>
      </c>
      <c r="AL130" s="295">
        <f si="200" t="shared"/>
        <v>-9.533409474278938E-2</v>
      </c>
      <c r="AM130" s="295">
        <f si="201" t="shared"/>
        <v>-0.75771937076317586</v>
      </c>
      <c r="AN130" s="295">
        <f si="202" t="shared"/>
        <v>0.99609187129134902</v>
      </c>
      <c r="AO130" s="295">
        <f si="203" t="shared"/>
        <v>-0.27800312986302317</v>
      </c>
      <c r="AP130" s="295">
        <f si="204" t="shared"/>
        <v>-0.28744039435702479</v>
      </c>
      <c r="AQ130" s="295">
        <f si="205" t="shared"/>
        <v>0</v>
      </c>
      <c r="AR130" s="295">
        <f si="206" t="shared"/>
        <v>0</v>
      </c>
      <c r="AS130" s="295">
        <f si="207" t="shared"/>
        <v>120.73009019501683</v>
      </c>
      <c r="AT130" s="295">
        <f si="208" t="shared"/>
        <v>0</v>
      </c>
      <c r="AU130" s="295">
        <f si="209" t="shared"/>
        <v>0</v>
      </c>
      <c r="AV130" s="295">
        <f si="210" t="shared"/>
        <v>-7.8570980991798864E-2</v>
      </c>
      <c r="CU130">
        <v>129</v>
      </c>
      <c r="CV130">
        <f si="99" t="shared"/>
        <v>7</v>
      </c>
      <c r="CW130">
        <f si="88" t="shared"/>
        <v>9</v>
      </c>
      <c r="CX130" s="355" t="str">
        <f si="89" t="shared"/>
        <v>7_9</v>
      </c>
      <c r="CY130" s="246">
        <f ref="CY130:CY193" si="211" t="shared">VLOOKUP($CV130,$B$67:$V$86,MATCH($CW130,$B$66:$V$66,0),0)</f>
        <v>10444.427166310346</v>
      </c>
      <c r="CZ130" s="246">
        <f ref="CZ130:CZ193" si="212" t="shared">VLOOKUP($CV130,$Z$41:$AT$60,MATCH($CW130,$Z$40:$AT$40,0),0)</f>
        <v>12824.214285714301</v>
      </c>
      <c r="DA130" s="246">
        <f si="90" t="shared"/>
        <v>10420.720313087035</v>
      </c>
      <c r="DB130" s="246">
        <f si="91" t="shared"/>
        <v>12722.428571428602</v>
      </c>
      <c r="DC130" s="301">
        <f si="92" t="shared"/>
        <v>2301.7082583415668</v>
      </c>
      <c r="DD130" s="302">
        <f si="93" t="shared"/>
        <v>0.22037668717399658</v>
      </c>
      <c r="DE130" s="357">
        <f si="94" t="shared"/>
        <v>0.81908263462287156</v>
      </c>
    </row>
    <row r="131" spans="26:109" x14ac:dyDescent="0.25">
      <c r="Z131">
        <v>11</v>
      </c>
      <c r="AA131" s="295">
        <f si="189" t="shared"/>
        <v>2.5370708392529351</v>
      </c>
      <c r="AB131" s="295">
        <f si="190" t="shared"/>
        <v>0.61389080190900547</v>
      </c>
      <c r="AC131" s="295">
        <f si="191" t="shared"/>
        <v>0.10336226756029404</v>
      </c>
      <c r="AD131" s="295">
        <f si="192" t="shared"/>
        <v>-0.14616206716581218</v>
      </c>
      <c r="AE131" s="295">
        <f si="193" t="shared"/>
        <v>-0.21488433558942777</v>
      </c>
      <c r="AF131" s="295">
        <f si="194" t="shared"/>
        <v>1.4645095924118514</v>
      </c>
      <c r="AG131" s="295">
        <f si="195" t="shared"/>
        <v>-8.0161631850088275E-3</v>
      </c>
      <c r="AH131" s="295">
        <f si="196" t="shared"/>
        <v>-0.47766234285058629</v>
      </c>
      <c r="AI131" s="295">
        <f si="197" t="shared"/>
        <v>3.1133007094021711E-2</v>
      </c>
      <c r="AJ131" s="295">
        <f si="198" t="shared"/>
        <v>-0.18039479401988601</v>
      </c>
      <c r="AK131" s="295">
        <f si="199" t="shared"/>
        <v>-6.2280830579022513E-2</v>
      </c>
      <c r="AL131" s="295">
        <f si="200" t="shared"/>
        <v>0</v>
      </c>
      <c r="AM131" s="295">
        <f si="201" t="shared"/>
        <v>0</v>
      </c>
      <c r="AN131" s="295">
        <f si="202" t="shared"/>
        <v>0</v>
      </c>
      <c r="AO131" s="295">
        <f si="203" t="shared"/>
        <v>0</v>
      </c>
      <c r="AP131" s="295">
        <f si="204" t="shared"/>
        <v>-0.23716730202815639</v>
      </c>
      <c r="AQ131" s="295">
        <f si="205" t="shared"/>
        <v>0.16440199788640267</v>
      </c>
      <c r="AR131" s="295">
        <f si="206" t="shared"/>
        <v>0</v>
      </c>
      <c r="AS131" s="295">
        <f si="207" t="shared"/>
        <v>-9.8970315943244347E-2</v>
      </c>
      <c r="AT131" s="295">
        <f si="208" t="shared"/>
        <v>0</v>
      </c>
      <c r="AU131" s="295">
        <f si="209" t="shared"/>
        <v>0</v>
      </c>
      <c r="AV131" s="295">
        <f si="210" t="shared"/>
        <v>6.2630144430265277E-3</v>
      </c>
      <c r="CU131">
        <v>130</v>
      </c>
      <c r="CV131">
        <f si="99" t="shared"/>
        <v>7</v>
      </c>
      <c r="CW131">
        <f ref="CW131:CW194" si="213" t="shared">MOD(ROW()-2,$CS$2)+1</f>
        <v>10</v>
      </c>
      <c r="CX131" s="355" t="str">
        <f ref="CX131:CX194" si="214" t="shared">IF(CV131&lt;=CW131,CONCATENATE(CV131,"_",CW131),CONCATENATE(CW131,"_",CV131))</f>
        <v>7_10</v>
      </c>
      <c r="CY131" s="246">
        <f si="211" t="shared"/>
        <v>897.79671931533073</v>
      </c>
      <c r="CZ131" s="246">
        <f si="212" t="shared"/>
        <v>597.71428571428601</v>
      </c>
      <c r="DA131" s="246">
        <f ref="DA131:DA194" si="215" t="shared">AVERAGEIF($CX$2:$CX$401,$CX131,$CY$2:$CY$401)</f>
        <v>917.3929485447527</v>
      </c>
      <c r="DB131" s="246">
        <f ref="DB131:DB194" si="216" t="shared">AVERAGEIF($CX$2:$CX$401,$CX131,$CZ$2:$CZ$401)</f>
        <v>606.89285714285757</v>
      </c>
      <c r="DC131" s="301">
        <f ref="DC131:DC194" si="217" t="shared">DB131-DA131</f>
        <v>-310.50009140189513</v>
      </c>
      <c r="DD131" s="302">
        <f ref="DD131:DD194" si="218" t="shared">IF(CY131&gt;0,DC131/CY131,0)</f>
        <v>-0.34584676544450482</v>
      </c>
      <c r="DE131" s="357">
        <f ref="DE131:DE194" si="219" t="shared">DA131/DB131</f>
        <v>1.511622583372745</v>
      </c>
    </row>
    <row r="132" spans="26:109" x14ac:dyDescent="0.25">
      <c r="Z132">
        <v>12</v>
      </c>
      <c r="AA132" s="295">
        <f si="189" t="shared"/>
        <v>24.925588090382767</v>
      </c>
      <c r="AB132" s="295">
        <f si="190" t="shared"/>
        <v>0</v>
      </c>
      <c r="AC132" s="295">
        <f si="191" t="shared"/>
        <v>0.16054716220551296</v>
      </c>
      <c r="AD132" s="295">
        <f si="192" t="shared"/>
        <v>0</v>
      </c>
      <c r="AE132" s="295">
        <f si="193" t="shared"/>
        <v>1.2233320821088955</v>
      </c>
      <c r="AF132" s="295">
        <f si="194" t="shared"/>
        <v>0.51598452601002576</v>
      </c>
      <c r="AG132" s="295">
        <f si="195" t="shared"/>
        <v>0.22269381858169729</v>
      </c>
      <c r="AH132" s="295">
        <f si="196" t="shared"/>
        <v>0</v>
      </c>
      <c r="AI132" s="295">
        <f si="197" t="shared"/>
        <v>9.5047480961964539E-2</v>
      </c>
      <c r="AJ132" s="295">
        <f si="198" t="shared"/>
        <v>-4.3424259542280005E-2</v>
      </c>
      <c r="AK132" s="295">
        <f si="199" t="shared"/>
        <v>0</v>
      </c>
      <c r="AL132" s="295">
        <f si="200" t="shared"/>
        <v>-6.6932015107462314E-2</v>
      </c>
      <c r="AM132" s="295">
        <f si="201" t="shared"/>
        <v>59.934727203222245</v>
      </c>
      <c r="AN132" s="295">
        <f si="202" t="shared"/>
        <v>0</v>
      </c>
      <c r="AO132" s="295">
        <f si="203" t="shared"/>
        <v>0</v>
      </c>
      <c r="AP132" s="295">
        <f si="204" t="shared"/>
        <v>-0.13623819335458695</v>
      </c>
      <c r="AQ132" s="295">
        <f si="205" t="shared"/>
        <v>0</v>
      </c>
      <c r="AR132" s="295">
        <f si="206" t="shared"/>
        <v>-0.21440735632786997</v>
      </c>
      <c r="AS132" s="295">
        <f si="207" t="shared"/>
        <v>4.3395639126568497</v>
      </c>
      <c r="AT132" s="295">
        <f si="208" t="shared"/>
        <v>0</v>
      </c>
      <c r="AU132" s="295">
        <f si="209" t="shared"/>
        <v>0</v>
      </c>
      <c r="AV132" s="295">
        <f si="210" t="shared"/>
        <v>2.6438429727149392E-2</v>
      </c>
      <c r="CU132">
        <v>131</v>
      </c>
      <c r="CV132">
        <f ref="CV132:CV195" si="220" t="shared">IF(CW131&lt;$CS$2,CV131,CV131+1)</f>
        <v>7</v>
      </c>
      <c r="CW132">
        <f si="213" t="shared"/>
        <v>11</v>
      </c>
      <c r="CX132" s="355" t="str">
        <f si="214" t="shared"/>
        <v>7_11</v>
      </c>
      <c r="CY132" s="246">
        <f si="211" t="shared"/>
        <v>812.17128815106992</v>
      </c>
      <c r="CZ132" s="246">
        <f si="212" t="shared"/>
        <v>724</v>
      </c>
      <c r="DA132" s="246">
        <f si="215" t="shared"/>
        <v>785.66412137681368</v>
      </c>
      <c r="DB132" s="246">
        <f si="216" t="shared"/>
        <v>738.53571428571445</v>
      </c>
      <c r="DC132" s="301">
        <f si="217" t="shared"/>
        <v>-47.128407091099234</v>
      </c>
      <c r="DD132" s="302">
        <f si="218" t="shared"/>
        <v>-5.8027669506008198E-2</v>
      </c>
      <c r="DE132" s="357">
        <f si="219" t="shared"/>
        <v>1.0638133081169678</v>
      </c>
    </row>
    <row r="133" spans="26:109" x14ac:dyDescent="0.25">
      <c r="Z133">
        <v>13</v>
      </c>
      <c r="AA133" s="295">
        <f si="189" t="shared"/>
        <v>-0.68334590941254403</v>
      </c>
      <c r="AB133" s="295">
        <f si="190" t="shared"/>
        <v>12.167830748311445</v>
      </c>
      <c r="AC133" s="295">
        <f si="191" t="shared"/>
        <v>-0.70837611574175929</v>
      </c>
      <c r="AD133" s="295">
        <f si="192" t="shared"/>
        <v>-0.83572366944250875</v>
      </c>
      <c r="AE133" s="295">
        <f si="193" t="shared"/>
        <v>-0.77529093296647866</v>
      </c>
      <c r="AF133" s="295">
        <f si="194" t="shared"/>
        <v>-0.74779211128851242</v>
      </c>
      <c r="AG133" s="295">
        <f si="195" t="shared"/>
        <v>-0.25101879351865736</v>
      </c>
      <c r="AH133" s="295">
        <f si="196" t="shared"/>
        <v>-0.8936311198143515</v>
      </c>
      <c r="AI133" s="295">
        <f si="197" t="shared"/>
        <v>0.35950465190837338</v>
      </c>
      <c r="AJ133" s="295">
        <f si="198" t="shared"/>
        <v>-0.78031333579340212</v>
      </c>
      <c r="AK133" s="295">
        <f si="199" t="shared"/>
        <v>0</v>
      </c>
      <c r="AL133" s="295">
        <f si="200" t="shared"/>
        <v>0</v>
      </c>
      <c r="AM133" s="295">
        <f si="201" t="shared"/>
        <v>-5.0737652629857896E-2</v>
      </c>
      <c r="AN133" s="295">
        <f si="202" t="shared"/>
        <v>-0.80420931838074117</v>
      </c>
      <c r="AO133" s="295">
        <f si="203" t="shared"/>
        <v>0.12835146534305011</v>
      </c>
      <c r="AP133" s="295">
        <f si="204" t="shared"/>
        <v>0</v>
      </c>
      <c r="AQ133" s="295">
        <f si="205" t="shared"/>
        <v>0</v>
      </c>
      <c r="AR133" s="295">
        <f si="206" t="shared"/>
        <v>0.16084530556831184</v>
      </c>
      <c r="AS133" s="295">
        <f si="207" t="shared"/>
        <v>0</v>
      </c>
      <c r="AT133" s="295">
        <f si="208" t="shared"/>
        <v>0</v>
      </c>
      <c r="AU133" s="295">
        <f si="209" t="shared"/>
        <v>0</v>
      </c>
      <c r="AV133" s="295">
        <f si="210" t="shared"/>
        <v>-4.981375215546819E-2</v>
      </c>
      <c r="CU133">
        <v>132</v>
      </c>
      <c r="CV133">
        <f si="220" t="shared"/>
        <v>7</v>
      </c>
      <c r="CW133">
        <f si="213" t="shared"/>
        <v>12</v>
      </c>
      <c r="CX133" s="355" t="str">
        <f si="214" t="shared"/>
        <v>7_12</v>
      </c>
      <c r="CY133" s="246">
        <f si="211" t="shared"/>
        <v>18407.414099823087</v>
      </c>
      <c r="CZ133" s="246">
        <f si="212" t="shared"/>
        <v>22245.357142857101</v>
      </c>
      <c r="DA133" s="246">
        <f si="215" t="shared"/>
        <v>18647.929864857659</v>
      </c>
      <c r="DB133" s="246">
        <f si="216" t="shared"/>
        <v>22670.071428571398</v>
      </c>
      <c r="DC133" s="301">
        <f si="217" t="shared"/>
        <v>4022.1415637137397</v>
      </c>
      <c r="DD133" s="302">
        <f si="218" t="shared"/>
        <v>0.21850660510497216</v>
      </c>
      <c r="DE133" s="357">
        <f si="219" t="shared"/>
        <v>0.82257922846045473</v>
      </c>
    </row>
    <row r="134" spans="26:109" x14ac:dyDescent="0.25">
      <c r="Z134">
        <v>14</v>
      </c>
      <c r="AA134" s="295">
        <f si="189" t="shared"/>
        <v>0</v>
      </c>
      <c r="AB134" s="295">
        <f si="190" t="shared"/>
        <v>0</v>
      </c>
      <c r="AC134" s="295">
        <f si="191" t="shared"/>
        <v>0</v>
      </c>
      <c r="AD134" s="295">
        <f si="192" t="shared"/>
        <v>0</v>
      </c>
      <c r="AE134" s="295">
        <f si="193" t="shared"/>
        <v>1.9780464247126401</v>
      </c>
      <c r="AF134" s="295">
        <f si="194" t="shared"/>
        <v>0</v>
      </c>
      <c r="AG134" s="295">
        <f si="195" t="shared"/>
        <v>0</v>
      </c>
      <c r="AH134" s="295">
        <f si="196" t="shared"/>
        <v>-0.25704109298892575</v>
      </c>
      <c r="AI134" s="295">
        <f si="197" t="shared"/>
        <v>0</v>
      </c>
      <c r="AJ134" s="295">
        <f si="198" t="shared"/>
        <v>0.84797931288546435</v>
      </c>
      <c r="AK134" s="295">
        <f si="199" t="shared"/>
        <v>0</v>
      </c>
      <c r="AL134" s="295">
        <f si="200" t="shared"/>
        <v>0</v>
      </c>
      <c r="AM134" s="295">
        <f si="201" t="shared"/>
        <v>-0.75358147295738298</v>
      </c>
      <c r="AN134" s="295">
        <f si="202" t="shared"/>
        <v>-0.18551178820680594</v>
      </c>
      <c r="AO134" s="295">
        <f si="203" t="shared"/>
        <v>0</v>
      </c>
      <c r="AP134" s="295">
        <f si="204" t="shared"/>
        <v>-0.42650228265554824</v>
      </c>
      <c r="AQ134" s="295">
        <f si="205" t="shared"/>
        <v>0.23912884202001281</v>
      </c>
      <c r="AR134" s="295">
        <f si="206" t="shared"/>
        <v>0</v>
      </c>
      <c r="AS134" s="295">
        <f si="207" t="shared"/>
        <v>0</v>
      </c>
      <c r="AT134" s="295">
        <f si="208" t="shared"/>
        <v>0</v>
      </c>
      <c r="AU134" s="295">
        <f si="209" t="shared"/>
        <v>0</v>
      </c>
      <c r="AV134" s="295">
        <f si="210" t="shared"/>
        <v>8.4623717996972735E-3</v>
      </c>
      <c r="CU134">
        <v>133</v>
      </c>
      <c r="CV134">
        <f si="220" t="shared"/>
        <v>7</v>
      </c>
      <c r="CW134">
        <f si="213" t="shared"/>
        <v>13</v>
      </c>
      <c r="CX134" s="355" t="str">
        <f si="214" t="shared"/>
        <v>7_13</v>
      </c>
      <c r="CY134" s="246">
        <f si="211" t="shared"/>
        <v>19146.943644207709</v>
      </c>
      <c r="CZ134" s="246">
        <f si="212" t="shared"/>
        <v>14430.285714285699</v>
      </c>
      <c r="DA134" s="246">
        <f si="215" t="shared"/>
        <v>18991.646341361862</v>
      </c>
      <c r="DB134" s="246">
        <f si="216" t="shared"/>
        <v>14269.178571428551</v>
      </c>
      <c r="DC134" s="301">
        <f si="217" t="shared"/>
        <v>-4722.4677699333115</v>
      </c>
      <c r="DD134" s="302">
        <f si="218" t="shared"/>
        <v>-0.24664342558724467</v>
      </c>
      <c r="DE134" s="357">
        <f si="219" t="shared"/>
        <v>1.3309558252630742</v>
      </c>
    </row>
    <row r="135" spans="26:109" x14ac:dyDescent="0.25">
      <c r="Z135">
        <v>15</v>
      </c>
      <c r="AA135" s="295">
        <f si="189" t="shared"/>
        <v>1.4255218396831342</v>
      </c>
      <c r="AB135" s="295">
        <f si="190" t="shared"/>
        <v>6.0132859968994081</v>
      </c>
      <c r="AC135" s="295">
        <f si="191" t="shared"/>
        <v>0.64272225537659688</v>
      </c>
      <c r="AD135" s="295">
        <f si="192" t="shared"/>
        <v>0.91999157633742301</v>
      </c>
      <c r="AE135" s="295">
        <f si="193" t="shared"/>
        <v>2.1134532232141328</v>
      </c>
      <c r="AF135" s="295">
        <f si="194" t="shared"/>
        <v>0</v>
      </c>
      <c r="AG135" s="295">
        <f si="195" t="shared"/>
        <v>0</v>
      </c>
      <c r="AH135" s="295">
        <f si="196" t="shared"/>
        <v>-0.327380991322127</v>
      </c>
      <c r="AI135" s="295">
        <f si="197" t="shared"/>
        <v>-0.16097378118145533</v>
      </c>
      <c r="AJ135" s="295">
        <f si="198" t="shared"/>
        <v>-0.30908265577641564</v>
      </c>
      <c r="AK135" s="295">
        <f si="199" t="shared"/>
        <v>0</v>
      </c>
      <c r="AL135" s="295">
        <f si="200" t="shared"/>
        <v>0</v>
      </c>
      <c r="AM135" s="295">
        <f si="201" t="shared"/>
        <v>0.13606862888195184</v>
      </c>
      <c r="AN135" s="295">
        <f si="202" t="shared"/>
        <v>0</v>
      </c>
      <c r="AO135" s="295">
        <f si="203" t="shared"/>
        <v>-0.10813629417150833</v>
      </c>
      <c r="AP135" s="295">
        <f si="204" t="shared"/>
        <v>-2.6111586895952239E-2</v>
      </c>
      <c r="AQ135" s="295">
        <f si="205" t="shared"/>
        <v>0</v>
      </c>
      <c r="AR135" s="295">
        <f si="206" t="shared"/>
        <v>0.79791434063266897</v>
      </c>
      <c r="AS135" s="295">
        <f si="207" t="shared"/>
        <v>0</v>
      </c>
      <c r="AT135" s="295">
        <f si="208" t="shared"/>
        <v>0</v>
      </c>
      <c r="AU135" s="295">
        <f si="209" t="shared"/>
        <v>0</v>
      </c>
      <c r="AV135" s="295">
        <f si="210" t="shared"/>
        <v>-2.3886603330035477E-2</v>
      </c>
      <c r="CU135">
        <v>134</v>
      </c>
      <c r="CV135">
        <f si="220" t="shared"/>
        <v>7</v>
      </c>
      <c r="CW135">
        <f si="213" t="shared"/>
        <v>14</v>
      </c>
      <c r="CX135" s="355" t="str">
        <f si="214" t="shared"/>
        <v>7_14</v>
      </c>
      <c r="CY135" s="246">
        <f si="211" t="shared"/>
        <v>0</v>
      </c>
      <c r="CZ135" s="246">
        <f si="212" t="shared"/>
        <v>140</v>
      </c>
      <c r="DA135" s="246">
        <f si="215" t="shared"/>
        <v>0</v>
      </c>
      <c r="DB135" s="246">
        <f si="216" t="shared"/>
        <v>137.9285714285715</v>
      </c>
      <c r="DC135" s="301">
        <f si="217" t="shared"/>
        <v>137.9285714285715</v>
      </c>
      <c r="DD135" s="302">
        <f si="218" t="shared"/>
        <v>0</v>
      </c>
      <c r="DE135" s="357">
        <f si="219" t="shared"/>
        <v>0</v>
      </c>
    </row>
    <row r="136" spans="26:109" x14ac:dyDescent="0.25">
      <c r="Z136">
        <v>16</v>
      </c>
      <c r="AA136" s="295">
        <f si="189" t="shared"/>
        <v>0.94546593651369193</v>
      </c>
      <c r="AB136" s="295">
        <f si="190" t="shared"/>
        <v>0.27983239568595381</v>
      </c>
      <c r="AC136" s="295">
        <f si="191" t="shared"/>
        <v>2.1054427119183616</v>
      </c>
      <c r="AD136" s="295">
        <f si="192" t="shared"/>
        <v>1.132662277089507</v>
      </c>
      <c r="AE136" s="295">
        <f si="193" t="shared"/>
        <v>0.34375640675531649</v>
      </c>
      <c r="AF136" s="295">
        <f si="194" t="shared"/>
        <v>0.18843339367058212</v>
      </c>
      <c r="AG136" s="295">
        <f si="195" t="shared"/>
        <v>0</v>
      </c>
      <c r="AH136" s="295">
        <f si="196" t="shared"/>
        <v>0</v>
      </c>
      <c r="AI136" s="295">
        <f si="197" t="shared"/>
        <v>-0.53708522093706323</v>
      </c>
      <c r="AJ136" s="295">
        <f si="198" t="shared"/>
        <v>-0.26729287866568824</v>
      </c>
      <c r="AK136" s="295">
        <f si="199" t="shared"/>
        <v>-0.25331046317580808</v>
      </c>
      <c r="AL136" s="295">
        <f si="200" t="shared"/>
        <v>-0.17997621467336303</v>
      </c>
      <c r="AM136" s="295">
        <f si="201" t="shared"/>
        <v>0</v>
      </c>
      <c r="AN136" s="295">
        <f si="202" t="shared"/>
        <v>-0.41580571438883107</v>
      </c>
      <c r="AO136" s="295">
        <f si="203" t="shared"/>
        <v>-0.23735772772510449</v>
      </c>
      <c r="AP136" s="295">
        <f si="204" t="shared"/>
        <v>-0.14297052765421228</v>
      </c>
      <c r="AQ136" s="295">
        <f si="205" t="shared"/>
        <v>0</v>
      </c>
      <c r="AR136" s="295">
        <f si="206" t="shared"/>
        <v>0.33552367126434446</v>
      </c>
      <c r="AS136" s="295">
        <f si="207" t="shared"/>
        <v>0</v>
      </c>
      <c r="AT136" s="295">
        <f si="208" t="shared"/>
        <v>0</v>
      </c>
      <c r="AU136" s="295">
        <f si="209" t="shared"/>
        <v>0</v>
      </c>
      <c r="AV136" s="295">
        <f si="210" t="shared"/>
        <v>-0.11342119210626751</v>
      </c>
      <c r="CU136">
        <v>135</v>
      </c>
      <c r="CV136">
        <f si="220" t="shared"/>
        <v>7</v>
      </c>
      <c r="CW136">
        <f si="213" t="shared"/>
        <v>15</v>
      </c>
      <c r="CX136" s="355" t="str">
        <f si="214" t="shared"/>
        <v>7_15</v>
      </c>
      <c r="CY136" s="246">
        <f si="211" t="shared"/>
        <v>0</v>
      </c>
      <c r="CZ136" s="246">
        <f si="212" t="shared"/>
        <v>1819.5</v>
      </c>
      <c r="DA136" s="246">
        <f si="215" t="shared"/>
        <v>0</v>
      </c>
      <c r="DB136" s="246">
        <f si="216" t="shared"/>
        <v>1765.3928571428551</v>
      </c>
      <c r="DC136" s="301">
        <f si="217" t="shared"/>
        <v>1765.3928571428551</v>
      </c>
      <c r="DD136" s="302">
        <f si="218" t="shared"/>
        <v>0</v>
      </c>
      <c r="DE136" s="357">
        <f si="219" t="shared"/>
        <v>0</v>
      </c>
    </row>
    <row r="137" spans="26:109" x14ac:dyDescent="0.25">
      <c r="Z137">
        <v>17</v>
      </c>
      <c r="AA137" s="295">
        <f si="189" t="shared"/>
        <v>0</v>
      </c>
      <c r="AB137" s="295">
        <f si="190" t="shared"/>
        <v>0</v>
      </c>
      <c r="AC137" s="295">
        <f si="191" t="shared"/>
        <v>0</v>
      </c>
      <c r="AD137" s="295">
        <f si="192" t="shared"/>
        <v>0</v>
      </c>
      <c r="AE137" s="295">
        <f si="193" t="shared"/>
        <v>7.7890208978315947</v>
      </c>
      <c r="AF137" s="295">
        <f si="194" t="shared"/>
        <v>0</v>
      </c>
      <c r="AG137" s="295">
        <f si="195" t="shared"/>
        <v>0</v>
      </c>
      <c r="AH137" s="295">
        <f si="196" t="shared"/>
        <v>0</v>
      </c>
      <c r="AI137" s="295">
        <f si="197" t="shared"/>
        <v>0</v>
      </c>
      <c r="AJ137" s="295">
        <f si="198" t="shared"/>
        <v>0</v>
      </c>
      <c r="AK137" s="295">
        <f si="199" t="shared"/>
        <v>0.15512237021953332</v>
      </c>
      <c r="AL137" s="295">
        <f si="200" t="shared"/>
        <v>0</v>
      </c>
      <c r="AM137" s="295">
        <f si="201" t="shared"/>
        <v>0</v>
      </c>
      <c r="AN137" s="295">
        <f si="202" t="shared"/>
        <v>0.19644172210476807</v>
      </c>
      <c r="AO137" s="295">
        <f si="203" t="shared"/>
        <v>0</v>
      </c>
      <c r="AP137" s="295">
        <f si="204" t="shared"/>
        <v>0</v>
      </c>
      <c r="AQ137" s="295">
        <f si="205" t="shared"/>
        <v>-0.25329517207971525</v>
      </c>
      <c r="AR137" s="295">
        <f si="206" t="shared"/>
        <v>0</v>
      </c>
      <c r="AS137" s="295">
        <f si="207" t="shared"/>
        <v>0.65003101194677748</v>
      </c>
      <c r="AT137" s="295">
        <f si="208" t="shared"/>
        <v>0</v>
      </c>
      <c r="AU137" s="295">
        <f si="209" t="shared"/>
        <v>0</v>
      </c>
      <c r="AV137" s="295">
        <f si="210" t="shared"/>
        <v>1.433921212138255E-2</v>
      </c>
      <c r="CU137">
        <v>136</v>
      </c>
      <c r="CV137">
        <f si="220" t="shared"/>
        <v>7</v>
      </c>
      <c r="CW137">
        <f si="213" t="shared"/>
        <v>16</v>
      </c>
      <c r="CX137" s="355" t="str">
        <f si="214" t="shared"/>
        <v>7_16</v>
      </c>
      <c r="CY137" s="246">
        <f si="211" t="shared"/>
        <v>0</v>
      </c>
      <c r="CZ137" s="246">
        <f si="212" t="shared"/>
        <v>166.21428571428601</v>
      </c>
      <c r="DA137" s="246">
        <f si="215" t="shared"/>
        <v>0</v>
      </c>
      <c r="DB137" s="246">
        <f si="216" t="shared"/>
        <v>160.46428571428601</v>
      </c>
      <c r="DC137" s="301">
        <f si="217" t="shared"/>
        <v>160.46428571428601</v>
      </c>
      <c r="DD137" s="302">
        <f si="218" t="shared"/>
        <v>0</v>
      </c>
      <c r="DE137" s="357">
        <f si="219" t="shared"/>
        <v>0</v>
      </c>
    </row>
    <row r="138" spans="26:109" x14ac:dyDescent="0.25">
      <c r="Z138">
        <v>18</v>
      </c>
      <c r="AA138" s="295">
        <f si="189" t="shared"/>
        <v>4.2373544276631439</v>
      </c>
      <c r="AB138" s="295">
        <f si="190" t="shared"/>
        <v>0</v>
      </c>
      <c r="AC138" s="295">
        <f si="191" t="shared"/>
        <v>0.653364218033749</v>
      </c>
      <c r="AD138" s="295">
        <f si="192" t="shared"/>
        <v>0</v>
      </c>
      <c r="AE138" s="295">
        <f si="193" t="shared"/>
        <v>2.5366278606238724</v>
      </c>
      <c r="AF138" s="295">
        <f si="194" t="shared"/>
        <v>0</v>
      </c>
      <c r="AG138" s="295">
        <f si="195" t="shared"/>
        <v>0.24052745509683843</v>
      </c>
      <c r="AH138" s="295">
        <f si="196" t="shared"/>
        <v>0</v>
      </c>
      <c r="AI138" s="295">
        <f si="197" t="shared"/>
        <v>0</v>
      </c>
      <c r="AJ138" s="295">
        <f si="198" t="shared"/>
        <v>148.78781143907418</v>
      </c>
      <c r="AK138" s="295">
        <f si="199" t="shared"/>
        <v>0</v>
      </c>
      <c r="AL138" s="295">
        <f si="200" t="shared"/>
        <v>-0.2519968478383417</v>
      </c>
      <c r="AM138" s="295">
        <f si="201" t="shared"/>
        <v>0.13779425813033183</v>
      </c>
      <c r="AN138" s="295">
        <f si="202" t="shared"/>
        <v>0</v>
      </c>
      <c r="AO138" s="295">
        <f si="203" t="shared"/>
        <v>0.58180591091702949</v>
      </c>
      <c r="AP138" s="295">
        <f si="204" t="shared"/>
        <v>0.43030995854462634</v>
      </c>
      <c r="AQ138" s="295">
        <f si="205" t="shared"/>
        <v>0</v>
      </c>
      <c r="AR138" s="295">
        <f si="206" t="shared"/>
        <v>3.0545900255728705E-3</v>
      </c>
      <c r="AS138" s="295">
        <f si="207" t="shared"/>
        <v>-0.74844361582167784</v>
      </c>
      <c r="AT138" s="295">
        <f si="208" t="shared"/>
        <v>5.8579039937103512E-2</v>
      </c>
      <c r="AU138" s="295">
        <f si="209" t="shared"/>
        <v>0</v>
      </c>
      <c r="AV138" s="295">
        <f si="210" t="shared"/>
        <v>1.6906026991080256E-3</v>
      </c>
      <c r="CU138">
        <v>137</v>
      </c>
      <c r="CV138">
        <f si="220" t="shared"/>
        <v>7</v>
      </c>
      <c r="CW138">
        <f si="213" t="shared"/>
        <v>17</v>
      </c>
      <c r="CX138" s="355" t="str">
        <f si="214" t="shared"/>
        <v>7_17</v>
      </c>
      <c r="CY138" s="246">
        <f si="211" t="shared"/>
        <v>0</v>
      </c>
      <c r="CZ138" s="246">
        <f si="212" t="shared"/>
        <v>113.571428571429</v>
      </c>
      <c r="DA138" s="246">
        <f si="215" t="shared"/>
        <v>0</v>
      </c>
      <c r="DB138" s="246">
        <f si="216" t="shared"/>
        <v>110.0357142857145</v>
      </c>
      <c r="DC138" s="301">
        <f si="217" t="shared"/>
        <v>110.0357142857145</v>
      </c>
      <c r="DD138" s="302">
        <f si="218" t="shared"/>
        <v>0</v>
      </c>
      <c r="DE138" s="357">
        <f si="219" t="shared"/>
        <v>0</v>
      </c>
    </row>
    <row r="139" spans="26:109" x14ac:dyDescent="0.25">
      <c r="Z139">
        <v>19</v>
      </c>
      <c r="AA139" s="295">
        <f si="189" t="shared"/>
        <v>1.8592835327586472</v>
      </c>
      <c r="AB139" s="295">
        <f si="190" t="shared"/>
        <v>-7.6227058654547514E-2</v>
      </c>
      <c r="AC139" s="295">
        <f si="191" t="shared"/>
        <v>1.4844967453282472</v>
      </c>
      <c r="AD139" s="295">
        <f si="192" t="shared"/>
        <v>1.4851886016319056</v>
      </c>
      <c r="AE139" s="295">
        <f si="193" t="shared"/>
        <v>1.1617097543909132</v>
      </c>
      <c r="AF139" s="295">
        <f si="194" t="shared"/>
        <v>5.4934296100791286E-2</v>
      </c>
      <c r="AG139" s="295">
        <f si="195" t="shared"/>
        <v>0</v>
      </c>
      <c r="AH139" s="295">
        <f si="196" t="shared"/>
        <v>-0.43224599146364023</v>
      </c>
      <c r="AI139" s="295">
        <f si="197" t="shared"/>
        <v>1.9963417316030723</v>
      </c>
      <c r="AJ139" s="295">
        <f si="198" t="shared"/>
        <v>0</v>
      </c>
      <c r="AK139" s="295">
        <f si="199" t="shared"/>
        <v>-8.9865151649677247E-2</v>
      </c>
      <c r="AL139" s="295">
        <f si="200" t="shared"/>
        <v>5.1969233667213937</v>
      </c>
      <c r="AM139" s="295">
        <f si="201" t="shared"/>
        <v>0</v>
      </c>
      <c r="AN139" s="295">
        <f si="202" t="shared"/>
        <v>0</v>
      </c>
      <c r="AO139" s="295">
        <f si="203" t="shared"/>
        <v>0</v>
      </c>
      <c r="AP139" s="295">
        <f si="204" t="shared"/>
        <v>0</v>
      </c>
      <c r="AQ139" s="295">
        <f si="205" t="shared"/>
        <v>0.60009690382932734</v>
      </c>
      <c r="AR139" s="295">
        <f si="206" t="shared"/>
        <v>-0.77412732831760933</v>
      </c>
      <c r="AS139" s="295">
        <f si="207" t="shared"/>
        <v>-3.3698297788516428E-2</v>
      </c>
      <c r="AT139" s="295">
        <f si="208" t="shared"/>
        <v>0</v>
      </c>
      <c r="AU139" s="295">
        <f si="209" t="shared"/>
        <v>0</v>
      </c>
      <c r="AV139" s="295">
        <f si="210" t="shared"/>
        <v>4.8632459059180018E-2</v>
      </c>
      <c r="CU139">
        <v>138</v>
      </c>
      <c r="CV139">
        <f si="220" t="shared"/>
        <v>7</v>
      </c>
      <c r="CW139">
        <f si="213" t="shared"/>
        <v>18</v>
      </c>
      <c r="CX139" s="355" t="str">
        <f si="214" t="shared"/>
        <v>7_18</v>
      </c>
      <c r="CY139" s="246">
        <f si="211" t="shared"/>
        <v>1169.0087039798814</v>
      </c>
      <c r="CZ139" s="246">
        <f si="212" t="shared"/>
        <v>1406.6428571428601</v>
      </c>
      <c r="DA139" s="246">
        <f si="215" t="shared"/>
        <v>1122.1500791957285</v>
      </c>
      <c r="DB139" s="246">
        <f si="216" t="shared"/>
        <v>1370.2857142857151</v>
      </c>
      <c r="DC139" s="301">
        <f si="217" t="shared"/>
        <v>248.13563508998664</v>
      </c>
      <c r="DD139" s="302">
        <f si="218" t="shared"/>
        <v>0.21226158047002622</v>
      </c>
      <c r="DE139" s="357">
        <f si="219" t="shared"/>
        <v>0.81891686346644021</v>
      </c>
    </row>
    <row r="140" spans="26:109" x14ac:dyDescent="0.25">
      <c r="Z140">
        <v>20</v>
      </c>
      <c r="AA140" s="295">
        <f si="189" t="shared"/>
        <v>0</v>
      </c>
      <c r="AB140" s="295">
        <f si="190" t="shared"/>
        <v>0</v>
      </c>
      <c r="AC140" s="295">
        <f si="191" t="shared"/>
        <v>0</v>
      </c>
      <c r="AD140" s="295">
        <f si="192" t="shared"/>
        <v>0</v>
      </c>
      <c r="AE140" s="295">
        <f si="193" t="shared"/>
        <v>0</v>
      </c>
      <c r="AF140" s="295">
        <f si="194" t="shared"/>
        <v>0</v>
      </c>
      <c r="AG140" s="295">
        <f si="195" t="shared"/>
        <v>0</v>
      </c>
      <c r="AH140" s="295">
        <f si="196" t="shared"/>
        <v>0</v>
      </c>
      <c r="AI140" s="295">
        <f si="197" t="shared"/>
        <v>0</v>
      </c>
      <c r="AJ140" s="295">
        <f si="198" t="shared"/>
        <v>0</v>
      </c>
      <c r="AK140" s="295">
        <f si="199" t="shared"/>
        <v>0</v>
      </c>
      <c r="AL140" s="295">
        <f si="200" t="shared"/>
        <v>0</v>
      </c>
      <c r="AM140" s="295">
        <f si="201" t="shared"/>
        <v>0</v>
      </c>
      <c r="AN140" s="295">
        <f si="202" t="shared"/>
        <v>0</v>
      </c>
      <c r="AO140" s="295">
        <f si="203" t="shared"/>
        <v>0</v>
      </c>
      <c r="AP140" s="295">
        <f si="204" t="shared"/>
        <v>0</v>
      </c>
      <c r="AQ140" s="295">
        <f si="205" t="shared"/>
        <v>0</v>
      </c>
      <c r="AR140" s="295">
        <f si="206" t="shared"/>
        <v>7.5213040790408928E-2</v>
      </c>
      <c r="AS140" s="295">
        <f si="207" t="shared"/>
        <v>0</v>
      </c>
      <c r="AT140" s="295">
        <f si="208" t="shared"/>
        <v>-3.1559804461702486E-2</v>
      </c>
      <c r="AU140" s="295">
        <f si="209" t="shared"/>
        <v>0</v>
      </c>
      <c r="AV140" s="295">
        <f si="210" t="shared"/>
        <v>4.4273949507005021E-2</v>
      </c>
      <c r="CU140">
        <v>139</v>
      </c>
      <c r="CV140">
        <f si="220" t="shared"/>
        <v>7</v>
      </c>
      <c r="CW140">
        <f si="213" t="shared"/>
        <v>19</v>
      </c>
      <c r="CX140" s="355" t="str">
        <f si="214" t="shared"/>
        <v>7_19</v>
      </c>
      <c r="CY140" s="246">
        <f si="211" t="shared"/>
        <v>0</v>
      </c>
      <c r="CZ140" s="246">
        <f si="212" t="shared"/>
        <v>248.642857142857</v>
      </c>
      <c r="DA140" s="246">
        <f si="215" t="shared"/>
        <v>0</v>
      </c>
      <c r="DB140" s="246">
        <f si="216" t="shared"/>
        <v>246.4285714285715</v>
      </c>
      <c r="DC140" s="301">
        <f si="217" t="shared"/>
        <v>246.4285714285715</v>
      </c>
      <c r="DD140" s="302">
        <f si="218" t="shared"/>
        <v>0</v>
      </c>
      <c r="DE140" s="357">
        <f si="219" t="shared"/>
        <v>0</v>
      </c>
    </row>
    <row r="141" spans="26:109" x14ac:dyDescent="0.25">
      <c r="Z141" s="291" t="s">
        <v>13</v>
      </c>
      <c r="AA141" s="296">
        <f si="189" t="shared"/>
        <v>0</v>
      </c>
      <c r="AB141" s="296">
        <f si="190" t="shared"/>
        <v>0</v>
      </c>
      <c r="AC141" s="296">
        <f si="191" t="shared"/>
        <v>0</v>
      </c>
      <c r="AD141" s="296">
        <f si="192" t="shared"/>
        <v>0</v>
      </c>
      <c r="AE141" s="296">
        <f si="193" t="shared"/>
        <v>0</v>
      </c>
      <c r="AF141" s="296">
        <f si="194" t="shared"/>
        <v>0</v>
      </c>
      <c r="AG141" s="296">
        <f si="195" t="shared"/>
        <v>0</v>
      </c>
      <c r="AH141" s="296">
        <f si="196" t="shared"/>
        <v>0</v>
      </c>
      <c r="AI141" s="296">
        <f si="197" t="shared"/>
        <v>0</v>
      </c>
      <c r="AJ141" s="296">
        <f si="198" t="shared"/>
        <v>0</v>
      </c>
      <c r="AK141" s="296">
        <f si="199" t="shared"/>
        <v>0</v>
      </c>
      <c r="AL141" s="296">
        <f si="200" t="shared"/>
        <v>0</v>
      </c>
      <c r="AM141" s="296">
        <f si="201" t="shared"/>
        <v>0</v>
      </c>
      <c r="AN141" s="296">
        <f si="202" t="shared"/>
        <v>0</v>
      </c>
      <c r="AO141" s="296">
        <f si="203" t="shared"/>
        <v>0</v>
      </c>
      <c r="AP141" s="296">
        <f si="204" t="shared"/>
        <v>0</v>
      </c>
      <c r="AQ141" s="296">
        <f si="205" t="shared"/>
        <v>0</v>
      </c>
      <c r="AR141" s="296">
        <f si="206" t="shared"/>
        <v>0</v>
      </c>
      <c r="AS141" s="296">
        <f si="207" t="shared"/>
        <v>0</v>
      </c>
      <c r="AT141" s="296">
        <f si="208" t="shared"/>
        <v>0</v>
      </c>
      <c r="AU141" s="296">
        <f si="209" t="shared"/>
        <v>0</v>
      </c>
      <c r="AV141" s="296">
        <f si="210" t="shared"/>
        <v>0</v>
      </c>
      <c r="CU141">
        <v>140</v>
      </c>
      <c r="CV141">
        <f si="220" t="shared"/>
        <v>7</v>
      </c>
      <c r="CW141">
        <f si="213" t="shared"/>
        <v>20</v>
      </c>
      <c r="CX141" s="355" t="str">
        <f si="214" t="shared"/>
        <v>7_20</v>
      </c>
      <c r="CY141" s="246">
        <f si="211" t="shared"/>
        <v>0</v>
      </c>
      <c r="CZ141" s="246">
        <f si="212" t="shared"/>
        <v>194.42857142857099</v>
      </c>
      <c r="DA141" s="246">
        <f si="215" t="shared"/>
        <v>0</v>
      </c>
      <c r="DB141" s="246">
        <f si="216" t="shared"/>
        <v>190.53571428571399</v>
      </c>
      <c r="DC141" s="301">
        <f si="217" t="shared"/>
        <v>190.53571428571399</v>
      </c>
      <c r="DD141" s="302">
        <f si="218" t="shared"/>
        <v>0</v>
      </c>
      <c r="DE141" s="357">
        <f si="219" t="shared"/>
        <v>0</v>
      </c>
    </row>
    <row ht="15.75" r="142" spans="26:109" thickBot="1" x14ac:dyDescent="0.3">
      <c r="Z142" s="1" t="s">
        <v>4</v>
      </c>
      <c r="AA142" s="297">
        <f si="189" t="shared"/>
        <v>0.1804028545759053</v>
      </c>
      <c r="AB142" s="297">
        <f si="190" t="shared"/>
        <v>0.2232634428011325</v>
      </c>
      <c r="AC142" s="297">
        <f si="191" t="shared"/>
        <v>-9.7225043692904842E-2</v>
      </c>
      <c r="AD142" s="297">
        <f si="192" t="shared"/>
        <v>-7.7792686963515031E-2</v>
      </c>
      <c r="AE142" s="297">
        <f si="193" t="shared"/>
        <v>-0.11880126900296904</v>
      </c>
      <c r="AF142" s="297">
        <f si="194" t="shared"/>
        <v>5.7736753868436914E-2</v>
      </c>
      <c r="AG142" s="297">
        <f si="195" t="shared"/>
        <v>-2.7600508543608918E-2</v>
      </c>
      <c r="AH142" s="297">
        <f si="196" t="shared"/>
        <v>-4.785833376922486E-3</v>
      </c>
      <c r="AI142" s="297">
        <f si="197" t="shared"/>
        <v>-1.7328622863576185E-2</v>
      </c>
      <c r="AJ142" s="297">
        <f si="198" t="shared"/>
        <v>-5.2289234094268451E-2</v>
      </c>
      <c r="AK142" s="297">
        <f si="199" t="shared"/>
        <v>1.7152918883160038E-2</v>
      </c>
      <c r="AL142" s="297">
        <f si="200" t="shared"/>
        <v>2.6595696100051202E-2</v>
      </c>
      <c r="AM142" s="297">
        <f si="201" t="shared"/>
        <v>-4.8349519455178104E-2</v>
      </c>
      <c r="AN142" s="297">
        <f si="202" t="shared"/>
        <v>2.1271871630643653E-2</v>
      </c>
      <c r="AO142" s="297">
        <f si="203" t="shared"/>
        <v>-2.1861777399746506E-2</v>
      </c>
      <c r="AP142" s="297">
        <f si="204" t="shared"/>
        <v>-9.8661329672391912E-2</v>
      </c>
      <c r="AQ142" s="297">
        <f si="205" t="shared"/>
        <v>2.5257050862451742E-2</v>
      </c>
      <c r="AR142" s="297">
        <f si="206" t="shared"/>
        <v>1.1688310447475248E-2</v>
      </c>
      <c r="AS142" s="297">
        <f si="207" t="shared"/>
        <v>5.0975180545880704E-2</v>
      </c>
      <c r="AT142" s="297">
        <f si="208" t="shared"/>
        <v>4.723140347422615E-2</v>
      </c>
      <c r="AU142" s="297">
        <f si="209" t="shared"/>
        <v>0</v>
      </c>
      <c r="AV142" s="297">
        <f si="210" t="shared"/>
        <v>2.1098129286861123E-16</v>
      </c>
      <c r="CU142">
        <v>141</v>
      </c>
      <c r="CV142">
        <f si="220" t="shared"/>
        <v>8</v>
      </c>
      <c r="CW142">
        <f si="213" t="shared"/>
        <v>1</v>
      </c>
      <c r="CX142" s="355" t="str">
        <f si="214" t="shared"/>
        <v>1_8</v>
      </c>
      <c r="CY142" s="246">
        <f si="211" t="shared"/>
        <v>93.53286881800463</v>
      </c>
      <c r="CZ142" s="246">
        <f si="212" t="shared"/>
        <v>931.42857142857099</v>
      </c>
      <c r="DA142" s="246">
        <f si="215" t="shared"/>
        <v>103.10401371751573</v>
      </c>
      <c r="DB142" s="246">
        <f si="216" t="shared"/>
        <v>991.00000000000045</v>
      </c>
      <c r="DC142" s="301">
        <f si="217" t="shared"/>
        <v>887.89598628248473</v>
      </c>
      <c r="DD142" s="302">
        <f si="218" t="shared"/>
        <v>9.4928766486372229</v>
      </c>
      <c r="DE142" s="357">
        <f si="219" t="shared"/>
        <v>0.10404037711151935</v>
      </c>
    </row>
    <row r="143" spans="26:109" x14ac:dyDescent="0.25">
      <c r="CU143">
        <v>142</v>
      </c>
      <c r="CV143">
        <f si="220" t="shared"/>
        <v>8</v>
      </c>
      <c r="CW143">
        <f si="213" t="shared"/>
        <v>2</v>
      </c>
      <c r="CX143" s="355" t="str">
        <f si="214" t="shared"/>
        <v>2_8</v>
      </c>
      <c r="CY143" s="246">
        <f si="211" t="shared"/>
        <v>5.8018585480811931</v>
      </c>
      <c r="CZ143" s="246">
        <f si="212" t="shared"/>
        <v>122.71428571428601</v>
      </c>
      <c r="DA143" s="246">
        <f si="215" t="shared"/>
        <v>2.9009292740405965</v>
      </c>
      <c r="DB143" s="246">
        <f si="216" t="shared"/>
        <v>138.7857142857145</v>
      </c>
      <c r="DC143" s="301">
        <f si="217" t="shared"/>
        <v>135.8847850116739</v>
      </c>
      <c r="DD143" s="302">
        <f si="218" t="shared"/>
        <v>23.420906229541583</v>
      </c>
      <c r="DE143" s="357">
        <f si="219" t="shared"/>
        <v>2.0902218135135507E-2</v>
      </c>
    </row>
    <row r="144" spans="26:109" x14ac:dyDescent="0.25">
      <c r="CU144">
        <v>143</v>
      </c>
      <c r="CV144">
        <f si="220" t="shared"/>
        <v>8</v>
      </c>
      <c r="CW144">
        <f si="213" t="shared"/>
        <v>3</v>
      </c>
      <c r="CX144" s="355" t="str">
        <f si="214" t="shared"/>
        <v>3_8</v>
      </c>
      <c r="CY144" s="246">
        <f si="211" t="shared"/>
        <v>1802.15182314256</v>
      </c>
      <c r="CZ144" s="246">
        <f si="212" t="shared"/>
        <v>1735.5</v>
      </c>
      <c r="DA144" s="246">
        <f si="215" t="shared"/>
        <v>1819.313585363562</v>
      </c>
      <c r="DB144" s="246">
        <f si="216" t="shared"/>
        <v>1760.8571428571449</v>
      </c>
      <c r="DC144" s="301">
        <f si="217" t="shared"/>
        <v>-58.456442506417034</v>
      </c>
      <c r="DD144" s="302">
        <f si="218" t="shared"/>
        <v>-3.2437024314900247E-2</v>
      </c>
      <c r="DE144" s="357">
        <f si="219" t="shared"/>
        <v>1.0331977200669251</v>
      </c>
    </row>
    <row ht="15.75" r="145" spans="26:109" thickBot="1" x14ac:dyDescent="0.3">
      <c r="Z145" s="298" t="s">
        <v>332</v>
      </c>
      <c r="AA145" s="299"/>
      <c r="AB145" s="299"/>
      <c r="AC145" s="299"/>
      <c r="AD145" s="299"/>
      <c r="AE145" s="299"/>
      <c r="AF145" s="299"/>
      <c r="AG145" s="299"/>
      <c r="AH145" s="299"/>
      <c r="AI145" s="299"/>
      <c r="CU145">
        <v>144</v>
      </c>
      <c r="CV145">
        <f si="220" t="shared"/>
        <v>8</v>
      </c>
      <c r="CW145">
        <f si="213" t="shared"/>
        <v>4</v>
      </c>
      <c r="CX145" s="355" t="str">
        <f si="214" t="shared"/>
        <v>4_8</v>
      </c>
      <c r="CY145" s="246">
        <f si="211" t="shared"/>
        <v>1537.9411620500116</v>
      </c>
      <c r="CZ145" s="246">
        <f si="212" t="shared"/>
        <v>1345.42857142857</v>
      </c>
      <c r="DA145" s="246">
        <f si="215" t="shared"/>
        <v>1534.2499063727701</v>
      </c>
      <c r="DB145" s="246">
        <f si="216" t="shared"/>
        <v>1356.5</v>
      </c>
      <c r="DC145" s="301">
        <f si="217" t="shared"/>
        <v>-177.74990637277006</v>
      </c>
      <c r="DD145" s="302">
        <f si="218" t="shared"/>
        <v>-0.11557653228803423</v>
      </c>
      <c r="DE145" s="357">
        <f si="219" t="shared"/>
        <v>1.1310356847569261</v>
      </c>
    </row>
    <row r="146" spans="26:109" x14ac:dyDescent="0.25">
      <c r="Z146" s="2" t="s">
        <v>12</v>
      </c>
      <c r="AA146" s="2">
        <v>1</v>
      </c>
      <c r="AB146" s="2">
        <v>2</v>
      </c>
      <c r="AC146" s="2">
        <v>3</v>
      </c>
      <c r="AD146" s="2">
        <v>4</v>
      </c>
      <c r="AE146" s="2">
        <v>5</v>
      </c>
      <c r="AF146" s="2">
        <v>6</v>
      </c>
      <c r="AG146" s="2">
        <v>7</v>
      </c>
      <c r="AH146" s="2">
        <v>8</v>
      </c>
      <c r="AI146" s="2">
        <v>9</v>
      </c>
      <c r="AJ146" s="2">
        <v>10</v>
      </c>
      <c r="AK146" s="2">
        <v>11</v>
      </c>
      <c r="AL146" s="2">
        <v>12</v>
      </c>
      <c r="AM146" s="2">
        <v>13</v>
      </c>
      <c r="AN146" s="2">
        <v>14</v>
      </c>
      <c r="AO146" s="2">
        <v>15</v>
      </c>
      <c r="AP146" s="2">
        <v>16</v>
      </c>
      <c r="AQ146" s="2">
        <v>17</v>
      </c>
      <c r="AR146" s="2">
        <v>18</v>
      </c>
      <c r="AS146" s="2">
        <v>19</v>
      </c>
      <c r="AT146" s="2">
        <v>20</v>
      </c>
      <c r="AU146" s="3" t="s">
        <v>13</v>
      </c>
      <c r="AV146" s="3" t="s">
        <v>4</v>
      </c>
      <c r="CU146">
        <v>145</v>
      </c>
      <c r="CV146">
        <f si="220" t="shared"/>
        <v>8</v>
      </c>
      <c r="CW146">
        <f si="213" t="shared"/>
        <v>5</v>
      </c>
      <c r="CX146" s="355" t="str">
        <f si="214" t="shared"/>
        <v>5_8</v>
      </c>
      <c r="CY146" s="246">
        <f si="211" t="shared"/>
        <v>191.45952569500162</v>
      </c>
      <c r="CZ146" s="246">
        <f si="212" t="shared"/>
        <v>386.642857142857</v>
      </c>
      <c r="DA146" s="246">
        <f si="215" t="shared"/>
        <v>205.38369266652825</v>
      </c>
      <c r="DB146" s="246">
        <f si="216" t="shared"/>
        <v>388.2142857142855</v>
      </c>
      <c r="DC146" s="301">
        <f si="217" t="shared"/>
        <v>182.83059304775725</v>
      </c>
      <c r="DD146" s="302">
        <f si="218" t="shared"/>
        <v>0.95493077392769476</v>
      </c>
      <c r="DE146" s="357">
        <f si="219" t="shared"/>
        <v>0.52904723041976032</v>
      </c>
    </row>
    <row r="147" spans="26:109" x14ac:dyDescent="0.25">
      <c r="Z147" s="202">
        <v>1</v>
      </c>
      <c r="AA147" s="294">
        <f>ABS(AA121)</f>
        <v>0.52489935298347667</v>
      </c>
      <c r="AB147" s="294">
        <f ref="AB147:AV147" si="221" t="shared">ABS(AB121)</f>
        <v>35.802381752860448</v>
      </c>
      <c r="AC147" s="294">
        <f si="221" t="shared"/>
        <v>0.59684885491684392</v>
      </c>
      <c r="AD147" s="294">
        <f si="221" t="shared"/>
        <v>0.61942639759222684</v>
      </c>
      <c r="AE147" s="294">
        <f si="221" t="shared"/>
        <v>0.4378877177053036</v>
      </c>
      <c r="AF147" s="294">
        <f si="221" t="shared"/>
        <v>0.58097874185365039</v>
      </c>
      <c r="AG147" s="294">
        <f si="221" t="shared"/>
        <v>0.41423111506973936</v>
      </c>
      <c r="AH147" s="294">
        <f si="221" t="shared"/>
        <v>8.323895714602294</v>
      </c>
      <c r="AI147" s="294">
        <f si="221" t="shared"/>
        <v>0.42428939663569343</v>
      </c>
      <c r="AJ147" s="294">
        <f si="221" t="shared"/>
        <v>0.83109170545380118</v>
      </c>
      <c r="AK147" s="294">
        <f si="221" t="shared"/>
        <v>2.8686159724998661</v>
      </c>
      <c r="AL147" s="294">
        <f si="221" t="shared"/>
        <v>16.082159147035419</v>
      </c>
      <c r="AM147" s="294">
        <f si="221" t="shared"/>
        <v>0.59456877254045426</v>
      </c>
      <c r="AN147" s="294">
        <f si="221" t="shared"/>
        <v>0</v>
      </c>
      <c r="AO147" s="294">
        <f si="221" t="shared"/>
        <v>1.5187896599969681</v>
      </c>
      <c r="AP147" s="294">
        <f si="221" t="shared"/>
        <v>0.97948560791263506</v>
      </c>
      <c r="AQ147" s="294">
        <f si="221" t="shared"/>
        <v>0</v>
      </c>
      <c r="AR147" s="294">
        <f si="221" t="shared"/>
        <v>4.6162820758292247</v>
      </c>
      <c r="AS147" s="294">
        <f si="221" t="shared"/>
        <v>2.0594867864164281</v>
      </c>
      <c r="AT147" s="294">
        <f si="221" t="shared"/>
        <v>0</v>
      </c>
      <c r="AU147" s="294">
        <f si="221" t="shared"/>
        <v>0</v>
      </c>
      <c r="AV147" s="294">
        <f si="221" t="shared"/>
        <v>0.24174099071728944</v>
      </c>
      <c r="CU147">
        <v>146</v>
      </c>
      <c r="CV147">
        <f si="220" t="shared"/>
        <v>8</v>
      </c>
      <c r="CW147">
        <f si="213" t="shared"/>
        <v>6</v>
      </c>
      <c r="CX147" s="355" t="str">
        <f si="214" t="shared"/>
        <v>6_8</v>
      </c>
      <c r="CY147" s="246">
        <f si="211" t="shared"/>
        <v>0</v>
      </c>
      <c r="CZ147" s="246">
        <f si="212" t="shared"/>
        <v>470.21428571428601</v>
      </c>
      <c r="DA147" s="246">
        <f si="215" t="shared"/>
        <v>0</v>
      </c>
      <c r="DB147" s="246">
        <f si="216" t="shared"/>
        <v>507.0357142857145</v>
      </c>
      <c r="DC147" s="301">
        <f si="217" t="shared"/>
        <v>507.0357142857145</v>
      </c>
      <c r="DD147" s="302">
        <f si="218" t="shared"/>
        <v>0</v>
      </c>
      <c r="DE147" s="357">
        <f si="219" t="shared"/>
        <v>0</v>
      </c>
    </row>
    <row r="148" spans="26:109" x14ac:dyDescent="0.25">
      <c r="Z148">
        <v>2</v>
      </c>
      <c r="AA148" s="295">
        <f ref="AA148:AV159" si="222" t="shared">ABS(AA122)</f>
        <v>23.000465279054069</v>
      </c>
      <c r="AB148" s="295">
        <f si="222" t="shared"/>
        <v>0.67280142094999718</v>
      </c>
      <c r="AC148" s="295">
        <f si="222" t="shared"/>
        <v>9.6934286335589835E-3</v>
      </c>
      <c r="AD148" s="295">
        <f si="222" t="shared"/>
        <v>1.5981044679405574</v>
      </c>
      <c r="AE148" s="295">
        <f si="222" t="shared"/>
        <v>3.0946994353671538</v>
      </c>
      <c r="AF148" s="295">
        <f si="222" t="shared"/>
        <v>0</v>
      </c>
      <c r="AG148" s="295">
        <f si="222" t="shared"/>
        <v>9.7698149943164198E-2</v>
      </c>
      <c r="AH148" s="295">
        <f si="222" t="shared"/>
        <v>0</v>
      </c>
      <c r="AI148" s="295">
        <f si="222" t="shared"/>
        <v>0.69412250095904993</v>
      </c>
      <c r="AJ148" s="295">
        <f si="222" t="shared"/>
        <v>11.644900968556533</v>
      </c>
      <c r="AK148" s="295">
        <f si="222" t="shared"/>
        <v>1.0327180480882834</v>
      </c>
      <c r="AL148" s="295">
        <f si="222" t="shared"/>
        <v>0</v>
      </c>
      <c r="AM148" s="295">
        <f si="222" t="shared"/>
        <v>9.1154097086395769</v>
      </c>
      <c r="AN148" s="295">
        <f si="222" t="shared"/>
        <v>0</v>
      </c>
      <c r="AO148" s="295">
        <f si="222" t="shared"/>
        <v>5.3182181758087221</v>
      </c>
      <c r="AP148" s="295">
        <f si="222" t="shared"/>
        <v>0.95582337106927673</v>
      </c>
      <c r="AQ148" s="295">
        <f si="222" t="shared"/>
        <v>0</v>
      </c>
      <c r="AR148" s="295">
        <f si="222" t="shared"/>
        <v>0</v>
      </c>
      <c r="AS148" s="295">
        <f si="222" t="shared"/>
        <v>0.12739896731714598</v>
      </c>
      <c r="AT148" s="295">
        <f si="222" t="shared"/>
        <v>0</v>
      </c>
      <c r="AU148" s="295">
        <f si="222" t="shared"/>
        <v>0</v>
      </c>
      <c r="AV148" s="295">
        <f si="222" t="shared"/>
        <v>0.27416921819600615</v>
      </c>
      <c r="CU148">
        <v>147</v>
      </c>
      <c r="CV148">
        <f si="220" t="shared"/>
        <v>8</v>
      </c>
      <c r="CW148">
        <f si="213" t="shared"/>
        <v>7</v>
      </c>
      <c r="CX148" s="355" t="str">
        <f si="214" t="shared"/>
        <v>7_8</v>
      </c>
      <c r="CY148" s="246">
        <f si="211" t="shared"/>
        <v>157.68447002190823</v>
      </c>
      <c r="CZ148" s="246">
        <f si="212" t="shared"/>
        <v>89.214285714285694</v>
      </c>
      <c r="DA148" s="246">
        <f si="215" t="shared"/>
        <v>159.52363456088329</v>
      </c>
      <c r="DB148" s="246">
        <f si="216" t="shared"/>
        <v>90.857142857142847</v>
      </c>
      <c r="DC148" s="301">
        <f si="217" t="shared"/>
        <v>-68.666491703740448</v>
      </c>
      <c r="DD148" s="302">
        <f si="218" t="shared"/>
        <v>-0.4354676886962941</v>
      </c>
      <c r="DE148" s="357">
        <f si="219" t="shared"/>
        <v>1.7557632734688415</v>
      </c>
    </row>
    <row r="149" spans="26:109" x14ac:dyDescent="0.25">
      <c r="Z149">
        <v>3</v>
      </c>
      <c r="AA149" s="295">
        <f si="222" t="shared"/>
        <v>0.49707311140009652</v>
      </c>
      <c r="AB149" s="295">
        <f si="222" t="shared"/>
        <v>7.0408415680764752E-2</v>
      </c>
      <c r="AC149" s="295">
        <f si="222" t="shared"/>
        <v>0.32403660990770156</v>
      </c>
      <c r="AD149" s="295">
        <f si="222" t="shared"/>
        <v>2.3764559411963183E-2</v>
      </c>
      <c r="AE149" s="295">
        <f si="222" t="shared"/>
        <v>4.879593777924493E-2</v>
      </c>
      <c r="AF149" s="295">
        <f si="222" t="shared"/>
        <v>0.13636117205439424</v>
      </c>
      <c r="AG149" s="295">
        <f si="222" t="shared"/>
        <v>0.30339959100238945</v>
      </c>
      <c r="AH149" s="295">
        <f si="222" t="shared"/>
        <v>2.7368220290231501E-2</v>
      </c>
      <c r="AI149" s="295">
        <f si="222" t="shared"/>
        <v>0.24372090447324088</v>
      </c>
      <c r="AJ149" s="295">
        <f si="222" t="shared"/>
        <v>7.9184714354263122E-2</v>
      </c>
      <c r="AK149" s="295">
        <f si="222" t="shared"/>
        <v>0.15426782232012648</v>
      </c>
      <c r="AL149" s="295">
        <f si="222" t="shared"/>
        <v>0.17927519196226668</v>
      </c>
      <c r="AM149" s="295">
        <f si="222" t="shared"/>
        <v>0.66187284000169977</v>
      </c>
      <c r="AN149" s="295">
        <f si="222" t="shared"/>
        <v>0</v>
      </c>
      <c r="AO149" s="295">
        <f si="222" t="shared"/>
        <v>0.86394689828337234</v>
      </c>
      <c r="AP149" s="295">
        <f si="222" t="shared"/>
        <v>2.5146803595648404</v>
      </c>
      <c r="AQ149" s="295">
        <f si="222" t="shared"/>
        <v>0</v>
      </c>
      <c r="AR149" s="295">
        <f si="222" t="shared"/>
        <v>0.73606928424421669</v>
      </c>
      <c r="AS149" s="295">
        <f si="222" t="shared"/>
        <v>1.5745065897416006</v>
      </c>
      <c r="AT149" s="295">
        <f si="222" t="shared"/>
        <v>0</v>
      </c>
      <c r="AU149" s="295">
        <f si="222" t="shared"/>
        <v>0</v>
      </c>
      <c r="AV149" s="295">
        <f si="222" t="shared"/>
        <v>0.10128586800076031</v>
      </c>
      <c r="CU149">
        <v>148</v>
      </c>
      <c r="CV149">
        <f si="220" t="shared"/>
        <v>8</v>
      </c>
      <c r="CW149">
        <f si="213" t="shared"/>
        <v>8</v>
      </c>
      <c r="CX149" s="355" t="str">
        <f si="214" t="shared"/>
        <v>8_8</v>
      </c>
      <c r="CY149" s="246">
        <f si="211" t="shared"/>
        <v>1089.939118256666</v>
      </c>
      <c r="CZ149" s="246">
        <f si="212" t="shared"/>
        <v>670.21428571428601</v>
      </c>
      <c r="DA149" s="246">
        <f si="215" t="shared"/>
        <v>1089.939118256666</v>
      </c>
      <c r="DB149" s="246">
        <f si="216" t="shared"/>
        <v>670.21428571428601</v>
      </c>
      <c r="DC149" s="301">
        <f si="217" t="shared"/>
        <v>-419.72483254238</v>
      </c>
      <c r="DD149" s="302">
        <f si="218" t="shared"/>
        <v>-0.3850901628466375</v>
      </c>
      <c r="DE149" s="357">
        <f si="219" t="shared"/>
        <v>1.6262546792703099</v>
      </c>
    </row>
    <row r="150" spans="26:109" x14ac:dyDescent="0.25">
      <c r="Z150">
        <v>4</v>
      </c>
      <c r="AA150" s="295">
        <f si="222" t="shared"/>
        <v>0.63130331120486383</v>
      </c>
      <c r="AB150" s="295">
        <f si="222" t="shared"/>
        <v>1.7586488033953518</v>
      </c>
      <c r="AC150" s="295">
        <f si="222" t="shared"/>
        <v>1.1175393408071749E-2</v>
      </c>
      <c r="AD150" s="295">
        <f si="222" t="shared"/>
        <v>0.42880702429729356</v>
      </c>
      <c r="AE150" s="295">
        <f si="222" t="shared"/>
        <v>0.34813160399845067</v>
      </c>
      <c r="AF150" s="295">
        <f si="222" t="shared"/>
        <v>1.1590568421097545</v>
      </c>
      <c r="AG150" s="295">
        <f si="222" t="shared"/>
        <v>0.6184375560570381</v>
      </c>
      <c r="AH150" s="295">
        <f si="222" t="shared"/>
        <v>0.10648871381049824</v>
      </c>
      <c r="AI150" s="295">
        <f si="222" t="shared"/>
        <v>0.10592620036572907</v>
      </c>
      <c r="AJ150" s="295">
        <f si="222" t="shared"/>
        <v>6.1591034934994605E-2</v>
      </c>
      <c r="AK150" s="295">
        <f si="222" t="shared"/>
        <v>0.1143289966642311</v>
      </c>
      <c r="AL150" s="295">
        <f si="222" t="shared"/>
        <v>0</v>
      </c>
      <c r="AM150" s="295">
        <f si="222" t="shared"/>
        <v>0.7873630664127097</v>
      </c>
      <c r="AN150" s="295">
        <f si="222" t="shared"/>
        <v>0</v>
      </c>
      <c r="AO150" s="295">
        <f si="222" t="shared"/>
        <v>0.70071315472348794</v>
      </c>
      <c r="AP150" s="295">
        <f si="222" t="shared"/>
        <v>1.1303004671017929</v>
      </c>
      <c r="AQ150" s="295">
        <f si="222" t="shared"/>
        <v>0</v>
      </c>
      <c r="AR150" s="295">
        <f si="222" t="shared"/>
        <v>0</v>
      </c>
      <c r="AS150" s="295">
        <f si="222" t="shared"/>
        <v>1.3114996599611324</v>
      </c>
      <c r="AT150" s="295">
        <f si="222" t="shared"/>
        <v>0</v>
      </c>
      <c r="AU150" s="295">
        <f si="222" t="shared"/>
        <v>0</v>
      </c>
      <c r="AV150" s="295">
        <f si="222" t="shared"/>
        <v>8.1400309460944203E-2</v>
      </c>
      <c r="CU150">
        <v>149</v>
      </c>
      <c r="CV150">
        <f si="220" t="shared"/>
        <v>8</v>
      </c>
      <c r="CW150">
        <f si="213" t="shared"/>
        <v>9</v>
      </c>
      <c r="CX150" s="355" t="str">
        <f si="214" t="shared"/>
        <v>8_9</v>
      </c>
      <c r="CY150" s="246">
        <f si="211" t="shared"/>
        <v>163.43351202504223</v>
      </c>
      <c r="CZ150" s="246">
        <f si="212" t="shared"/>
        <v>222.21428571428601</v>
      </c>
      <c r="DA150" s="246">
        <f si="215" t="shared"/>
        <v>165.71522282059146</v>
      </c>
      <c r="DB150" s="246">
        <f si="216" t="shared"/>
        <v>219.2857142857145</v>
      </c>
      <c r="DC150" s="301">
        <f si="217" t="shared"/>
        <v>53.570491465123041</v>
      </c>
      <c r="DD150" s="302">
        <f si="218" t="shared"/>
        <v>0.32778155961621053</v>
      </c>
      <c r="DE150" s="357">
        <f si="219" t="shared"/>
        <v>0.75570459918184962</v>
      </c>
    </row>
    <row r="151" spans="26:109" x14ac:dyDescent="0.25">
      <c r="Z151">
        <v>5</v>
      </c>
      <c r="AA151" s="295">
        <f si="222" t="shared"/>
        <v>0.46718626032603255</v>
      </c>
      <c r="AB151" s="295">
        <f si="222" t="shared"/>
        <v>2.9141225626117824</v>
      </c>
      <c r="AC151" s="295">
        <f si="222" t="shared"/>
        <v>1.7814012328259608E-2</v>
      </c>
      <c r="AD151" s="295">
        <f si="222" t="shared"/>
        <v>0.35347378951664971</v>
      </c>
      <c r="AE151" s="295">
        <f si="222" t="shared"/>
        <v>0.47484480814960056</v>
      </c>
      <c r="AF151" s="295">
        <f si="222" t="shared"/>
        <v>0.1392742611583852</v>
      </c>
      <c r="AG151" s="295">
        <f si="222" t="shared"/>
        <v>0.53813940952797312</v>
      </c>
      <c r="AH151" s="295">
        <f si="222" t="shared"/>
        <v>0.77734493843045693</v>
      </c>
      <c r="AI151" s="295">
        <f si="222" t="shared"/>
        <v>8.2604048023730958E-3</v>
      </c>
      <c r="AJ151" s="295">
        <f si="222" t="shared"/>
        <v>0.1112182253085269</v>
      </c>
      <c r="AK151" s="295">
        <f si="222" t="shared"/>
        <v>0.16414270413027798</v>
      </c>
      <c r="AL151" s="295">
        <f si="222" t="shared"/>
        <v>1.7551031993107218</v>
      </c>
      <c r="AM151" s="295">
        <f si="222" t="shared"/>
        <v>0.79694436242375633</v>
      </c>
      <c r="AN151" s="295">
        <f si="222" t="shared"/>
        <v>2.1536013305915445</v>
      </c>
      <c r="AO151" s="295">
        <f si="222" t="shared"/>
        <v>1.8197304709674504</v>
      </c>
      <c r="AP151" s="295">
        <f si="222" t="shared"/>
        <v>0.53294419383673619</v>
      </c>
      <c r="AQ151" s="295">
        <f si="222" t="shared"/>
        <v>6.8656274766269965</v>
      </c>
      <c r="AR151" s="295">
        <f si="222" t="shared"/>
        <v>2.3843239932397333</v>
      </c>
      <c r="AS151" s="295">
        <f si="222" t="shared"/>
        <v>1.0235991839832443</v>
      </c>
      <c r="AT151" s="295">
        <f si="222" t="shared"/>
        <v>0</v>
      </c>
      <c r="AU151" s="295">
        <f si="222" t="shared"/>
        <v>0</v>
      </c>
      <c r="AV151" s="295">
        <f si="222" t="shared"/>
        <v>9.9641344793715572E-2</v>
      </c>
      <c r="CU151">
        <v>150</v>
      </c>
      <c r="CV151">
        <f si="220" t="shared"/>
        <v>8</v>
      </c>
      <c r="CW151">
        <f si="213" t="shared"/>
        <v>10</v>
      </c>
      <c r="CX151" s="355" t="str">
        <f si="214" t="shared"/>
        <v>8_10</v>
      </c>
      <c r="CY151" s="246">
        <f si="211" t="shared"/>
        <v>0</v>
      </c>
      <c r="CZ151" s="246">
        <f si="212" t="shared"/>
        <v>180.07142857142901</v>
      </c>
      <c r="DA151" s="246">
        <f si="215" t="shared"/>
        <v>0</v>
      </c>
      <c r="DB151" s="246">
        <f si="216" t="shared"/>
        <v>182.32142857142901</v>
      </c>
      <c r="DC151" s="301">
        <f si="217" t="shared"/>
        <v>182.32142857142901</v>
      </c>
      <c r="DD151" s="302">
        <f si="218" t="shared"/>
        <v>0</v>
      </c>
      <c r="DE151" s="357">
        <f si="219" t="shared"/>
        <v>0</v>
      </c>
    </row>
    <row r="152" spans="26:109" x14ac:dyDescent="0.25">
      <c r="Z152">
        <v>6</v>
      </c>
      <c r="AA152" s="295">
        <f si="222" t="shared"/>
        <v>0.53854855066491936</v>
      </c>
      <c r="AB152" s="295">
        <f si="222" t="shared"/>
        <v>0</v>
      </c>
      <c r="AC152" s="295">
        <f si="222" t="shared"/>
        <v>0.23450228316929769</v>
      </c>
      <c r="AD152" s="295">
        <f si="222" t="shared"/>
        <v>1.3568246800003854</v>
      </c>
      <c r="AE152" s="295">
        <f si="222" t="shared"/>
        <v>0.1743491634378079</v>
      </c>
      <c r="AF152" s="295">
        <f si="222" t="shared"/>
        <v>0.35646398772221782</v>
      </c>
      <c r="AG152" s="295">
        <f si="222" t="shared"/>
        <v>6.8097520101110018E-2</v>
      </c>
      <c r="AH152" s="295">
        <f si="222" t="shared"/>
        <v>0</v>
      </c>
      <c r="AI152" s="295">
        <f si="222" t="shared"/>
        <v>0.44323217293444117</v>
      </c>
      <c r="AJ152" s="295">
        <f si="222" t="shared"/>
        <v>0.25798668030946575</v>
      </c>
      <c r="AK152" s="295">
        <f si="222" t="shared"/>
        <v>2.0071338221683206</v>
      </c>
      <c r="AL152" s="295">
        <f si="222" t="shared"/>
        <v>0.55047295967462417</v>
      </c>
      <c r="AM152" s="295">
        <f si="222" t="shared"/>
        <v>0.70459856328705506</v>
      </c>
      <c r="AN152" s="295">
        <f si="222" t="shared"/>
        <v>0</v>
      </c>
      <c r="AO152" s="295">
        <f si="222" t="shared"/>
        <v>0</v>
      </c>
      <c r="AP152" s="295">
        <f si="222" t="shared"/>
        <v>0.37761937859453226</v>
      </c>
      <c r="AQ152" s="295">
        <f si="222" t="shared"/>
        <v>0</v>
      </c>
      <c r="AR152" s="295">
        <f si="222" t="shared"/>
        <v>0</v>
      </c>
      <c r="AS152" s="295">
        <f si="222" t="shared"/>
        <v>0.23197894125336974</v>
      </c>
      <c r="AT152" s="295">
        <f si="222" t="shared"/>
        <v>0</v>
      </c>
      <c r="AU152" s="295">
        <f si="222" t="shared"/>
        <v>0</v>
      </c>
      <c r="AV152" s="295">
        <f si="222" t="shared"/>
        <v>9.9473648035211512E-2</v>
      </c>
      <c r="CU152">
        <v>151</v>
      </c>
      <c r="CV152">
        <f si="220" t="shared"/>
        <v>8</v>
      </c>
      <c r="CW152">
        <f si="213" t="shared"/>
        <v>11</v>
      </c>
      <c r="CX152" s="355" t="str">
        <f si="214" t="shared"/>
        <v>8_11</v>
      </c>
      <c r="CY152" s="246">
        <f si="211" t="shared"/>
        <v>2806.4380736300068</v>
      </c>
      <c r="CZ152" s="246">
        <f si="212" t="shared"/>
        <v>1458.6428571428601</v>
      </c>
      <c r="DA152" s="246">
        <f si="215" t="shared"/>
        <v>2794.3553012543871</v>
      </c>
      <c r="DB152" s="246">
        <f si="216" t="shared"/>
        <v>1455.9642857142849</v>
      </c>
      <c r="DC152" s="301">
        <f si="217" t="shared"/>
        <v>-1338.3910155401022</v>
      </c>
      <c r="DD152" s="302">
        <f si="218" t="shared"/>
        <v>-0.47690024879435555</v>
      </c>
      <c r="DE152" s="357">
        <f si="219" t="shared"/>
        <v>1.9192471468374637</v>
      </c>
    </row>
    <row r="153" spans="26:109" x14ac:dyDescent="0.25">
      <c r="Z153">
        <v>7</v>
      </c>
      <c r="AA153" s="295">
        <f si="222" t="shared"/>
        <v>0.2733696994496449</v>
      </c>
      <c r="AB153" s="295">
        <f si="222" t="shared"/>
        <v>0.13935523932026356</v>
      </c>
      <c r="AC153" s="295">
        <f si="222" t="shared"/>
        <v>0.34560938675123626</v>
      </c>
      <c r="AD153" s="295">
        <f si="222" t="shared"/>
        <v>0.6193222179018828</v>
      </c>
      <c r="AE153" s="295">
        <f si="222" t="shared"/>
        <v>0.54149487346005487</v>
      </c>
      <c r="AF153" s="295">
        <f si="222" t="shared"/>
        <v>2.9698521209642514E-2</v>
      </c>
      <c r="AG153" s="295">
        <f si="222" t="shared"/>
        <v>5.2186545988309151E-2</v>
      </c>
      <c r="AH153" s="295">
        <f si="222" t="shared"/>
        <v>0.42675758901060618</v>
      </c>
      <c r="AI153" s="295">
        <f si="222" t="shared"/>
        <v>0.22785233517451495</v>
      </c>
      <c r="AJ153" s="295">
        <f si="222" t="shared"/>
        <v>0.33424318350137294</v>
      </c>
      <c r="AK153" s="295">
        <f si="222" t="shared"/>
        <v>0.1085624294251946</v>
      </c>
      <c r="AL153" s="295">
        <f si="222" t="shared"/>
        <v>0.20849984806235769</v>
      </c>
      <c r="AM153" s="295">
        <f si="222" t="shared"/>
        <v>0.24633999125750197</v>
      </c>
      <c r="AN153" s="295">
        <f si="222" t="shared"/>
        <v>0</v>
      </c>
      <c r="AO153" s="295">
        <f si="222" t="shared"/>
        <v>0</v>
      </c>
      <c r="AP153" s="295">
        <f si="222" t="shared"/>
        <v>0</v>
      </c>
      <c r="AQ153" s="295">
        <f si="222" t="shared"/>
        <v>0</v>
      </c>
      <c r="AR153" s="295">
        <f si="222" t="shared"/>
        <v>0.20327834374026044</v>
      </c>
      <c r="AS153" s="295">
        <f si="222" t="shared"/>
        <v>0</v>
      </c>
      <c r="AT153" s="295">
        <f si="222" t="shared"/>
        <v>0</v>
      </c>
      <c r="AU153" s="295">
        <f si="222" t="shared"/>
        <v>0</v>
      </c>
      <c r="AV153" s="295">
        <f si="222" t="shared"/>
        <v>3.3204297648435736E-2</v>
      </c>
      <c r="CU153">
        <v>152</v>
      </c>
      <c r="CV153">
        <f si="220" t="shared"/>
        <v>8</v>
      </c>
      <c r="CW153">
        <f si="213" t="shared"/>
        <v>12</v>
      </c>
      <c r="CX153" s="355" t="str">
        <f si="214" t="shared"/>
        <v>8_12</v>
      </c>
      <c r="CY153" s="246">
        <f si="211" t="shared"/>
        <v>0</v>
      </c>
      <c r="CZ153" s="246">
        <f si="212" t="shared"/>
        <v>161.5</v>
      </c>
      <c r="DA153" s="246">
        <f si="215" t="shared"/>
        <v>0</v>
      </c>
      <c r="DB153" s="246">
        <f si="216" t="shared"/>
        <v>170.0357142857145</v>
      </c>
      <c r="DC153" s="301">
        <f si="217" t="shared"/>
        <v>170.0357142857145</v>
      </c>
      <c r="DD153" s="302">
        <f si="218" t="shared"/>
        <v>0</v>
      </c>
      <c r="DE153" s="357">
        <f si="219" t="shared"/>
        <v>0</v>
      </c>
    </row>
    <row r="154" spans="26:109" x14ac:dyDescent="0.25">
      <c r="Z154">
        <v>8</v>
      </c>
      <c r="AA154" s="295">
        <f si="222" t="shared"/>
        <v>8.9583021797496212</v>
      </c>
      <c r="AB154" s="295">
        <f si="222" t="shared"/>
        <v>20.150857901365143</v>
      </c>
      <c r="AC154" s="295">
        <f si="222" t="shared"/>
        <v>3.6984577151959248E-2</v>
      </c>
      <c r="AD154" s="295">
        <f si="222" t="shared"/>
        <v>0.1251755238573824</v>
      </c>
      <c r="AE154" s="295">
        <f si="222" t="shared"/>
        <v>1.0194495715965883</v>
      </c>
      <c r="AF154" s="295">
        <f si="222" t="shared"/>
        <v>0</v>
      </c>
      <c r="AG154" s="295">
        <f si="222" t="shared"/>
        <v>0.43422275064950583</v>
      </c>
      <c r="AH154" s="295">
        <f si="222" t="shared"/>
        <v>0.3850901628466375</v>
      </c>
      <c r="AI154" s="295">
        <f si="222" t="shared"/>
        <v>0.35966169337557308</v>
      </c>
      <c r="AJ154" s="295">
        <f si="222" t="shared"/>
        <v>0</v>
      </c>
      <c r="AK154" s="295">
        <f si="222" t="shared"/>
        <v>0.48025118713695031</v>
      </c>
      <c r="AL154" s="295">
        <f si="222" t="shared"/>
        <v>0</v>
      </c>
      <c r="AM154" s="295">
        <f si="222" t="shared"/>
        <v>0.89232589925449379</v>
      </c>
      <c r="AN154" s="295">
        <f si="222" t="shared"/>
        <v>0.27941540060064968</v>
      </c>
      <c r="AO154" s="295">
        <f si="222" t="shared"/>
        <v>0.60001508188908592</v>
      </c>
      <c r="AP154" s="295">
        <f si="222" t="shared"/>
        <v>0</v>
      </c>
      <c r="AQ154" s="295">
        <f si="222" t="shared"/>
        <v>0</v>
      </c>
      <c r="AR154" s="295">
        <f si="222" t="shared"/>
        <v>0</v>
      </c>
      <c r="AS154" s="295">
        <f si="222" t="shared"/>
        <v>0.26747932784892087</v>
      </c>
      <c r="AT154" s="295">
        <f si="222" t="shared"/>
        <v>0</v>
      </c>
      <c r="AU154" s="295">
        <f si="222" t="shared"/>
        <v>0</v>
      </c>
      <c r="AV154" s="295">
        <f si="222" t="shared"/>
        <v>3.543631906016273E-2</v>
      </c>
      <c r="CU154">
        <v>153</v>
      </c>
      <c r="CV154">
        <f si="220" t="shared"/>
        <v>8</v>
      </c>
      <c r="CW154">
        <f si="213" t="shared"/>
        <v>13</v>
      </c>
      <c r="CX154" s="355" t="str">
        <f si="214" t="shared"/>
        <v>8_13</v>
      </c>
      <c r="CY154" s="246">
        <f si="211" t="shared"/>
        <v>133.33886940070036</v>
      </c>
      <c r="CZ154" s="246">
        <f si="212" t="shared"/>
        <v>14.3571428571429</v>
      </c>
      <c r="DA154" s="246">
        <f si="215" t="shared"/>
        <v>132.81391486630355</v>
      </c>
      <c r="DB154" s="246">
        <f si="216" t="shared"/>
        <v>14.214285714285751</v>
      </c>
      <c r="DC154" s="301">
        <f si="217" t="shared"/>
        <v>-118.5996291520178</v>
      </c>
      <c r="DD154" s="302">
        <f si="218" t="shared"/>
        <v>-0.88946028779958186</v>
      </c>
      <c r="DE154" s="357">
        <f si="219" t="shared"/>
        <v>9.3436925031570102</v>
      </c>
    </row>
    <row r="155" spans="26:109" x14ac:dyDescent="0.25">
      <c r="Z155">
        <v>9</v>
      </c>
      <c r="AA155" s="295">
        <f si="222" t="shared"/>
        <v>0.29357789837384007</v>
      </c>
      <c r="AB155" s="295">
        <f si="222" t="shared"/>
        <v>0.52940977362524166</v>
      </c>
      <c r="AC155" s="295">
        <f si="222" t="shared"/>
        <v>0.23335351680178842</v>
      </c>
      <c r="AD155" s="295">
        <f si="222" t="shared"/>
        <v>0.13532581086746706</v>
      </c>
      <c r="AE155" s="295">
        <f si="222" t="shared"/>
        <v>8.4437074061630077E-2</v>
      </c>
      <c r="AF155" s="295">
        <f si="222" t="shared"/>
        <v>0.29556947443806192</v>
      </c>
      <c r="AG155" s="295">
        <f si="222" t="shared"/>
        <v>0.2138719360000062</v>
      </c>
      <c r="AH155" s="295">
        <f si="222" t="shared"/>
        <v>0.28786364250850843</v>
      </c>
      <c r="AI155" s="295">
        <f si="222" t="shared"/>
        <v>8.7292213545336603E-2</v>
      </c>
      <c r="AJ155" s="295">
        <f si="222" t="shared"/>
        <v>0.40293853154795412</v>
      </c>
      <c r="AK155" s="295">
        <f si="222" t="shared"/>
        <v>2.4682749131405057E-2</v>
      </c>
      <c r="AL155" s="295">
        <f si="222" t="shared"/>
        <v>4.6676017605428097E-2</v>
      </c>
      <c r="AM155" s="295">
        <f si="222" t="shared"/>
        <v>0.56567972306006775</v>
      </c>
      <c r="AN155" s="295">
        <f si="222" t="shared"/>
        <v>0</v>
      </c>
      <c r="AO155" s="295">
        <f si="222" t="shared"/>
        <v>0.18049678514164719</v>
      </c>
      <c r="AP155" s="295">
        <f si="222" t="shared"/>
        <v>0.57657602399296903</v>
      </c>
      <c r="AQ155" s="295">
        <f si="222" t="shared"/>
        <v>0</v>
      </c>
      <c r="AR155" s="295">
        <f si="222" t="shared"/>
        <v>156.45223800667816</v>
      </c>
      <c r="AS155" s="295">
        <f si="222" t="shared"/>
        <v>1.7981822792061612</v>
      </c>
      <c r="AT155" s="295">
        <f si="222" t="shared"/>
        <v>0</v>
      </c>
      <c r="AU155" s="295">
        <f si="222" t="shared"/>
        <v>0</v>
      </c>
      <c r="AV155" s="295">
        <f si="222" t="shared"/>
        <v>2.9585067577742756E-2</v>
      </c>
      <c r="CU155">
        <v>154</v>
      </c>
      <c r="CV155">
        <f si="220" t="shared"/>
        <v>8</v>
      </c>
      <c r="CW155">
        <f si="213" t="shared"/>
        <v>14</v>
      </c>
      <c r="CX155" s="355" t="str">
        <f si="214" t="shared"/>
        <v>8_14</v>
      </c>
      <c r="CY155" s="246">
        <f si="211" t="shared"/>
        <v>685.65360539659969</v>
      </c>
      <c r="CZ155" s="246">
        <f si="212" t="shared"/>
        <v>494.07142857142901</v>
      </c>
      <c r="DA155" s="246">
        <f si="215" t="shared"/>
        <v>670.52229624012034</v>
      </c>
      <c r="DB155" s="246">
        <f si="216" t="shared"/>
        <v>490.5</v>
      </c>
      <c r="DC155" s="301">
        <f si="217" t="shared"/>
        <v>-180.02229624012034</v>
      </c>
      <c r="DD155" s="302">
        <f si="218" t="shared"/>
        <v>-0.26255574946767885</v>
      </c>
      <c r="DE155" s="357">
        <f si="219" t="shared"/>
        <v>1.3670179332112544</v>
      </c>
    </row>
    <row r="156" spans="26:109" x14ac:dyDescent="0.25">
      <c r="Z156">
        <v>10</v>
      </c>
      <c r="AA156" s="295">
        <f si="222" t="shared"/>
        <v>0.62975720724252016</v>
      </c>
      <c r="AB156" s="295">
        <f si="222" t="shared"/>
        <v>33.307128969355361</v>
      </c>
      <c r="AC156" s="295">
        <f si="222" t="shared"/>
        <v>6.9568928763262219E-2</v>
      </c>
      <c r="AD156" s="295">
        <f si="222" t="shared"/>
        <v>0.10595988813429701</v>
      </c>
      <c r="AE156" s="295">
        <f si="222" t="shared"/>
        <v>0.17154275944114619</v>
      </c>
      <c r="AF156" s="295">
        <f si="222" t="shared"/>
        <v>0.1524578358592418</v>
      </c>
      <c r="AG156" s="295">
        <f si="222" t="shared"/>
        <v>0.34249888559555025</v>
      </c>
      <c r="AH156" s="295">
        <f si="222" t="shared"/>
        <v>0</v>
      </c>
      <c r="AI156" s="295">
        <f si="222" t="shared"/>
        <v>0.36771028987676035</v>
      </c>
      <c r="AJ156" s="295">
        <f si="222" t="shared"/>
        <v>0.10997005890054501</v>
      </c>
      <c r="AK156" s="295">
        <f si="222" t="shared"/>
        <v>0.22090649365267592</v>
      </c>
      <c r="AL156" s="295">
        <f si="222" t="shared"/>
        <v>9.533409474278938E-2</v>
      </c>
      <c r="AM156" s="295">
        <f si="222" t="shared"/>
        <v>0.75771937076317586</v>
      </c>
      <c r="AN156" s="295">
        <f si="222" t="shared"/>
        <v>0.99609187129134902</v>
      </c>
      <c r="AO156" s="295">
        <f si="222" t="shared"/>
        <v>0.27800312986302317</v>
      </c>
      <c r="AP156" s="295">
        <f si="222" t="shared"/>
        <v>0.28744039435702479</v>
      </c>
      <c r="AQ156" s="295">
        <f si="222" t="shared"/>
        <v>0</v>
      </c>
      <c r="AR156" s="295">
        <f si="222" t="shared"/>
        <v>0</v>
      </c>
      <c r="AS156" s="295">
        <f si="222" t="shared"/>
        <v>120.73009019501683</v>
      </c>
      <c r="AT156" s="295">
        <f si="222" t="shared"/>
        <v>0</v>
      </c>
      <c r="AU156" s="295">
        <f si="222" t="shared"/>
        <v>0</v>
      </c>
      <c r="AV156" s="295">
        <f si="222" t="shared"/>
        <v>7.8570980991798864E-2</v>
      </c>
      <c r="CU156">
        <v>155</v>
      </c>
      <c r="CV156">
        <f si="220" t="shared"/>
        <v>8</v>
      </c>
      <c r="CW156">
        <f si="213" t="shared"/>
        <v>15</v>
      </c>
      <c r="CX156" s="355" t="str">
        <f si="214" t="shared"/>
        <v>8_15</v>
      </c>
      <c r="CY156" s="246">
        <f si="211" t="shared"/>
        <v>38.037148465850017</v>
      </c>
      <c r="CZ156" s="246">
        <f si="212" t="shared"/>
        <v>15.214285714285699</v>
      </c>
      <c r="DA156" s="246">
        <f si="215" t="shared"/>
        <v>31.124769624076794</v>
      </c>
      <c r="DB156" s="246">
        <f si="216" t="shared"/>
        <v>15.75</v>
      </c>
      <c r="DC156" s="301">
        <f si="217" t="shared"/>
        <v>-15.374769624076794</v>
      </c>
      <c r="DD156" s="302">
        <f si="218" t="shared"/>
        <v>-0.40420405430444811</v>
      </c>
      <c r="DE156" s="357">
        <f si="219" t="shared"/>
        <v>1.976175849147733</v>
      </c>
    </row>
    <row r="157" spans="26:109" x14ac:dyDescent="0.25">
      <c r="Z157">
        <v>11</v>
      </c>
      <c r="AA157" s="295">
        <f si="222" t="shared"/>
        <v>2.5370708392529351</v>
      </c>
      <c r="AB157" s="295">
        <f si="222" t="shared"/>
        <v>0.61389080190900547</v>
      </c>
      <c r="AC157" s="295">
        <f si="222" t="shared"/>
        <v>0.10336226756029404</v>
      </c>
      <c r="AD157" s="295">
        <f si="222" t="shared"/>
        <v>0.14616206716581218</v>
      </c>
      <c r="AE157" s="295">
        <f si="222" t="shared"/>
        <v>0.21488433558942777</v>
      </c>
      <c r="AF157" s="295">
        <f si="222" t="shared"/>
        <v>1.4645095924118514</v>
      </c>
      <c r="AG157" s="295">
        <f si="222" t="shared"/>
        <v>8.0161631850088275E-3</v>
      </c>
      <c r="AH157" s="295">
        <f si="222" t="shared"/>
        <v>0.47766234285058629</v>
      </c>
      <c r="AI157" s="295">
        <f si="222" t="shared"/>
        <v>3.1133007094021711E-2</v>
      </c>
      <c r="AJ157" s="295">
        <f si="222" t="shared"/>
        <v>0.18039479401988601</v>
      </c>
      <c r="AK157" s="295">
        <f si="222" t="shared"/>
        <v>6.2280830579022513E-2</v>
      </c>
      <c r="AL157" s="295">
        <f si="222" t="shared"/>
        <v>0</v>
      </c>
      <c r="AM157" s="295">
        <f si="222" t="shared"/>
        <v>0</v>
      </c>
      <c r="AN157" s="295">
        <f si="222" t="shared"/>
        <v>0</v>
      </c>
      <c r="AO157" s="295">
        <f si="222" t="shared"/>
        <v>0</v>
      </c>
      <c r="AP157" s="295">
        <f si="222" t="shared"/>
        <v>0.23716730202815639</v>
      </c>
      <c r="AQ157" s="295">
        <f si="222" t="shared"/>
        <v>0.16440199788640267</v>
      </c>
      <c r="AR157" s="295">
        <f si="222" t="shared"/>
        <v>0</v>
      </c>
      <c r="AS157" s="295">
        <f si="222" t="shared"/>
        <v>9.8970315943244347E-2</v>
      </c>
      <c r="AT157" s="295">
        <f si="222" t="shared"/>
        <v>0</v>
      </c>
      <c r="AU157" s="295">
        <f si="222" t="shared"/>
        <v>0</v>
      </c>
      <c r="AV157" s="295">
        <f si="222" t="shared"/>
        <v>6.2630144430265277E-3</v>
      </c>
      <c r="CU157">
        <v>156</v>
      </c>
      <c r="CV157">
        <f si="220" t="shared"/>
        <v>8</v>
      </c>
      <c r="CW157">
        <f si="213" t="shared"/>
        <v>16</v>
      </c>
      <c r="CX157" s="355" t="str">
        <f si="214" t="shared"/>
        <v>8_16</v>
      </c>
      <c r="CY157" s="246">
        <f si="211" t="shared"/>
        <v>0</v>
      </c>
      <c r="CZ157" s="246">
        <f si="212" t="shared"/>
        <v>30.714285714285701</v>
      </c>
      <c r="DA157" s="246">
        <f si="215" t="shared"/>
        <v>0</v>
      </c>
      <c r="DB157" s="246">
        <f si="216" t="shared"/>
        <v>27.5</v>
      </c>
      <c r="DC157" s="301">
        <f si="217" t="shared"/>
        <v>27.5</v>
      </c>
      <c r="DD157" s="302">
        <f si="218" t="shared"/>
        <v>0</v>
      </c>
      <c r="DE157" s="357">
        <f si="219" t="shared"/>
        <v>0</v>
      </c>
    </row>
    <row r="158" spans="26:109" x14ac:dyDescent="0.25">
      <c r="Z158">
        <v>12</v>
      </c>
      <c r="AA158" s="295">
        <f si="222" t="shared"/>
        <v>24.925588090382767</v>
      </c>
      <c r="AB158" s="295">
        <f si="222" t="shared"/>
        <v>0</v>
      </c>
      <c r="AC158" s="295">
        <f si="222" t="shared"/>
        <v>0.16054716220551296</v>
      </c>
      <c r="AD158" s="295">
        <f si="222" t="shared"/>
        <v>0</v>
      </c>
      <c r="AE158" s="295">
        <f si="222" t="shared"/>
        <v>1.2233320821088955</v>
      </c>
      <c r="AF158" s="295">
        <f si="222" t="shared"/>
        <v>0.51598452601002576</v>
      </c>
      <c r="AG158" s="295">
        <f si="222" t="shared"/>
        <v>0.22269381858169729</v>
      </c>
      <c r="AH158" s="295">
        <f si="222" t="shared"/>
        <v>0</v>
      </c>
      <c r="AI158" s="295">
        <f si="222" t="shared"/>
        <v>9.5047480961964539E-2</v>
      </c>
      <c r="AJ158" s="295">
        <f si="222" t="shared"/>
        <v>4.3424259542280005E-2</v>
      </c>
      <c r="AK158" s="295">
        <f si="222" t="shared"/>
        <v>0</v>
      </c>
      <c r="AL158" s="295">
        <f si="222" t="shared"/>
        <v>6.6932015107462314E-2</v>
      </c>
      <c r="AM158" s="295">
        <f si="222" t="shared"/>
        <v>59.934727203222245</v>
      </c>
      <c r="AN158" s="295">
        <f si="222" t="shared"/>
        <v>0</v>
      </c>
      <c r="AO158" s="295">
        <f si="222" t="shared"/>
        <v>0</v>
      </c>
      <c r="AP158" s="295">
        <f si="222" t="shared"/>
        <v>0.13623819335458695</v>
      </c>
      <c r="AQ158" s="295">
        <f si="222" t="shared"/>
        <v>0</v>
      </c>
      <c r="AR158" s="295">
        <f si="222" t="shared"/>
        <v>0.21440735632786997</v>
      </c>
      <c r="AS158" s="295">
        <f si="222" t="shared"/>
        <v>4.3395639126568497</v>
      </c>
      <c r="AT158" s="295">
        <f si="222" t="shared"/>
        <v>0</v>
      </c>
      <c r="AU158" s="295">
        <f si="222" t="shared"/>
        <v>0</v>
      </c>
      <c r="AV158" s="295">
        <f si="222" t="shared"/>
        <v>2.6438429727149392E-2</v>
      </c>
      <c r="CU158">
        <v>157</v>
      </c>
      <c r="CV158">
        <f si="220" t="shared"/>
        <v>8</v>
      </c>
      <c r="CW158">
        <f si="213" t="shared"/>
        <v>17</v>
      </c>
      <c r="CX158" s="355" t="str">
        <f si="214" t="shared"/>
        <v>8_17</v>
      </c>
      <c r="CY158" s="246">
        <f si="211" t="shared"/>
        <v>0</v>
      </c>
      <c r="CZ158" s="246">
        <f si="212" t="shared"/>
        <v>88.428571428571402</v>
      </c>
      <c r="DA158" s="246">
        <f si="215" t="shared"/>
        <v>0</v>
      </c>
      <c r="DB158" s="246">
        <f si="216" t="shared"/>
        <v>91.821428571428555</v>
      </c>
      <c r="DC158" s="301">
        <f si="217" t="shared"/>
        <v>91.821428571428555</v>
      </c>
      <c r="DD158" s="302">
        <f si="218" t="shared"/>
        <v>0</v>
      </c>
      <c r="DE158" s="357">
        <f si="219" t="shared"/>
        <v>0</v>
      </c>
    </row>
    <row r="159" spans="26:109" x14ac:dyDescent="0.25">
      <c r="Z159">
        <v>13</v>
      </c>
      <c r="AA159" s="295">
        <f si="222" t="shared"/>
        <v>0.68334590941254403</v>
      </c>
      <c r="AB159" s="295">
        <f si="222" t="shared"/>
        <v>12.167830748311445</v>
      </c>
      <c r="AC159" s="295">
        <f si="222" t="shared"/>
        <v>0.70837611574175929</v>
      </c>
      <c r="AD159" s="295">
        <f si="222" t="shared"/>
        <v>0.83572366944250875</v>
      </c>
      <c r="AE159" s="295">
        <f si="222" t="shared"/>
        <v>0.77529093296647866</v>
      </c>
      <c r="AF159" s="295">
        <f si="222" t="shared"/>
        <v>0.74779211128851242</v>
      </c>
      <c r="AG159" s="295">
        <f si="222" t="shared"/>
        <v>0.25101879351865736</v>
      </c>
      <c r="AH159" s="295">
        <f si="222" t="shared"/>
        <v>0.8936311198143515</v>
      </c>
      <c r="AI159" s="295">
        <f si="222" t="shared"/>
        <v>0.35950465190837338</v>
      </c>
      <c r="AJ159" s="295">
        <f si="222" t="shared"/>
        <v>0.78031333579340212</v>
      </c>
      <c r="AK159" s="295">
        <f si="222" t="shared"/>
        <v>0</v>
      </c>
      <c r="AL159" s="295">
        <f si="222" t="shared"/>
        <v>0</v>
      </c>
      <c r="AM159" s="295">
        <f si="222" t="shared"/>
        <v>5.0737652629857896E-2</v>
      </c>
      <c r="AN159" s="295">
        <f ref="AN159:AV159" si="223" t="shared">ABS(AN133)</f>
        <v>0.80420931838074117</v>
      </c>
      <c r="AO159" s="295">
        <f si="223" t="shared"/>
        <v>0.12835146534305011</v>
      </c>
      <c r="AP159" s="295">
        <f si="223" t="shared"/>
        <v>0</v>
      </c>
      <c r="AQ159" s="295">
        <f si="223" t="shared"/>
        <v>0</v>
      </c>
      <c r="AR159" s="295">
        <f si="223" t="shared"/>
        <v>0.16084530556831184</v>
      </c>
      <c r="AS159" s="295">
        <f si="223" t="shared"/>
        <v>0</v>
      </c>
      <c r="AT159" s="295">
        <f si="223" t="shared"/>
        <v>0</v>
      </c>
      <c r="AU159" s="295">
        <f si="223" t="shared"/>
        <v>0</v>
      </c>
      <c r="AV159" s="295">
        <f si="223" t="shared"/>
        <v>4.981375215546819E-2</v>
      </c>
      <c r="CU159">
        <v>158</v>
      </c>
      <c r="CV159">
        <f si="220" t="shared"/>
        <v>8</v>
      </c>
      <c r="CW159">
        <f si="213" t="shared"/>
        <v>18</v>
      </c>
      <c r="CX159" s="355" t="str">
        <f si="214" t="shared"/>
        <v>8_18</v>
      </c>
      <c r="CY159" s="246">
        <f si="211" t="shared"/>
        <v>0</v>
      </c>
      <c r="CZ159" s="246">
        <f si="212" t="shared"/>
        <v>8.5</v>
      </c>
      <c r="DA159" s="246">
        <f si="215" t="shared"/>
        <v>0</v>
      </c>
      <c r="DB159" s="246">
        <f si="216" t="shared"/>
        <v>6.6785714285714306</v>
      </c>
      <c r="DC159" s="301">
        <f si="217" t="shared"/>
        <v>6.6785714285714306</v>
      </c>
      <c r="DD159" s="302">
        <f si="218" t="shared"/>
        <v>0</v>
      </c>
      <c r="DE159" s="357">
        <f si="219" t="shared"/>
        <v>0</v>
      </c>
    </row>
    <row r="160" spans="26:109" x14ac:dyDescent="0.25">
      <c r="Z160">
        <v>14</v>
      </c>
      <c r="AA160" s="295">
        <f ref="AA160:AV168" si="224" t="shared">ABS(AA134)</f>
        <v>0</v>
      </c>
      <c r="AB160" s="295">
        <f si="224" t="shared"/>
        <v>0</v>
      </c>
      <c r="AC160" s="295">
        <f si="224" t="shared"/>
        <v>0</v>
      </c>
      <c r="AD160" s="295">
        <f si="224" t="shared"/>
        <v>0</v>
      </c>
      <c r="AE160" s="295">
        <f si="224" t="shared"/>
        <v>1.9780464247126401</v>
      </c>
      <c r="AF160" s="295">
        <f si="224" t="shared"/>
        <v>0</v>
      </c>
      <c r="AG160" s="295">
        <f si="224" t="shared"/>
        <v>0</v>
      </c>
      <c r="AH160" s="295">
        <f si="224" t="shared"/>
        <v>0.25704109298892575</v>
      </c>
      <c r="AI160" s="295">
        <f si="224" t="shared"/>
        <v>0</v>
      </c>
      <c r="AJ160" s="295">
        <f si="224" t="shared"/>
        <v>0.84797931288546435</v>
      </c>
      <c r="AK160" s="295">
        <f si="224" t="shared"/>
        <v>0</v>
      </c>
      <c r="AL160" s="295">
        <f si="224" t="shared"/>
        <v>0</v>
      </c>
      <c r="AM160" s="295">
        <f si="224" t="shared"/>
        <v>0.75358147295738298</v>
      </c>
      <c r="AN160" s="295">
        <f si="224" t="shared"/>
        <v>0.18551178820680594</v>
      </c>
      <c r="AO160" s="295">
        <f si="224" t="shared"/>
        <v>0</v>
      </c>
      <c r="AP160" s="295">
        <f si="224" t="shared"/>
        <v>0.42650228265554824</v>
      </c>
      <c r="AQ160" s="295">
        <f si="224" t="shared"/>
        <v>0.23912884202001281</v>
      </c>
      <c r="AR160" s="295">
        <f si="224" t="shared"/>
        <v>0</v>
      </c>
      <c r="AS160" s="295">
        <f si="224" t="shared"/>
        <v>0</v>
      </c>
      <c r="AT160" s="295">
        <f si="224" t="shared"/>
        <v>0</v>
      </c>
      <c r="AU160" s="295">
        <f si="224" t="shared"/>
        <v>0</v>
      </c>
      <c r="AV160" s="295">
        <f si="224" t="shared"/>
        <v>8.4623717996972735E-3</v>
      </c>
      <c r="CU160">
        <v>159</v>
      </c>
      <c r="CV160">
        <f si="220" t="shared"/>
        <v>8</v>
      </c>
      <c r="CW160">
        <f si="213" t="shared"/>
        <v>19</v>
      </c>
      <c r="CX160" s="355" t="str">
        <f si="214" t="shared"/>
        <v>8_19</v>
      </c>
      <c r="CY160" s="246">
        <f si="211" t="shared"/>
        <v>131.15183260195323</v>
      </c>
      <c r="CZ160" s="246">
        <f si="212" t="shared"/>
        <v>96.071428571428598</v>
      </c>
      <c r="DA160" s="246">
        <f si="215" t="shared"/>
        <v>136.59510412736483</v>
      </c>
      <c r="DB160" s="246">
        <f si="216" t="shared"/>
        <v>88.357142857142847</v>
      </c>
      <c r="DC160" s="301">
        <f si="217" t="shared"/>
        <v>-48.237961270221987</v>
      </c>
      <c r="DD160" s="302">
        <f si="218" t="shared"/>
        <v>-0.36780241886992576</v>
      </c>
      <c r="DE160" s="357">
        <f si="219" t="shared"/>
        <v>1.5459429731472174</v>
      </c>
    </row>
    <row r="161" spans="26:109" x14ac:dyDescent="0.25">
      <c r="Z161">
        <v>15</v>
      </c>
      <c r="AA161" s="295">
        <f si="224" t="shared"/>
        <v>1.4255218396831342</v>
      </c>
      <c r="AB161" s="295">
        <f si="224" t="shared"/>
        <v>6.0132859968994081</v>
      </c>
      <c r="AC161" s="295">
        <f si="224" t="shared"/>
        <v>0.64272225537659688</v>
      </c>
      <c r="AD161" s="295">
        <f si="224" t="shared"/>
        <v>0.91999157633742301</v>
      </c>
      <c r="AE161" s="295">
        <f si="224" t="shared"/>
        <v>2.1134532232141328</v>
      </c>
      <c r="AF161" s="295">
        <f si="224" t="shared"/>
        <v>0</v>
      </c>
      <c r="AG161" s="295">
        <f si="224" t="shared"/>
        <v>0</v>
      </c>
      <c r="AH161" s="295">
        <f si="224" t="shared"/>
        <v>0.327380991322127</v>
      </c>
      <c r="AI161" s="295">
        <f si="224" t="shared"/>
        <v>0.16097378118145533</v>
      </c>
      <c r="AJ161" s="295">
        <f si="224" t="shared"/>
        <v>0.30908265577641564</v>
      </c>
      <c r="AK161" s="295">
        <f si="224" t="shared"/>
        <v>0</v>
      </c>
      <c r="AL161" s="295">
        <f si="224" t="shared"/>
        <v>0</v>
      </c>
      <c r="AM161" s="295">
        <f si="224" t="shared"/>
        <v>0.13606862888195184</v>
      </c>
      <c r="AN161" s="295">
        <f si="224" t="shared"/>
        <v>0</v>
      </c>
      <c r="AO161" s="295">
        <f si="224" t="shared"/>
        <v>0.10813629417150833</v>
      </c>
      <c r="AP161" s="295">
        <f si="224" t="shared"/>
        <v>2.6111586895952239E-2</v>
      </c>
      <c r="AQ161" s="295">
        <f si="224" t="shared"/>
        <v>0</v>
      </c>
      <c r="AR161" s="295">
        <f si="224" t="shared"/>
        <v>0.79791434063266897</v>
      </c>
      <c r="AS161" s="295">
        <f si="224" t="shared"/>
        <v>0</v>
      </c>
      <c r="AT161" s="295">
        <f si="224" t="shared"/>
        <v>0</v>
      </c>
      <c r="AU161" s="295">
        <f si="224" t="shared"/>
        <v>0</v>
      </c>
      <c r="AV161" s="295">
        <f si="224" t="shared"/>
        <v>2.3886603330035477E-2</v>
      </c>
      <c r="CU161">
        <v>160</v>
      </c>
      <c r="CV161">
        <f si="220" t="shared"/>
        <v>8</v>
      </c>
      <c r="CW161">
        <f si="213" t="shared"/>
        <v>20</v>
      </c>
      <c r="CX161" s="355" t="str">
        <f si="214" t="shared"/>
        <v>8_20</v>
      </c>
      <c r="CY161" s="246">
        <f si="211" t="shared"/>
        <v>0</v>
      </c>
      <c r="CZ161" s="246">
        <f si="212" t="shared"/>
        <v>2.28571428571429</v>
      </c>
      <c r="DA161" s="246">
        <f si="215" t="shared"/>
        <v>0</v>
      </c>
      <c r="DB161" s="246">
        <f si="216" t="shared"/>
        <v>1.892857142857145</v>
      </c>
      <c r="DC161" s="301">
        <f si="217" t="shared"/>
        <v>1.892857142857145</v>
      </c>
      <c r="DD161" s="302">
        <f si="218" t="shared"/>
        <v>0</v>
      </c>
      <c r="DE161" s="357">
        <f si="219" t="shared"/>
        <v>0</v>
      </c>
    </row>
    <row r="162" spans="26:109" x14ac:dyDescent="0.25">
      <c r="Z162">
        <v>16</v>
      </c>
      <c r="AA162" s="295">
        <f si="224" t="shared"/>
        <v>0.94546593651369193</v>
      </c>
      <c r="AB162" s="295">
        <f si="224" t="shared"/>
        <v>0.27983239568595381</v>
      </c>
      <c r="AC162" s="295">
        <f si="224" t="shared"/>
        <v>2.1054427119183616</v>
      </c>
      <c r="AD162" s="295">
        <f si="224" t="shared"/>
        <v>1.132662277089507</v>
      </c>
      <c r="AE162" s="295">
        <f si="224" t="shared"/>
        <v>0.34375640675531649</v>
      </c>
      <c r="AF162" s="295">
        <f si="224" t="shared"/>
        <v>0.18843339367058212</v>
      </c>
      <c r="AG162" s="295">
        <f si="224" t="shared"/>
        <v>0</v>
      </c>
      <c r="AH162" s="295">
        <f si="224" t="shared"/>
        <v>0</v>
      </c>
      <c r="AI162" s="295">
        <f si="224" t="shared"/>
        <v>0.53708522093706323</v>
      </c>
      <c r="AJ162" s="295">
        <f si="224" t="shared"/>
        <v>0.26729287866568824</v>
      </c>
      <c r="AK162" s="295">
        <f si="224" t="shared"/>
        <v>0.25331046317580808</v>
      </c>
      <c r="AL162" s="295">
        <f si="224" t="shared"/>
        <v>0.17997621467336303</v>
      </c>
      <c r="AM162" s="295">
        <f si="224" t="shared"/>
        <v>0</v>
      </c>
      <c r="AN162" s="295">
        <f si="224" t="shared"/>
        <v>0.41580571438883107</v>
      </c>
      <c r="AO162" s="295">
        <f si="224" t="shared"/>
        <v>0.23735772772510449</v>
      </c>
      <c r="AP162" s="295">
        <f si="224" t="shared"/>
        <v>0.14297052765421228</v>
      </c>
      <c r="AQ162" s="295">
        <f si="224" t="shared"/>
        <v>0</v>
      </c>
      <c r="AR162" s="295">
        <f si="224" t="shared"/>
        <v>0.33552367126434446</v>
      </c>
      <c r="AS162" s="295">
        <f si="224" t="shared"/>
        <v>0</v>
      </c>
      <c r="AT162" s="295">
        <f si="224" t="shared"/>
        <v>0</v>
      </c>
      <c r="AU162" s="295">
        <f si="224" t="shared"/>
        <v>0</v>
      </c>
      <c r="AV162" s="295">
        <f si="224" t="shared"/>
        <v>0.11342119210626751</v>
      </c>
      <c r="CU162">
        <v>161</v>
      </c>
      <c r="CV162">
        <f si="220" t="shared"/>
        <v>9</v>
      </c>
      <c r="CW162">
        <f si="213" t="shared"/>
        <v>1</v>
      </c>
      <c r="CX162" s="355" t="str">
        <f si="214" t="shared"/>
        <v>1_9</v>
      </c>
      <c r="CY162" s="246">
        <f si="211" t="shared"/>
        <v>3347.4708335368227</v>
      </c>
      <c r="CZ162" s="246">
        <f si="212" t="shared"/>
        <v>4330.2142857142899</v>
      </c>
      <c r="DA162" s="246">
        <f si="215" t="shared"/>
        <v>3417.3618014727163</v>
      </c>
      <c r="DB162" s="246">
        <f si="216" t="shared"/>
        <v>4648.5357142857156</v>
      </c>
      <c r="DC162" s="301">
        <f si="217" t="shared"/>
        <v>1231.1739128129993</v>
      </c>
      <c r="DD162" s="302">
        <f si="218" t="shared"/>
        <v>0.3677922748357999</v>
      </c>
      <c r="DE162" s="357">
        <f si="219" t="shared"/>
        <v>0.73514801466849033</v>
      </c>
    </row>
    <row r="163" spans="26:109" x14ac:dyDescent="0.25">
      <c r="Z163">
        <v>17</v>
      </c>
      <c r="AA163" s="295">
        <f si="224" t="shared"/>
        <v>0</v>
      </c>
      <c r="AB163" s="295">
        <f si="224" t="shared"/>
        <v>0</v>
      </c>
      <c r="AC163" s="295">
        <f si="224" t="shared"/>
        <v>0</v>
      </c>
      <c r="AD163" s="295">
        <f si="224" t="shared"/>
        <v>0</v>
      </c>
      <c r="AE163" s="295">
        <f si="224" t="shared"/>
        <v>7.7890208978315947</v>
      </c>
      <c r="AF163" s="295">
        <f si="224" t="shared"/>
        <v>0</v>
      </c>
      <c r="AG163" s="295">
        <f si="224" t="shared"/>
        <v>0</v>
      </c>
      <c r="AH163" s="295">
        <f si="224" t="shared"/>
        <v>0</v>
      </c>
      <c r="AI163" s="295">
        <f si="224" t="shared"/>
        <v>0</v>
      </c>
      <c r="AJ163" s="295">
        <f si="224" t="shared"/>
        <v>0</v>
      </c>
      <c r="AK163" s="295">
        <f si="224" t="shared"/>
        <v>0.15512237021953332</v>
      </c>
      <c r="AL163" s="295">
        <f si="224" t="shared"/>
        <v>0</v>
      </c>
      <c r="AM163" s="295">
        <f si="224" t="shared"/>
        <v>0</v>
      </c>
      <c r="AN163" s="295">
        <f si="224" t="shared"/>
        <v>0.19644172210476807</v>
      </c>
      <c r="AO163" s="295">
        <f si="224" t="shared"/>
        <v>0</v>
      </c>
      <c r="AP163" s="295">
        <f si="224" t="shared"/>
        <v>0</v>
      </c>
      <c r="AQ163" s="295">
        <f si="224" t="shared"/>
        <v>0.25329517207971525</v>
      </c>
      <c r="AR163" s="295">
        <f si="224" t="shared"/>
        <v>0</v>
      </c>
      <c r="AS163" s="295">
        <f si="224" t="shared"/>
        <v>0.65003101194677748</v>
      </c>
      <c r="AT163" s="295">
        <f si="224" t="shared"/>
        <v>0</v>
      </c>
      <c r="AU163" s="295">
        <f si="224" t="shared"/>
        <v>0</v>
      </c>
      <c r="AV163" s="295">
        <f si="224" t="shared"/>
        <v>1.433921212138255E-2</v>
      </c>
      <c r="CU163">
        <v>162</v>
      </c>
      <c r="CV163">
        <f si="220" t="shared"/>
        <v>9</v>
      </c>
      <c r="CW163">
        <f si="213" t="shared"/>
        <v>2</v>
      </c>
      <c r="CX163" s="355" t="str">
        <f si="214" t="shared"/>
        <v>2_9</v>
      </c>
      <c r="CY163" s="246">
        <f si="211" t="shared"/>
        <v>4299.8847187288393</v>
      </c>
      <c r="CZ163" s="246">
        <f si="212" t="shared"/>
        <v>6576.2857142857101</v>
      </c>
      <c r="DA163" s="246">
        <f si="215" t="shared"/>
        <v>4328.1454438838973</v>
      </c>
      <c r="DB163" s="246">
        <f si="216" t="shared"/>
        <v>6978.2857142857101</v>
      </c>
      <c r="DC163" s="301">
        <f si="217" t="shared"/>
        <v>2650.1402704018128</v>
      </c>
      <c r="DD163" s="302">
        <f si="218" t="shared"/>
        <v>0.61632821430274642</v>
      </c>
      <c r="DE163" s="357">
        <f si="219" t="shared"/>
        <v>0.62023047222378191</v>
      </c>
    </row>
    <row r="164" spans="26:109" x14ac:dyDescent="0.25">
      <c r="Z164">
        <v>18</v>
      </c>
      <c r="AA164" s="295">
        <f si="224" t="shared"/>
        <v>4.2373544276631439</v>
      </c>
      <c r="AB164" s="295">
        <f si="224" t="shared"/>
        <v>0</v>
      </c>
      <c r="AC164" s="295">
        <f si="224" t="shared"/>
        <v>0.653364218033749</v>
      </c>
      <c r="AD164" s="295">
        <f si="224" t="shared"/>
        <v>0</v>
      </c>
      <c r="AE164" s="295">
        <f si="224" t="shared"/>
        <v>2.5366278606238724</v>
      </c>
      <c r="AF164" s="295">
        <f si="224" t="shared"/>
        <v>0</v>
      </c>
      <c r="AG164" s="295">
        <f si="224" t="shared"/>
        <v>0.24052745509683843</v>
      </c>
      <c r="AH164" s="295">
        <f si="224" t="shared"/>
        <v>0</v>
      </c>
      <c r="AI164" s="295">
        <f si="224" t="shared"/>
        <v>0</v>
      </c>
      <c r="AJ164" s="295">
        <f si="224" t="shared"/>
        <v>148.78781143907418</v>
      </c>
      <c r="AK164" s="295">
        <f si="224" t="shared"/>
        <v>0</v>
      </c>
      <c r="AL164" s="295">
        <f si="224" t="shared"/>
        <v>0.2519968478383417</v>
      </c>
      <c r="AM164" s="295">
        <f si="224" t="shared"/>
        <v>0.13779425813033183</v>
      </c>
      <c r="AN164" s="295">
        <f si="224" t="shared"/>
        <v>0</v>
      </c>
      <c r="AO164" s="295">
        <f si="224" t="shared"/>
        <v>0.58180591091702949</v>
      </c>
      <c r="AP164" s="295">
        <f si="224" t="shared"/>
        <v>0.43030995854462634</v>
      </c>
      <c r="AQ164" s="295">
        <f si="224" t="shared"/>
        <v>0</v>
      </c>
      <c r="AR164" s="295">
        <f si="224" t="shared"/>
        <v>3.0545900255728705E-3</v>
      </c>
      <c r="AS164" s="295">
        <f si="224" t="shared"/>
        <v>0.74844361582167784</v>
      </c>
      <c r="AT164" s="295">
        <f si="224" t="shared"/>
        <v>5.8579039937103512E-2</v>
      </c>
      <c r="AU164" s="295">
        <f si="224" t="shared"/>
        <v>0</v>
      </c>
      <c r="AV164" s="295">
        <f si="224" t="shared"/>
        <v>1.6906026991080256E-3</v>
      </c>
      <c r="CU164">
        <v>163</v>
      </c>
      <c r="CV164">
        <f si="220" t="shared"/>
        <v>9</v>
      </c>
      <c r="CW164">
        <f si="213" t="shared"/>
        <v>3</v>
      </c>
      <c r="CX164" s="355" t="str">
        <f si="214" t="shared"/>
        <v>3_9</v>
      </c>
      <c r="CY164" s="246">
        <f si="211" t="shared"/>
        <v>5484.6474958636045</v>
      </c>
      <c r="CZ164" s="246">
        <f si="212" t="shared"/>
        <v>4204.7857142857101</v>
      </c>
      <c r="DA164" s="246">
        <f si="215" t="shared"/>
        <v>5569.6057637397207</v>
      </c>
      <c r="DB164" s="246">
        <f si="216" t="shared"/>
        <v>4240.6071428571395</v>
      </c>
      <c r="DC164" s="301">
        <f si="217" t="shared"/>
        <v>-1328.9986208825812</v>
      </c>
      <c r="DD164" s="302">
        <f si="218" t="shared"/>
        <v>-0.24231249535815777</v>
      </c>
      <c r="DE164" s="357">
        <f si="219" t="shared"/>
        <v>1.3133981941998898</v>
      </c>
    </row>
    <row r="165" spans="26:109" x14ac:dyDescent="0.25">
      <c r="Z165">
        <v>19</v>
      </c>
      <c r="AA165" s="295">
        <f si="224" t="shared"/>
        <v>1.8592835327586472</v>
      </c>
      <c r="AB165" s="295">
        <f si="224" t="shared"/>
        <v>7.6227058654547514E-2</v>
      </c>
      <c r="AC165" s="295">
        <f si="224" t="shared"/>
        <v>1.4844967453282472</v>
      </c>
      <c r="AD165" s="295">
        <f si="224" t="shared"/>
        <v>1.4851886016319056</v>
      </c>
      <c r="AE165" s="295">
        <f si="224" t="shared"/>
        <v>1.1617097543909132</v>
      </c>
      <c r="AF165" s="295">
        <f si="224" t="shared"/>
        <v>5.4934296100791286E-2</v>
      </c>
      <c r="AG165" s="295">
        <f si="224" t="shared"/>
        <v>0</v>
      </c>
      <c r="AH165" s="295">
        <f si="224" t="shared"/>
        <v>0.43224599146364023</v>
      </c>
      <c r="AI165" s="295">
        <f si="224" t="shared"/>
        <v>1.9963417316030723</v>
      </c>
      <c r="AJ165" s="295">
        <f si="224" t="shared"/>
        <v>0</v>
      </c>
      <c r="AK165" s="295">
        <f si="224" t="shared"/>
        <v>8.9865151649677247E-2</v>
      </c>
      <c r="AL165" s="295">
        <f si="224" t="shared"/>
        <v>5.1969233667213937</v>
      </c>
      <c r="AM165" s="295">
        <f si="224" t="shared"/>
        <v>0</v>
      </c>
      <c r="AN165" s="295">
        <f si="224" t="shared"/>
        <v>0</v>
      </c>
      <c r="AO165" s="295">
        <f si="224" t="shared"/>
        <v>0</v>
      </c>
      <c r="AP165" s="295">
        <f si="224" t="shared"/>
        <v>0</v>
      </c>
      <c r="AQ165" s="295">
        <f si="224" t="shared"/>
        <v>0.60009690382932734</v>
      </c>
      <c r="AR165" s="295">
        <f si="224" t="shared"/>
        <v>0.77412732831760933</v>
      </c>
      <c r="AS165" s="295">
        <f si="224" t="shared"/>
        <v>3.3698297788516428E-2</v>
      </c>
      <c r="AT165" s="295">
        <f si="224" t="shared"/>
        <v>0</v>
      </c>
      <c r="AU165" s="295">
        <f si="224" t="shared"/>
        <v>0</v>
      </c>
      <c r="AV165" s="295">
        <f si="224" t="shared"/>
        <v>4.8632459059180018E-2</v>
      </c>
      <c r="CU165">
        <v>164</v>
      </c>
      <c r="CV165">
        <f si="220" t="shared"/>
        <v>9</v>
      </c>
      <c r="CW165">
        <f si="213" t="shared"/>
        <v>4</v>
      </c>
      <c r="CX165" s="355" t="str">
        <f si="214" t="shared"/>
        <v>4_9</v>
      </c>
      <c r="CY165" s="246">
        <f si="211" t="shared"/>
        <v>1008.8853741920038</v>
      </c>
      <c r="CZ165" s="246">
        <f si="212" t="shared"/>
        <v>872.357142857143</v>
      </c>
      <c r="DA165" s="246">
        <f si="215" t="shared"/>
        <v>1005.9592926897194</v>
      </c>
      <c r="DB165" s="246">
        <f si="216" t="shared"/>
        <v>884.57142857142844</v>
      </c>
      <c r="DC165" s="301">
        <f si="217" t="shared"/>
        <v>-121.38786411829096</v>
      </c>
      <c r="DD165" s="302">
        <f si="218" t="shared"/>
        <v>-0.12031878667634377</v>
      </c>
      <c r="DE165" s="357">
        <f si="219" t="shared"/>
        <v>1.1372278825626674</v>
      </c>
    </row>
    <row r="166" spans="26:109" x14ac:dyDescent="0.25">
      <c r="Z166">
        <v>20</v>
      </c>
      <c r="AA166" s="295">
        <f si="224" t="shared"/>
        <v>0</v>
      </c>
      <c r="AB166" s="295">
        <f si="224" t="shared"/>
        <v>0</v>
      </c>
      <c r="AC166" s="295">
        <f si="224" t="shared"/>
        <v>0</v>
      </c>
      <c r="AD166" s="295">
        <f si="224" t="shared"/>
        <v>0</v>
      </c>
      <c r="AE166" s="295">
        <f si="224" t="shared"/>
        <v>0</v>
      </c>
      <c r="AF166" s="295">
        <f si="224" t="shared"/>
        <v>0</v>
      </c>
      <c r="AG166" s="295">
        <f si="224" t="shared"/>
        <v>0</v>
      </c>
      <c r="AH166" s="295">
        <f si="224" t="shared"/>
        <v>0</v>
      </c>
      <c r="AI166" s="295">
        <f si="224" t="shared"/>
        <v>0</v>
      </c>
      <c r="AJ166" s="295">
        <f si="224" t="shared"/>
        <v>0</v>
      </c>
      <c r="AK166" s="295">
        <f si="224" t="shared"/>
        <v>0</v>
      </c>
      <c r="AL166" s="295">
        <f si="224" t="shared"/>
        <v>0</v>
      </c>
      <c r="AM166" s="295">
        <f si="224" t="shared"/>
        <v>0</v>
      </c>
      <c r="AN166" s="295">
        <f si="224" t="shared"/>
        <v>0</v>
      </c>
      <c r="AO166" s="295">
        <f si="224" t="shared"/>
        <v>0</v>
      </c>
      <c r="AP166" s="295">
        <f si="224" t="shared"/>
        <v>0</v>
      </c>
      <c r="AQ166" s="295">
        <f si="224" t="shared"/>
        <v>0</v>
      </c>
      <c r="AR166" s="295">
        <f si="224" t="shared"/>
        <v>7.5213040790408928E-2</v>
      </c>
      <c r="AS166" s="295">
        <f si="224" t="shared"/>
        <v>0</v>
      </c>
      <c r="AT166" s="295">
        <f si="224" t="shared"/>
        <v>3.1559804461702486E-2</v>
      </c>
      <c r="AU166" s="295">
        <f si="224" t="shared"/>
        <v>0</v>
      </c>
      <c r="AV166" s="295">
        <f si="224" t="shared"/>
        <v>4.4273949507005021E-2</v>
      </c>
      <c r="CU166">
        <v>165</v>
      </c>
      <c r="CV166">
        <f si="220" t="shared"/>
        <v>9</v>
      </c>
      <c r="CW166">
        <f si="213" t="shared"/>
        <v>5</v>
      </c>
      <c r="CX166" s="355" t="str">
        <f si="214" t="shared"/>
        <v>5_9</v>
      </c>
      <c r="CY166" s="246">
        <f si="211" t="shared"/>
        <v>992.75379733949001</v>
      </c>
      <c r="CZ166" s="246">
        <f si="212" t="shared"/>
        <v>908.92857142857099</v>
      </c>
      <c r="DA166" s="246">
        <f si="215" t="shared"/>
        <v>999.56918493342914</v>
      </c>
      <c r="DB166" s="246">
        <f si="216" t="shared"/>
        <v>953.5</v>
      </c>
      <c r="DC166" s="301">
        <f si="217" t="shared"/>
        <v>-46.069184933429142</v>
      </c>
      <c r="DD166" s="302">
        <f si="218" t="shared"/>
        <v>-4.6405448215752286E-2</v>
      </c>
      <c r="DE166" s="357">
        <f si="219" t="shared"/>
        <v>1.0483158730292912</v>
      </c>
    </row>
    <row r="167" spans="26:109" x14ac:dyDescent="0.25">
      <c r="Z167" s="291" t="s">
        <v>13</v>
      </c>
      <c r="AA167" s="296">
        <f si="224" t="shared"/>
        <v>0</v>
      </c>
      <c r="AB167" s="296">
        <f si="224" t="shared"/>
        <v>0</v>
      </c>
      <c r="AC167" s="296">
        <f si="224" t="shared"/>
        <v>0</v>
      </c>
      <c r="AD167" s="296">
        <f si="224" t="shared"/>
        <v>0</v>
      </c>
      <c r="AE167" s="296">
        <f si="224" t="shared"/>
        <v>0</v>
      </c>
      <c r="AF167" s="296">
        <f si="224" t="shared"/>
        <v>0</v>
      </c>
      <c r="AG167" s="296">
        <f si="224" t="shared"/>
        <v>0</v>
      </c>
      <c r="AH167" s="296">
        <f si="224" t="shared"/>
        <v>0</v>
      </c>
      <c r="AI167" s="296">
        <f si="224" t="shared"/>
        <v>0</v>
      </c>
      <c r="AJ167" s="296">
        <f si="224" t="shared"/>
        <v>0</v>
      </c>
      <c r="AK167" s="296">
        <f si="224" t="shared"/>
        <v>0</v>
      </c>
      <c r="AL167" s="296">
        <f si="224" t="shared"/>
        <v>0</v>
      </c>
      <c r="AM167" s="296">
        <f si="224" t="shared"/>
        <v>0</v>
      </c>
      <c r="AN167" s="296">
        <f si="224" t="shared"/>
        <v>0</v>
      </c>
      <c r="AO167" s="296">
        <f si="224" t="shared"/>
        <v>0</v>
      </c>
      <c r="AP167" s="296">
        <f si="224" t="shared"/>
        <v>0</v>
      </c>
      <c r="AQ167" s="296">
        <f si="224" t="shared"/>
        <v>0</v>
      </c>
      <c r="AR167" s="296">
        <f si="224" t="shared"/>
        <v>0</v>
      </c>
      <c r="AS167" s="296">
        <f si="224" t="shared"/>
        <v>0</v>
      </c>
      <c r="AT167" s="296">
        <f si="224" t="shared"/>
        <v>0</v>
      </c>
      <c r="AU167" s="296">
        <f si="224" t="shared"/>
        <v>0</v>
      </c>
      <c r="AV167" s="296">
        <f si="224" t="shared"/>
        <v>0</v>
      </c>
      <c r="CU167">
        <v>166</v>
      </c>
      <c r="CV167">
        <f si="220" t="shared"/>
        <v>9</v>
      </c>
      <c r="CW167">
        <f si="213" t="shared"/>
        <v>6</v>
      </c>
      <c r="CX167" s="355" t="str">
        <f si="214" t="shared"/>
        <v>6_9</v>
      </c>
      <c r="CY167" s="246">
        <f si="211" t="shared"/>
        <v>2617.0510308156577</v>
      </c>
      <c r="CZ167" s="246">
        <f si="212" t="shared"/>
        <v>3390.5714285714298</v>
      </c>
      <c r="DA167" s="246">
        <f si="215" t="shared"/>
        <v>2644.9108329501487</v>
      </c>
      <c r="DB167" s="246">
        <f si="216" t="shared"/>
        <v>3624</v>
      </c>
      <c r="DC167" s="301">
        <f si="217" t="shared"/>
        <v>979.08916704985131</v>
      </c>
      <c r="DD167" s="302">
        <f si="218" t="shared"/>
        <v>0.37411924930814133</v>
      </c>
      <c r="DE167" s="357">
        <f si="219" t="shared"/>
        <v>0.72983190754695049</v>
      </c>
    </row>
    <row ht="15.75" r="168" spans="26:109" thickBot="1" x14ac:dyDescent="0.3">
      <c r="Z168" s="1" t="s">
        <v>4</v>
      </c>
      <c r="AA168" s="297">
        <f si="224" t="shared"/>
        <v>0.1804028545759053</v>
      </c>
      <c r="AB168" s="297">
        <f si="224" t="shared"/>
        <v>0.2232634428011325</v>
      </c>
      <c r="AC168" s="297">
        <f si="224" t="shared"/>
        <v>9.7225043692904842E-2</v>
      </c>
      <c r="AD168" s="297">
        <f si="224" t="shared"/>
        <v>7.7792686963515031E-2</v>
      </c>
      <c r="AE168" s="297">
        <f si="224" t="shared"/>
        <v>0.11880126900296904</v>
      </c>
      <c r="AF168" s="297">
        <f si="224" t="shared"/>
        <v>5.7736753868436914E-2</v>
      </c>
      <c r="AG168" s="297">
        <f si="224" t="shared"/>
        <v>2.7600508543608918E-2</v>
      </c>
      <c r="AH168" s="297">
        <f si="224" t="shared"/>
        <v>4.785833376922486E-3</v>
      </c>
      <c r="AI168" s="297">
        <f si="224" t="shared"/>
        <v>1.7328622863576185E-2</v>
      </c>
      <c r="AJ168" s="297">
        <f si="224" t="shared"/>
        <v>5.2289234094268451E-2</v>
      </c>
      <c r="AK168" s="297">
        <f si="224" t="shared"/>
        <v>1.7152918883160038E-2</v>
      </c>
      <c r="AL168" s="297">
        <f si="224" t="shared"/>
        <v>2.6595696100051202E-2</v>
      </c>
      <c r="AM168" s="297">
        <f si="224" t="shared"/>
        <v>4.8349519455178104E-2</v>
      </c>
      <c r="AN168" s="297">
        <f si="224" t="shared"/>
        <v>2.1271871630643653E-2</v>
      </c>
      <c r="AO168" s="297">
        <f si="224" t="shared"/>
        <v>2.1861777399746506E-2</v>
      </c>
      <c r="AP168" s="297">
        <f si="224" t="shared"/>
        <v>9.8661329672391912E-2</v>
      </c>
      <c r="AQ168" s="297">
        <f si="224" t="shared"/>
        <v>2.5257050862451742E-2</v>
      </c>
      <c r="AR168" s="297">
        <f si="224" t="shared"/>
        <v>1.1688310447475248E-2</v>
      </c>
      <c r="AS168" s="297">
        <f si="224" t="shared"/>
        <v>5.0975180545880704E-2</v>
      </c>
      <c r="AT168" s="297">
        <f si="224" t="shared"/>
        <v>4.723140347422615E-2</v>
      </c>
      <c r="AU168" s="297">
        <f si="224" t="shared"/>
        <v>0</v>
      </c>
      <c r="AV168" s="297">
        <f si="224" t="shared"/>
        <v>2.1098129286861123E-16</v>
      </c>
      <c r="CU168">
        <v>167</v>
      </c>
      <c r="CV168">
        <f si="220" t="shared"/>
        <v>9</v>
      </c>
      <c r="CW168">
        <f si="213" t="shared"/>
        <v>7</v>
      </c>
      <c r="CX168" s="355" t="str">
        <f si="214" t="shared"/>
        <v>7_9</v>
      </c>
      <c r="CY168" s="246">
        <f si="211" t="shared"/>
        <v>10397.013459863723</v>
      </c>
      <c r="CZ168" s="246">
        <f si="212" t="shared"/>
        <v>12620.642857142901</v>
      </c>
      <c r="DA168" s="246">
        <f si="215" t="shared"/>
        <v>10420.720313087035</v>
      </c>
      <c r="DB168" s="246">
        <f si="216" t="shared"/>
        <v>12722.428571428602</v>
      </c>
      <c r="DC168" s="301">
        <f si="217" t="shared"/>
        <v>2301.7082583415668</v>
      </c>
      <c r="DD168" s="302">
        <f si="218" t="shared"/>
        <v>0.22138167534619466</v>
      </c>
      <c r="DE168" s="357">
        <f si="219" t="shared"/>
        <v>0.81908263462287156</v>
      </c>
    </row>
    <row r="169" spans="26:109" x14ac:dyDescent="0.25">
      <c r="CU169">
        <v>168</v>
      </c>
      <c r="CV169">
        <f si="220" t="shared"/>
        <v>9</v>
      </c>
      <c r="CW169">
        <f si="213" t="shared"/>
        <v>8</v>
      </c>
      <c r="CX169" s="355" t="str">
        <f si="214" t="shared"/>
        <v>8_9</v>
      </c>
      <c r="CY169" s="246">
        <f si="211" t="shared"/>
        <v>167.99693361614067</v>
      </c>
      <c r="CZ169" s="246">
        <f si="212" t="shared"/>
        <v>216.357142857143</v>
      </c>
      <c r="DA169" s="246">
        <f si="215" t="shared"/>
        <v>165.71522282059146</v>
      </c>
      <c r="DB169" s="246">
        <f si="216" t="shared"/>
        <v>219.2857142857145</v>
      </c>
      <c r="DC169" s="301">
        <f si="217" t="shared"/>
        <v>53.570491465123041</v>
      </c>
      <c r="DD169" s="302">
        <f si="218" t="shared"/>
        <v>0.3188777932550082</v>
      </c>
      <c r="DE169" s="357">
        <f si="219" t="shared"/>
        <v>0.75570459918184962</v>
      </c>
    </row>
    <row r="170" spans="26:109" x14ac:dyDescent="0.25">
      <c r="CU170">
        <v>169</v>
      </c>
      <c r="CV170">
        <f si="220" t="shared"/>
        <v>9</v>
      </c>
      <c r="CW170">
        <f si="213" t="shared"/>
        <v>9</v>
      </c>
      <c r="CX170" s="355" t="str">
        <f si="214" t="shared"/>
        <v>9_9</v>
      </c>
      <c r="CY170" s="246">
        <f si="211" t="shared"/>
        <v>126590.27378328187</v>
      </c>
      <c r="CZ170" s="246">
        <f si="212" t="shared"/>
        <v>115539.928571429</v>
      </c>
      <c r="DA170" s="246">
        <f si="215" t="shared"/>
        <v>126590.27378328187</v>
      </c>
      <c r="DB170" s="246">
        <f si="216" t="shared"/>
        <v>115539.928571429</v>
      </c>
      <c r="DC170" s="301">
        <f si="217" t="shared"/>
        <v>-11050.345211852866</v>
      </c>
      <c r="DD170" s="302">
        <f si="218" t="shared"/>
        <v>-8.7292213545336603E-2</v>
      </c>
      <c r="DE170" s="357">
        <f si="219" t="shared"/>
        <v>1.0956409212683678</v>
      </c>
    </row>
    <row r="171" spans="26:109" x14ac:dyDescent="0.25">
      <c r="CU171">
        <v>170</v>
      </c>
      <c r="CV171">
        <f si="220" t="shared"/>
        <v>9</v>
      </c>
      <c r="CW171">
        <f si="213" t="shared"/>
        <v>10</v>
      </c>
      <c r="CX171" s="355" t="str">
        <f si="214" t="shared"/>
        <v>9_10</v>
      </c>
      <c r="CY171" s="246">
        <f si="211" t="shared"/>
        <v>796.04151230517311</v>
      </c>
      <c r="CZ171" s="246">
        <f si="212" t="shared"/>
        <v>475.28571428571399</v>
      </c>
      <c r="DA171" s="246">
        <f si="215" t="shared"/>
        <v>801.99470565555396</v>
      </c>
      <c r="DB171" s="246">
        <f si="216" t="shared"/>
        <v>493.0714285714285</v>
      </c>
      <c r="DC171" s="301">
        <f si="217" t="shared"/>
        <v>-308.92327708412546</v>
      </c>
      <c r="DD171" s="302">
        <f si="218" t="shared"/>
        <v>-0.38807433068351793</v>
      </c>
      <c r="DE171" s="357">
        <f si="219" t="shared"/>
        <v>1.6265284483815381</v>
      </c>
    </row>
    <row r="172" spans="26:109" x14ac:dyDescent="0.25">
      <c r="CU172">
        <v>171</v>
      </c>
      <c r="CV172">
        <f si="220" t="shared"/>
        <v>9</v>
      </c>
      <c r="CW172">
        <f si="213" t="shared"/>
        <v>11</v>
      </c>
      <c r="CX172" s="355" t="str">
        <f si="214" t="shared"/>
        <v>9_11</v>
      </c>
      <c r="CY172" s="246">
        <f si="211" t="shared"/>
        <v>8066.7476346838821</v>
      </c>
      <c r="CZ172" s="246">
        <f si="212" t="shared"/>
        <v>8265.8571428571395</v>
      </c>
      <c r="DA172" s="246">
        <f si="215" t="shared"/>
        <v>8018.5531993703025</v>
      </c>
      <c r="DB172" s="246">
        <f si="216" t="shared"/>
        <v>8242.1785714285688</v>
      </c>
      <c r="DC172" s="301">
        <f si="217" t="shared"/>
        <v>223.62537205826629</v>
      </c>
      <c r="DD172" s="302">
        <f si="218" t="shared"/>
        <v>2.7721875306568913E-2</v>
      </c>
      <c r="DE172" s="357">
        <f si="219" t="shared"/>
        <v>0.97286817191349606</v>
      </c>
    </row>
    <row r="173" spans="26:109" x14ac:dyDescent="0.25">
      <c r="CU173">
        <v>172</v>
      </c>
      <c r="CV173">
        <f si="220" t="shared"/>
        <v>9</v>
      </c>
      <c r="CW173">
        <f si="213" t="shared"/>
        <v>12</v>
      </c>
      <c r="CX173" s="355" t="str">
        <f si="214" t="shared"/>
        <v>9_12</v>
      </c>
      <c r="CY173" s="246">
        <f si="211" t="shared"/>
        <v>3445.4651235213396</v>
      </c>
      <c r="CZ173" s="246">
        <f si="212" t="shared"/>
        <v>3606.2857142857101</v>
      </c>
      <c r="DA173" s="246">
        <f si="215" t="shared"/>
        <v>3461.9265539033277</v>
      </c>
      <c r="DB173" s="246">
        <f si="216" t="shared"/>
        <v>3707.6428571428551</v>
      </c>
      <c r="DC173" s="301">
        <f si="217" t="shared"/>
        <v>245.71630323952741</v>
      </c>
      <c r="DD173" s="302">
        <f si="218" t="shared"/>
        <v>7.1315858506906041E-2</v>
      </c>
      <c r="DE173" s="357">
        <f si="219" t="shared"/>
        <v>0.93372708410516148</v>
      </c>
    </row>
    <row r="174" spans="26:109" x14ac:dyDescent="0.25">
      <c r="CU174">
        <v>173</v>
      </c>
      <c r="CV174">
        <f si="220" t="shared"/>
        <v>9</v>
      </c>
      <c r="CW174">
        <f si="213" t="shared"/>
        <v>13</v>
      </c>
      <c r="CX174" s="355" t="str">
        <f si="214" t="shared"/>
        <v>9_13</v>
      </c>
      <c r="CY174" s="246">
        <f si="211" t="shared"/>
        <v>809.8718922678114</v>
      </c>
      <c r="CZ174" s="246">
        <f si="212" t="shared"/>
        <v>1268</v>
      </c>
      <c r="DA174" s="246">
        <f si="215" t="shared"/>
        <v>866.2646885903456</v>
      </c>
      <c r="DB174" s="246">
        <f si="216" t="shared"/>
        <v>1261.17857142857</v>
      </c>
      <c r="DC174" s="301">
        <f si="217" t="shared"/>
        <v>394.91388283822437</v>
      </c>
      <c r="DD174" s="302">
        <f si="218" t="shared"/>
        <v>0.4876251251693432</v>
      </c>
      <c r="DE174" s="357">
        <f si="219" t="shared"/>
        <v>0.68686917793814473</v>
      </c>
    </row>
    <row r="175" spans="26:109" x14ac:dyDescent="0.25">
      <c r="CU175">
        <v>174</v>
      </c>
      <c r="CV175">
        <f si="220" t="shared"/>
        <v>9</v>
      </c>
      <c r="CW175">
        <f si="213" t="shared"/>
        <v>14</v>
      </c>
      <c r="CX175" s="355" t="str">
        <f si="214" t="shared"/>
        <v>9_14</v>
      </c>
      <c r="CY175" s="246">
        <f si="211" t="shared"/>
        <v>0</v>
      </c>
      <c r="CZ175" s="246">
        <f si="212" t="shared"/>
        <v>457</v>
      </c>
      <c r="DA175" s="246">
        <f si="215" t="shared"/>
        <v>0</v>
      </c>
      <c r="DB175" s="246">
        <f si="216" t="shared"/>
        <v>454.5</v>
      </c>
      <c r="DC175" s="301">
        <f si="217" t="shared"/>
        <v>454.5</v>
      </c>
      <c r="DD175" s="302">
        <f si="218" t="shared"/>
        <v>0</v>
      </c>
      <c r="DE175" s="357">
        <f si="219" t="shared"/>
        <v>0</v>
      </c>
    </row>
    <row r="176" spans="26:109" x14ac:dyDescent="0.25">
      <c r="CU176">
        <v>175</v>
      </c>
      <c r="CV176">
        <f si="220" t="shared"/>
        <v>9</v>
      </c>
      <c r="CW176">
        <f si="213" t="shared"/>
        <v>15</v>
      </c>
      <c r="CX176" s="355" t="str">
        <f si="214" t="shared"/>
        <v>9_15</v>
      </c>
      <c r="CY176" s="246">
        <f si="211" t="shared"/>
        <v>9318.8861305164428</v>
      </c>
      <c r="CZ176" s="246">
        <f si="212" t="shared"/>
        <v>7636.8571428571404</v>
      </c>
      <c r="DA176" s="246">
        <f si="215" t="shared"/>
        <v>9138.8705951265838</v>
      </c>
      <c r="DB176" s="246">
        <f si="216" t="shared"/>
        <v>7576.7857142857156</v>
      </c>
      <c r="DC176" s="301">
        <f si="217" t="shared"/>
        <v>-1562.0848808408682</v>
      </c>
      <c r="DD176" s="302">
        <f si="218" t="shared"/>
        <v>-0.16762570751085024</v>
      </c>
      <c r="DE176" s="357">
        <f si="219" t="shared"/>
        <v>1.206167224433393</v>
      </c>
    </row>
    <row r="177" spans="99:109" x14ac:dyDescent="0.25">
      <c r="CU177">
        <v>176</v>
      </c>
      <c r="CV177">
        <f si="220" t="shared"/>
        <v>9</v>
      </c>
      <c r="CW177">
        <f si="213" t="shared"/>
        <v>16</v>
      </c>
      <c r="CX177" s="355" t="str">
        <f si="214" t="shared"/>
        <v>9_16</v>
      </c>
      <c r="CY177" s="246">
        <f si="211" t="shared"/>
        <v>278.0057162193653</v>
      </c>
      <c r="CZ177" s="246">
        <f si="212" t="shared"/>
        <v>117.71428571428601</v>
      </c>
      <c r="DA177" s="246">
        <f si="215" t="shared"/>
        <v>274.94272063892777</v>
      </c>
      <c r="DB177" s="246">
        <f si="216" t="shared"/>
        <v>121.7857142857145</v>
      </c>
      <c r="DC177" s="301">
        <f si="217" t="shared"/>
        <v>-153.15700635321326</v>
      </c>
      <c r="DD177" s="302">
        <f si="218" t="shared"/>
        <v>-0.55091315544160258</v>
      </c>
      <c r="DE177" s="357">
        <f si="219" t="shared"/>
        <v>2.2575941870645053</v>
      </c>
    </row>
    <row r="178" spans="99:109" x14ac:dyDescent="0.25">
      <c r="CU178">
        <v>177</v>
      </c>
      <c r="CV178">
        <f si="220" t="shared"/>
        <v>9</v>
      </c>
      <c r="CW178">
        <f si="213" t="shared"/>
        <v>17</v>
      </c>
      <c r="CX178" s="355" t="str">
        <f si="214" t="shared"/>
        <v>9_17</v>
      </c>
      <c r="CY178" s="246">
        <f si="211" t="shared"/>
        <v>0</v>
      </c>
      <c r="CZ178" s="246">
        <f si="212" t="shared"/>
        <v>512.57142857142901</v>
      </c>
      <c r="DA178" s="246">
        <f si="215" t="shared"/>
        <v>0</v>
      </c>
      <c r="DB178" s="246">
        <f si="216" t="shared"/>
        <v>492.32142857142901</v>
      </c>
      <c r="DC178" s="301">
        <f si="217" t="shared"/>
        <v>492.32142857142901</v>
      </c>
      <c r="DD178" s="302">
        <f si="218" t="shared"/>
        <v>0</v>
      </c>
      <c r="DE178" s="357">
        <f si="219" t="shared"/>
        <v>0</v>
      </c>
    </row>
    <row r="179" spans="99:109" x14ac:dyDescent="0.25">
      <c r="CU179">
        <v>178</v>
      </c>
      <c r="CV179">
        <f si="220" t="shared"/>
        <v>9</v>
      </c>
      <c r="CW179">
        <f si="213" t="shared"/>
        <v>18</v>
      </c>
      <c r="CX179" s="355" t="str">
        <f si="214" t="shared"/>
        <v>9_18</v>
      </c>
      <c r="CY179" s="246">
        <f si="211" t="shared"/>
        <v>1.3954345044302709</v>
      </c>
      <c r="CZ179" s="246">
        <f si="212" t="shared"/>
        <v>219.71428571428601</v>
      </c>
      <c r="DA179" s="246">
        <f si="215" t="shared"/>
        <v>0.69771725221513547</v>
      </c>
      <c r="DB179" s="246">
        <f si="216" t="shared"/>
        <v>215.64285714285751</v>
      </c>
      <c r="DC179" s="301">
        <f si="217" t="shared"/>
        <v>214.94513989064237</v>
      </c>
      <c r="DD179" s="302">
        <f si="218" t="shared"/>
        <v>154.03455999420075</v>
      </c>
      <c r="DE179" s="357">
        <f si="219" t="shared"/>
        <v>3.2355222030513017E-3</v>
      </c>
    </row>
    <row r="180" spans="99:109" x14ac:dyDescent="0.25">
      <c r="CU180">
        <v>179</v>
      </c>
      <c r="CV180">
        <f si="220" t="shared"/>
        <v>9</v>
      </c>
      <c r="CW180">
        <f si="213" t="shared"/>
        <v>19</v>
      </c>
      <c r="CX180" s="355" t="str">
        <f si="214" t="shared"/>
        <v>9_19</v>
      </c>
      <c r="CY180" s="246">
        <f si="211" t="shared"/>
        <v>595.33546303843377</v>
      </c>
      <c r="CZ180" s="246">
        <f si="212" t="shared"/>
        <v>1665.8571428571399</v>
      </c>
      <c r="DA180" s="246">
        <f si="215" t="shared"/>
        <v>573.03924010068454</v>
      </c>
      <c r="DB180" s="246">
        <f si="216" t="shared"/>
        <v>1658.0357142857151</v>
      </c>
      <c r="DC180" s="301">
        <f si="217" t="shared"/>
        <v>1084.9964741850306</v>
      </c>
      <c r="DD180" s="302">
        <f si="218" t="shared"/>
        <v>1.822495956561192</v>
      </c>
      <c r="DE180" s="357">
        <f si="219" t="shared"/>
        <v>0.34561332736282518</v>
      </c>
    </row>
    <row r="181" spans="99:109" x14ac:dyDescent="0.25">
      <c r="CU181">
        <v>180</v>
      </c>
      <c r="CV181">
        <f si="220" t="shared"/>
        <v>9</v>
      </c>
      <c r="CW181">
        <f si="213" t="shared"/>
        <v>20</v>
      </c>
      <c r="CX181" s="355" t="str">
        <f si="214" t="shared"/>
        <v>9_20</v>
      </c>
      <c r="CY181" s="246">
        <f si="211" t="shared"/>
        <v>0</v>
      </c>
      <c r="CZ181" s="246">
        <f si="212" t="shared"/>
        <v>59.928571428571402</v>
      </c>
      <c r="DA181" s="246">
        <f si="215" t="shared"/>
        <v>0</v>
      </c>
      <c r="DB181" s="246">
        <f si="216" t="shared"/>
        <v>62.785714285714249</v>
      </c>
      <c r="DC181" s="301">
        <f si="217" t="shared"/>
        <v>62.785714285714249</v>
      </c>
      <c r="DD181" s="302">
        <f si="218" t="shared"/>
        <v>0</v>
      </c>
      <c r="DE181" s="357">
        <f si="219" t="shared"/>
        <v>0</v>
      </c>
    </row>
    <row r="182" spans="99:109" x14ac:dyDescent="0.25">
      <c r="CU182">
        <v>181</v>
      </c>
      <c r="CV182">
        <f si="220" t="shared"/>
        <v>10</v>
      </c>
      <c r="CW182">
        <f si="213" t="shared"/>
        <v>1</v>
      </c>
      <c r="CX182" s="355" t="str">
        <f si="214" t="shared"/>
        <v>1_10</v>
      </c>
      <c r="CY182" s="246">
        <f si="211" t="shared"/>
        <v>2027.821768893305</v>
      </c>
      <c r="CZ182" s="246">
        <f si="212" t="shared"/>
        <v>3304.8571428571399</v>
      </c>
      <c r="DA182" s="246">
        <f si="215" t="shared"/>
        <v>1996.6579498395506</v>
      </c>
      <c r="DB182" s="246">
        <f si="216" t="shared"/>
        <v>3451.9285714285697</v>
      </c>
      <c r="DC182" s="301">
        <f si="217" t="shared"/>
        <v>1455.2706215890191</v>
      </c>
      <c r="DD182" s="302">
        <f si="218" t="shared"/>
        <v>0.7176521348733923</v>
      </c>
      <c r="DE182" s="357">
        <f si="219" t="shared"/>
        <v>0.57841809542809863</v>
      </c>
    </row>
    <row r="183" spans="99:109" x14ac:dyDescent="0.25">
      <c r="CU183">
        <v>182</v>
      </c>
      <c r="CV183">
        <f si="220" t="shared"/>
        <v>10</v>
      </c>
      <c r="CW183">
        <f si="213" t="shared"/>
        <v>2</v>
      </c>
      <c r="CX183" s="355" t="str">
        <f si="214" t="shared"/>
        <v>2_10</v>
      </c>
      <c r="CY183" s="246">
        <f si="211" t="shared"/>
        <v>18.390596659724693</v>
      </c>
      <c r="CZ183" s="246">
        <f si="212" t="shared"/>
        <v>630.92857142857099</v>
      </c>
      <c r="DA183" s="246">
        <f si="215" t="shared"/>
        <v>38.303587076978204</v>
      </c>
      <c r="DB183" s="246">
        <f si="216" t="shared"/>
        <v>683.53571428571399</v>
      </c>
      <c r="DC183" s="301">
        <f si="217" t="shared"/>
        <v>645.23212720873585</v>
      </c>
      <c r="DD183" s="302">
        <f si="218" t="shared"/>
        <v>35.084893608796861</v>
      </c>
      <c r="DE183" s="357">
        <f si="219" t="shared"/>
        <v>5.6037433416343076E-2</v>
      </c>
    </row>
    <row r="184" spans="99:109" x14ac:dyDescent="0.25">
      <c r="CU184">
        <v>183</v>
      </c>
      <c r="CV184">
        <f si="220" t="shared"/>
        <v>10</v>
      </c>
      <c r="CW184">
        <f si="213" t="shared"/>
        <v>3</v>
      </c>
      <c r="CX184" s="355" t="str">
        <f si="214" t="shared"/>
        <v>3_10</v>
      </c>
      <c r="CY184" s="246">
        <f si="211" t="shared"/>
        <v>1187.6983290149142</v>
      </c>
      <c r="CZ184" s="246">
        <f si="212" t="shared"/>
        <v>1105.07142857143</v>
      </c>
      <c r="DA184" s="246">
        <f si="215" t="shared"/>
        <v>1182.2640583712887</v>
      </c>
      <c r="DB184" s="246">
        <f si="216" t="shared"/>
        <v>1094.3571428571449</v>
      </c>
      <c r="DC184" s="301">
        <f si="217" t="shared"/>
        <v>-87.906915514143748</v>
      </c>
      <c r="DD184" s="302">
        <f si="218" t="shared"/>
        <v>-7.4014514769128625E-2</v>
      </c>
      <c r="DE184" s="357">
        <f si="219" t="shared"/>
        <v>1.0803274471116775</v>
      </c>
    </row>
    <row r="185" spans="99:109" x14ac:dyDescent="0.25">
      <c r="CU185">
        <v>184</v>
      </c>
      <c r="CV185">
        <f si="220" t="shared"/>
        <v>10</v>
      </c>
      <c r="CW185">
        <f si="213" t="shared"/>
        <v>4</v>
      </c>
      <c r="CX185" s="355" t="str">
        <f si="214" t="shared"/>
        <v>4_10</v>
      </c>
      <c r="CY185" s="246">
        <f si="211" t="shared"/>
        <v>1425.5877397168385</v>
      </c>
      <c r="CZ185" s="246">
        <f si="212" t="shared"/>
        <v>1576.6428571428601</v>
      </c>
      <c r="DA185" s="246">
        <f si="215" t="shared"/>
        <v>1436.7745773805891</v>
      </c>
      <c r="DB185" s="246">
        <f si="216" t="shared"/>
        <v>1556.8928571428601</v>
      </c>
      <c r="DC185" s="301">
        <f si="217" t="shared"/>
        <v>120.11827976227096</v>
      </c>
      <c r="DD185" s="302">
        <f si="218" t="shared"/>
        <v>8.4258777215725639E-2</v>
      </c>
      <c r="DE185" s="357">
        <f si="219" t="shared"/>
        <v>0.92284743345620668</v>
      </c>
    </row>
    <row r="186" spans="99:109" x14ac:dyDescent="0.25">
      <c r="CU186">
        <v>185</v>
      </c>
      <c r="CV186">
        <f si="220" t="shared"/>
        <v>10</v>
      </c>
      <c r="CW186">
        <f si="213" t="shared"/>
        <v>5</v>
      </c>
      <c r="CX186" s="355" t="str">
        <f si="214" t="shared"/>
        <v>5_10</v>
      </c>
      <c r="CY186" s="246">
        <f si="211" t="shared"/>
        <v>6100.0648068858873</v>
      </c>
      <c r="CZ186" s="246">
        <f si="212" t="shared"/>
        <v>5053.6428571428596</v>
      </c>
      <c r="DA186" s="246">
        <f si="215" t="shared"/>
        <v>6040.8035160319578</v>
      </c>
      <c r="DB186" s="246">
        <f si="216" t="shared"/>
        <v>5184.9642857142844</v>
      </c>
      <c r="DC186" s="301">
        <f si="217" t="shared"/>
        <v>-855.83923031767335</v>
      </c>
      <c r="DD186" s="302">
        <f si="218" t="shared"/>
        <v>-0.14030002260821611</v>
      </c>
      <c r="DE186" s="357">
        <f si="219" t="shared"/>
        <v>1.1650617406711361</v>
      </c>
    </row>
    <row r="187" spans="99:109" x14ac:dyDescent="0.25">
      <c r="CU187">
        <v>186</v>
      </c>
      <c r="CV187">
        <f si="220" t="shared"/>
        <v>10</v>
      </c>
      <c r="CW187">
        <f si="213" t="shared"/>
        <v>6</v>
      </c>
      <c r="CX187" s="355" t="str">
        <f si="214" t="shared"/>
        <v>6_10</v>
      </c>
      <c r="CY187" s="246">
        <f si="211" t="shared"/>
        <v>6288.6093680413951</v>
      </c>
      <c r="CZ187" s="246">
        <f si="212" t="shared"/>
        <v>7247.3571428571404</v>
      </c>
      <c r="DA187" s="246">
        <f si="215" t="shared"/>
        <v>6288.6713855809685</v>
      </c>
      <c r="DB187" s="246">
        <f si="216" t="shared"/>
        <v>7579.25</v>
      </c>
      <c r="DC187" s="301">
        <f si="217" t="shared"/>
        <v>1290.5786144190315</v>
      </c>
      <c r="DD187" s="302">
        <f si="218" t="shared"/>
        <v>0.20522480231921064</v>
      </c>
      <c r="DE187" s="357">
        <f si="219" t="shared"/>
        <v>0.8297221209989073</v>
      </c>
    </row>
    <row r="188" spans="99:109" x14ac:dyDescent="0.25">
      <c r="CU188">
        <v>187</v>
      </c>
      <c r="CV188">
        <f si="220" t="shared"/>
        <v>10</v>
      </c>
      <c r="CW188">
        <f si="213" t="shared"/>
        <v>7</v>
      </c>
      <c r="CX188" s="355" t="str">
        <f si="214" t="shared"/>
        <v>7_10</v>
      </c>
      <c r="CY188" s="246">
        <f si="211" t="shared"/>
        <v>936.98917777417478</v>
      </c>
      <c r="CZ188" s="246">
        <f si="212" t="shared"/>
        <v>616.07142857142901</v>
      </c>
      <c r="DA188" s="246">
        <f si="215" t="shared"/>
        <v>917.3929485447527</v>
      </c>
      <c r="DB188" s="246">
        <f si="216" t="shared"/>
        <v>606.89285714285757</v>
      </c>
      <c r="DC188" s="301">
        <f si="217" t="shared"/>
        <v>-310.50009140189513</v>
      </c>
      <c r="DD188" s="302">
        <f si="218" t="shared"/>
        <v>-0.33138065920834919</v>
      </c>
      <c r="DE188" s="357">
        <f si="219" t="shared"/>
        <v>1.511622583372745</v>
      </c>
    </row>
    <row r="189" spans="99:109" x14ac:dyDescent="0.25">
      <c r="CU189">
        <v>188</v>
      </c>
      <c r="CV189">
        <f si="220" t="shared"/>
        <v>10</v>
      </c>
      <c r="CW189">
        <f si="213" t="shared"/>
        <v>8</v>
      </c>
      <c r="CX189" s="355" t="str">
        <f si="214" t="shared"/>
        <v>8_10</v>
      </c>
      <c r="CY189" s="246">
        <f si="211" t="shared"/>
        <v>0</v>
      </c>
      <c r="CZ189" s="246">
        <f si="212" t="shared"/>
        <v>184.57142857142901</v>
      </c>
      <c r="DA189" s="246">
        <f si="215" t="shared"/>
        <v>0</v>
      </c>
      <c r="DB189" s="246">
        <f si="216" t="shared"/>
        <v>182.32142857142901</v>
      </c>
      <c r="DC189" s="301">
        <f si="217" t="shared"/>
        <v>182.32142857142901</v>
      </c>
      <c r="DD189" s="302">
        <f si="218" t="shared"/>
        <v>0</v>
      </c>
      <c r="DE189" s="357">
        <f si="219" t="shared"/>
        <v>0</v>
      </c>
    </row>
    <row r="190" spans="99:109" x14ac:dyDescent="0.25">
      <c r="CU190">
        <v>189</v>
      </c>
      <c r="CV190">
        <f si="220" t="shared"/>
        <v>10</v>
      </c>
      <c r="CW190">
        <f si="213" t="shared"/>
        <v>9</v>
      </c>
      <c r="CX190" s="355" t="str">
        <f si="214" t="shared"/>
        <v>9_10</v>
      </c>
      <c r="CY190" s="246">
        <f si="211" t="shared"/>
        <v>807.9478990059348</v>
      </c>
      <c r="CZ190" s="246">
        <f si="212" t="shared"/>
        <v>510.857142857143</v>
      </c>
      <c r="DA190" s="246">
        <f si="215" t="shared"/>
        <v>801.99470565555396</v>
      </c>
      <c r="DB190" s="246">
        <f si="216" t="shared"/>
        <v>493.0714285714285</v>
      </c>
      <c r="DC190" s="301">
        <f si="217" t="shared"/>
        <v>-308.92327708412546</v>
      </c>
      <c r="DD190" s="302">
        <f si="218" t="shared"/>
        <v>-0.38235544329555371</v>
      </c>
      <c r="DE190" s="357">
        <f si="219" t="shared"/>
        <v>1.6265284483815381</v>
      </c>
    </row>
    <row r="191" spans="99:109" x14ac:dyDescent="0.25">
      <c r="CU191">
        <v>190</v>
      </c>
      <c r="CV191">
        <f si="220" t="shared"/>
        <v>10</v>
      </c>
      <c r="CW191">
        <f si="213" t="shared"/>
        <v>10</v>
      </c>
      <c r="CX191" s="355" t="str">
        <f si="214" t="shared"/>
        <v>10_10</v>
      </c>
      <c r="CY191" s="246">
        <f si="211" t="shared"/>
        <v>38651.428432770583</v>
      </c>
      <c r="CZ191" s="246">
        <f si="212" t="shared"/>
        <v>34400.928571428602</v>
      </c>
      <c r="DA191" s="246">
        <f si="215" t="shared"/>
        <v>38651.428432770583</v>
      </c>
      <c r="DB191" s="246">
        <f si="216" t="shared"/>
        <v>34400.928571428602</v>
      </c>
      <c r="DC191" s="301">
        <f si="217" t="shared"/>
        <v>-4250.4998613419812</v>
      </c>
      <c r="DD191" s="302">
        <f si="218" t="shared"/>
        <v>-0.10997005890054501</v>
      </c>
      <c r="DE191" s="357">
        <f si="219" t="shared"/>
        <v>1.1235577072437573</v>
      </c>
    </row>
    <row r="192" spans="99:109" x14ac:dyDescent="0.25">
      <c r="CU192">
        <v>191</v>
      </c>
      <c r="CV192">
        <f si="220" t="shared"/>
        <v>10</v>
      </c>
      <c r="CW192">
        <f si="213" t="shared"/>
        <v>11</v>
      </c>
      <c r="CX192" s="355" t="str">
        <f si="214" t="shared"/>
        <v>10_11</v>
      </c>
      <c r="CY192" s="246">
        <f si="211" t="shared"/>
        <v>575.852389331621</v>
      </c>
      <c r="CZ192" s="246">
        <f si="212" t="shared"/>
        <v>448.642857142857</v>
      </c>
      <c r="DA192" s="246">
        <f si="215" t="shared"/>
        <v>565.62958307335725</v>
      </c>
      <c r="DB192" s="246">
        <f si="216" t="shared"/>
        <v>451.9285714285715</v>
      </c>
      <c r="DC192" s="301">
        <f si="217" t="shared"/>
        <v>-113.70101164478575</v>
      </c>
      <c r="DD192" s="302">
        <f si="218" t="shared"/>
        <v>-0.19744818941665931</v>
      </c>
      <c r="DE192" s="357">
        <f si="219" t="shared"/>
        <v>1.251590669041726</v>
      </c>
    </row>
    <row r="193" spans="99:109" x14ac:dyDescent="0.25">
      <c r="CU193">
        <v>192</v>
      </c>
      <c r="CV193">
        <f si="220" t="shared"/>
        <v>10</v>
      </c>
      <c r="CW193">
        <f si="213" t="shared"/>
        <v>12</v>
      </c>
      <c r="CX193" s="355" t="str">
        <f si="214" t="shared"/>
        <v>10_12</v>
      </c>
      <c r="CY193" s="246">
        <f si="211" t="shared"/>
        <v>6951.8955236350575</v>
      </c>
      <c r="CZ193" s="246">
        <f si="212" t="shared"/>
        <v>6289.1428571428596</v>
      </c>
      <c r="DA193" s="246">
        <f si="215" t="shared"/>
        <v>6949.5357480757521</v>
      </c>
      <c r="DB193" s="246">
        <f si="216" t="shared"/>
        <v>6467.3214285714294</v>
      </c>
      <c r="DC193" s="301">
        <f si="217" t="shared"/>
        <v>-482.2143195043227</v>
      </c>
      <c r="DD193" s="302">
        <f si="218" t="shared"/>
        <v>-6.936443706107065E-2</v>
      </c>
      <c r="DE193" s="357">
        <f si="219" t="shared"/>
        <v>1.0745616751587432</v>
      </c>
    </row>
    <row r="194" spans="99:109" x14ac:dyDescent="0.25">
      <c r="CU194">
        <v>193</v>
      </c>
      <c r="CV194">
        <f si="220" t="shared"/>
        <v>10</v>
      </c>
      <c r="CW194">
        <f si="213" t="shared"/>
        <v>13</v>
      </c>
      <c r="CX194" s="355" t="str">
        <f si="214" t="shared"/>
        <v>10_13</v>
      </c>
      <c r="CY194" s="246">
        <f ref="CY194:CY257" si="225" t="shared">VLOOKUP($CV194,$B$67:$V$86,MATCH($CW194,$B$66:$V$66,0),0)</f>
        <v>367.04779787262981</v>
      </c>
      <c r="CZ194" s="246">
        <f ref="CZ194:CZ257" si="226" t="shared">VLOOKUP($CV194,$Z$41:$AT$60,MATCH($CW194,$Z$40:$AT$40,0),0)</f>
        <v>88.928571428571402</v>
      </c>
      <c r="DA194" s="246">
        <f si="215" t="shared"/>
        <v>364.95112849113383</v>
      </c>
      <c r="DB194" s="246">
        <f si="216" t="shared"/>
        <v>84.321428571428555</v>
      </c>
      <c r="DC194" s="301">
        <f si="217" t="shared"/>
        <v>-280.62969991970527</v>
      </c>
      <c r="DD194" s="302">
        <f si="218" t="shared"/>
        <v>-0.76455900715439595</v>
      </c>
      <c r="DE194" s="357">
        <f si="219" t="shared"/>
        <v>4.3280947046809608</v>
      </c>
    </row>
    <row r="195" spans="99:109" x14ac:dyDescent="0.25">
      <c r="CU195">
        <v>194</v>
      </c>
      <c r="CV195">
        <f si="220" t="shared"/>
        <v>10</v>
      </c>
      <c r="CW195">
        <f ref="CW195:CW258" si="227" t="shared">MOD(ROW()-2,$CS$2)+1</f>
        <v>14</v>
      </c>
      <c r="CX195" s="355" t="str">
        <f ref="CX195:CX258" si="228" t="shared">IF(CV195&lt;=CW195,CONCATENATE(CV195,"_",CW195),CONCATENATE(CW195,"_",CV195))</f>
        <v>10_14</v>
      </c>
      <c r="CY195" s="246">
        <f si="225" t="shared"/>
        <v>148.3613361699984</v>
      </c>
      <c r="CZ195" s="246">
        <f si="226" t="shared"/>
        <v>296.142857142857</v>
      </c>
      <c r="DA195" s="246">
        <f ref="DA195:DA258" si="229" t="shared">AVERAGEIF($CX$2:$CX$401,$CX195,$CY$2:$CY$401)</f>
        <v>150.75078930516571</v>
      </c>
      <c r="DB195" s="246">
        <f ref="DB195:DB258" si="230" t="shared">AVERAGEIF($CX$2:$CX$401,$CX195,$CZ$2:$CZ$401)</f>
        <v>289.5714285714285</v>
      </c>
      <c r="DC195" s="301">
        <f ref="DC195:DC258" si="231" t="shared">DB195-DA195</f>
        <v>138.82063926626279</v>
      </c>
      <c r="DD195" s="302">
        <f ref="DD195:DD258" si="232" t="shared">IF(CY195&gt;0,DC195/CY195,0)</f>
        <v>0.93569283514133705</v>
      </c>
      <c r="DE195" s="357">
        <f ref="DE195:DE258" si="233" t="shared">DA195/DB195</f>
        <v>0.5205996670627332</v>
      </c>
    </row>
    <row r="196" spans="99:109" x14ac:dyDescent="0.25">
      <c r="CU196">
        <v>195</v>
      </c>
      <c r="CV196">
        <f ref="CV196:CV259" si="234" t="shared">IF(CW195&lt;$CS$2,CV195,CV195+1)</f>
        <v>10</v>
      </c>
      <c r="CW196">
        <f si="227" t="shared"/>
        <v>15</v>
      </c>
      <c r="CX196" s="355" t="str">
        <f si="228" t="shared"/>
        <v>10_15</v>
      </c>
      <c r="CY196" s="246">
        <f si="225" t="shared"/>
        <v>118.42156598792317</v>
      </c>
      <c r="CZ196" s="246">
        <f si="226" t="shared"/>
        <v>85.5</v>
      </c>
      <c r="DA196" s="246">
        <f si="229" t="shared"/>
        <v>117.98357715905084</v>
      </c>
      <c r="DB196" s="246">
        <f si="230" t="shared"/>
        <v>83.357142857142847</v>
      </c>
      <c r="DC196" s="301">
        <f si="231" t="shared"/>
        <v>-34.626434301907992</v>
      </c>
      <c r="DD196" s="302">
        <f si="232" t="shared"/>
        <v>-0.29239973321615464</v>
      </c>
      <c r="DE196" s="357">
        <f si="233" t="shared"/>
        <v>1.4153985263296589</v>
      </c>
    </row>
    <row r="197" spans="99:109" x14ac:dyDescent="0.25">
      <c r="CU197">
        <v>196</v>
      </c>
      <c r="CV197">
        <f si="234" t="shared"/>
        <v>10</v>
      </c>
      <c r="CW197">
        <f si="227" t="shared"/>
        <v>16</v>
      </c>
      <c r="CX197" s="355" t="str">
        <f si="228" t="shared"/>
        <v>10_16</v>
      </c>
      <c r="CY197" s="246">
        <f si="225" t="shared"/>
        <v>9361.0213959108805</v>
      </c>
      <c r="CZ197" s="246">
        <f si="226" t="shared"/>
        <v>6670.2857142857101</v>
      </c>
      <c r="DA197" s="246">
        <f si="229" t="shared"/>
        <v>9202.8789568269804</v>
      </c>
      <c r="DB197" s="246">
        <f si="230" t="shared"/>
        <v>6648.7142857142844</v>
      </c>
      <c r="DC197" s="301">
        <f si="231" t="shared"/>
        <v>-2554.1646711126959</v>
      </c>
      <c r="DD197" s="302">
        <f si="232" t="shared"/>
        <v>-0.27285106646892365</v>
      </c>
      <c r="DE197" s="357">
        <f si="233" t="shared"/>
        <v>1.3841591864762011</v>
      </c>
    </row>
    <row r="198" spans="99:109" x14ac:dyDescent="0.25">
      <c r="CU198">
        <v>197</v>
      </c>
      <c r="CV198">
        <f si="234" t="shared"/>
        <v>10</v>
      </c>
      <c r="CW198">
        <f si="227" t="shared"/>
        <v>17</v>
      </c>
      <c r="CX198" s="355" t="str">
        <f si="228" t="shared"/>
        <v>10_17</v>
      </c>
      <c r="CY198" s="246">
        <f si="225" t="shared"/>
        <v>0</v>
      </c>
      <c r="CZ198" s="246">
        <f si="226" t="shared"/>
        <v>127.5</v>
      </c>
      <c r="DA198" s="246">
        <f si="229" t="shared"/>
        <v>0</v>
      </c>
      <c r="DB198" s="246">
        <f si="230" t="shared"/>
        <v>120.9285714285715</v>
      </c>
      <c r="DC198" s="301">
        <f si="231" t="shared"/>
        <v>120.9285714285715</v>
      </c>
      <c r="DD198" s="302">
        <f si="232" t="shared"/>
        <v>0</v>
      </c>
      <c r="DE198" s="357">
        <f si="233" t="shared"/>
        <v>0</v>
      </c>
    </row>
    <row r="199" spans="99:109" x14ac:dyDescent="0.25">
      <c r="CU199">
        <v>198</v>
      </c>
      <c r="CV199">
        <f si="234" t="shared"/>
        <v>10</v>
      </c>
      <c r="CW199">
        <f si="227" t="shared"/>
        <v>18</v>
      </c>
      <c r="CX199" s="355" t="str">
        <f si="228" t="shared"/>
        <v>10_18</v>
      </c>
      <c r="CY199" s="246">
        <f si="225" t="shared"/>
        <v>0</v>
      </c>
      <c r="CZ199" s="246">
        <f si="226" t="shared"/>
        <v>174.5</v>
      </c>
      <c r="DA199" s="246">
        <f si="229" t="shared"/>
        <v>0.51572954606804744</v>
      </c>
      <c r="DB199" s="246">
        <f si="230" t="shared"/>
        <v>164.5</v>
      </c>
      <c r="DC199" s="301">
        <f si="231" t="shared"/>
        <v>163.98427045393194</v>
      </c>
      <c r="DD199" s="302">
        <f si="232" t="shared"/>
        <v>0</v>
      </c>
      <c r="DE199" s="357">
        <f si="233" t="shared"/>
        <v>3.1351340186507445E-3</v>
      </c>
    </row>
    <row r="200" spans="99:109" x14ac:dyDescent="0.25">
      <c r="CU200">
        <v>199</v>
      </c>
      <c r="CV200">
        <f si="234" t="shared"/>
        <v>10</v>
      </c>
      <c r="CW200">
        <f si="227" t="shared"/>
        <v>19</v>
      </c>
      <c r="CX200" s="355" t="str">
        <f si="228" t="shared"/>
        <v>10_19</v>
      </c>
      <c r="CY200" s="246">
        <f si="225" t="shared"/>
        <v>1.2750691753010786</v>
      </c>
      <c r="CZ200" s="246">
        <f si="226" t="shared"/>
        <v>155.21428571428601</v>
      </c>
      <c r="DA200" s="246">
        <f si="229" t="shared"/>
        <v>0.63753458765053928</v>
      </c>
      <c r="DB200" s="246">
        <f si="230" t="shared"/>
        <v>155.6785714285715</v>
      </c>
      <c r="DC200" s="301">
        <f si="231" t="shared"/>
        <v>155.04103684092095</v>
      </c>
      <c r="DD200" s="302">
        <f si="232" t="shared"/>
        <v>121.59421609757882</v>
      </c>
      <c r="DE200" s="357">
        <f si="233" t="shared"/>
        <v>4.0951980853900184E-3</v>
      </c>
    </row>
    <row r="201" spans="99:109" x14ac:dyDescent="0.25">
      <c r="CU201">
        <v>200</v>
      </c>
      <c r="CV201">
        <f si="234" t="shared"/>
        <v>10</v>
      </c>
      <c r="CW201">
        <f si="227" t="shared"/>
        <v>20</v>
      </c>
      <c r="CX201" s="355" t="str">
        <f si="228" t="shared"/>
        <v>10_20</v>
      </c>
      <c r="CY201" s="246">
        <f si="225" t="shared"/>
        <v>0</v>
      </c>
      <c r="CZ201" s="246">
        <f si="226" t="shared"/>
        <v>111.28571428571399</v>
      </c>
      <c r="DA201" s="246">
        <f si="229" t="shared"/>
        <v>0</v>
      </c>
      <c r="DB201" s="246">
        <f si="230" t="shared"/>
        <v>115.1785714285715</v>
      </c>
      <c r="DC201" s="301">
        <f si="231" t="shared"/>
        <v>115.1785714285715</v>
      </c>
      <c r="DD201" s="302">
        <f si="232" t="shared"/>
        <v>0</v>
      </c>
      <c r="DE201" s="357">
        <f si="233" t="shared"/>
        <v>0</v>
      </c>
    </row>
    <row r="202" spans="99:109" x14ac:dyDescent="0.25">
      <c r="CU202">
        <v>201</v>
      </c>
      <c r="CV202">
        <f si="234" t="shared"/>
        <v>11</v>
      </c>
      <c r="CW202">
        <f si="227" t="shared"/>
        <v>1</v>
      </c>
      <c r="CX202" s="355" t="str">
        <f si="228" t="shared"/>
        <v>1_11</v>
      </c>
      <c r="CY202" s="246">
        <f si="225" t="shared"/>
        <v>1315.79819576201</v>
      </c>
      <c r="CZ202" s="246">
        <f si="226" t="shared"/>
        <v>4654.0714285714303</v>
      </c>
      <c r="DA202" s="246">
        <f si="229" t="shared"/>
        <v>1335.0607986159985</v>
      </c>
      <c r="DB202" s="246">
        <f si="230" t="shared"/>
        <v>4946.7142857142853</v>
      </c>
      <c r="DC202" s="301">
        <f si="231" t="shared"/>
        <v>3611.6534870982869</v>
      </c>
      <c r="DD202" s="302">
        <f si="232" t="shared"/>
        <v>2.7448384552668372</v>
      </c>
      <c r="DE202" s="357">
        <f si="233" t="shared"/>
        <v>0.26988839894625555</v>
      </c>
    </row>
    <row r="203" spans="99:109" x14ac:dyDescent="0.25">
      <c r="CU203">
        <v>202</v>
      </c>
      <c r="CV203">
        <f si="234" t="shared"/>
        <v>11</v>
      </c>
      <c r="CW203">
        <f si="227" t="shared"/>
        <v>2</v>
      </c>
      <c r="CX203" s="355" t="str">
        <f si="228" t="shared"/>
        <v>2_11</v>
      </c>
      <c r="CY203" s="246">
        <f si="225" t="shared"/>
        <v>624.84312460033914</v>
      </c>
      <c r="CZ203" s="246">
        <f si="226" t="shared"/>
        <v>1008.42857142857</v>
      </c>
      <c r="DA203" s="246">
        <f si="229" t="shared"/>
        <v>642.11734674939748</v>
      </c>
      <c r="DB203" s="246">
        <f si="230" t="shared"/>
        <v>1174.3928571428551</v>
      </c>
      <c r="DC203" s="301">
        <f si="231" t="shared"/>
        <v>532.27551039345758</v>
      </c>
      <c r="DD203" s="302">
        <f si="232" t="shared"/>
        <v>0.8518546326870613</v>
      </c>
      <c r="DE203" s="357">
        <f si="233" t="shared"/>
        <v>0.54676537143761705</v>
      </c>
    </row>
    <row r="204" spans="99:109" x14ac:dyDescent="0.25">
      <c r="CU204">
        <v>203</v>
      </c>
      <c r="CV204">
        <f si="234" t="shared"/>
        <v>11</v>
      </c>
      <c r="CW204">
        <f si="227" t="shared"/>
        <v>3</v>
      </c>
      <c r="CX204" s="355" t="str">
        <f si="228" t="shared"/>
        <v>3_11</v>
      </c>
      <c r="CY204" s="246">
        <f si="225" t="shared"/>
        <v>12277.407855700798</v>
      </c>
      <c r="CZ204" s="246">
        <f si="226" t="shared"/>
        <v>13546.4285714286</v>
      </c>
      <c r="DA204" s="246">
        <f si="229" t="shared"/>
        <v>12214.355033962212</v>
      </c>
      <c r="DB204" s="246">
        <f si="230" t="shared"/>
        <v>13786.14285714285</v>
      </c>
      <c r="DC204" s="301">
        <f si="231" t="shared"/>
        <v>1571.7878231806371</v>
      </c>
      <c r="DD204" s="302">
        <f si="232" t="shared"/>
        <v>0.12802277497450776</v>
      </c>
      <c r="DE204" s="357">
        <f si="233" t="shared"/>
        <v>0.88598784740096714</v>
      </c>
    </row>
    <row r="205" spans="99:109" x14ac:dyDescent="0.25">
      <c r="CU205">
        <v>204</v>
      </c>
      <c r="CV205">
        <f si="234" t="shared"/>
        <v>11</v>
      </c>
      <c r="CW205">
        <f si="227" t="shared"/>
        <v>4</v>
      </c>
      <c r="CX205" s="355" t="str">
        <f si="228" t="shared"/>
        <v>4_11</v>
      </c>
      <c r="CY205" s="246">
        <f si="225" t="shared"/>
        <v>2818.3669041744129</v>
      </c>
      <c r="CZ205" s="246">
        <f si="226" t="shared"/>
        <v>2406.4285714285702</v>
      </c>
      <c r="DA205" s="246">
        <f si="229" t="shared"/>
        <v>2828.8092768414172</v>
      </c>
      <c r="DB205" s="246">
        <f si="230" t="shared"/>
        <v>2460.5357142857151</v>
      </c>
      <c r="DC205" s="301">
        <f si="231" t="shared"/>
        <v>-368.27356255570203</v>
      </c>
      <c r="DD205" s="302">
        <f si="232" t="shared"/>
        <v>-0.13066913396202429</v>
      </c>
      <c r="DE205" s="357">
        <f si="233" t="shared"/>
        <v>1.149672106126129</v>
      </c>
    </row>
    <row r="206" spans="99:109" x14ac:dyDescent="0.25">
      <c r="CU206">
        <v>205</v>
      </c>
      <c r="CV206">
        <f si="234" t="shared"/>
        <v>11</v>
      </c>
      <c r="CW206">
        <f si="227" t="shared"/>
        <v>5</v>
      </c>
      <c r="CX206" s="355" t="str">
        <f si="228" t="shared"/>
        <v>5_11</v>
      </c>
      <c r="CY206" s="246">
        <f si="225" t="shared"/>
        <v>1459.8394976660286</v>
      </c>
      <c r="CZ206" s="246">
        <f si="226" t="shared"/>
        <v>1146.1428571428601</v>
      </c>
      <c r="DA206" s="246">
        <f si="229" t="shared"/>
        <v>1464.8794502162741</v>
      </c>
      <c r="DB206" s="246">
        <f si="230" t="shared"/>
        <v>1187.3928571428601</v>
      </c>
      <c r="DC206" s="301">
        <f si="231" t="shared"/>
        <v>-277.48659307341404</v>
      </c>
      <c r="DD206" s="302">
        <f si="232" t="shared"/>
        <v>-0.19008020643163567</v>
      </c>
      <c r="DE206" s="357">
        <f si="233" t="shared"/>
        <v>1.233694005656317</v>
      </c>
    </row>
    <row r="207" spans="99:109" x14ac:dyDescent="0.25">
      <c r="CU207">
        <v>206</v>
      </c>
      <c r="CV207">
        <f si="234" t="shared"/>
        <v>11</v>
      </c>
      <c r="CW207">
        <f si="227" t="shared"/>
        <v>6</v>
      </c>
      <c r="CX207" s="355" t="str">
        <f si="228" t="shared"/>
        <v>6_11</v>
      </c>
      <c r="CY207" s="246">
        <f si="225" t="shared"/>
        <v>917.16305337853396</v>
      </c>
      <c r="CZ207" s="246">
        <f si="226" t="shared"/>
        <v>2260.3571428571399</v>
      </c>
      <c r="DA207" s="246">
        <f si="229" t="shared"/>
        <v>915.69691434633251</v>
      </c>
      <c r="DB207" s="246">
        <f si="230" t="shared"/>
        <v>2504.7857142857147</v>
      </c>
      <c r="DC207" s="301">
        <f si="231" t="shared"/>
        <v>1589.0887999393822</v>
      </c>
      <c r="DD207" s="302">
        <f si="232" t="shared"/>
        <v>1.7326131859386285</v>
      </c>
      <c r="DE207" s="357">
        <f si="233" t="shared"/>
        <v>0.36557894319014039</v>
      </c>
    </row>
    <row r="208" spans="99:109" x14ac:dyDescent="0.25">
      <c r="CU208">
        <v>207</v>
      </c>
      <c r="CV208">
        <f si="234" t="shared"/>
        <v>11</v>
      </c>
      <c r="CW208">
        <f si="227" t="shared"/>
        <v>7</v>
      </c>
      <c r="CX208" s="355" t="str">
        <f si="228" t="shared"/>
        <v>7_11</v>
      </c>
      <c r="CY208" s="246">
        <f si="225" t="shared"/>
        <v>759.15695460255745</v>
      </c>
      <c r="CZ208" s="246">
        <f si="226" t="shared"/>
        <v>753.07142857142901</v>
      </c>
      <c r="DA208" s="246">
        <f si="229" t="shared"/>
        <v>785.66412137681368</v>
      </c>
      <c r="DB208" s="246">
        <f si="230" t="shared"/>
        <v>738.53571428571445</v>
      </c>
      <c r="DC208" s="301">
        <f si="231" t="shared"/>
        <v>-47.128407091099234</v>
      </c>
      <c r="DD208" s="302">
        <f si="232" t="shared"/>
        <v>-6.2079925376923459E-2</v>
      </c>
      <c r="DE208" s="357">
        <f si="233" t="shared"/>
        <v>1.0638133081169678</v>
      </c>
    </row>
    <row r="209" spans="99:109" x14ac:dyDescent="0.25">
      <c r="CU209">
        <v>208</v>
      </c>
      <c r="CV209">
        <f si="234" t="shared"/>
        <v>11</v>
      </c>
      <c r="CW209">
        <f si="227" t="shared"/>
        <v>8</v>
      </c>
      <c r="CX209" s="355" t="str">
        <f si="228" t="shared"/>
        <v>8_11</v>
      </c>
      <c r="CY209" s="246">
        <f si="225" t="shared"/>
        <v>2782.2725288787674</v>
      </c>
      <c r="CZ209" s="246">
        <f si="226" t="shared"/>
        <v>1453.2857142857099</v>
      </c>
      <c r="DA209" s="246">
        <f si="229" t="shared"/>
        <v>2794.3553012543871</v>
      </c>
      <c r="DB209" s="246">
        <f si="230" t="shared"/>
        <v>1455.9642857142849</v>
      </c>
      <c r="DC209" s="301">
        <f si="231" t="shared"/>
        <v>-1338.3910155401022</v>
      </c>
      <c r="DD209" s="302">
        <f si="232" t="shared"/>
        <v>-0.4810423859087099</v>
      </c>
      <c r="DE209" s="357">
        <f si="233" t="shared"/>
        <v>1.9192471468374637</v>
      </c>
    </row>
    <row r="210" spans="99:109" x14ac:dyDescent="0.25">
      <c r="CU210">
        <v>209</v>
      </c>
      <c r="CV210">
        <f si="234" t="shared"/>
        <v>11</v>
      </c>
      <c r="CW210">
        <f si="227" t="shared"/>
        <v>9</v>
      </c>
      <c r="CX210" s="355" t="str">
        <f si="228" t="shared"/>
        <v>9_11</v>
      </c>
      <c r="CY210" s="246">
        <f si="225" t="shared"/>
        <v>7970.3587640567239</v>
      </c>
      <c r="CZ210" s="246">
        <f si="226" t="shared"/>
        <v>8218.5</v>
      </c>
      <c r="DA210" s="246">
        <f si="229" t="shared"/>
        <v>8018.5531993703025</v>
      </c>
      <c r="DB210" s="246">
        <f si="230" t="shared"/>
        <v>8242.1785714285688</v>
      </c>
      <c r="DC210" s="301">
        <f si="231" t="shared"/>
        <v>223.62537205826629</v>
      </c>
      <c r="DD210" s="302">
        <f si="232" t="shared"/>
        <v>2.8057127499295436E-2</v>
      </c>
      <c r="DE210" s="357">
        <f si="233" t="shared"/>
        <v>0.97286817191349606</v>
      </c>
    </row>
    <row r="211" spans="99:109" x14ac:dyDescent="0.25">
      <c r="CU211">
        <v>210</v>
      </c>
      <c r="CV211">
        <f si="234" t="shared"/>
        <v>11</v>
      </c>
      <c r="CW211">
        <f si="227" t="shared"/>
        <v>10</v>
      </c>
      <c r="CX211" s="355" t="str">
        <f si="228" t="shared"/>
        <v>10_11</v>
      </c>
      <c r="CY211" s="246">
        <f si="225" t="shared"/>
        <v>555.40677681509362</v>
      </c>
      <c r="CZ211" s="246">
        <f si="226" t="shared"/>
        <v>455.21428571428601</v>
      </c>
      <c r="DA211" s="246">
        <f si="229" t="shared"/>
        <v>565.62958307335725</v>
      </c>
      <c r="DB211" s="246">
        <f si="230" t="shared"/>
        <v>451.9285714285715</v>
      </c>
      <c r="DC211" s="301">
        <f si="231" t="shared"/>
        <v>-113.70101164478575</v>
      </c>
      <c r="DD211" s="302">
        <f si="232" t="shared"/>
        <v>-0.20471664443273288</v>
      </c>
      <c r="DE211" s="357">
        <f si="233" t="shared"/>
        <v>1.251590669041726</v>
      </c>
    </row>
    <row r="212" spans="99:109" x14ac:dyDescent="0.25">
      <c r="CU212">
        <v>211</v>
      </c>
      <c r="CV212">
        <f si="234" t="shared"/>
        <v>11</v>
      </c>
      <c r="CW212">
        <f si="227" t="shared"/>
        <v>11</v>
      </c>
      <c r="CX212" s="355" t="str">
        <f si="228" t="shared"/>
        <v>11_11</v>
      </c>
      <c r="CY212" s="246">
        <f si="225" t="shared"/>
        <v>118034.19635728835</v>
      </c>
      <c r="CZ212" s="246">
        <f si="226" t="shared"/>
        <v>110682.928571429</v>
      </c>
      <c r="DA212" s="246">
        <f si="229" t="shared"/>
        <v>118034.19635728835</v>
      </c>
      <c r="DB212" s="246">
        <f si="230" t="shared"/>
        <v>110682.928571429</v>
      </c>
      <c r="DC212" s="301">
        <f si="231" t="shared"/>
        <v>-7351.2677858593524</v>
      </c>
      <c r="DD212" s="302">
        <f si="232" t="shared"/>
        <v>-6.2280830579022513E-2</v>
      </c>
      <c r="DE212" s="357">
        <f si="233" t="shared"/>
        <v>1.066417358853269</v>
      </c>
    </row>
    <row r="213" spans="99:109" x14ac:dyDescent="0.25">
      <c r="CU213">
        <v>212</v>
      </c>
      <c r="CV213">
        <f si="234" t="shared"/>
        <v>11</v>
      </c>
      <c r="CW213">
        <f si="227" t="shared"/>
        <v>12</v>
      </c>
      <c r="CX213" s="355" t="str">
        <f si="228" t="shared"/>
        <v>11_12</v>
      </c>
      <c r="CY213" s="246">
        <f si="225" t="shared"/>
        <v>0</v>
      </c>
      <c r="CZ213" s="246">
        <f si="226" t="shared"/>
        <v>1044.2142857142901</v>
      </c>
      <c r="DA213" s="246">
        <f si="229" t="shared"/>
        <v>0</v>
      </c>
      <c r="DB213" s="246">
        <f si="230" t="shared"/>
        <v>1066.6785714285752</v>
      </c>
      <c r="DC213" s="301">
        <f si="231" t="shared"/>
        <v>1066.6785714285752</v>
      </c>
      <c r="DD213" s="302">
        <f si="232" t="shared"/>
        <v>0</v>
      </c>
      <c r="DE213" s="357">
        <f si="233" t="shared"/>
        <v>0</v>
      </c>
    </row>
    <row r="214" spans="99:109" x14ac:dyDescent="0.25">
      <c r="CU214">
        <v>213</v>
      </c>
      <c r="CV214">
        <f si="234" t="shared"/>
        <v>11</v>
      </c>
      <c r="CW214">
        <f si="227" t="shared"/>
        <v>13</v>
      </c>
      <c r="CX214" s="355" t="str">
        <f si="228" t="shared"/>
        <v>11_13</v>
      </c>
      <c r="CY214" s="246">
        <f si="225" t="shared"/>
        <v>0</v>
      </c>
      <c r="CZ214" s="246">
        <f si="226" t="shared"/>
        <v>144.857142857143</v>
      </c>
      <c r="DA214" s="246">
        <f si="229" t="shared"/>
        <v>0</v>
      </c>
      <c r="DB214" s="246">
        <f si="230" t="shared"/>
        <v>145.9285714285715</v>
      </c>
      <c r="DC214" s="301">
        <f si="231" t="shared"/>
        <v>145.9285714285715</v>
      </c>
      <c r="DD214" s="302">
        <f si="232" t="shared"/>
        <v>0</v>
      </c>
      <c r="DE214" s="357">
        <f si="233" t="shared"/>
        <v>0</v>
      </c>
    </row>
    <row r="215" spans="99:109" x14ac:dyDescent="0.25">
      <c r="CU215">
        <v>214</v>
      </c>
      <c r="CV215">
        <f si="234" t="shared"/>
        <v>11</v>
      </c>
      <c r="CW215">
        <f si="227" t="shared"/>
        <v>14</v>
      </c>
      <c r="CX215" s="355" t="str">
        <f si="228" t="shared"/>
        <v>11_14</v>
      </c>
      <c r="CY215" s="246">
        <f si="225" t="shared"/>
        <v>0</v>
      </c>
      <c r="CZ215" s="246">
        <f si="226" t="shared"/>
        <v>2964.3571428571399</v>
      </c>
      <c r="DA215" s="246">
        <f si="229" t="shared"/>
        <v>0</v>
      </c>
      <c r="DB215" s="246">
        <f si="230" t="shared"/>
        <v>2851.6428571428551</v>
      </c>
      <c r="DC215" s="301">
        <f si="231" t="shared"/>
        <v>2851.6428571428551</v>
      </c>
      <c r="DD215" s="302">
        <f si="232" t="shared"/>
        <v>0</v>
      </c>
      <c r="DE215" s="357">
        <f si="233" t="shared"/>
        <v>0</v>
      </c>
    </row>
    <row r="216" spans="99:109" x14ac:dyDescent="0.25">
      <c r="CU216">
        <v>215</v>
      </c>
      <c r="CV216">
        <f si="234" t="shared"/>
        <v>11</v>
      </c>
      <c r="CW216">
        <f si="227" t="shared"/>
        <v>15</v>
      </c>
      <c r="CX216" s="355" t="str">
        <f si="228" t="shared"/>
        <v>11_15</v>
      </c>
      <c r="CY216" s="246">
        <f si="225" t="shared"/>
        <v>0</v>
      </c>
      <c r="CZ216" s="246">
        <f si="226" t="shared"/>
        <v>557.42857142857099</v>
      </c>
      <c r="DA216" s="246">
        <f si="229" t="shared"/>
        <v>0</v>
      </c>
      <c r="DB216" s="246">
        <f si="230" t="shared"/>
        <v>544.85714285714243</v>
      </c>
      <c r="DC216" s="301">
        <f si="231" t="shared"/>
        <v>544.85714285714243</v>
      </c>
      <c r="DD216" s="302">
        <f si="232" t="shared"/>
        <v>0</v>
      </c>
      <c r="DE216" s="357">
        <f si="233" t="shared"/>
        <v>0</v>
      </c>
    </row>
    <row r="217" spans="99:109" x14ac:dyDescent="0.25">
      <c r="CU217">
        <v>216</v>
      </c>
      <c r="CV217">
        <f si="234" t="shared"/>
        <v>11</v>
      </c>
      <c r="CW217">
        <f si="227" t="shared"/>
        <v>16</v>
      </c>
      <c r="CX217" s="355" t="str">
        <f si="228" t="shared"/>
        <v>11_16</v>
      </c>
      <c r="CY217" s="246">
        <f si="225" t="shared"/>
        <v>94.385046932869599</v>
      </c>
      <c r="CZ217" s="246">
        <f si="226" t="shared"/>
        <v>72</v>
      </c>
      <c r="DA217" s="246">
        <f si="229" t="shared"/>
        <v>93.205144727032746</v>
      </c>
      <c r="DB217" s="246">
        <f si="230" t="shared"/>
        <v>70.357142857142847</v>
      </c>
      <c r="DC217" s="301">
        <f si="231" t="shared"/>
        <v>-22.848001869889899</v>
      </c>
      <c r="DD217" s="302">
        <f si="232" t="shared"/>
        <v>-0.24207226263435888</v>
      </c>
      <c r="DE217" s="357">
        <f si="233" t="shared"/>
        <v>1.3247431737852371</v>
      </c>
    </row>
    <row r="218" spans="99:109" x14ac:dyDescent="0.25">
      <c r="CU218">
        <v>217</v>
      </c>
      <c r="CV218">
        <f si="234" t="shared"/>
        <v>11</v>
      </c>
      <c r="CW218">
        <f si="227" t="shared"/>
        <v>17</v>
      </c>
      <c r="CX218" s="355" t="str">
        <f si="228" t="shared"/>
        <v>11_17</v>
      </c>
      <c r="CY218" s="246">
        <f si="225" t="shared"/>
        <v>5219.0492970661326</v>
      </c>
      <c r="CZ218" s="246">
        <f si="226" t="shared"/>
        <v>6077.0714285714303</v>
      </c>
      <c r="DA218" s="246">
        <f si="229" t="shared"/>
        <v>5067.5202579039615</v>
      </c>
      <c r="DB218" s="246">
        <f si="230" t="shared"/>
        <v>5877.8214285714303</v>
      </c>
      <c r="DC218" s="301">
        <f si="231" t="shared"/>
        <v>810.3011706674688</v>
      </c>
      <c r="DD218" s="302">
        <f si="232" t="shared"/>
        <v>0.15525838606716674</v>
      </c>
      <c r="DE218" s="357">
        <f si="233" t="shared"/>
        <v>0.86214260155494249</v>
      </c>
    </row>
    <row r="219" spans="99:109" x14ac:dyDescent="0.25">
      <c r="CU219">
        <v>218</v>
      </c>
      <c r="CV219">
        <f si="234" t="shared"/>
        <v>11</v>
      </c>
      <c r="CW219">
        <f si="227" t="shared"/>
        <v>18</v>
      </c>
      <c r="CX219" s="355" t="str">
        <f si="228" t="shared"/>
        <v>11_18</v>
      </c>
      <c r="CY219" s="246">
        <f si="225" t="shared"/>
        <v>0</v>
      </c>
      <c r="CZ219" s="246">
        <f si="226" t="shared"/>
        <v>42.5</v>
      </c>
      <c r="DA219" s="246">
        <f si="229" t="shared"/>
        <v>0</v>
      </c>
      <c r="DB219" s="246">
        <f si="230" t="shared"/>
        <v>46.107142857142847</v>
      </c>
      <c r="DC219" s="301">
        <f si="231" t="shared"/>
        <v>46.107142857142847</v>
      </c>
      <c r="DD219" s="302">
        <f si="232" t="shared"/>
        <v>0</v>
      </c>
      <c r="DE219" s="357">
        <f si="233" t="shared"/>
        <v>0</v>
      </c>
    </row>
    <row r="220" spans="99:109" x14ac:dyDescent="0.25">
      <c r="CU220">
        <v>219</v>
      </c>
      <c r="CV220">
        <f si="234" t="shared"/>
        <v>11</v>
      </c>
      <c r="CW220">
        <f si="227" t="shared"/>
        <v>19</v>
      </c>
      <c r="CX220" s="355" t="str">
        <f si="228" t="shared"/>
        <v>11_19</v>
      </c>
      <c r="CY220" s="246">
        <f si="225" t="shared"/>
        <v>16278.043065089661</v>
      </c>
      <c r="CZ220" s="246">
        <f si="226" t="shared"/>
        <v>14667</v>
      </c>
      <c r="DA220" s="246">
        <f si="229" t="shared"/>
        <v>15907.532836071321</v>
      </c>
      <c r="DB220" s="246">
        <f si="230" t="shared"/>
        <v>14403.89285714285</v>
      </c>
      <c r="DC220" s="301">
        <f si="231" t="shared"/>
        <v>-1503.6399789284715</v>
      </c>
      <c r="DD220" s="302">
        <f si="232" t="shared"/>
        <v>-9.2372281662850442E-2</v>
      </c>
      <c r="DE220" s="357">
        <f si="233" t="shared"/>
        <v>1.1043912221398413</v>
      </c>
    </row>
    <row r="221" spans="99:109" x14ac:dyDescent="0.25">
      <c r="CU221">
        <v>220</v>
      </c>
      <c r="CV221">
        <f si="234" t="shared"/>
        <v>11</v>
      </c>
      <c r="CW221">
        <f si="227" t="shared"/>
        <v>20</v>
      </c>
      <c r="CX221" s="355" t="str">
        <f si="228" t="shared"/>
        <v>11_20</v>
      </c>
      <c r="CY221" s="246">
        <f si="225" t="shared"/>
        <v>0</v>
      </c>
      <c r="CZ221" s="246">
        <f si="226" t="shared"/>
        <v>23.6428571428571</v>
      </c>
      <c r="DA221" s="246">
        <f si="229" t="shared"/>
        <v>0</v>
      </c>
      <c r="DB221" s="246">
        <f si="230" t="shared"/>
        <v>24.571428571428548</v>
      </c>
      <c r="DC221" s="301">
        <f si="231" t="shared"/>
        <v>24.571428571428548</v>
      </c>
      <c r="DD221" s="302">
        <f si="232" t="shared"/>
        <v>0</v>
      </c>
      <c r="DE221" s="357">
        <f si="233" t="shared"/>
        <v>0</v>
      </c>
    </row>
    <row r="222" spans="99:109" x14ac:dyDescent="0.25">
      <c r="CU222">
        <v>221</v>
      </c>
      <c r="CV222">
        <f si="234" t="shared"/>
        <v>12</v>
      </c>
      <c r="CW222">
        <f si="227" t="shared"/>
        <v>1</v>
      </c>
      <c r="CX222" s="355" t="str">
        <f si="228" t="shared"/>
        <v>1_12</v>
      </c>
      <c r="CY222" s="246">
        <f si="225" t="shared"/>
        <v>237.61962698596653</v>
      </c>
      <c r="CZ222" s="246">
        <f si="226" t="shared"/>
        <v>6160.4285714285697</v>
      </c>
      <c r="DA222" s="246">
        <f si="229" t="shared"/>
        <v>323.4050605777237</v>
      </c>
      <c r="DB222" s="246">
        <f si="230" t="shared"/>
        <v>6575.1428571428551</v>
      </c>
      <c r="DC222" s="301">
        <f si="231" t="shared"/>
        <v>6251.7377965651312</v>
      </c>
      <c r="DD222" s="302">
        <f si="232" t="shared"/>
        <v>26.309854433591674</v>
      </c>
      <c r="DE222" s="357">
        <f si="233" t="shared"/>
        <v>4.9186012776345253E-2</v>
      </c>
    </row>
    <row r="223" spans="99:109" x14ac:dyDescent="0.25">
      <c r="CU223">
        <v>222</v>
      </c>
      <c r="CV223">
        <f si="234" t="shared"/>
        <v>12</v>
      </c>
      <c r="CW223">
        <f si="227" t="shared"/>
        <v>2</v>
      </c>
      <c r="CX223" s="355" t="str">
        <f si="228" t="shared"/>
        <v>2_12</v>
      </c>
      <c r="CY223" s="246">
        <f si="225" t="shared"/>
        <v>0</v>
      </c>
      <c r="CZ223" s="246">
        <f si="226" t="shared"/>
        <v>5979.9285714285697</v>
      </c>
      <c r="DA223" s="246">
        <f si="229" t="shared"/>
        <v>0</v>
      </c>
      <c r="DB223" s="246">
        <f si="230" t="shared"/>
        <v>6266.75</v>
      </c>
      <c r="DC223" s="301">
        <f si="231" t="shared"/>
        <v>6266.75</v>
      </c>
      <c r="DD223" s="302">
        <f si="232" t="shared"/>
        <v>0</v>
      </c>
      <c r="DE223" s="357">
        <f si="233" t="shared"/>
        <v>0</v>
      </c>
    </row>
    <row r="224" spans="99:109" x14ac:dyDescent="0.25">
      <c r="CU224">
        <v>223</v>
      </c>
      <c r="CV224">
        <f si="234" t="shared"/>
        <v>12</v>
      </c>
      <c r="CW224">
        <f si="227" t="shared"/>
        <v>3</v>
      </c>
      <c r="CX224" s="355" t="str">
        <f si="228" t="shared"/>
        <v>3_12</v>
      </c>
      <c r="CY224" s="246">
        <f si="225" t="shared"/>
        <v>2128.9219138832109</v>
      </c>
      <c r="CZ224" s="246">
        <f si="226" t="shared"/>
        <v>2470.7142857142899</v>
      </c>
      <c r="DA224" s="246">
        <f si="229" t="shared"/>
        <v>2130.0065031686445</v>
      </c>
      <c r="DB224" s="246">
        <f si="230" t="shared"/>
        <v>2491.9285714285752</v>
      </c>
      <c r="DC224" s="301">
        <f si="231" t="shared"/>
        <v>361.92206825993071</v>
      </c>
      <c r="DD224" s="302">
        <f si="232" t="shared"/>
        <v>0.17000250967391053</v>
      </c>
      <c r="DE224" s="357">
        <f si="233" t="shared"/>
        <v>0.85476226228569319</v>
      </c>
    </row>
    <row r="225" spans="99:109" x14ac:dyDescent="0.25">
      <c r="CU225">
        <v>224</v>
      </c>
      <c r="CV225">
        <f si="234" t="shared"/>
        <v>12</v>
      </c>
      <c r="CW225">
        <f si="227" t="shared"/>
        <v>4</v>
      </c>
      <c r="CX225" s="355" t="str">
        <f si="228" t="shared"/>
        <v>4_12</v>
      </c>
      <c r="CY225" s="246">
        <f si="225" t="shared"/>
        <v>0</v>
      </c>
      <c r="CZ225" s="246">
        <f si="226" t="shared"/>
        <v>1264.5</v>
      </c>
      <c r="DA225" s="246">
        <f si="229" t="shared"/>
        <v>0</v>
      </c>
      <c r="DB225" s="246">
        <f si="230" t="shared"/>
        <v>1285</v>
      </c>
      <c r="DC225" s="301">
        <f si="231" t="shared"/>
        <v>1285</v>
      </c>
      <c r="DD225" s="302">
        <f si="232" t="shared"/>
        <v>0</v>
      </c>
      <c r="DE225" s="357">
        <f si="233" t="shared"/>
        <v>0</v>
      </c>
    </row>
    <row r="226" spans="99:109" x14ac:dyDescent="0.25">
      <c r="CU226">
        <v>225</v>
      </c>
      <c r="CV226">
        <f si="234" t="shared"/>
        <v>12</v>
      </c>
      <c r="CW226">
        <f si="227" t="shared"/>
        <v>5</v>
      </c>
      <c r="CX226" s="355" t="str">
        <f si="228" t="shared"/>
        <v>5_12</v>
      </c>
      <c r="CY226" s="246">
        <f si="225" t="shared"/>
        <v>1074.8024896380814</v>
      </c>
      <c r="CZ226" s="246">
        <f si="226" t="shared"/>
        <v>2389.6428571428601</v>
      </c>
      <c r="DA226" s="246">
        <f si="229" t="shared"/>
        <v>1014.7362292893725</v>
      </c>
      <c r="DB226" s="246">
        <f si="230" t="shared"/>
        <v>2509.9285714285752</v>
      </c>
      <c r="DC226" s="301">
        <f si="231" t="shared"/>
        <v>1495.1923421392025</v>
      </c>
      <c r="DD226" s="302">
        <f si="232" t="shared"/>
        <v>1.3911321908480869</v>
      </c>
      <c r="DE226" s="357">
        <f si="233" t="shared"/>
        <v>0.40428888727770268</v>
      </c>
    </row>
    <row r="227" spans="99:109" x14ac:dyDescent="0.25">
      <c r="CU227">
        <v>226</v>
      </c>
      <c r="CV227">
        <f si="234" t="shared"/>
        <v>12</v>
      </c>
      <c r="CW227">
        <f si="227" t="shared"/>
        <v>6</v>
      </c>
      <c r="CX227" s="355" t="str">
        <f si="228" t="shared"/>
        <v>6_12</v>
      </c>
      <c r="CY227" s="246">
        <f si="225" t="shared"/>
        <v>9766.5904539068379</v>
      </c>
      <c r="CZ227" s="246">
        <f si="226" t="shared"/>
        <v>14806</v>
      </c>
      <c r="DA227" s="246">
        <f si="229" t="shared"/>
        <v>9994.8461115522878</v>
      </c>
      <c r="DB227" s="246">
        <f si="230" t="shared"/>
        <v>15328.321428571449</v>
      </c>
      <c r="DC227" s="301">
        <f si="231" t="shared"/>
        <v>5333.4753170191616</v>
      </c>
      <c r="DD227" s="302">
        <f si="232" t="shared"/>
        <v>0.54609388426701777</v>
      </c>
      <c r="DE227" s="357">
        <f si="233" t="shared"/>
        <v>0.6520509214350273</v>
      </c>
    </row>
    <row r="228" spans="99:109" x14ac:dyDescent="0.25">
      <c r="CU228">
        <v>227</v>
      </c>
      <c r="CV228">
        <f si="234" t="shared"/>
        <v>12</v>
      </c>
      <c r="CW228">
        <f si="227" t="shared"/>
        <v>7</v>
      </c>
      <c r="CX228" s="355" t="str">
        <f si="228" t="shared"/>
        <v>7_12</v>
      </c>
      <c r="CY228" s="246">
        <f si="225" t="shared"/>
        <v>18888.445629892227</v>
      </c>
      <c r="CZ228" s="246">
        <f si="226" t="shared"/>
        <v>23094.785714285699</v>
      </c>
      <c r="DA228" s="246">
        <f si="229" t="shared"/>
        <v>18647.929864857659</v>
      </c>
      <c r="DB228" s="246">
        <f si="230" t="shared"/>
        <v>22670.071428571398</v>
      </c>
      <c r="DC228" s="301">
        <f si="231" t="shared"/>
        <v>4022.1415637137397</v>
      </c>
      <c r="DD228" s="302">
        <f si="232" t="shared"/>
        <v>0.21294190334796168</v>
      </c>
      <c r="DE228" s="357">
        <f si="233" t="shared"/>
        <v>0.82257922846045473</v>
      </c>
    </row>
    <row r="229" spans="99:109" x14ac:dyDescent="0.25">
      <c r="CU229">
        <v>228</v>
      </c>
      <c r="CV229">
        <f si="234" t="shared"/>
        <v>12</v>
      </c>
      <c r="CW229">
        <f si="227" t="shared"/>
        <v>8</v>
      </c>
      <c r="CX229" s="355" t="str">
        <f si="228" t="shared"/>
        <v>8_12</v>
      </c>
      <c r="CY229" s="246">
        <f si="225" t="shared"/>
        <v>0</v>
      </c>
      <c r="CZ229" s="246">
        <f si="226" t="shared"/>
        <v>178.57142857142901</v>
      </c>
      <c r="DA229" s="246">
        <f si="229" t="shared"/>
        <v>0</v>
      </c>
      <c r="DB229" s="246">
        <f si="230" t="shared"/>
        <v>170.0357142857145</v>
      </c>
      <c r="DC229" s="301">
        <f si="231" t="shared"/>
        <v>170.0357142857145</v>
      </c>
      <c r="DD229" s="302">
        <f si="232" t="shared"/>
        <v>0</v>
      </c>
      <c r="DE229" s="357">
        <f si="233" t="shared"/>
        <v>0</v>
      </c>
    </row>
    <row r="230" spans="99:109" x14ac:dyDescent="0.25">
      <c r="CU230">
        <v>229</v>
      </c>
      <c r="CV230">
        <f si="234" t="shared"/>
        <v>12</v>
      </c>
      <c r="CW230">
        <f si="227" t="shared"/>
        <v>9</v>
      </c>
      <c r="CX230" s="355" t="str">
        <f si="228" t="shared"/>
        <v>9_12</v>
      </c>
      <c r="CY230" s="246">
        <f si="225" t="shared"/>
        <v>3478.3879842853153</v>
      </c>
      <c r="CZ230" s="246">
        <f si="226" t="shared"/>
        <v>3809</v>
      </c>
      <c r="DA230" s="246">
        <f si="229" t="shared"/>
        <v>3461.9265539033277</v>
      </c>
      <c r="DB230" s="246">
        <f si="230" t="shared"/>
        <v>3707.6428571428551</v>
      </c>
      <c r="DC230" s="301">
        <f si="231" t="shared"/>
        <v>245.71630323952741</v>
      </c>
      <c r="DD230" s="302">
        <f si="232" t="shared"/>
        <v>7.0640855577246184E-2</v>
      </c>
      <c r="DE230" s="357">
        <f si="233" t="shared"/>
        <v>0.93372708410516148</v>
      </c>
    </row>
    <row r="231" spans="99:109" x14ac:dyDescent="0.25">
      <c r="CU231">
        <v>230</v>
      </c>
      <c r="CV231">
        <f si="234" t="shared"/>
        <v>12</v>
      </c>
      <c r="CW231">
        <f si="227" t="shared"/>
        <v>10</v>
      </c>
      <c r="CX231" s="355" t="str">
        <f si="228" t="shared"/>
        <v>10_12</v>
      </c>
      <c r="CY231" s="246">
        <f si="225" t="shared"/>
        <v>6947.1759725164457</v>
      </c>
      <c r="CZ231" s="246">
        <f si="226" t="shared"/>
        <v>6645.5</v>
      </c>
      <c r="DA231" s="246">
        <f si="229" t="shared"/>
        <v>6949.5357480757521</v>
      </c>
      <c r="DB231" s="246">
        <f si="230" t="shared"/>
        <v>6467.3214285714294</v>
      </c>
      <c r="DC231" s="301">
        <f si="231" t="shared"/>
        <v>-482.2143195043227</v>
      </c>
      <c r="DD231" s="302">
        <f si="232" t="shared"/>
        <v>-6.9411559662803865E-2</v>
      </c>
      <c r="DE231" s="357">
        <f si="233" t="shared"/>
        <v>1.0745616751587432</v>
      </c>
    </row>
    <row r="232" spans="99:109" x14ac:dyDescent="0.25">
      <c r="CU232">
        <v>231</v>
      </c>
      <c r="CV232">
        <f si="234" t="shared"/>
        <v>12</v>
      </c>
      <c r="CW232">
        <f si="227" t="shared"/>
        <v>11</v>
      </c>
      <c r="CX232" s="355" t="str">
        <f si="228" t="shared"/>
        <v>11_12</v>
      </c>
      <c r="CY232" s="246">
        <f si="225" t="shared"/>
        <v>0</v>
      </c>
      <c r="CZ232" s="246">
        <f si="226" t="shared"/>
        <v>1089.1428571428601</v>
      </c>
      <c r="DA232" s="246">
        <f si="229" t="shared"/>
        <v>0</v>
      </c>
      <c r="DB232" s="246">
        <f si="230" t="shared"/>
        <v>1066.6785714285752</v>
      </c>
      <c r="DC232" s="301">
        <f si="231" t="shared"/>
        <v>1066.6785714285752</v>
      </c>
      <c r="DD232" s="302">
        <f si="232" t="shared"/>
        <v>0</v>
      </c>
      <c r="DE232" s="357">
        <f si="233" t="shared"/>
        <v>0</v>
      </c>
    </row>
    <row r="233" spans="99:109" x14ac:dyDescent="0.25">
      <c r="CU233">
        <v>232</v>
      </c>
      <c r="CV233">
        <f si="234" t="shared"/>
        <v>12</v>
      </c>
      <c r="CW233">
        <f si="227" t="shared"/>
        <v>12</v>
      </c>
      <c r="CX233" s="355" t="str">
        <f si="228" t="shared"/>
        <v>12_12</v>
      </c>
      <c r="CY233" s="246">
        <f si="225" t="shared"/>
        <v>297893.39063680155</v>
      </c>
      <c r="CZ233" s="246">
        <f si="226" t="shared"/>
        <v>277954.78571428597</v>
      </c>
      <c r="DA233" s="246">
        <f si="229" t="shared"/>
        <v>297893.39063680155</v>
      </c>
      <c r="DB233" s="246">
        <f si="230" t="shared"/>
        <v>277954.78571428597</v>
      </c>
      <c r="DC233" s="301">
        <f si="231" t="shared"/>
        <v>-19938.604922515573</v>
      </c>
      <c r="DD233" s="302">
        <f si="232" t="shared"/>
        <v>-6.6932015107462314E-2</v>
      </c>
      <c r="DE233" s="357">
        <f si="233" t="shared"/>
        <v>1.0717332672336528</v>
      </c>
    </row>
    <row r="234" spans="99:109" x14ac:dyDescent="0.25">
      <c r="CU234">
        <v>233</v>
      </c>
      <c r="CV234">
        <f si="234" t="shared"/>
        <v>12</v>
      </c>
      <c r="CW234">
        <f si="227" t="shared"/>
        <v>13</v>
      </c>
      <c r="CX234" s="355" t="str">
        <f si="228" t="shared"/>
        <v>12_13</v>
      </c>
      <c r="CY234" s="246">
        <f si="225" t="shared"/>
        <v>46.923746860304483</v>
      </c>
      <c r="CZ234" s="246">
        <f si="226" t="shared"/>
        <v>2859.2857142857101</v>
      </c>
      <c r="DA234" s="246">
        <f si="229" t="shared"/>
        <v>23.461873430152242</v>
      </c>
      <c r="DB234" s="246">
        <f si="230" t="shared"/>
        <v>2696.7142857142853</v>
      </c>
      <c r="DC234" s="301">
        <f si="231" t="shared"/>
        <v>2673.2524122841332</v>
      </c>
      <c r="DD234" s="302">
        <f si="232" t="shared"/>
        <v>56.970139666011889</v>
      </c>
      <c r="DE234" s="357">
        <f si="233" t="shared"/>
        <v>8.7001702606910904E-3</v>
      </c>
    </row>
    <row r="235" spans="99:109" x14ac:dyDescent="0.25">
      <c r="CU235">
        <v>234</v>
      </c>
      <c r="CV235">
        <f si="234" t="shared"/>
        <v>12</v>
      </c>
      <c r="CW235">
        <f si="227" t="shared"/>
        <v>14</v>
      </c>
      <c r="CX235" s="355" t="str">
        <f si="228" t="shared"/>
        <v>12_14</v>
      </c>
      <c r="CY235" s="246">
        <f si="225" t="shared"/>
        <v>0</v>
      </c>
      <c r="CZ235" s="246">
        <f si="226" t="shared"/>
        <v>345</v>
      </c>
      <c r="DA235" s="246">
        <f si="229" t="shared"/>
        <v>0</v>
      </c>
      <c r="DB235" s="246">
        <f si="230" t="shared"/>
        <v>331.5</v>
      </c>
      <c r="DC235" s="301">
        <f si="231" t="shared"/>
        <v>331.5</v>
      </c>
      <c r="DD235" s="302">
        <f si="232" t="shared"/>
        <v>0</v>
      </c>
      <c r="DE235" s="357">
        <f si="233" t="shared"/>
        <v>0</v>
      </c>
    </row>
    <row r="236" spans="99:109" x14ac:dyDescent="0.25">
      <c r="CU236">
        <v>235</v>
      </c>
      <c r="CV236">
        <f si="234" t="shared"/>
        <v>12</v>
      </c>
      <c r="CW236">
        <f si="227" t="shared"/>
        <v>15</v>
      </c>
      <c r="CX236" s="355" t="str">
        <f si="228" t="shared"/>
        <v>12_15</v>
      </c>
      <c r="CY236" s="246">
        <f si="225" t="shared"/>
        <v>0</v>
      </c>
      <c r="CZ236" s="246">
        <f si="226" t="shared"/>
        <v>626.92857142857099</v>
      </c>
      <c r="DA236" s="246">
        <f si="229" t="shared"/>
        <v>0</v>
      </c>
      <c r="DB236" s="246">
        <f si="230" t="shared"/>
        <v>585.17857142857099</v>
      </c>
      <c r="DC236" s="301">
        <f si="231" t="shared"/>
        <v>585.17857142857099</v>
      </c>
      <c r="DD236" s="302">
        <f si="232" t="shared"/>
        <v>0</v>
      </c>
      <c r="DE236" s="357">
        <f si="233" t="shared"/>
        <v>0</v>
      </c>
    </row>
    <row r="237" spans="99:109" x14ac:dyDescent="0.25">
      <c r="CU237">
        <v>236</v>
      </c>
      <c r="CV237">
        <f si="234" t="shared"/>
        <v>12</v>
      </c>
      <c r="CW237">
        <f si="227" t="shared"/>
        <v>16</v>
      </c>
      <c r="CX237" s="355" t="str">
        <f si="228" t="shared"/>
        <v>12_16</v>
      </c>
      <c r="CY237" s="246">
        <f si="225" t="shared"/>
        <v>4015.326549058093</v>
      </c>
      <c r="CZ237" s="246">
        <f si="226" t="shared"/>
        <v>3468.2857142857101</v>
      </c>
      <c r="DA237" s="246">
        <f si="229" t="shared"/>
        <v>3888.2271928584196</v>
      </c>
      <c r="DB237" s="246">
        <f si="230" t="shared"/>
        <v>3276.25</v>
      </c>
      <c r="DC237" s="301">
        <f si="231" t="shared"/>
        <v>-611.97719285841958</v>
      </c>
      <c r="DD237" s="302">
        <f si="232" t="shared"/>
        <v>-0.15241031716386202</v>
      </c>
      <c r="DE237" s="357">
        <f si="233" t="shared"/>
        <v>1.1867919703497656</v>
      </c>
    </row>
    <row r="238" spans="99:109" x14ac:dyDescent="0.25">
      <c r="CU238">
        <v>237</v>
      </c>
      <c r="CV238">
        <f si="234" t="shared"/>
        <v>12</v>
      </c>
      <c r="CW238">
        <f si="227" t="shared"/>
        <v>17</v>
      </c>
      <c r="CX238" s="355" t="str">
        <f si="228" t="shared"/>
        <v>12_17</v>
      </c>
      <c r="CY238" s="246">
        <f si="225" t="shared"/>
        <v>0</v>
      </c>
      <c r="CZ238" s="246">
        <f si="226" t="shared"/>
        <v>239.642857142857</v>
      </c>
      <c r="DA238" s="246">
        <f si="229" t="shared"/>
        <v>0</v>
      </c>
      <c r="DB238" s="246">
        <f si="230" t="shared"/>
        <v>232.9285714285715</v>
      </c>
      <c r="DC238" s="301">
        <f si="231" t="shared"/>
        <v>232.9285714285715</v>
      </c>
      <c r="DD238" s="302">
        <f si="232" t="shared"/>
        <v>0</v>
      </c>
      <c r="DE238" s="357">
        <f si="233" t="shared"/>
        <v>0</v>
      </c>
    </row>
    <row r="239" spans="99:109" x14ac:dyDescent="0.25">
      <c r="CU239">
        <v>238</v>
      </c>
      <c r="CV239">
        <f si="234" t="shared"/>
        <v>12</v>
      </c>
      <c r="CW239">
        <f si="227" t="shared"/>
        <v>18</v>
      </c>
      <c r="CX239" s="355" t="str">
        <f si="228" t="shared"/>
        <v>12_18</v>
      </c>
      <c r="CY239" s="246">
        <f si="225" t="shared"/>
        <v>15750.620284239265</v>
      </c>
      <c r="CZ239" s="246">
        <f si="226" t="shared"/>
        <v>12373.5714285714</v>
      </c>
      <c r="DA239" s="246">
        <f si="229" t="shared"/>
        <v>15313.924707816859</v>
      </c>
      <c r="DB239" s="246">
        <f si="230" t="shared"/>
        <v>11750.892857142851</v>
      </c>
      <c r="DC239" s="301">
        <f si="231" t="shared"/>
        <v>-3563.0318506740077</v>
      </c>
      <c r="DD239" s="302">
        <f si="232" t="shared"/>
        <v>-0.22621533542011216</v>
      </c>
      <c r="DE239" s="357">
        <f si="233" t="shared"/>
        <v>1.303213712693176</v>
      </c>
    </row>
    <row r="240" spans="99:109" x14ac:dyDescent="0.25">
      <c r="CU240">
        <v>239</v>
      </c>
      <c r="CV240">
        <f si="234" t="shared"/>
        <v>12</v>
      </c>
      <c r="CW240">
        <f si="227" t="shared"/>
        <v>19</v>
      </c>
      <c r="CX240" s="355" t="str">
        <f si="228" t="shared"/>
        <v>12_19</v>
      </c>
      <c r="CY240" s="246">
        <f si="225" t="shared"/>
        <v>73.41423502222851</v>
      </c>
      <c r="CZ240" s="246">
        <f si="226" t="shared"/>
        <v>392</v>
      </c>
      <c r="DA240" s="246">
        <f si="229" t="shared"/>
        <v>64.526221757043459</v>
      </c>
      <c r="DB240" s="246">
        <f si="230" t="shared"/>
        <v>368.392857142857</v>
      </c>
      <c r="DC240" s="301">
        <f si="231" t="shared"/>
        <v>303.86663538581354</v>
      </c>
      <c r="DD240" s="302">
        <f si="232" t="shared"/>
        <v>4.1390696953228234</v>
      </c>
      <c r="DE240" s="357">
        <f si="233" t="shared"/>
        <v>0.17515600670840695</v>
      </c>
    </row>
    <row r="241" spans="99:109" x14ac:dyDescent="0.25">
      <c r="CU241">
        <v>240</v>
      </c>
      <c r="CV241">
        <f si="234" t="shared"/>
        <v>12</v>
      </c>
      <c r="CW241">
        <f si="227" t="shared"/>
        <v>20</v>
      </c>
      <c r="CX241" s="355" t="str">
        <f si="228" t="shared"/>
        <v>12_20</v>
      </c>
      <c r="CY241" s="246">
        <f si="225" t="shared"/>
        <v>0</v>
      </c>
      <c r="CZ241" s="246">
        <f si="226" t="shared"/>
        <v>3679.7142857142899</v>
      </c>
      <c r="DA241" s="246">
        <f si="229" t="shared"/>
        <v>0</v>
      </c>
      <c r="DB241" s="246">
        <f si="230" t="shared"/>
        <v>3508.75</v>
      </c>
      <c r="DC241" s="301">
        <f si="231" t="shared"/>
        <v>3508.75</v>
      </c>
      <c r="DD241" s="302">
        <f si="232" t="shared"/>
        <v>0</v>
      </c>
      <c r="DE241" s="357">
        <f si="233" t="shared"/>
        <v>0</v>
      </c>
    </row>
    <row r="242" spans="99:109" x14ac:dyDescent="0.25">
      <c r="CU242">
        <v>241</v>
      </c>
      <c r="CV242">
        <f si="234" t="shared"/>
        <v>13</v>
      </c>
      <c r="CW242">
        <f si="227" t="shared"/>
        <v>1</v>
      </c>
      <c r="CX242" s="355" t="str">
        <f si="228" t="shared"/>
        <v>1_13</v>
      </c>
      <c r="CY242" s="246">
        <f si="225" t="shared"/>
        <v>902.5170455102126</v>
      </c>
      <c r="CZ242" s="246">
        <f si="226" t="shared"/>
        <v>285.78571428571399</v>
      </c>
      <c r="DA242" s="246">
        <f si="229" t="shared"/>
        <v>900.77989076118831</v>
      </c>
      <c r="DB242" s="246">
        <f si="230" t="shared"/>
        <v>325.142857142857</v>
      </c>
      <c r="DC242" s="301">
        <f si="231" t="shared"/>
        <v>-575.63703361833132</v>
      </c>
      <c r="DD242" s="302">
        <f si="232" t="shared"/>
        <v>-0.6378129216306504</v>
      </c>
      <c r="DE242" s="357">
        <f si="233" t="shared"/>
        <v>2.7704126693006681</v>
      </c>
    </row>
    <row r="243" spans="99:109" x14ac:dyDescent="0.25">
      <c r="CU243">
        <v>242</v>
      </c>
      <c r="CV243">
        <f si="234" t="shared"/>
        <v>13</v>
      </c>
      <c r="CW243">
        <f si="227" t="shared"/>
        <v>2</v>
      </c>
      <c r="CX243" s="355" t="str">
        <f si="228" t="shared"/>
        <v>2_13</v>
      </c>
      <c r="CY243" s="246">
        <f si="225" t="shared"/>
        <v>20.108529593583086</v>
      </c>
      <c r="CZ243" s="246">
        <f si="226" t="shared"/>
        <v>264.78571428571399</v>
      </c>
      <c r="DA243" s="246">
        <f si="229" t="shared"/>
        <v>28.194904205917258</v>
      </c>
      <c r="DB243" s="246">
        <f si="230" t="shared"/>
        <v>315.892857142857</v>
      </c>
      <c r="DC243" s="301">
        <f si="231" t="shared"/>
        <v>287.69795293693971</v>
      </c>
      <c r="DD243" s="302">
        <f si="232" t="shared"/>
        <v>14.307259593399021</v>
      </c>
      <c r="DE243" s="357">
        <f si="233" t="shared"/>
        <v>8.9254643048692323E-2</v>
      </c>
    </row>
    <row r="244" spans="99:109" x14ac:dyDescent="0.25">
      <c r="CU244">
        <v>243</v>
      </c>
      <c r="CV244">
        <f si="234" t="shared"/>
        <v>13</v>
      </c>
      <c r="CW244">
        <f si="227" t="shared"/>
        <v>3</v>
      </c>
      <c r="CX244" s="355" t="str">
        <f si="228" t="shared"/>
        <v>3_13</v>
      </c>
      <c r="CY244" s="246">
        <f si="225" t="shared"/>
        <v>677.24219675062182</v>
      </c>
      <c r="CZ244" s="246">
        <f si="226" t="shared"/>
        <v>197.5</v>
      </c>
      <c r="DA244" s="246">
        <f si="229" t="shared"/>
        <v>675.45549270030256</v>
      </c>
      <c r="DB244" s="246">
        <f si="230" t="shared"/>
        <v>212.642857142857</v>
      </c>
      <c r="DC244" s="301">
        <f si="231" t="shared"/>
        <v>-462.81263555744556</v>
      </c>
      <c r="DD244" s="302">
        <f si="232" t="shared"/>
        <v>-0.68337832134205478</v>
      </c>
      <c r="DE244" s="357">
        <f si="233" t="shared"/>
        <v>3.1764786354733765</v>
      </c>
    </row>
    <row r="245" spans="99:109" x14ac:dyDescent="0.25">
      <c r="CU245">
        <v>244</v>
      </c>
      <c r="CV245">
        <f si="234" t="shared"/>
        <v>13</v>
      </c>
      <c r="CW245">
        <f si="227" t="shared"/>
        <v>4</v>
      </c>
      <c r="CX245" s="355" t="str">
        <f si="228" t="shared"/>
        <v>4_13</v>
      </c>
      <c r="CY245" s="246">
        <f si="225" t="shared"/>
        <v>380.02170621119058</v>
      </c>
      <c r="CZ245" s="246">
        <f si="226" t="shared"/>
        <v>62.428571428571402</v>
      </c>
      <c r="DA245" s="246">
        <f si="229" t="shared"/>
        <v>388.03450848274213</v>
      </c>
      <c r="DB245" s="246">
        <f si="230" t="shared"/>
        <v>73.321428571428555</v>
      </c>
      <c r="DC245" s="301">
        <f si="231" t="shared"/>
        <v>-314.71307991131357</v>
      </c>
      <c r="DD245" s="302">
        <f si="232" t="shared"/>
        <v>-0.82814501058109857</v>
      </c>
      <c r="DE245" s="357">
        <f si="233" t="shared"/>
        <v>5.2922387908021342</v>
      </c>
    </row>
    <row r="246" spans="99:109" x14ac:dyDescent="0.25">
      <c r="CU246">
        <v>245</v>
      </c>
      <c r="CV246">
        <f si="234" t="shared"/>
        <v>13</v>
      </c>
      <c r="CW246">
        <f si="227" t="shared"/>
        <v>5</v>
      </c>
      <c r="CX246" s="355" t="str">
        <f si="228" t="shared"/>
        <v>5_13</v>
      </c>
      <c r="CY246" s="246">
        <f si="225" t="shared"/>
        <v>447.24497024860921</v>
      </c>
      <c r="CZ246" s="246">
        <f si="226" t="shared"/>
        <v>100.5</v>
      </c>
      <c r="DA246" s="246">
        <f si="229" t="shared"/>
        <v>449.98549706987023</v>
      </c>
      <c r="DB246" s="246">
        <f si="230" t="shared"/>
        <v>96.214285714285694</v>
      </c>
      <c r="DC246" s="301">
        <f si="231" t="shared"/>
        <v>-353.77121135558457</v>
      </c>
      <c r="DD246" s="302">
        <f si="232" t="shared"/>
        <v>-0.79100098355255832</v>
      </c>
      <c r="DE246" s="357">
        <f si="233" t="shared"/>
        <v>4.6769093979051108</v>
      </c>
    </row>
    <row r="247" spans="99:109" x14ac:dyDescent="0.25">
      <c r="CU247">
        <v>246</v>
      </c>
      <c r="CV247">
        <f si="234" t="shared"/>
        <v>13</v>
      </c>
      <c r="CW247">
        <f si="227" t="shared"/>
        <v>6</v>
      </c>
      <c r="CX247" s="355" t="str">
        <f si="228" t="shared"/>
        <v>6_13</v>
      </c>
      <c r="CY247" s="246">
        <f si="225" t="shared"/>
        <v>1386.6112099068421</v>
      </c>
      <c r="CZ247" s="246">
        <f si="226" t="shared"/>
        <v>349.71428571428601</v>
      </c>
      <c r="DA247" s="246">
        <f si="229" t="shared"/>
        <v>1392.9588420140467</v>
      </c>
      <c r="DB247" s="246">
        <f si="230" t="shared"/>
        <v>381.5357142857145</v>
      </c>
      <c r="DC247" s="301">
        <f si="231" t="shared"/>
        <v>-1011.4231277283322</v>
      </c>
      <c r="DD247" s="302">
        <f si="232" t="shared"/>
        <v>-0.7294208502730074</v>
      </c>
      <c r="DE247" s="357">
        <f si="233" t="shared"/>
        <v>3.6509264791157245</v>
      </c>
    </row>
    <row r="248" spans="99:109" x14ac:dyDescent="0.25">
      <c r="CU248">
        <v>247</v>
      </c>
      <c r="CV248">
        <f si="234" t="shared"/>
        <v>13</v>
      </c>
      <c r="CW248">
        <f si="227" t="shared"/>
        <v>7</v>
      </c>
      <c r="CX248" s="355" t="str">
        <f si="228" t="shared"/>
        <v>7_13</v>
      </c>
      <c r="CY248" s="246">
        <f si="225" t="shared"/>
        <v>18836.349038516011</v>
      </c>
      <c r="CZ248" s="246">
        <f si="226" t="shared"/>
        <v>14108.0714285714</v>
      </c>
      <c r="DA248" s="246">
        <f si="229" t="shared"/>
        <v>18991.646341361862</v>
      </c>
      <c r="DB248" s="246">
        <f si="230" t="shared"/>
        <v>14269.178571428551</v>
      </c>
      <c r="DC248" s="301">
        <f si="231" t="shared"/>
        <v>-4722.4677699333115</v>
      </c>
      <c r="DD248" s="302">
        <f si="232" t="shared"/>
        <v>-0.25071035582728629</v>
      </c>
      <c r="DE248" s="357">
        <f si="233" t="shared"/>
        <v>1.3309558252630742</v>
      </c>
    </row>
    <row r="249" spans="99:109" x14ac:dyDescent="0.25">
      <c r="CU249">
        <v>248</v>
      </c>
      <c r="CV249">
        <f si="234" t="shared"/>
        <v>13</v>
      </c>
      <c r="CW249">
        <f si="227" t="shared"/>
        <v>8</v>
      </c>
      <c r="CX249" s="355" t="str">
        <f si="228" t="shared"/>
        <v>8_13</v>
      </c>
      <c r="CY249" s="246">
        <f si="225" t="shared"/>
        <v>132.28896033190674</v>
      </c>
      <c r="CZ249" s="246">
        <f si="226" t="shared"/>
        <v>14.0714285714286</v>
      </c>
      <c r="DA249" s="246">
        <f si="229" t="shared"/>
        <v>132.81391486630355</v>
      </c>
      <c r="DB249" s="246">
        <f si="230" t="shared"/>
        <v>14.214285714285751</v>
      </c>
      <c r="DC249" s="301">
        <f si="231" t="shared"/>
        <v>-118.5996291520178</v>
      </c>
      <c r="DD249" s="302">
        <f si="232" t="shared"/>
        <v>-0.89651947414551403</v>
      </c>
      <c r="DE249" s="357">
        <f si="233" t="shared"/>
        <v>9.3436925031570102</v>
      </c>
    </row>
    <row r="250" spans="99:109" x14ac:dyDescent="0.25">
      <c r="CU250">
        <v>249</v>
      </c>
      <c r="CV250">
        <f si="234" t="shared"/>
        <v>13</v>
      </c>
      <c r="CW250">
        <f si="227" t="shared"/>
        <v>9</v>
      </c>
      <c r="CX250" s="355" t="str">
        <f si="228" t="shared"/>
        <v>9_13</v>
      </c>
      <c r="CY250" s="246">
        <f si="225" t="shared"/>
        <v>922.6574849128798</v>
      </c>
      <c r="CZ250" s="246">
        <f si="226" t="shared"/>
        <v>1254.3571428571399</v>
      </c>
      <c r="DA250" s="246">
        <f si="229" t="shared"/>
        <v>866.2646885903456</v>
      </c>
      <c r="DB250" s="246">
        <f si="230" t="shared"/>
        <v>1261.17857142857</v>
      </c>
      <c r="DC250" s="301">
        <f si="231" t="shared"/>
        <v>394.91388283822437</v>
      </c>
      <c r="DD250" s="302">
        <f si="232" t="shared"/>
        <v>0.42801786068587888</v>
      </c>
      <c r="DE250" s="357">
        <f si="233" t="shared"/>
        <v>0.68686917793814473</v>
      </c>
    </row>
    <row r="251" spans="99:109" x14ac:dyDescent="0.25">
      <c r="CU251">
        <v>250</v>
      </c>
      <c r="CV251">
        <f si="234" t="shared"/>
        <v>13</v>
      </c>
      <c r="CW251">
        <f si="227" t="shared"/>
        <v>10</v>
      </c>
      <c r="CX251" s="355" t="str">
        <f si="228" t="shared"/>
        <v>10_13</v>
      </c>
      <c r="CY251" s="246">
        <f si="225" t="shared"/>
        <v>362.85445910963784</v>
      </c>
      <c r="CZ251" s="246">
        <f si="226" t="shared"/>
        <v>79.714285714285694</v>
      </c>
      <c r="DA251" s="246">
        <f si="229" t="shared"/>
        <v>364.95112849113383</v>
      </c>
      <c r="DB251" s="246">
        <f si="230" t="shared"/>
        <v>84.321428571428555</v>
      </c>
      <c r="DC251" s="301">
        <f si="231" t="shared"/>
        <v>-280.62969991970527</v>
      </c>
      <c r="DD251" s="302">
        <f si="232" t="shared"/>
        <v>-0.77339465693299347</v>
      </c>
      <c r="DE251" s="357">
        <f si="233" t="shared"/>
        <v>4.3280947046809608</v>
      </c>
    </row>
    <row r="252" spans="99:109" x14ac:dyDescent="0.25">
      <c r="CU252">
        <v>251</v>
      </c>
      <c r="CV252">
        <f si="234" t="shared"/>
        <v>13</v>
      </c>
      <c r="CW252">
        <f si="227" t="shared"/>
        <v>11</v>
      </c>
      <c r="CX252" s="355" t="str">
        <f si="228" t="shared"/>
        <v>11_13</v>
      </c>
      <c r="CY252" s="246">
        <f si="225" t="shared"/>
        <v>0</v>
      </c>
      <c r="CZ252" s="246">
        <f si="226" t="shared"/>
        <v>147</v>
      </c>
      <c r="DA252" s="246">
        <f si="229" t="shared"/>
        <v>0</v>
      </c>
      <c r="DB252" s="246">
        <f si="230" t="shared"/>
        <v>145.9285714285715</v>
      </c>
      <c r="DC252" s="301">
        <f si="231" t="shared"/>
        <v>145.9285714285715</v>
      </c>
      <c r="DD252" s="302">
        <f si="232" t="shared"/>
        <v>0</v>
      </c>
      <c r="DE252" s="357">
        <f si="233" t="shared"/>
        <v>0</v>
      </c>
    </row>
    <row r="253" spans="99:109" x14ac:dyDescent="0.25">
      <c r="CU253">
        <v>252</v>
      </c>
      <c r="CV253">
        <f si="234" t="shared"/>
        <v>13</v>
      </c>
      <c r="CW253">
        <f si="227" t="shared"/>
        <v>12</v>
      </c>
      <c r="CX253" s="355" t="str">
        <f si="228" t="shared"/>
        <v>12_13</v>
      </c>
      <c r="CY253" s="246">
        <f si="225" t="shared"/>
        <v>0</v>
      </c>
      <c r="CZ253" s="246">
        <f si="226" t="shared"/>
        <v>2534.1428571428601</v>
      </c>
      <c r="DA253" s="246">
        <f si="229" t="shared"/>
        <v>23.461873430152242</v>
      </c>
      <c r="DB253" s="246">
        <f si="230" t="shared"/>
        <v>2696.7142857142853</v>
      </c>
      <c r="DC253" s="301">
        <f si="231" t="shared"/>
        <v>2673.2524122841332</v>
      </c>
      <c r="DD253" s="302">
        <f si="232" t="shared"/>
        <v>0</v>
      </c>
      <c r="DE253" s="357">
        <f si="233" t="shared"/>
        <v>8.7001702606910904E-3</v>
      </c>
    </row>
    <row r="254" spans="99:109" x14ac:dyDescent="0.25">
      <c r="CU254">
        <v>253</v>
      </c>
      <c r="CV254">
        <f si="234" t="shared"/>
        <v>13</v>
      </c>
      <c r="CW254">
        <f si="227" t="shared"/>
        <v>13</v>
      </c>
      <c r="CX254" s="355" t="str">
        <f si="228" t="shared"/>
        <v>13_13</v>
      </c>
      <c r="CY254" s="246">
        <f si="225" t="shared"/>
        <v>245034.39877904631</v>
      </c>
      <c r="CZ254" s="246">
        <f si="226" t="shared"/>
        <v>232601.92857142899</v>
      </c>
      <c r="DA254" s="246">
        <f si="229" t="shared"/>
        <v>245034.39877904631</v>
      </c>
      <c r="DB254" s="246">
        <f si="230" t="shared"/>
        <v>232601.92857142899</v>
      </c>
      <c r="DC254" s="301">
        <f si="231" t="shared"/>
        <v>-12432.470207617327</v>
      </c>
      <c r="DD254" s="302">
        <f si="232" t="shared"/>
        <v>-5.0737652629857896E-2</v>
      </c>
      <c r="DE254" s="357">
        <f si="233" t="shared"/>
        <v>1.0534495577228178</v>
      </c>
    </row>
    <row r="255" spans="99:109" x14ac:dyDescent="0.25">
      <c r="CU255">
        <v>254</v>
      </c>
      <c r="CV255">
        <f si="234" t="shared"/>
        <v>13</v>
      </c>
      <c r="CW255">
        <f si="227" t="shared"/>
        <v>14</v>
      </c>
      <c r="CX255" s="355" t="str">
        <f si="228" t="shared"/>
        <v>13_14</v>
      </c>
      <c r="CY255" s="246">
        <f si="225" t="shared"/>
        <v>95.218306554091413</v>
      </c>
      <c r="CZ255" s="246">
        <f si="226" t="shared"/>
        <v>18.6428571428571</v>
      </c>
      <c r="DA255" s="246">
        <f si="229" t="shared"/>
        <v>94.422655590202723</v>
      </c>
      <c r="DB255" s="246">
        <f si="230" t="shared"/>
        <v>20.857142857142851</v>
      </c>
      <c r="DC255" s="301">
        <f si="231" t="shared"/>
        <v>-73.565512733059876</v>
      </c>
      <c r="DD255" s="302">
        <f si="232" t="shared"/>
        <v>-0.77259841510906246</v>
      </c>
      <c r="DE255" s="357">
        <f si="233" t="shared"/>
        <v>4.5271136241878036</v>
      </c>
    </row>
    <row r="256" spans="99:109" x14ac:dyDescent="0.25">
      <c r="CU256">
        <v>255</v>
      </c>
      <c r="CV256">
        <f si="234" t="shared"/>
        <v>13</v>
      </c>
      <c r="CW256">
        <f si="227" t="shared"/>
        <v>15</v>
      </c>
      <c r="CX256" s="355" t="str">
        <f si="228" t="shared"/>
        <v>13_15</v>
      </c>
      <c r="CY256" s="246">
        <f si="225" t="shared"/>
        <v>6580.459773953502</v>
      </c>
      <c r="CZ256" s="246">
        <f si="226" t="shared"/>
        <v>7425.0714285714303</v>
      </c>
      <c r="DA256" s="246">
        <f si="229" t="shared"/>
        <v>6433.5259073187226</v>
      </c>
      <c r="DB256" s="246">
        <f si="230" t="shared"/>
        <v>7283.5357142857156</v>
      </c>
      <c r="DC256" s="301">
        <f si="231" t="shared"/>
        <v>850.00980696699298</v>
      </c>
      <c r="DD256" s="302">
        <f si="232" t="shared"/>
        <v>0.12917179591788797</v>
      </c>
      <c r="DE256" s="357">
        <f si="233" t="shared"/>
        <v>0.88329709082090335</v>
      </c>
    </row>
    <row r="257" spans="99:109" x14ac:dyDescent="0.25">
      <c r="CU257">
        <v>256</v>
      </c>
      <c r="CV257">
        <f si="234" t="shared"/>
        <v>13</v>
      </c>
      <c r="CW257">
        <f si="227" t="shared"/>
        <v>16</v>
      </c>
      <c r="CX257" s="355" t="str">
        <f si="228" t="shared"/>
        <v>13_16</v>
      </c>
      <c r="CY257" s="246">
        <f si="225" t="shared"/>
        <v>0</v>
      </c>
      <c r="CZ257" s="246">
        <f si="226" t="shared"/>
        <v>80.714285714285694</v>
      </c>
      <c r="DA257" s="246">
        <f si="229" t="shared"/>
        <v>0</v>
      </c>
      <c r="DB257" s="246">
        <f si="230" t="shared"/>
        <v>80.464285714285694</v>
      </c>
      <c r="DC257" s="301">
        <f si="231" t="shared"/>
        <v>80.464285714285694</v>
      </c>
      <c r="DD257" s="302">
        <f si="232" t="shared"/>
        <v>0</v>
      </c>
      <c r="DE257" s="357">
        <f si="233" t="shared"/>
        <v>0</v>
      </c>
    </row>
    <row r="258" spans="99:109" x14ac:dyDescent="0.25">
      <c r="CU258">
        <v>257</v>
      </c>
      <c r="CV258">
        <f si="234" t="shared"/>
        <v>13</v>
      </c>
      <c r="CW258">
        <f si="227" t="shared"/>
        <v>17</v>
      </c>
      <c r="CX258" s="355" t="str">
        <f si="228" t="shared"/>
        <v>13_17</v>
      </c>
      <c r="CY258" s="246">
        <f ref="CY258:CY321" si="235" t="shared">VLOOKUP($CV258,$B$67:$V$86,MATCH($CW258,$B$66:$V$66,0),0)</f>
        <v>0</v>
      </c>
      <c r="CZ258" s="246">
        <f ref="CZ258:CZ321" si="236" t="shared">VLOOKUP($CV258,$Z$41:$AT$60,MATCH($CW258,$Z$40:$AT$40,0),0)</f>
        <v>31.785714285714299</v>
      </c>
      <c r="DA258" s="246">
        <f si="229" t="shared"/>
        <v>0</v>
      </c>
      <c r="DB258" s="246">
        <f si="230" t="shared"/>
        <v>31.571428571428598</v>
      </c>
      <c r="DC258" s="301">
        <f si="231" t="shared"/>
        <v>31.571428571428598</v>
      </c>
      <c r="DD258" s="302">
        <f si="232" t="shared"/>
        <v>0</v>
      </c>
      <c r="DE258" s="357">
        <f si="233" t="shared"/>
        <v>0</v>
      </c>
    </row>
    <row r="259" spans="99:109" x14ac:dyDescent="0.25">
      <c r="CU259">
        <v>258</v>
      </c>
      <c r="CV259">
        <f si="234" t="shared"/>
        <v>13</v>
      </c>
      <c r="CW259">
        <f ref="CW259:CW322" si="237" t="shared">MOD(ROW()-2,$CS$2)+1</f>
        <v>18</v>
      </c>
      <c r="CX259" s="355" t="str">
        <f ref="CX259:CX322" si="238" t="shared">IF(CV259&lt;=CW259,CONCATENATE(CV259,"_",CW259),CONCATENATE(CW259,"_",CV259))</f>
        <v>13_18</v>
      </c>
      <c r="CY259" s="246">
        <f si="235" t="shared"/>
        <v>8584.3233209207465</v>
      </c>
      <c r="CZ259" s="246">
        <f si="236" t="shared"/>
        <v>9965.0714285714294</v>
      </c>
      <c r="DA259" s="246">
        <f ref="DA259:DA322" si="239" t="shared">AVERAGEIF($CX$2:$CX$401,$CX259,$CY$2:$CY$401)</f>
        <v>8454.0049768018507</v>
      </c>
      <c r="DB259" s="246">
        <f ref="DB259:DB322" si="240" t="shared">AVERAGEIF($CX$2:$CX$401,$CX259,$CZ$2:$CZ$401)</f>
        <v>9717.8571428571449</v>
      </c>
      <c r="DC259" s="301">
        <f ref="DC259:DC322" si="241" t="shared">DB259-DA259</f>
        <v>1263.8521660552942</v>
      </c>
      <c r="DD259" s="302">
        <f ref="DD259:DD322" si="242" t="shared">IF(CY259&gt;0,DC259/CY259,0)</f>
        <v>0.1472279315220078</v>
      </c>
      <c r="DE259" s="357">
        <f ref="DE259:DE322" si="243" t="shared">DA259/DB259</f>
        <v>0.86994538533793375</v>
      </c>
    </row>
    <row r="260" spans="99:109" x14ac:dyDescent="0.25">
      <c r="CU260">
        <v>259</v>
      </c>
      <c r="CV260">
        <f ref="CV260:CV323" si="244" t="shared">IF(CW259&lt;$CS$2,CV259,CV259+1)</f>
        <v>13</v>
      </c>
      <c r="CW260">
        <f si="237" t="shared"/>
        <v>19</v>
      </c>
      <c r="CX260" s="355" t="str">
        <f si="238" t="shared"/>
        <v>13_19</v>
      </c>
      <c r="CY260" s="246">
        <f si="235" t="shared"/>
        <v>0</v>
      </c>
      <c r="CZ260" s="246">
        <f si="236" t="shared"/>
        <v>206.78571428571399</v>
      </c>
      <c r="DA260" s="246">
        <f si="239" t="shared"/>
        <v>0</v>
      </c>
      <c r="DB260" s="246">
        <f si="240" t="shared"/>
        <v>204</v>
      </c>
      <c r="DC260" s="301">
        <f si="241" t="shared"/>
        <v>204</v>
      </c>
      <c r="DD260" s="302">
        <f si="242" t="shared"/>
        <v>0</v>
      </c>
      <c r="DE260" s="357">
        <f si="243" t="shared"/>
        <v>0</v>
      </c>
    </row>
    <row r="261" spans="99:109" x14ac:dyDescent="0.25">
      <c r="CU261">
        <v>260</v>
      </c>
      <c r="CV261">
        <f si="244" t="shared"/>
        <v>13</v>
      </c>
      <c r="CW261">
        <f si="237" t="shared"/>
        <v>20</v>
      </c>
      <c r="CX261" s="355" t="str">
        <f si="238" t="shared"/>
        <v>13_20</v>
      </c>
      <c r="CY261" s="246">
        <f si="235" t="shared"/>
        <v>0</v>
      </c>
      <c r="CZ261" s="246">
        <f si="236" t="shared"/>
        <v>469.07142857142901</v>
      </c>
      <c r="DA261" s="246">
        <f si="239" t="shared"/>
        <v>0</v>
      </c>
      <c r="DB261" s="246">
        <f si="240" t="shared"/>
        <v>463.7857142857145</v>
      </c>
      <c r="DC261" s="301">
        <f si="241" t="shared"/>
        <v>463.7857142857145</v>
      </c>
      <c r="DD261" s="302">
        <f si="242" t="shared"/>
        <v>0</v>
      </c>
      <c r="DE261" s="357">
        <f si="243" t="shared"/>
        <v>0</v>
      </c>
    </row>
    <row r="262" spans="99:109" x14ac:dyDescent="0.25">
      <c r="CU262">
        <v>261</v>
      </c>
      <c r="CV262">
        <f si="244" t="shared"/>
        <v>14</v>
      </c>
      <c r="CW262">
        <f si="237" t="shared"/>
        <v>1</v>
      </c>
      <c r="CX262" s="355" t="str">
        <f si="238" t="shared"/>
        <v>1_14</v>
      </c>
      <c r="CY262" s="246">
        <f si="235" t="shared"/>
        <v>0</v>
      </c>
      <c r="CZ262" s="246">
        <f si="236" t="shared"/>
        <v>1468.8571428571399</v>
      </c>
      <c r="DA262" s="246">
        <f si="239" t="shared"/>
        <v>0</v>
      </c>
      <c r="DB262" s="246">
        <f si="240" t="shared"/>
        <v>1557.2857142857151</v>
      </c>
      <c r="DC262" s="301">
        <f si="241" t="shared"/>
        <v>1557.2857142857151</v>
      </c>
      <c r="DD262" s="302">
        <f si="242" t="shared"/>
        <v>0</v>
      </c>
      <c r="DE262" s="357">
        <f si="243" t="shared"/>
        <v>0</v>
      </c>
    </row>
    <row r="263" spans="99:109" x14ac:dyDescent="0.25">
      <c r="CU263">
        <v>262</v>
      </c>
      <c r="CV263">
        <f si="244" t="shared"/>
        <v>14</v>
      </c>
      <c r="CW263">
        <f si="237" t="shared"/>
        <v>2</v>
      </c>
      <c r="CX263" s="355" t="str">
        <f si="238" t="shared"/>
        <v>2_14</v>
      </c>
      <c r="CY263" s="246">
        <f si="235" t="shared"/>
        <v>0</v>
      </c>
      <c r="CZ263" s="246">
        <f si="236" t="shared"/>
        <v>178.07142857142901</v>
      </c>
      <c r="DA263" s="246">
        <f si="239" t="shared"/>
        <v>0</v>
      </c>
      <c r="DB263" s="246">
        <f si="240" t="shared"/>
        <v>214.1785714285715</v>
      </c>
      <c r="DC263" s="301">
        <f si="241" t="shared"/>
        <v>214.1785714285715</v>
      </c>
      <c r="DD263" s="302">
        <f si="242" t="shared"/>
        <v>0</v>
      </c>
      <c r="DE263" s="357">
        <f si="243" t="shared"/>
        <v>0</v>
      </c>
    </row>
    <row r="264" spans="99:109" x14ac:dyDescent="0.25">
      <c r="CU264">
        <v>263</v>
      </c>
      <c r="CV264">
        <f si="244" t="shared"/>
        <v>14</v>
      </c>
      <c r="CW264">
        <f si="237" t="shared"/>
        <v>3</v>
      </c>
      <c r="CX264" s="355" t="str">
        <f si="238" t="shared"/>
        <v>3_14</v>
      </c>
      <c r="CY264" s="246">
        <f si="235" t="shared"/>
        <v>0</v>
      </c>
      <c r="CZ264" s="246">
        <f si="236" t="shared"/>
        <v>1771.5</v>
      </c>
      <c r="DA264" s="246">
        <f si="239" t="shared"/>
        <v>0</v>
      </c>
      <c r="DB264" s="246">
        <f si="240" t="shared"/>
        <v>1812.6071428571449</v>
      </c>
      <c r="DC264" s="301">
        <f si="241" t="shared"/>
        <v>1812.6071428571449</v>
      </c>
      <c r="DD264" s="302">
        <f si="242" t="shared"/>
        <v>0</v>
      </c>
      <c r="DE264" s="357">
        <f si="243" t="shared"/>
        <v>0</v>
      </c>
    </row>
    <row r="265" spans="99:109" x14ac:dyDescent="0.25">
      <c r="CU265">
        <v>264</v>
      </c>
      <c r="CV265">
        <f si="244" t="shared"/>
        <v>14</v>
      </c>
      <c r="CW265">
        <f si="237" t="shared"/>
        <v>4</v>
      </c>
      <c r="CX265" s="355" t="str">
        <f si="238" t="shared"/>
        <v>4_14</v>
      </c>
      <c r="CY265" s="246">
        <f si="235" t="shared"/>
        <v>0</v>
      </c>
      <c r="CZ265" s="246">
        <f si="236" t="shared"/>
        <v>1287.42857142857</v>
      </c>
      <c r="DA265" s="246">
        <f si="239" t="shared"/>
        <v>0</v>
      </c>
      <c r="DB265" s="246">
        <f si="240" t="shared"/>
        <v>1299.25</v>
      </c>
      <c r="DC265" s="301">
        <f si="241" t="shared"/>
        <v>1299.25</v>
      </c>
      <c r="DD265" s="302">
        <f si="242" t="shared"/>
        <v>0</v>
      </c>
      <c r="DE265" s="357">
        <f si="243" t="shared"/>
        <v>0</v>
      </c>
    </row>
    <row r="266" spans="99:109" x14ac:dyDescent="0.25">
      <c r="CU266">
        <v>265</v>
      </c>
      <c r="CV266">
        <f si="244" t="shared"/>
        <v>14</v>
      </c>
      <c r="CW266">
        <f si="237" t="shared"/>
        <v>5</v>
      </c>
      <c r="CX266" s="355" t="str">
        <f si="238" t="shared"/>
        <v>5_14</v>
      </c>
      <c r="CY266" s="246">
        <f si="235" t="shared"/>
        <v>193.36741632988782</v>
      </c>
      <c r="CZ266" s="246">
        <f si="236" t="shared"/>
        <v>575.857142857143</v>
      </c>
      <c r="DA266" s="246">
        <f si="239" t="shared"/>
        <v>198.81184511338159</v>
      </c>
      <c r="DB266" s="246">
        <f si="240" t="shared"/>
        <v>610</v>
      </c>
      <c r="DC266" s="301">
        <f si="241" t="shared"/>
        <v>411.18815488661841</v>
      </c>
      <c r="DD266" s="302">
        <f si="242" t="shared"/>
        <v>2.1264604072959479</v>
      </c>
      <c r="DE266" s="357">
        <f si="243" t="shared"/>
        <v>0.32592105756292067</v>
      </c>
    </row>
    <row r="267" spans="99:109" x14ac:dyDescent="0.25">
      <c r="CU267">
        <v>266</v>
      </c>
      <c r="CV267">
        <f si="244" t="shared"/>
        <v>14</v>
      </c>
      <c r="CW267">
        <f si="237" t="shared"/>
        <v>6</v>
      </c>
      <c r="CX267" s="355" t="str">
        <f si="238" t="shared"/>
        <v>6_14</v>
      </c>
      <c r="CY267" s="246">
        <f si="235" t="shared"/>
        <v>0</v>
      </c>
      <c r="CZ267" s="246">
        <f si="236" t="shared"/>
        <v>895.92857142857099</v>
      </c>
      <c r="DA267" s="246">
        <f si="239" t="shared"/>
        <v>0</v>
      </c>
      <c r="DB267" s="246">
        <f si="240" t="shared"/>
        <v>973.53571428571558</v>
      </c>
      <c r="DC267" s="301">
        <f si="241" t="shared"/>
        <v>973.53571428571558</v>
      </c>
      <c r="DD267" s="302">
        <f si="242" t="shared"/>
        <v>0</v>
      </c>
      <c r="DE267" s="357">
        <f si="243" t="shared"/>
        <v>0</v>
      </c>
    </row>
    <row r="268" spans="99:109" x14ac:dyDescent="0.25">
      <c r="CU268">
        <v>267</v>
      </c>
      <c r="CV268">
        <f si="244" t="shared"/>
        <v>14</v>
      </c>
      <c r="CW268">
        <f si="237" t="shared"/>
        <v>7</v>
      </c>
      <c r="CX268" s="355" t="str">
        <f si="238" t="shared"/>
        <v>7_14</v>
      </c>
      <c r="CY268" s="246">
        <f si="235" t="shared"/>
        <v>0</v>
      </c>
      <c r="CZ268" s="246">
        <f si="236" t="shared"/>
        <v>135.857142857143</v>
      </c>
      <c r="DA268" s="246">
        <f si="239" t="shared"/>
        <v>0</v>
      </c>
      <c r="DB268" s="246">
        <f si="240" t="shared"/>
        <v>137.9285714285715</v>
      </c>
      <c r="DC268" s="301">
        <f si="241" t="shared"/>
        <v>137.9285714285715</v>
      </c>
      <c r="DD268" s="302">
        <f si="242" t="shared"/>
        <v>0</v>
      </c>
      <c r="DE268" s="357">
        <f si="243" t="shared"/>
        <v>0</v>
      </c>
    </row>
    <row r="269" spans="99:109" x14ac:dyDescent="0.25">
      <c r="CU269">
        <v>268</v>
      </c>
      <c r="CV269">
        <f si="244" t="shared"/>
        <v>14</v>
      </c>
      <c r="CW269">
        <f si="237" t="shared"/>
        <v>8</v>
      </c>
      <c r="CX269" s="355" t="str">
        <f si="238" t="shared"/>
        <v>8_14</v>
      </c>
      <c r="CY269" s="246">
        <f si="235" t="shared"/>
        <v>655.39098708364099</v>
      </c>
      <c r="CZ269" s="246">
        <f si="236" t="shared"/>
        <v>486.92857142857099</v>
      </c>
      <c r="DA269" s="246">
        <f si="239" t="shared"/>
        <v>670.52229624012034</v>
      </c>
      <c r="DB269" s="246">
        <f si="240" t="shared"/>
        <v>490.5</v>
      </c>
      <c r="DC269" s="301">
        <f si="241" t="shared"/>
        <v>-180.02229624012034</v>
      </c>
      <c r="DD269" s="302">
        <f si="242" t="shared"/>
        <v>-0.27467923695622304</v>
      </c>
      <c r="DE269" s="357">
        <f si="243" t="shared"/>
        <v>1.3670179332112544</v>
      </c>
    </row>
    <row r="270" spans="99:109" x14ac:dyDescent="0.25">
      <c r="CU270">
        <v>269</v>
      </c>
      <c r="CV270">
        <f si="244" t="shared"/>
        <v>14</v>
      </c>
      <c r="CW270">
        <f si="237" t="shared"/>
        <v>9</v>
      </c>
      <c r="CX270" s="355" t="str">
        <f si="238" t="shared"/>
        <v>9_14</v>
      </c>
      <c r="CY270" s="246">
        <f si="235" t="shared"/>
        <v>0</v>
      </c>
      <c r="CZ270" s="246">
        <f si="236" t="shared"/>
        <v>452</v>
      </c>
      <c r="DA270" s="246">
        <f si="239" t="shared"/>
        <v>0</v>
      </c>
      <c r="DB270" s="246">
        <f si="240" t="shared"/>
        <v>454.5</v>
      </c>
      <c r="DC270" s="301">
        <f si="241" t="shared"/>
        <v>454.5</v>
      </c>
      <c r="DD270" s="302">
        <f si="242" t="shared"/>
        <v>0</v>
      </c>
      <c r="DE270" s="357">
        <f si="243" t="shared"/>
        <v>0</v>
      </c>
    </row>
    <row r="271" spans="99:109" x14ac:dyDescent="0.25">
      <c r="CU271">
        <v>270</v>
      </c>
      <c r="CV271">
        <f si="244" t="shared"/>
        <v>14</v>
      </c>
      <c r="CW271">
        <f si="237" t="shared"/>
        <v>10</v>
      </c>
      <c r="CX271" s="355" t="str">
        <f si="238" t="shared"/>
        <v>10_14</v>
      </c>
      <c r="CY271" s="246">
        <f si="235" t="shared"/>
        <v>153.140242440333</v>
      </c>
      <c r="CZ271" s="246">
        <f si="236" t="shared"/>
        <v>283</v>
      </c>
      <c r="DA271" s="246">
        <f si="239" t="shared"/>
        <v>150.75078930516571</v>
      </c>
      <c r="DB271" s="246">
        <f si="240" t="shared"/>
        <v>289.5714285714285</v>
      </c>
      <c r="DC271" s="301">
        <f si="241" t="shared"/>
        <v>138.82063926626279</v>
      </c>
      <c r="DD271" s="302">
        <f si="242" t="shared"/>
        <v>0.90649353203388416</v>
      </c>
      <c r="DE271" s="357">
        <f si="243" t="shared"/>
        <v>0.5205996670627332</v>
      </c>
    </row>
    <row r="272" spans="99:109" x14ac:dyDescent="0.25">
      <c r="CU272">
        <v>271</v>
      </c>
      <c r="CV272">
        <f si="244" t="shared"/>
        <v>14</v>
      </c>
      <c r="CW272">
        <f si="237" t="shared"/>
        <v>11</v>
      </c>
      <c r="CX272" s="355" t="str">
        <f si="238" t="shared"/>
        <v>11_14</v>
      </c>
      <c r="CY272" s="246">
        <f si="235" t="shared"/>
        <v>0</v>
      </c>
      <c r="CZ272" s="246">
        <f si="236" t="shared"/>
        <v>2738.9285714285702</v>
      </c>
      <c r="DA272" s="246">
        <f si="239" t="shared"/>
        <v>0</v>
      </c>
      <c r="DB272" s="246">
        <f si="240" t="shared"/>
        <v>2851.6428571428551</v>
      </c>
      <c r="DC272" s="301">
        <f si="241" t="shared"/>
        <v>2851.6428571428551</v>
      </c>
      <c r="DD272" s="302">
        <f si="242" t="shared"/>
        <v>0</v>
      </c>
      <c r="DE272" s="357">
        <f si="243" t="shared"/>
        <v>0</v>
      </c>
    </row>
    <row r="273" spans="99:109" x14ac:dyDescent="0.25">
      <c r="CU273">
        <v>272</v>
      </c>
      <c r="CV273">
        <f si="244" t="shared"/>
        <v>14</v>
      </c>
      <c r="CW273">
        <f si="237" t="shared"/>
        <v>12</v>
      </c>
      <c r="CX273" s="355" t="str">
        <f si="238" t="shared"/>
        <v>12_14</v>
      </c>
      <c r="CY273" s="246">
        <f si="235" t="shared"/>
        <v>0</v>
      </c>
      <c r="CZ273" s="246">
        <f si="236" t="shared"/>
        <v>318</v>
      </c>
      <c r="DA273" s="246">
        <f si="239" t="shared"/>
        <v>0</v>
      </c>
      <c r="DB273" s="246">
        <f si="240" t="shared"/>
        <v>331.5</v>
      </c>
      <c r="DC273" s="301">
        <f si="241" t="shared"/>
        <v>331.5</v>
      </c>
      <c r="DD273" s="302">
        <f si="242" t="shared"/>
        <v>0</v>
      </c>
      <c r="DE273" s="357">
        <f si="243" t="shared"/>
        <v>0</v>
      </c>
    </row>
    <row r="274" spans="99:109" x14ac:dyDescent="0.25">
      <c r="CU274">
        <v>273</v>
      </c>
      <c r="CV274">
        <f si="244" t="shared"/>
        <v>14</v>
      </c>
      <c r="CW274">
        <f si="237" t="shared"/>
        <v>13</v>
      </c>
      <c r="CX274" s="355" t="str">
        <f si="238" t="shared"/>
        <v>13_14</v>
      </c>
      <c r="CY274" s="246">
        <f si="235" t="shared"/>
        <v>93.627004626314033</v>
      </c>
      <c r="CZ274" s="246">
        <f si="236" t="shared"/>
        <v>23.071428571428601</v>
      </c>
      <c r="DA274" s="246">
        <f si="239" t="shared"/>
        <v>94.422655590202723</v>
      </c>
      <c r="DB274" s="246">
        <f si="240" t="shared"/>
        <v>20.857142857142851</v>
      </c>
      <c r="DC274" s="301">
        <f si="241" t="shared"/>
        <v>-73.565512733059876</v>
      </c>
      <c r="DD274" s="302">
        <f si="242" t="shared"/>
        <v>-0.78572964100129039</v>
      </c>
      <c r="DE274" s="357">
        <f si="243" t="shared"/>
        <v>4.5271136241878036</v>
      </c>
    </row>
    <row r="275" spans="99:109" x14ac:dyDescent="0.25">
      <c r="CU275">
        <v>274</v>
      </c>
      <c r="CV275">
        <f si="244" t="shared"/>
        <v>14</v>
      </c>
      <c r="CW275">
        <f si="237" t="shared"/>
        <v>14</v>
      </c>
      <c r="CX275" s="355" t="str">
        <f si="238" t="shared"/>
        <v>14_14</v>
      </c>
      <c r="CY275" s="246">
        <f si="235" t="shared"/>
        <v>53696.734353672764</v>
      </c>
      <c r="CZ275" s="246">
        <f si="236" t="shared"/>
        <v>43735.357142857101</v>
      </c>
      <c r="DA275" s="246">
        <f si="239" t="shared"/>
        <v>53696.734353672764</v>
      </c>
      <c r="DB275" s="246">
        <f si="240" t="shared"/>
        <v>43735.357142857101</v>
      </c>
      <c r="DC275" s="301">
        <f si="241" t="shared"/>
        <v>-9961.3772108156627</v>
      </c>
      <c r="DD275" s="302">
        <f si="242" t="shared"/>
        <v>-0.18551178820680594</v>
      </c>
      <c r="DE275" s="357">
        <f si="243" t="shared"/>
        <v>1.2277648534634766</v>
      </c>
    </row>
    <row r="276" spans="99:109" x14ac:dyDescent="0.25">
      <c r="CU276">
        <v>275</v>
      </c>
      <c r="CV276">
        <f si="244" t="shared"/>
        <v>14</v>
      </c>
      <c r="CW276">
        <f si="237" t="shared"/>
        <v>15</v>
      </c>
      <c r="CX276" s="355" t="str">
        <f si="238" t="shared"/>
        <v>14_15</v>
      </c>
      <c r="CY276" s="246">
        <f si="235" t="shared"/>
        <v>0</v>
      </c>
      <c r="CZ276" s="246">
        <f si="236" t="shared"/>
        <v>23.5</v>
      </c>
      <c r="DA276" s="246">
        <f si="239" t="shared"/>
        <v>0</v>
      </c>
      <c r="DB276" s="246">
        <f si="240" t="shared"/>
        <v>23.821428571428548</v>
      </c>
      <c r="DC276" s="301">
        <f si="241" t="shared"/>
        <v>23.821428571428548</v>
      </c>
      <c r="DD276" s="302">
        <f si="242" t="shared"/>
        <v>0</v>
      </c>
      <c r="DE276" s="357">
        <f si="243" t="shared"/>
        <v>0</v>
      </c>
    </row>
    <row r="277" spans="99:109" x14ac:dyDescent="0.25">
      <c r="CU277">
        <v>276</v>
      </c>
      <c r="CV277">
        <f si="244" t="shared"/>
        <v>14</v>
      </c>
      <c r="CW277">
        <f si="237" t="shared"/>
        <v>16</v>
      </c>
      <c r="CX277" s="355" t="str">
        <f si="238" t="shared"/>
        <v>14_16</v>
      </c>
      <c r="CY277" s="246">
        <f si="235" t="shared"/>
        <v>29.019918718980946</v>
      </c>
      <c r="CZ277" s="246">
        <f si="236" t="shared"/>
        <v>16.6428571428571</v>
      </c>
      <c r="DA277" s="246">
        <f si="239" t="shared"/>
        <v>29.304450431609084</v>
      </c>
      <c r="DB277" s="246">
        <f si="240" t="shared"/>
        <v>16.964285714285701</v>
      </c>
      <c r="DC277" s="301">
        <f si="241" t="shared"/>
        <v>-12.340164717323383</v>
      </c>
      <c r="DD277" s="302">
        <f si="242" t="shared"/>
        <v>-0.42523085046589393</v>
      </c>
      <c r="DE277" s="357">
        <f si="243" t="shared"/>
        <v>1.7274202359685369</v>
      </c>
    </row>
    <row r="278" spans="99:109" x14ac:dyDescent="0.25">
      <c r="CU278">
        <v>277</v>
      </c>
      <c r="CV278">
        <f si="244" t="shared"/>
        <v>14</v>
      </c>
      <c r="CW278">
        <f si="237" t="shared"/>
        <v>17</v>
      </c>
      <c r="CX278" s="355" t="str">
        <f si="238" t="shared"/>
        <v>14_17</v>
      </c>
      <c r="CY278" s="246">
        <f si="235" t="shared"/>
        <v>1982.3835005116418</v>
      </c>
      <c r="CZ278" s="246">
        <f si="236" t="shared"/>
        <v>2456.4285714285702</v>
      </c>
      <c r="DA278" s="246">
        <f si="239" t="shared"/>
        <v>1981.449522445052</v>
      </c>
      <c r="DB278" s="246">
        <f si="240" t="shared"/>
        <v>2413</v>
      </c>
      <c r="DC278" s="301">
        <f si="241" t="shared"/>
        <v>431.55047755494797</v>
      </c>
      <c r="DD278" s="302">
        <f si="242" t="shared"/>
        <v>0.21769273071712272</v>
      </c>
      <c r="DE278" s="357">
        <f si="243" t="shared"/>
        <v>0.82115603914009616</v>
      </c>
    </row>
    <row r="279" spans="99:109" x14ac:dyDescent="0.25">
      <c r="CU279">
        <v>278</v>
      </c>
      <c r="CV279">
        <f si="244" t="shared"/>
        <v>14</v>
      </c>
      <c r="CW279">
        <f si="237" t="shared"/>
        <v>18</v>
      </c>
      <c r="CX279" s="355" t="str">
        <f si="238" t="shared"/>
        <v>14_18</v>
      </c>
      <c r="CY279" s="246">
        <f si="235" t="shared"/>
        <v>0</v>
      </c>
      <c r="CZ279" s="246">
        <f si="236" t="shared"/>
        <v>5.71428571428571</v>
      </c>
      <c r="DA279" s="246">
        <f si="239" t="shared"/>
        <v>0</v>
      </c>
      <c r="DB279" s="246">
        <f si="240" t="shared"/>
        <v>5.6428571428571406</v>
      </c>
      <c r="DC279" s="301">
        <f si="241" t="shared"/>
        <v>5.6428571428571406</v>
      </c>
      <c r="DD279" s="302">
        <f si="242" t="shared"/>
        <v>0</v>
      </c>
      <c r="DE279" s="357">
        <f si="243" t="shared"/>
        <v>0</v>
      </c>
    </row>
    <row r="280" spans="99:109" x14ac:dyDescent="0.25">
      <c r="CU280">
        <v>279</v>
      </c>
      <c r="CV280">
        <f si="244" t="shared"/>
        <v>14</v>
      </c>
      <c r="CW280">
        <f si="237" t="shared"/>
        <v>19</v>
      </c>
      <c r="CX280" s="355" t="str">
        <f si="238" t="shared"/>
        <v>14_19</v>
      </c>
      <c r="CY280" s="246">
        <f si="235" t="shared"/>
        <v>0</v>
      </c>
      <c r="CZ280" s="246">
        <f si="236" t="shared"/>
        <v>431.28571428571399</v>
      </c>
      <c r="DA280" s="246">
        <f si="239" t="shared"/>
        <v>0</v>
      </c>
      <c r="DB280" s="246">
        <f si="240" t="shared"/>
        <v>428.25</v>
      </c>
      <c r="DC280" s="301">
        <f si="241" t="shared"/>
        <v>428.25</v>
      </c>
      <c r="DD280" s="302">
        <f si="242" t="shared"/>
        <v>0</v>
      </c>
      <c r="DE280" s="357">
        <f si="243" t="shared"/>
        <v>0</v>
      </c>
    </row>
    <row r="281" spans="99:109" x14ac:dyDescent="0.25">
      <c r="CU281">
        <v>280</v>
      </c>
      <c r="CV281">
        <f si="244" t="shared"/>
        <v>14</v>
      </c>
      <c r="CW281">
        <f si="237" t="shared"/>
        <v>20</v>
      </c>
      <c r="CX281" s="355" t="str">
        <f si="238" t="shared"/>
        <v>14_20</v>
      </c>
      <c r="CY281" s="246">
        <f si="235" t="shared"/>
        <v>0</v>
      </c>
      <c r="CZ281" s="246">
        <f si="236" t="shared"/>
        <v>0</v>
      </c>
      <c r="DA281" s="246">
        <f si="239" t="shared"/>
        <v>0</v>
      </c>
      <c r="DB281" s="246">
        <f si="240" t="shared"/>
        <v>0.5</v>
      </c>
      <c r="DC281" s="301">
        <f si="241" t="shared"/>
        <v>0.5</v>
      </c>
      <c r="DD281" s="302">
        <f si="242" t="shared"/>
        <v>0</v>
      </c>
      <c r="DE281" s="357">
        <f si="243" t="shared"/>
        <v>0</v>
      </c>
    </row>
    <row r="282" spans="99:109" x14ac:dyDescent="0.25">
      <c r="CU282">
        <v>281</v>
      </c>
      <c r="CV282">
        <f si="244" t="shared"/>
        <v>15</v>
      </c>
      <c r="CW282">
        <f si="237" t="shared"/>
        <v>1</v>
      </c>
      <c r="CX282" s="355" t="str">
        <f si="238" t="shared"/>
        <v>1_15</v>
      </c>
      <c r="CY282" s="246">
        <f si="235" t="shared"/>
        <v>287.47863774205643</v>
      </c>
      <c r="CZ282" s="246">
        <f si="236" t="shared"/>
        <v>697.28571428571399</v>
      </c>
      <c r="DA282" s="246">
        <f si="239" t="shared"/>
        <v>298.22111186743564</v>
      </c>
      <c r="DB282" s="246">
        <f si="240" t="shared"/>
        <v>737.75</v>
      </c>
      <c r="DC282" s="301">
        <f si="241" t="shared"/>
        <v>439.52888813256436</v>
      </c>
      <c r="DD282" s="302">
        <f si="242" t="shared"/>
        <v>1.5289097359885808</v>
      </c>
      <c r="DE282" s="357">
        <f si="243" t="shared"/>
        <v>0.40423058199584633</v>
      </c>
    </row>
    <row r="283" spans="99:109" x14ac:dyDescent="0.25">
      <c r="CU283">
        <v>282</v>
      </c>
      <c r="CV283">
        <f si="244" t="shared"/>
        <v>15</v>
      </c>
      <c r="CW283">
        <f si="237" t="shared"/>
        <v>2</v>
      </c>
      <c r="CX283" s="355" t="str">
        <f si="238" t="shared"/>
        <v>2_15</v>
      </c>
      <c r="CY283" s="246">
        <f si="235" t="shared"/>
        <v>51.555209459771163</v>
      </c>
      <c r="CZ283" s="246">
        <f si="236" t="shared"/>
        <v>361.57142857142901</v>
      </c>
      <c r="DA283" s="246">
        <f si="239" t="shared"/>
        <v>62.349850597582567</v>
      </c>
      <c r="DB283" s="246">
        <f si="240" t="shared"/>
        <v>411.857142857143</v>
      </c>
      <c r="DC283" s="301">
        <f si="241" t="shared"/>
        <v>349.50729225956042</v>
      </c>
      <c r="DD283" s="302">
        <f si="242" t="shared"/>
        <v>6.7792817820337445</v>
      </c>
      <c r="DE283" s="357">
        <f si="243" t="shared"/>
        <v>0.15138708088209429</v>
      </c>
    </row>
    <row r="284" spans="99:109" x14ac:dyDescent="0.25">
      <c r="CU284">
        <v>283</v>
      </c>
      <c r="CV284">
        <f si="244" t="shared"/>
        <v>15</v>
      </c>
      <c r="CW284">
        <f si="237" t="shared"/>
        <v>3</v>
      </c>
      <c r="CX284" s="355" t="str">
        <f si="238" t="shared"/>
        <v>3_15</v>
      </c>
      <c r="CY284" s="246">
        <f si="235" t="shared"/>
        <v>289.28462140140806</v>
      </c>
      <c r="CZ284" s="246">
        <f si="236" t="shared"/>
        <v>475.21428571428601</v>
      </c>
      <c r="DA284" s="246">
        <f si="239" t="shared"/>
        <v>284.8210435424761</v>
      </c>
      <c r="DB284" s="246">
        <f si="240" t="shared"/>
        <v>498.89285714285751</v>
      </c>
      <c r="DC284" s="301">
        <f si="241" t="shared"/>
        <v>214.0718136003814</v>
      </c>
      <c r="DD284" s="302">
        <f si="242" t="shared"/>
        <v>0.74000412660491133</v>
      </c>
      <c r="DE284" s="357">
        <f si="243" t="shared"/>
        <v>0.57090623660887141</v>
      </c>
    </row>
    <row r="285" spans="99:109" x14ac:dyDescent="0.25">
      <c r="CU285">
        <v>284</v>
      </c>
      <c r="CV285">
        <f si="244" t="shared"/>
        <v>15</v>
      </c>
      <c r="CW285">
        <f si="237" t="shared"/>
        <v>4</v>
      </c>
      <c r="CX285" s="355" t="str">
        <f si="238" t="shared"/>
        <v>4_15</v>
      </c>
      <c r="CY285" s="246">
        <f si="235" t="shared"/>
        <v>83.259293856948361</v>
      </c>
      <c r="CZ285" s="246">
        <f si="236" t="shared"/>
        <v>159.857142857143</v>
      </c>
      <c r="DA285" s="246">
        <f si="239" t="shared"/>
        <v>88.164747173362045</v>
      </c>
      <c r="DB285" s="246">
        <f si="240" t="shared"/>
        <v>159.0714285714285</v>
      </c>
      <c r="DC285" s="301">
        <f si="241" t="shared"/>
        <v>70.906681398066453</v>
      </c>
      <c r="DD285" s="302">
        <f si="242" t="shared"/>
        <v>0.85163683371966259</v>
      </c>
      <c r="DE285" s="357">
        <f si="243" t="shared"/>
        <v>0.55424627769513657</v>
      </c>
    </row>
    <row r="286" spans="99:109" x14ac:dyDescent="0.25">
      <c r="CU286">
        <v>285</v>
      </c>
      <c r="CV286">
        <f si="244" t="shared"/>
        <v>15</v>
      </c>
      <c r="CW286">
        <f si="237" t="shared"/>
        <v>5</v>
      </c>
      <c r="CX286" s="355" t="str">
        <f si="238" t="shared"/>
        <v>5_15</v>
      </c>
      <c r="CY286" s="246">
        <f si="235" t="shared"/>
        <v>54.44115836916891</v>
      </c>
      <c r="CZ286" s="246">
        <f si="236" t="shared"/>
        <v>169.5</v>
      </c>
      <c r="DA286" s="246">
        <f si="239" t="shared"/>
        <v>57.707282293052522</v>
      </c>
      <c r="DB286" s="246">
        <f si="240" t="shared"/>
        <v>170.7142857142855</v>
      </c>
      <c r="DC286" s="301">
        <f si="241" t="shared"/>
        <v>113.00700342123298</v>
      </c>
      <c r="DD286" s="302">
        <f si="242" t="shared"/>
        <v>2.0757641241746807</v>
      </c>
      <c r="DE286" s="357">
        <f si="243" t="shared"/>
        <v>0.33803428958273485</v>
      </c>
    </row>
    <row r="287" spans="99:109" x14ac:dyDescent="0.25">
      <c r="CU287">
        <v>286</v>
      </c>
      <c r="CV287">
        <f si="244" t="shared"/>
        <v>15</v>
      </c>
      <c r="CW287">
        <f si="237" t="shared"/>
        <v>6</v>
      </c>
      <c r="CX287" s="355" t="str">
        <f si="238" t="shared"/>
        <v>6_15</v>
      </c>
      <c r="CY287" s="246">
        <f si="235" t="shared"/>
        <v>0</v>
      </c>
      <c r="CZ287" s="246">
        <f si="236" t="shared"/>
        <v>464.78571428571399</v>
      </c>
      <c r="DA287" s="246">
        <f si="239" t="shared"/>
        <v>0</v>
      </c>
      <c r="DB287" s="246">
        <f si="240" t="shared"/>
        <v>499.1785714285715</v>
      </c>
      <c r="DC287" s="301">
        <f si="241" t="shared"/>
        <v>499.1785714285715</v>
      </c>
      <c r="DD287" s="302">
        <f si="242" t="shared"/>
        <v>0</v>
      </c>
      <c r="DE287" s="357">
        <f si="243" t="shared"/>
        <v>0</v>
      </c>
    </row>
    <row r="288" spans="99:109" x14ac:dyDescent="0.25">
      <c r="CU288">
        <v>287</v>
      </c>
      <c r="CV288">
        <f si="244" t="shared"/>
        <v>15</v>
      </c>
      <c r="CW288">
        <f si="237" t="shared"/>
        <v>7</v>
      </c>
      <c r="CX288" s="355" t="str">
        <f si="238" t="shared"/>
        <v>7_15</v>
      </c>
      <c r="CY288" s="246">
        <f si="235" t="shared"/>
        <v>0</v>
      </c>
      <c r="CZ288" s="246">
        <f si="236" t="shared"/>
        <v>1711.2857142857099</v>
      </c>
      <c r="DA288" s="246">
        <f si="239" t="shared"/>
        <v>0</v>
      </c>
      <c r="DB288" s="246">
        <f si="240" t="shared"/>
        <v>1765.3928571428551</v>
      </c>
      <c r="DC288" s="301">
        <f si="241" t="shared"/>
        <v>1765.3928571428551</v>
      </c>
      <c r="DD288" s="302">
        <f si="242" t="shared"/>
        <v>0</v>
      </c>
      <c r="DE288" s="357">
        <f si="243" t="shared"/>
        <v>0</v>
      </c>
    </row>
    <row r="289" spans="99:109" x14ac:dyDescent="0.25">
      <c r="CU289">
        <v>288</v>
      </c>
      <c r="CV289">
        <f si="244" t="shared"/>
        <v>15</v>
      </c>
      <c r="CW289">
        <f si="237" t="shared"/>
        <v>8</v>
      </c>
      <c r="CX289" s="355" t="str">
        <f si="238" t="shared"/>
        <v>8_15</v>
      </c>
      <c r="CY289" s="246">
        <f si="235" t="shared"/>
        <v>24.212390782303572</v>
      </c>
      <c r="CZ289" s="246">
        <f si="236" t="shared"/>
        <v>16.285714285714299</v>
      </c>
      <c r="DA289" s="246">
        <f si="239" t="shared"/>
        <v>31.124769624076794</v>
      </c>
      <c r="DB289" s="246">
        <f si="240" t="shared"/>
        <v>15.75</v>
      </c>
      <c r="DC289" s="301">
        <f si="241" t="shared"/>
        <v>-15.374769624076794</v>
      </c>
      <c r="DD289" s="302">
        <f si="242" t="shared"/>
        <v>-0.6349959308980736</v>
      </c>
      <c r="DE289" s="357">
        <f si="243" t="shared"/>
        <v>1.976175849147733</v>
      </c>
    </row>
    <row r="290" spans="99:109" x14ac:dyDescent="0.25">
      <c r="CU290">
        <v>289</v>
      </c>
      <c r="CV290">
        <f si="244" t="shared"/>
        <v>15</v>
      </c>
      <c r="CW290">
        <f si="237" t="shared"/>
        <v>9</v>
      </c>
      <c r="CX290" s="355" t="str">
        <f si="238" t="shared"/>
        <v>9_15</v>
      </c>
      <c r="CY290" s="246">
        <f si="235" t="shared"/>
        <v>8958.855059736723</v>
      </c>
      <c r="CZ290" s="246">
        <f si="236" t="shared"/>
        <v>7516.7142857142899</v>
      </c>
      <c r="DA290" s="246">
        <f si="239" t="shared"/>
        <v>9138.8705951265838</v>
      </c>
      <c r="DB290" s="246">
        <f si="240" t="shared"/>
        <v>7576.7857142857156</v>
      </c>
      <c r="DC290" s="301">
        <f si="241" t="shared"/>
        <v>-1562.0848808408682</v>
      </c>
      <c r="DD290" s="302">
        <f si="242" t="shared"/>
        <v>-0.17436211105381738</v>
      </c>
      <c r="DE290" s="357">
        <f si="243" t="shared"/>
        <v>1.206167224433393</v>
      </c>
    </row>
    <row r="291" spans="99:109" x14ac:dyDescent="0.25">
      <c r="CU291">
        <v>290</v>
      </c>
      <c r="CV291">
        <f si="244" t="shared"/>
        <v>15</v>
      </c>
      <c r="CW291">
        <f si="237" t="shared"/>
        <v>10</v>
      </c>
      <c r="CX291" s="355" t="str">
        <f si="238" t="shared"/>
        <v>10_15</v>
      </c>
      <c r="CY291" s="246">
        <f si="235" t="shared"/>
        <v>117.54558833017852</v>
      </c>
      <c r="CZ291" s="246">
        <f si="236" t="shared"/>
        <v>81.214285714285694</v>
      </c>
      <c r="DA291" s="246">
        <f si="239" t="shared"/>
        <v>117.98357715905084</v>
      </c>
      <c r="DB291" s="246">
        <f si="240" t="shared"/>
        <v>83.357142857142847</v>
      </c>
      <c r="DC291" s="301">
        <f si="241" t="shared"/>
        <v>-34.626434301907992</v>
      </c>
      <c r="DD291" s="302">
        <f si="242" t="shared"/>
        <v>-0.29457876551389078</v>
      </c>
      <c r="DE291" s="357">
        <f si="243" t="shared"/>
        <v>1.4153985263296589</v>
      </c>
    </row>
    <row r="292" spans="99:109" x14ac:dyDescent="0.25">
      <c r="CU292">
        <v>291</v>
      </c>
      <c r="CV292">
        <f si="244" t="shared"/>
        <v>15</v>
      </c>
      <c r="CW292">
        <f si="237" t="shared"/>
        <v>11</v>
      </c>
      <c r="CX292" s="355" t="str">
        <f si="238" t="shared"/>
        <v>11_15</v>
      </c>
      <c r="CY292" s="246">
        <f si="235" t="shared"/>
        <v>0</v>
      </c>
      <c r="CZ292" s="246">
        <f si="236" t="shared"/>
        <v>532.28571428571399</v>
      </c>
      <c r="DA292" s="246">
        <f si="239" t="shared"/>
        <v>0</v>
      </c>
      <c r="DB292" s="246">
        <f si="240" t="shared"/>
        <v>544.85714285714243</v>
      </c>
      <c r="DC292" s="301">
        <f si="241" t="shared"/>
        <v>544.85714285714243</v>
      </c>
      <c r="DD292" s="302">
        <f si="242" t="shared"/>
        <v>0</v>
      </c>
      <c r="DE292" s="357">
        <f si="243" t="shared"/>
        <v>0</v>
      </c>
    </row>
    <row r="293" spans="99:109" x14ac:dyDescent="0.25">
      <c r="CU293">
        <v>292</v>
      </c>
      <c r="CV293">
        <f si="244" t="shared"/>
        <v>15</v>
      </c>
      <c r="CW293">
        <f si="237" t="shared"/>
        <v>12</v>
      </c>
      <c r="CX293" s="355" t="str">
        <f si="238" t="shared"/>
        <v>12_15</v>
      </c>
      <c r="CY293" s="246">
        <f si="235" t="shared"/>
        <v>0</v>
      </c>
      <c r="CZ293" s="246">
        <f si="236" t="shared"/>
        <v>543.42857142857099</v>
      </c>
      <c r="DA293" s="246">
        <f si="239" t="shared"/>
        <v>0</v>
      </c>
      <c r="DB293" s="246">
        <f si="240" t="shared"/>
        <v>585.17857142857099</v>
      </c>
      <c r="DC293" s="301">
        <f si="241" t="shared"/>
        <v>585.17857142857099</v>
      </c>
      <c r="DD293" s="302">
        <f si="242" t="shared"/>
        <v>0</v>
      </c>
      <c r="DE293" s="357">
        <f si="243" t="shared"/>
        <v>0</v>
      </c>
    </row>
    <row r="294" spans="99:109" x14ac:dyDescent="0.25">
      <c r="CU294">
        <v>293</v>
      </c>
      <c r="CV294">
        <f si="244" t="shared"/>
        <v>15</v>
      </c>
      <c r="CW294">
        <f si="237" t="shared"/>
        <v>13</v>
      </c>
      <c r="CX294" s="355" t="str">
        <f si="238" t="shared"/>
        <v>13_15</v>
      </c>
      <c r="CY294" s="246">
        <f si="235" t="shared"/>
        <v>6286.5920406839441</v>
      </c>
      <c r="CZ294" s="246">
        <f si="236" t="shared"/>
        <v>7142</v>
      </c>
      <c r="DA294" s="246">
        <f si="239" t="shared"/>
        <v>6433.5259073187226</v>
      </c>
      <c r="DB294" s="246">
        <f si="240" t="shared"/>
        <v>7283.5357142857156</v>
      </c>
      <c r="DC294" s="301">
        <f si="241" t="shared"/>
        <v>850.00980696699298</v>
      </c>
      <c r="DD294" s="302">
        <f si="242" t="shared"/>
        <v>0.13520995182542764</v>
      </c>
      <c r="DE294" s="357">
        <f si="243" t="shared"/>
        <v>0.88329709082090335</v>
      </c>
    </row>
    <row r="295" spans="99:109" x14ac:dyDescent="0.25">
      <c r="CU295">
        <v>294</v>
      </c>
      <c r="CV295">
        <f si="244" t="shared"/>
        <v>15</v>
      </c>
      <c r="CW295">
        <f si="237" t="shared"/>
        <v>14</v>
      </c>
      <c r="CX295" s="355" t="str">
        <f si="238" t="shared"/>
        <v>14_15</v>
      </c>
      <c r="CY295" s="246">
        <f si="235" t="shared"/>
        <v>0</v>
      </c>
      <c r="CZ295" s="246">
        <f si="236" t="shared"/>
        <v>24.1428571428571</v>
      </c>
      <c r="DA295" s="246">
        <f si="239" t="shared"/>
        <v>0</v>
      </c>
      <c r="DB295" s="246">
        <f si="240" t="shared"/>
        <v>23.821428571428548</v>
      </c>
      <c r="DC295" s="301">
        <f si="241" t="shared"/>
        <v>23.821428571428548</v>
      </c>
      <c r="DD295" s="302">
        <f si="242" t="shared"/>
        <v>0</v>
      </c>
      <c r="DE295" s="357">
        <f si="243" t="shared"/>
        <v>0</v>
      </c>
    </row>
    <row r="296" spans="99:109" x14ac:dyDescent="0.25">
      <c r="CU296">
        <v>295</v>
      </c>
      <c r="CV296">
        <f si="244" t="shared"/>
        <v>15</v>
      </c>
      <c r="CW296">
        <f si="237" t="shared"/>
        <v>15</v>
      </c>
      <c r="CX296" s="355" t="str">
        <f si="238" t="shared"/>
        <v>15_15</v>
      </c>
      <c r="CY296" s="246">
        <f si="235" t="shared"/>
        <v>70213.482994787657</v>
      </c>
      <c r="CZ296" s="246">
        <f si="236" t="shared"/>
        <v>62620.857142857101</v>
      </c>
      <c r="DA296" s="246">
        <f si="239" t="shared"/>
        <v>70213.482994787657</v>
      </c>
      <c r="DB296" s="246">
        <f si="240" t="shared"/>
        <v>62620.857142857101</v>
      </c>
      <c r="DC296" s="301">
        <f si="241" t="shared"/>
        <v>-7592.6258519305557</v>
      </c>
      <c r="DD296" s="302">
        <f si="242" t="shared"/>
        <v>-0.10813629417150833</v>
      </c>
      <c r="DE296" s="357">
        <f si="243" t="shared"/>
        <v>1.1212475555007093</v>
      </c>
    </row>
    <row r="297" spans="99:109" x14ac:dyDescent="0.25">
      <c r="CU297">
        <v>296</v>
      </c>
      <c r="CV297">
        <f si="244" t="shared"/>
        <v>15</v>
      </c>
      <c r="CW297">
        <f si="237" t="shared"/>
        <v>16</v>
      </c>
      <c r="CX297" s="355" t="str">
        <f si="238" t="shared"/>
        <v>15_16</v>
      </c>
      <c r="CY297" s="246">
        <f si="235" t="shared"/>
        <v>14.228676171406958</v>
      </c>
      <c r="CZ297" s="246">
        <f si="236" t="shared"/>
        <v>13.8571428571429</v>
      </c>
      <c r="DA297" s="246">
        <f si="239" t="shared"/>
        <v>14.372936890096717</v>
      </c>
      <c r="DB297" s="246">
        <f si="240" t="shared"/>
        <v>12.464285714285751</v>
      </c>
      <c r="DC297" s="301">
        <f si="241" t="shared"/>
        <v>-1.9086511758109665</v>
      </c>
      <c r="DD297" s="302">
        <f si="242" t="shared"/>
        <v>-0.13414116343771113</v>
      </c>
      <c r="DE297" s="357">
        <f si="243" t="shared"/>
        <v>1.1531296072283865</v>
      </c>
    </row>
    <row r="298" spans="99:109" x14ac:dyDescent="0.25">
      <c r="CU298">
        <v>297</v>
      </c>
      <c r="CV298">
        <f si="244" t="shared"/>
        <v>15</v>
      </c>
      <c r="CW298">
        <f si="237" t="shared"/>
        <v>17</v>
      </c>
      <c r="CX298" s="355" t="str">
        <f si="238" t="shared"/>
        <v>15_17</v>
      </c>
      <c r="CY298" s="246">
        <f si="235" t="shared"/>
        <v>0</v>
      </c>
      <c r="CZ298" s="246">
        <f si="236" t="shared"/>
        <v>47.714285714285701</v>
      </c>
      <c r="DA298" s="246">
        <f si="239" t="shared"/>
        <v>0</v>
      </c>
      <c r="DB298" s="246">
        <f si="240" t="shared"/>
        <v>49.535714285714299</v>
      </c>
      <c r="DC298" s="301">
        <f si="241" t="shared"/>
        <v>49.535714285714299</v>
      </c>
      <c r="DD298" s="302">
        <f si="242" t="shared"/>
        <v>0</v>
      </c>
      <c r="DE298" s="357">
        <f si="243" t="shared"/>
        <v>0</v>
      </c>
    </row>
    <row r="299" spans="99:109" x14ac:dyDescent="0.25">
      <c r="CU299">
        <v>298</v>
      </c>
      <c r="CV299">
        <f si="244" t="shared"/>
        <v>15</v>
      </c>
      <c r="CW299">
        <f si="237" t="shared"/>
        <v>18</v>
      </c>
      <c r="CX299" s="355" t="str">
        <f si="238" t="shared"/>
        <v>15_18</v>
      </c>
      <c r="CY299" s="246">
        <f si="235" t="shared"/>
        <v>52.084159421023955</v>
      </c>
      <c r="CZ299" s="246">
        <f si="236" t="shared"/>
        <v>93.642857142857096</v>
      </c>
      <c r="DA299" s="246">
        <f si="239" t="shared"/>
        <v>57.696676665710044</v>
      </c>
      <c r="DB299" s="246">
        <f si="240" t="shared"/>
        <v>96.892857142857054</v>
      </c>
      <c r="DC299" s="301">
        <f si="241" t="shared"/>
        <v>39.19618047714701</v>
      </c>
      <c r="DD299" s="302">
        <f si="242" t="shared"/>
        <v>0.75255472897821851</v>
      </c>
      <c r="DE299" s="357">
        <f si="243" t="shared"/>
        <v>0.59546883399921957</v>
      </c>
    </row>
    <row r="300" spans="99:109" x14ac:dyDescent="0.25">
      <c r="CU300">
        <v>299</v>
      </c>
      <c r="CV300">
        <f si="244" t="shared"/>
        <v>15</v>
      </c>
      <c r="CW300">
        <f si="237" t="shared"/>
        <v>19</v>
      </c>
      <c r="CX300" s="355" t="str">
        <f si="238" t="shared"/>
        <v>15_19</v>
      </c>
      <c r="CY300" s="246">
        <f si="235" t="shared"/>
        <v>0</v>
      </c>
      <c r="CZ300" s="246">
        <f si="236" t="shared"/>
        <v>1681.7142857142901</v>
      </c>
      <c r="DA300" s="246">
        <f si="239" t="shared"/>
        <v>0</v>
      </c>
      <c r="DB300" s="246">
        <f si="240" t="shared"/>
        <v>1658.1071428571449</v>
      </c>
      <c r="DC300" s="301">
        <f si="241" t="shared"/>
        <v>1658.1071428571449</v>
      </c>
      <c r="DD300" s="302">
        <f si="242" t="shared"/>
        <v>0</v>
      </c>
      <c r="DE300" s="357">
        <f si="243" t="shared"/>
        <v>0</v>
      </c>
    </row>
    <row r="301" spans="99:109" x14ac:dyDescent="0.25">
      <c r="CU301">
        <v>300</v>
      </c>
      <c r="CV301">
        <f si="244" t="shared"/>
        <v>15</v>
      </c>
      <c r="CW301">
        <f si="237" t="shared"/>
        <v>20</v>
      </c>
      <c r="CX301" s="355" t="str">
        <f si="238" t="shared"/>
        <v>15_20</v>
      </c>
      <c r="CY301" s="246">
        <f si="235" t="shared"/>
        <v>0</v>
      </c>
      <c r="CZ301" s="246">
        <f si="236" t="shared"/>
        <v>15.0714285714286</v>
      </c>
      <c r="DA301" s="246">
        <f si="239" t="shared"/>
        <v>0</v>
      </c>
      <c r="DB301" s="246">
        <f si="240" t="shared"/>
        <v>19.25</v>
      </c>
      <c r="DC301" s="301">
        <f si="241" t="shared"/>
        <v>19.25</v>
      </c>
      <c r="DD301" s="302">
        <f si="242" t="shared"/>
        <v>0</v>
      </c>
      <c r="DE301" s="357">
        <f si="243" t="shared"/>
        <v>0</v>
      </c>
    </row>
    <row r="302" spans="99:109" x14ac:dyDescent="0.25">
      <c r="CU302">
        <v>301</v>
      </c>
      <c r="CV302">
        <f si="244" t="shared"/>
        <v>16</v>
      </c>
      <c r="CW302">
        <f si="237" t="shared"/>
        <v>1</v>
      </c>
      <c r="CX302" s="355" t="str">
        <f si="238" t="shared"/>
        <v>1_16</v>
      </c>
      <c r="CY302" s="246">
        <f si="235" t="shared"/>
        <v>473.37172763810537</v>
      </c>
      <c r="CZ302" s="246">
        <f si="236" t="shared"/>
        <v>920.92857142857099</v>
      </c>
      <c r="DA302" s="246">
        <f si="239" t="shared"/>
        <v>506.38074855231264</v>
      </c>
      <c r="DB302" s="246">
        <f si="240" t="shared"/>
        <v>994.32142857143049</v>
      </c>
      <c r="DC302" s="301">
        <f si="241" t="shared"/>
        <v>487.94068001911785</v>
      </c>
      <c r="DD302" s="302">
        <f si="242" t="shared"/>
        <v>1.0307769803948885</v>
      </c>
      <c r="DE302" s="357">
        <f si="243" t="shared"/>
        <v>0.50927268989852115</v>
      </c>
    </row>
    <row r="303" spans="99:109" x14ac:dyDescent="0.25">
      <c r="CU303">
        <v>302</v>
      </c>
      <c r="CV303">
        <f si="244" t="shared"/>
        <v>16</v>
      </c>
      <c r="CW303">
        <f si="237" t="shared"/>
        <v>2</v>
      </c>
      <c r="CX303" s="355" t="str">
        <f si="238" t="shared"/>
        <v>2_16</v>
      </c>
      <c r="CY303" s="246">
        <f si="235" t="shared"/>
        <v>115.64014202084344</v>
      </c>
      <c r="CZ303" s="246">
        <f si="236" t="shared"/>
        <v>148</v>
      </c>
      <c r="DA303" s="246">
        <f si="239" t="shared"/>
        <v>111.92589167743543</v>
      </c>
      <c r="DB303" s="246">
        <f si="240" t="shared"/>
        <v>179.8214285714285</v>
      </c>
      <c r="DC303" s="301">
        <f si="241" t="shared"/>
        <v>67.895536893993068</v>
      </c>
      <c r="DD303" s="302">
        <f si="242" t="shared"/>
        <v>0.58712775432042708</v>
      </c>
      <c r="DE303" s="357">
        <f si="243" t="shared"/>
        <v>0.62242799741175636</v>
      </c>
    </row>
    <row r="304" spans="99:109" x14ac:dyDescent="0.25">
      <c r="CU304">
        <v>303</v>
      </c>
      <c r="CV304">
        <f si="244" t="shared"/>
        <v>16</v>
      </c>
      <c r="CW304">
        <f si="237" t="shared"/>
        <v>3</v>
      </c>
      <c r="CX304" s="355" t="str">
        <f si="238" t="shared"/>
        <v>3_16</v>
      </c>
      <c r="CY304" s="246">
        <f si="235" t="shared"/>
        <v>102.51586404583213</v>
      </c>
      <c r="CZ304" s="246">
        <f si="236" t="shared"/>
        <v>318.357142857143</v>
      </c>
      <c r="DA304" s="246">
        <f si="239" t="shared"/>
        <v>101.57748451816489</v>
      </c>
      <c r="DB304" s="246">
        <f si="240" t="shared"/>
        <v>336.0357142857145</v>
      </c>
      <c r="DC304" s="301">
        <f si="241" t="shared"/>
        <v>234.4582297675496</v>
      </c>
      <c r="DD304" s="302">
        <f si="242" t="shared"/>
        <v>2.2870433951834959</v>
      </c>
      <c r="DE304" s="357">
        <f si="243" t="shared"/>
        <v>0.3022818117237342</v>
      </c>
    </row>
    <row r="305" spans="99:109" x14ac:dyDescent="0.25">
      <c r="CU305">
        <v>304</v>
      </c>
      <c r="CV305">
        <f si="244" t="shared"/>
        <v>16</v>
      </c>
      <c r="CW305">
        <f si="237" t="shared"/>
        <v>4</v>
      </c>
      <c r="CX305" s="355" t="str">
        <f si="238" t="shared"/>
        <v>4_16</v>
      </c>
      <c r="CY305" s="246">
        <f si="235" t="shared"/>
        <v>173.05666843561806</v>
      </c>
      <c r="CZ305" s="246">
        <f si="236" t="shared"/>
        <v>369.07142857142901</v>
      </c>
      <c r="DA305" s="246">
        <f si="239" t="shared"/>
        <v>174.84585564182649</v>
      </c>
      <c r="DB305" s="246">
        <f si="240" t="shared"/>
        <v>372.6785714285715</v>
      </c>
      <c r="DC305" s="301">
        <f si="241" t="shared"/>
        <v>197.83271578674501</v>
      </c>
      <c r="DD305" s="302">
        <f si="242" t="shared"/>
        <v>1.1431672502140207</v>
      </c>
      <c r="DE305" s="357">
        <f si="243" t="shared"/>
        <v>0.46915993847351611</v>
      </c>
    </row>
    <row r="306" spans="99:109" x14ac:dyDescent="0.25">
      <c r="CU306">
        <v>305</v>
      </c>
      <c r="CV306">
        <f si="244" t="shared"/>
        <v>16</v>
      </c>
      <c r="CW306">
        <f si="237" t="shared"/>
        <v>5</v>
      </c>
      <c r="CX306" s="355" t="str">
        <f si="238" t="shared"/>
        <v>5_16</v>
      </c>
      <c r="CY306" s="246">
        <f si="235" t="shared"/>
        <v>591.30615085961176</v>
      </c>
      <c r="CZ306" s="246">
        <f si="236" t="shared"/>
        <v>794.57142857142901</v>
      </c>
      <c r="DA306" s="246">
        <f si="239" t="shared"/>
        <v>592.8635966535594</v>
      </c>
      <c r="DB306" s="246">
        <f si="240" t="shared"/>
        <v>852.89285714285757</v>
      </c>
      <c r="DC306" s="301">
        <f si="241" t="shared"/>
        <v>260.02926048929817</v>
      </c>
      <c r="DD306" s="302">
        <f si="242" t="shared"/>
        <v>0.43975402608493153</v>
      </c>
      <c r="DE306" s="357">
        <f si="243" t="shared"/>
        <v>0.69512083691217519</v>
      </c>
    </row>
    <row r="307" spans="99:109" x14ac:dyDescent="0.25">
      <c r="CU307">
        <v>306</v>
      </c>
      <c r="CV307">
        <f si="244" t="shared"/>
        <v>16</v>
      </c>
      <c r="CW307">
        <f si="237" t="shared"/>
        <v>6</v>
      </c>
      <c r="CX307" s="355" t="str">
        <f si="238" t="shared"/>
        <v>6_16</v>
      </c>
      <c r="CY307" s="246">
        <f si="235" t="shared"/>
        <v>1137.5119127894993</v>
      </c>
      <c r="CZ307" s="246">
        <f si="236" t="shared"/>
        <v>1351.8571428571399</v>
      </c>
      <c r="DA307" s="246">
        <f si="239" t="shared"/>
        <v>1143.1163438097735</v>
      </c>
      <c r="DB307" s="246">
        <f si="240" t="shared"/>
        <v>1467.17857142857</v>
      </c>
      <c r="DC307" s="301">
        <f si="241" t="shared"/>
        <v>324.06222761879644</v>
      </c>
      <c r="DD307" s="302">
        <f si="242" t="shared"/>
        <v>0.28488688687585229</v>
      </c>
      <c r="DE307" s="357">
        <f si="243" t="shared"/>
        <v>0.77912557208134392</v>
      </c>
    </row>
    <row r="308" spans="99:109" x14ac:dyDescent="0.25">
      <c r="CU308">
        <v>307</v>
      </c>
      <c r="CV308">
        <f si="244" t="shared"/>
        <v>16</v>
      </c>
      <c r="CW308">
        <f si="237" t="shared"/>
        <v>7</v>
      </c>
      <c r="CX308" s="355" t="str">
        <f si="238" t="shared"/>
        <v>7_16</v>
      </c>
      <c r="CY308" s="246">
        <f si="235" t="shared"/>
        <v>0</v>
      </c>
      <c r="CZ308" s="246">
        <f si="236" t="shared"/>
        <v>154.71428571428601</v>
      </c>
      <c r="DA308" s="246">
        <f si="239" t="shared"/>
        <v>0</v>
      </c>
      <c r="DB308" s="246">
        <f si="240" t="shared"/>
        <v>160.46428571428601</v>
      </c>
      <c r="DC308" s="301">
        <f si="241" t="shared"/>
        <v>160.46428571428601</v>
      </c>
      <c r="DD308" s="302">
        <f si="242" t="shared"/>
        <v>0</v>
      </c>
      <c r="DE308" s="357">
        <f si="243" t="shared"/>
        <v>0</v>
      </c>
    </row>
    <row r="309" spans="99:109" x14ac:dyDescent="0.25">
      <c r="CU309">
        <v>308</v>
      </c>
      <c r="CV309">
        <f si="244" t="shared"/>
        <v>16</v>
      </c>
      <c r="CW309">
        <f si="237" t="shared"/>
        <v>8</v>
      </c>
      <c r="CX309" s="355" t="str">
        <f si="238" t="shared"/>
        <v>8_16</v>
      </c>
      <c r="CY309" s="246">
        <f si="235" t="shared"/>
        <v>0</v>
      </c>
      <c r="CZ309" s="246">
        <f si="236" t="shared"/>
        <v>24.285714285714299</v>
      </c>
      <c r="DA309" s="246">
        <f si="239" t="shared"/>
        <v>0</v>
      </c>
      <c r="DB309" s="246">
        <f si="240" t="shared"/>
        <v>27.5</v>
      </c>
      <c r="DC309" s="301">
        <f si="241" t="shared"/>
        <v>27.5</v>
      </c>
      <c r="DD309" s="302">
        <f si="242" t="shared"/>
        <v>0</v>
      </c>
      <c r="DE309" s="357">
        <f si="243" t="shared"/>
        <v>0</v>
      </c>
    </row>
    <row r="310" spans="99:109" x14ac:dyDescent="0.25">
      <c r="CU310">
        <v>309</v>
      </c>
      <c r="CV310">
        <f si="244" t="shared"/>
        <v>16</v>
      </c>
      <c r="CW310">
        <f si="237" t="shared"/>
        <v>9</v>
      </c>
      <c r="CX310" s="355" t="str">
        <f si="238" t="shared"/>
        <v>9_16</v>
      </c>
      <c r="CY310" s="246">
        <f si="235" t="shared"/>
        <v>271.87972505849024</v>
      </c>
      <c r="CZ310" s="246">
        <f si="236" t="shared"/>
        <v>125.857142857143</v>
      </c>
      <c r="DA310" s="246">
        <f si="239" t="shared"/>
        <v>274.94272063892777</v>
      </c>
      <c r="DB310" s="246">
        <f si="240" t="shared"/>
        <v>121.7857142857145</v>
      </c>
      <c r="DC310" s="301">
        <f si="241" t="shared"/>
        <v>-153.15700635321326</v>
      </c>
      <c r="DD310" s="302">
        <f si="242" t="shared"/>
        <v>-0.56332632497794444</v>
      </c>
      <c r="DE310" s="357">
        <f si="243" t="shared"/>
        <v>2.2575941870645053</v>
      </c>
    </row>
    <row r="311" spans="99:109" x14ac:dyDescent="0.25">
      <c r="CU311">
        <v>310</v>
      </c>
      <c r="CV311">
        <f si="244" t="shared"/>
        <v>16</v>
      </c>
      <c r="CW311">
        <f si="237" t="shared"/>
        <v>10</v>
      </c>
      <c r="CX311" s="355" t="str">
        <f si="238" t="shared"/>
        <v>10_16</v>
      </c>
      <c r="CY311" s="246">
        <f si="235" t="shared"/>
        <v>9044.7365177430802</v>
      </c>
      <c r="CZ311" s="246">
        <f si="236" t="shared"/>
        <v>6627.1428571428596</v>
      </c>
      <c r="DA311" s="246">
        <f si="239" t="shared"/>
        <v>9202.8789568269804</v>
      </c>
      <c r="DB311" s="246">
        <f si="240" t="shared"/>
        <v>6648.7142857142844</v>
      </c>
      <c r="DC311" s="301">
        <f si="241" t="shared"/>
        <v>-2554.1646711126959</v>
      </c>
      <c r="DD311" s="302">
        <f si="242" t="shared"/>
        <v>-0.28239237993303457</v>
      </c>
      <c r="DE311" s="357">
        <f si="243" t="shared"/>
        <v>1.3841591864762011</v>
      </c>
    </row>
    <row r="312" spans="99:109" x14ac:dyDescent="0.25">
      <c r="CU312">
        <v>311</v>
      </c>
      <c r="CV312">
        <f si="244" t="shared"/>
        <v>16</v>
      </c>
      <c r="CW312">
        <f si="237" t="shared"/>
        <v>11</v>
      </c>
      <c r="CX312" s="355" t="str">
        <f si="238" t="shared"/>
        <v>11_16</v>
      </c>
      <c r="CY312" s="246">
        <f si="235" t="shared"/>
        <v>92.025242521195892</v>
      </c>
      <c r="CZ312" s="246">
        <f si="236" t="shared"/>
        <v>68.714285714285694</v>
      </c>
      <c r="DA312" s="246">
        <f si="239" t="shared"/>
        <v>93.205144727032746</v>
      </c>
      <c r="DB312" s="246">
        <f si="240" t="shared"/>
        <v>70.357142857142847</v>
      </c>
      <c r="DC312" s="301">
        <f si="241" t="shared"/>
        <v>-22.848001869889899</v>
      </c>
      <c r="DD312" s="302">
        <f si="242" t="shared"/>
        <v>-0.24827972460520698</v>
      </c>
      <c r="DE312" s="357">
        <f si="243" t="shared"/>
        <v>1.3247431737852371</v>
      </c>
    </row>
    <row r="313" spans="99:109" x14ac:dyDescent="0.25">
      <c r="CU313">
        <v>312</v>
      </c>
      <c r="CV313">
        <f si="244" t="shared"/>
        <v>16</v>
      </c>
      <c r="CW313">
        <f si="237" t="shared"/>
        <v>12</v>
      </c>
      <c r="CX313" s="355" t="str">
        <f si="238" t="shared"/>
        <v>12_16</v>
      </c>
      <c r="CY313" s="246">
        <f si="235" t="shared"/>
        <v>3761.1278366587458</v>
      </c>
      <c r="CZ313" s="246">
        <f si="236" t="shared"/>
        <v>3084.2142857142899</v>
      </c>
      <c r="DA313" s="246">
        <f si="239" t="shared"/>
        <v>3888.2271928584196</v>
      </c>
      <c r="DB313" s="246">
        <f si="240" t="shared"/>
        <v>3276.25</v>
      </c>
      <c r="DC313" s="301">
        <f si="241" t="shared"/>
        <v>-611.97719285841958</v>
      </c>
      <c r="DD313" s="302">
        <f si="242" t="shared"/>
        <v>-0.16271108546049279</v>
      </c>
      <c r="DE313" s="357">
        <f si="243" t="shared"/>
        <v>1.1867919703497656</v>
      </c>
    </row>
    <row r="314" spans="99:109" x14ac:dyDescent="0.25">
      <c r="CU314">
        <v>313</v>
      </c>
      <c r="CV314">
        <f si="244" t="shared"/>
        <v>16</v>
      </c>
      <c r="CW314">
        <f si="237" t="shared"/>
        <v>13</v>
      </c>
      <c r="CX314" s="355" t="str">
        <f si="238" t="shared"/>
        <v>13_16</v>
      </c>
      <c r="CY314" s="246">
        <f si="235" t="shared"/>
        <v>0</v>
      </c>
      <c r="CZ314" s="246">
        <f si="236" t="shared"/>
        <v>80.214285714285694</v>
      </c>
      <c r="DA314" s="246">
        <f si="239" t="shared"/>
        <v>0</v>
      </c>
      <c r="DB314" s="246">
        <f si="240" t="shared"/>
        <v>80.464285714285694</v>
      </c>
      <c r="DC314" s="301">
        <f si="241" t="shared"/>
        <v>80.464285714285694</v>
      </c>
      <c r="DD314" s="302">
        <f si="242" t="shared"/>
        <v>0</v>
      </c>
      <c r="DE314" s="357">
        <f si="243" t="shared"/>
        <v>0</v>
      </c>
    </row>
    <row r="315" spans="99:109" x14ac:dyDescent="0.25">
      <c r="CU315">
        <v>314</v>
      </c>
      <c r="CV315">
        <f si="244" t="shared"/>
        <v>16</v>
      </c>
      <c r="CW315">
        <f si="237" t="shared"/>
        <v>14</v>
      </c>
      <c r="CX315" s="355" t="str">
        <f si="238" t="shared"/>
        <v>14_16</v>
      </c>
      <c r="CY315" s="246">
        <f si="235" t="shared"/>
        <v>29.588982144237225</v>
      </c>
      <c r="CZ315" s="246">
        <f si="236" t="shared"/>
        <v>17.285714285714299</v>
      </c>
      <c r="DA315" s="246">
        <f si="239" t="shared"/>
        <v>29.304450431609084</v>
      </c>
      <c r="DB315" s="246">
        <f si="240" t="shared"/>
        <v>16.964285714285701</v>
      </c>
      <c r="DC315" s="301">
        <f si="241" t="shared"/>
        <v>-12.340164717323383</v>
      </c>
      <c r="DD315" s="302">
        <f si="242" t="shared"/>
        <v>-0.41705269404567075</v>
      </c>
      <c r="DE315" s="357">
        <f si="243" t="shared"/>
        <v>1.7274202359685369</v>
      </c>
    </row>
    <row r="316" spans="99:109" x14ac:dyDescent="0.25">
      <c r="CU316">
        <v>315</v>
      </c>
      <c r="CV316">
        <f si="244" t="shared"/>
        <v>16</v>
      </c>
      <c r="CW316">
        <f si="237" t="shared"/>
        <v>15</v>
      </c>
      <c r="CX316" s="355" t="str">
        <f si="238" t="shared"/>
        <v>15_16</v>
      </c>
      <c r="CY316" s="246">
        <f si="235" t="shared"/>
        <v>14.517197608786478</v>
      </c>
      <c r="CZ316" s="246">
        <f si="236" t="shared"/>
        <v>11.0714285714286</v>
      </c>
      <c r="DA316" s="246">
        <f si="239" t="shared"/>
        <v>14.372936890096717</v>
      </c>
      <c r="DB316" s="246">
        <f si="240" t="shared"/>
        <v>12.464285714285751</v>
      </c>
      <c r="DC316" s="301">
        <f si="241" t="shared"/>
        <v>-1.9086511758109665</v>
      </c>
      <c r="DD316" s="302">
        <f si="242" t="shared"/>
        <v>-0.13147518048908852</v>
      </c>
      <c r="DE316" s="357">
        <f si="243" t="shared"/>
        <v>1.1531296072283865</v>
      </c>
    </row>
    <row r="317" spans="99:109" x14ac:dyDescent="0.25">
      <c r="CU317">
        <v>316</v>
      </c>
      <c r="CV317">
        <f si="244" t="shared"/>
        <v>16</v>
      </c>
      <c r="CW317">
        <f si="237" t="shared"/>
        <v>16</v>
      </c>
      <c r="CX317" s="355" t="str">
        <f si="238" t="shared"/>
        <v>16_16</v>
      </c>
      <c r="CY317" s="246">
        <f si="235" t="shared"/>
        <v>16138.55151078607</v>
      </c>
      <c r="CZ317" s="246">
        <f si="236" t="shared"/>
        <v>13831.214285714301</v>
      </c>
      <c r="DA317" s="246">
        <f si="239" t="shared"/>
        <v>16138.55151078607</v>
      </c>
      <c r="DB317" s="246">
        <f si="240" t="shared"/>
        <v>13831.214285714301</v>
      </c>
      <c r="DC317" s="301">
        <f si="241" t="shared"/>
        <v>-2307.3372250717694</v>
      </c>
      <c r="DD317" s="302">
        <f si="242" t="shared"/>
        <v>-0.14297052765421228</v>
      </c>
      <c r="DE317" s="357">
        <f si="243" t="shared"/>
        <v>1.1668210163915198</v>
      </c>
    </row>
    <row r="318" spans="99:109" x14ac:dyDescent="0.25">
      <c r="CU318">
        <v>317</v>
      </c>
      <c r="CV318">
        <f si="244" t="shared"/>
        <v>16</v>
      </c>
      <c r="CW318">
        <f si="237" t="shared"/>
        <v>17</v>
      </c>
      <c r="CX318" s="355" t="str">
        <f si="238" t="shared"/>
        <v>16_17</v>
      </c>
      <c r="CY318" s="246">
        <f si="235" t="shared"/>
        <v>0</v>
      </c>
      <c r="CZ318" s="246">
        <f si="236" t="shared"/>
        <v>6.5714285714285703</v>
      </c>
      <c r="DA318" s="246">
        <f si="239" t="shared"/>
        <v>0</v>
      </c>
      <c r="DB318" s="246">
        <f si="240" t="shared"/>
        <v>6.357142857142855</v>
      </c>
      <c r="DC318" s="301">
        <f si="241" t="shared"/>
        <v>6.357142857142855</v>
      </c>
      <c r="DD318" s="302">
        <f si="242" t="shared"/>
        <v>0</v>
      </c>
      <c r="DE318" s="357">
        <f si="243" t="shared"/>
        <v>0</v>
      </c>
    </row>
    <row r="319" spans="99:109" x14ac:dyDescent="0.25">
      <c r="CU319">
        <v>318</v>
      </c>
      <c r="CV319">
        <f si="244" t="shared"/>
        <v>16</v>
      </c>
      <c r="CW319">
        <f si="237" t="shared"/>
        <v>18</v>
      </c>
      <c r="CX319" s="355" t="str">
        <f si="238" t="shared"/>
        <v>16_18</v>
      </c>
      <c r="CY319" s="246">
        <f si="235" t="shared"/>
        <v>232.43958763732527</v>
      </c>
      <c r="CZ319" s="246">
        <f si="236" t="shared"/>
        <v>310.42857142857099</v>
      </c>
      <c r="DA319" s="246">
        <f si="239" t="shared"/>
        <v>232.12873599956259</v>
      </c>
      <c r="DB319" s="246">
        <f si="240" t="shared"/>
        <v>321</v>
      </c>
      <c r="DC319" s="301">
        <f si="241" t="shared"/>
        <v>88.871264000437407</v>
      </c>
      <c r="DD319" s="302">
        <f si="242" t="shared"/>
        <v>0.38234134255608365</v>
      </c>
      <c r="DE319" s="357">
        <f si="243" t="shared"/>
        <v>0.72314247974941614</v>
      </c>
    </row>
    <row r="320" spans="99:109" x14ac:dyDescent="0.25">
      <c r="CU320">
        <v>319</v>
      </c>
      <c r="CV320">
        <f si="244" t="shared"/>
        <v>16</v>
      </c>
      <c r="CW320">
        <f si="237" t="shared"/>
        <v>19</v>
      </c>
      <c r="CX320" s="355" t="str">
        <f si="238" t="shared"/>
        <v>16_19</v>
      </c>
      <c r="CY320" s="246">
        <f si="235" t="shared"/>
        <v>0</v>
      </c>
      <c r="CZ320" s="246">
        <f si="236" t="shared"/>
        <v>20.785714285714299</v>
      </c>
      <c r="DA320" s="246">
        <f si="239" t="shared"/>
        <v>0</v>
      </c>
      <c r="DB320" s="246">
        <f si="240" t="shared"/>
        <v>17.857142857142851</v>
      </c>
      <c r="DC320" s="301">
        <f si="241" t="shared"/>
        <v>17.857142857142851</v>
      </c>
      <c r="DD320" s="302">
        <f si="242" t="shared"/>
        <v>0</v>
      </c>
      <c r="DE320" s="357">
        <f si="243" t="shared"/>
        <v>0</v>
      </c>
    </row>
    <row r="321" spans="99:109" x14ac:dyDescent="0.25">
      <c r="CU321">
        <v>320</v>
      </c>
      <c r="CV321">
        <f si="244" t="shared"/>
        <v>16</v>
      </c>
      <c r="CW321">
        <f si="237" t="shared"/>
        <v>20</v>
      </c>
      <c r="CX321" s="355" t="str">
        <f si="238" t="shared"/>
        <v>16_20</v>
      </c>
      <c r="CY321" s="246">
        <f si="235" t="shared"/>
        <v>0</v>
      </c>
      <c r="CZ321" s="246">
        <f si="236" t="shared"/>
        <v>263.28571428571399</v>
      </c>
      <c r="DA321" s="246">
        <f si="239" t="shared"/>
        <v>0</v>
      </c>
      <c r="DB321" s="246">
        <f si="240" t="shared"/>
        <v>265.60714285714249</v>
      </c>
      <c r="DC321" s="301">
        <f si="241" t="shared"/>
        <v>265.60714285714249</v>
      </c>
      <c r="DD321" s="302">
        <f si="242" t="shared"/>
        <v>0</v>
      </c>
      <c r="DE321" s="357">
        <f si="243" t="shared"/>
        <v>0</v>
      </c>
    </row>
    <row r="322" spans="99:109" x14ac:dyDescent="0.25">
      <c r="CU322">
        <v>321</v>
      </c>
      <c r="CV322">
        <f si="244" t="shared"/>
        <v>17</v>
      </c>
      <c r="CW322">
        <f si="237" t="shared"/>
        <v>1</v>
      </c>
      <c r="CX322" s="355" t="str">
        <f si="238" t="shared"/>
        <v>1_17</v>
      </c>
      <c r="CY322" s="246">
        <f ref="CY322:CY385" si="245" t="shared">VLOOKUP($CV322,$B$67:$V$86,MATCH($CW322,$B$66:$V$66,0),0)</f>
        <v>0</v>
      </c>
      <c r="CZ322" s="246">
        <f ref="CZ322:CZ385" si="246" t="shared">VLOOKUP($CV322,$Z$41:$AT$60,MATCH($CW322,$Z$40:$AT$40,0),0)</f>
        <v>973.857142857143</v>
      </c>
      <c r="DA322" s="246">
        <f si="239" t="shared"/>
        <v>0</v>
      </c>
      <c r="DB322" s="246">
        <f si="240" t="shared"/>
        <v>1042.6428571428564</v>
      </c>
      <c r="DC322" s="301">
        <f si="241" t="shared"/>
        <v>1042.6428571428564</v>
      </c>
      <c r="DD322" s="302">
        <f si="242" t="shared"/>
        <v>0</v>
      </c>
      <c r="DE322" s="357">
        <f si="243" t="shared"/>
        <v>0</v>
      </c>
    </row>
    <row r="323" spans="99:109" x14ac:dyDescent="0.25">
      <c r="CU323">
        <v>322</v>
      </c>
      <c r="CV323">
        <f si="244" t="shared"/>
        <v>17</v>
      </c>
      <c r="CW323">
        <f ref="CW323:CW386" si="247" t="shared">MOD(ROW()-2,$CS$2)+1</f>
        <v>2</v>
      </c>
      <c r="CX323" s="355" t="str">
        <f ref="CX323:CX386" si="248" t="shared">IF(CV323&lt;=CW323,CONCATENATE(CV323,"_",CW323),CONCATENATE(CW323,"_",CV323))</f>
        <v>2_17</v>
      </c>
      <c r="CY323" s="246">
        <f si="245" t="shared"/>
        <v>0</v>
      </c>
      <c r="CZ323" s="246">
        <f si="246" t="shared"/>
        <v>120.428571428571</v>
      </c>
      <c r="DA323" s="246">
        <f ref="DA323:DA386" si="249" t="shared">AVERAGEIF($CX$2:$CX$401,$CX323,$CY$2:$CY$401)</f>
        <v>0</v>
      </c>
      <c r="DB323" s="246">
        <f ref="DB323:DB386" si="250" t="shared">AVERAGEIF($CX$2:$CX$401,$CX323,$CZ$2:$CZ$401)</f>
        <v>152.142857142857</v>
      </c>
      <c r="DC323" s="301">
        <f ref="DC323:DC386" si="251" t="shared">DB323-DA323</f>
        <v>152.142857142857</v>
      </c>
      <c r="DD323" s="302">
        <f ref="DD323:DD386" si="252" t="shared">IF(CY323&gt;0,DC323/CY323,0)</f>
        <v>0</v>
      </c>
      <c r="DE323" s="357">
        <f ref="DE323:DE386" si="253" t="shared">DA323/DB323</f>
        <v>0</v>
      </c>
    </row>
    <row r="324" spans="99:109" x14ac:dyDescent="0.25">
      <c r="CU324">
        <v>323</v>
      </c>
      <c r="CV324">
        <f ref="CV324:CV387" si="254" t="shared">IF(CW323&lt;$CS$2,CV323,CV323+1)</f>
        <v>17</v>
      </c>
      <c r="CW324">
        <f si="247" t="shared"/>
        <v>3</v>
      </c>
      <c r="CX324" s="355" t="str">
        <f si="248" t="shared"/>
        <v>3_17</v>
      </c>
      <c r="CY324" s="246">
        <f si="245" t="shared"/>
        <v>0</v>
      </c>
      <c r="CZ324" s="246">
        <f si="246" t="shared"/>
        <v>1471.5</v>
      </c>
      <c r="DA324" s="246">
        <f si="249" t="shared"/>
        <v>0</v>
      </c>
      <c r="DB324" s="246">
        <f si="250" t="shared"/>
        <v>1533.92857142857</v>
      </c>
      <c r="DC324" s="301">
        <f si="251" t="shared"/>
        <v>1533.92857142857</v>
      </c>
      <c r="DD324" s="302">
        <f si="252" t="shared"/>
        <v>0</v>
      </c>
      <c r="DE324" s="357">
        <f si="253" t="shared"/>
        <v>0</v>
      </c>
    </row>
    <row r="325" spans="99:109" x14ac:dyDescent="0.25">
      <c r="CU325">
        <v>324</v>
      </c>
      <c r="CV325">
        <f si="254" t="shared"/>
        <v>17</v>
      </c>
      <c r="CW325">
        <f si="247" t="shared"/>
        <v>4</v>
      </c>
      <c r="CX325" s="355" t="str">
        <f si="248" t="shared"/>
        <v>4_17</v>
      </c>
      <c r="CY325" s="246">
        <f si="245" t="shared"/>
        <v>0</v>
      </c>
      <c r="CZ325" s="246">
        <f si="246" t="shared"/>
        <v>530.78571428571399</v>
      </c>
      <c r="DA325" s="246">
        <f si="249" t="shared"/>
        <v>0</v>
      </c>
      <c r="DB325" s="246">
        <f si="250" t="shared"/>
        <v>521.57142857142844</v>
      </c>
      <c r="DC325" s="301">
        <f si="251" t="shared"/>
        <v>521.57142857142844</v>
      </c>
      <c r="DD325" s="302">
        <f si="252" t="shared"/>
        <v>0</v>
      </c>
      <c r="DE325" s="357">
        <f si="253" t="shared"/>
        <v>0</v>
      </c>
    </row>
    <row r="326" spans="99:109" x14ac:dyDescent="0.25">
      <c r="CU326">
        <v>325</v>
      </c>
      <c r="CV326">
        <f si="254" t="shared"/>
        <v>17</v>
      </c>
      <c r="CW326">
        <f si="247" t="shared"/>
        <v>5</v>
      </c>
      <c r="CX326" s="355" t="str">
        <f si="248" t="shared"/>
        <v>5_17</v>
      </c>
      <c r="CY326" s="246">
        <f si="245" t="shared"/>
        <v>34.174130013872919</v>
      </c>
      <c r="CZ326" s="246">
        <f si="246" t="shared"/>
        <v>300.357142857143</v>
      </c>
      <c r="DA326" s="246">
        <f si="249" t="shared"/>
        <v>36.275435149949374</v>
      </c>
      <c r="DB326" s="246">
        <f si="250" t="shared"/>
        <v>301.107142857143</v>
      </c>
      <c r="DC326" s="301">
        <f si="251" t="shared"/>
        <v>264.83170770719363</v>
      </c>
      <c r="DD326" s="302">
        <f si="252" t="shared"/>
        <v>7.7494791410837891</v>
      </c>
      <c r="DE326" s="357">
        <f si="253" t="shared"/>
        <v>0.12047351253689739</v>
      </c>
    </row>
    <row r="327" spans="99:109" x14ac:dyDescent="0.25">
      <c r="CU327">
        <v>326</v>
      </c>
      <c r="CV327">
        <f si="254" t="shared"/>
        <v>17</v>
      </c>
      <c r="CW327">
        <f si="247" t="shared"/>
        <v>6</v>
      </c>
      <c r="CX327" s="355" t="str">
        <f si="248" t="shared"/>
        <v>6_17</v>
      </c>
      <c r="CY327" s="246">
        <f si="245" t="shared"/>
        <v>0</v>
      </c>
      <c r="CZ327" s="246">
        <f si="246" t="shared"/>
        <v>529.21428571428601</v>
      </c>
      <c r="DA327" s="246">
        <f si="249" t="shared"/>
        <v>0</v>
      </c>
      <c r="DB327" s="246">
        <f si="250" t="shared"/>
        <v>538.89285714285757</v>
      </c>
      <c r="DC327" s="301">
        <f si="251" t="shared"/>
        <v>538.89285714285757</v>
      </c>
      <c r="DD327" s="302">
        <f si="252" t="shared"/>
        <v>0</v>
      </c>
      <c r="DE327" s="357">
        <f si="253" t="shared"/>
        <v>0</v>
      </c>
    </row>
    <row r="328" spans="99:109" x14ac:dyDescent="0.25">
      <c r="CU328">
        <v>327</v>
      </c>
      <c r="CV328">
        <f si="254" t="shared"/>
        <v>17</v>
      </c>
      <c r="CW328">
        <f si="247" t="shared"/>
        <v>7</v>
      </c>
      <c r="CX328" s="355" t="str">
        <f si="248" t="shared"/>
        <v>7_17</v>
      </c>
      <c r="CY328" s="246">
        <f si="245" t="shared"/>
        <v>0</v>
      </c>
      <c r="CZ328" s="246">
        <f si="246" t="shared"/>
        <v>106.5</v>
      </c>
      <c r="DA328" s="246">
        <f si="249" t="shared"/>
        <v>0</v>
      </c>
      <c r="DB328" s="246">
        <f si="250" t="shared"/>
        <v>110.0357142857145</v>
      </c>
      <c r="DC328" s="301">
        <f si="251" t="shared"/>
        <v>110.0357142857145</v>
      </c>
      <c r="DD328" s="302">
        <f si="252" t="shared"/>
        <v>0</v>
      </c>
      <c r="DE328" s="357">
        <f si="253" t="shared"/>
        <v>0</v>
      </c>
    </row>
    <row r="329" spans="99:109" x14ac:dyDescent="0.25">
      <c r="CU329">
        <v>328</v>
      </c>
      <c r="CV329">
        <f si="254" t="shared"/>
        <v>17</v>
      </c>
      <c r="CW329">
        <f si="247" t="shared"/>
        <v>8</v>
      </c>
      <c r="CX329" s="355" t="str">
        <f si="248" t="shared"/>
        <v>8_17</v>
      </c>
      <c r="CY329" s="246">
        <f si="245" t="shared"/>
        <v>0</v>
      </c>
      <c r="CZ329" s="246">
        <f si="246" t="shared"/>
        <v>95.214285714285694</v>
      </c>
      <c r="DA329" s="246">
        <f si="249" t="shared"/>
        <v>0</v>
      </c>
      <c r="DB329" s="246">
        <f si="250" t="shared"/>
        <v>91.821428571428555</v>
      </c>
      <c r="DC329" s="301">
        <f si="251" t="shared"/>
        <v>91.821428571428555</v>
      </c>
      <c r="DD329" s="302">
        <f si="252" t="shared"/>
        <v>0</v>
      </c>
      <c r="DE329" s="357">
        <f si="253" t="shared"/>
        <v>0</v>
      </c>
    </row>
    <row r="330" spans="99:109" x14ac:dyDescent="0.25">
      <c r="CU330">
        <v>329</v>
      </c>
      <c r="CV330">
        <f si="254" t="shared"/>
        <v>17</v>
      </c>
      <c r="CW330">
        <f si="247" t="shared"/>
        <v>9</v>
      </c>
      <c r="CX330" s="355" t="str">
        <f si="248" t="shared"/>
        <v>9_17</v>
      </c>
      <c r="CY330" s="246">
        <f si="245" t="shared"/>
        <v>0</v>
      </c>
      <c r="CZ330" s="246">
        <f si="246" t="shared"/>
        <v>472.07142857142901</v>
      </c>
      <c r="DA330" s="246">
        <f si="249" t="shared"/>
        <v>0</v>
      </c>
      <c r="DB330" s="246">
        <f si="250" t="shared"/>
        <v>492.32142857142901</v>
      </c>
      <c r="DC330" s="301">
        <f si="251" t="shared"/>
        <v>492.32142857142901</v>
      </c>
      <c r="DD330" s="302">
        <f si="252" t="shared"/>
        <v>0</v>
      </c>
      <c r="DE330" s="357">
        <f si="253" t="shared"/>
        <v>0</v>
      </c>
    </row>
    <row r="331" spans="99:109" x14ac:dyDescent="0.25">
      <c r="CU331">
        <v>330</v>
      </c>
      <c r="CV331">
        <f si="254" t="shared"/>
        <v>17</v>
      </c>
      <c r="CW331">
        <f si="247" t="shared"/>
        <v>10</v>
      </c>
      <c r="CX331" s="355" t="str">
        <f si="248" t="shared"/>
        <v>10_17</v>
      </c>
      <c r="CY331" s="246">
        <f si="245" t="shared"/>
        <v>0</v>
      </c>
      <c r="CZ331" s="246">
        <f si="246" t="shared"/>
        <v>114.357142857143</v>
      </c>
      <c r="DA331" s="246">
        <f si="249" t="shared"/>
        <v>0</v>
      </c>
      <c r="DB331" s="246">
        <f si="250" t="shared"/>
        <v>120.9285714285715</v>
      </c>
      <c r="DC331" s="301">
        <f si="251" t="shared"/>
        <v>120.9285714285715</v>
      </c>
      <c r="DD331" s="302">
        <f si="252" t="shared"/>
        <v>0</v>
      </c>
      <c r="DE331" s="357">
        <f si="253" t="shared"/>
        <v>0</v>
      </c>
    </row>
    <row r="332" spans="99:109" x14ac:dyDescent="0.25">
      <c r="CU332">
        <v>331</v>
      </c>
      <c r="CV332">
        <f si="254" t="shared"/>
        <v>17</v>
      </c>
      <c r="CW332">
        <f si="247" t="shared"/>
        <v>11</v>
      </c>
      <c r="CX332" s="355" t="str">
        <f si="248" t="shared"/>
        <v>11_17</v>
      </c>
      <c r="CY332" s="246">
        <f si="245" t="shared"/>
        <v>4915.9912187417913</v>
      </c>
      <c r="CZ332" s="246">
        <f si="246" t="shared"/>
        <v>5678.5714285714303</v>
      </c>
      <c r="DA332" s="246">
        <f si="249" t="shared"/>
        <v>5067.5202579039615</v>
      </c>
      <c r="DB332" s="246">
        <f si="250" t="shared"/>
        <v>5877.8214285714303</v>
      </c>
      <c r="DC332" s="301">
        <f si="251" t="shared"/>
        <v>810.3011706674688</v>
      </c>
      <c r="DD332" s="302">
        <f si="252" t="shared"/>
        <v>0.16482966193638948</v>
      </c>
      <c r="DE332" s="357">
        <f si="253" t="shared"/>
        <v>0.86214260155494249</v>
      </c>
    </row>
    <row r="333" spans="99:109" x14ac:dyDescent="0.25">
      <c r="CU333">
        <v>332</v>
      </c>
      <c r="CV333">
        <f si="254" t="shared"/>
        <v>17</v>
      </c>
      <c r="CW333">
        <f si="247" t="shared"/>
        <v>12</v>
      </c>
      <c r="CX333" s="355" t="str">
        <f si="248" t="shared"/>
        <v>12_17</v>
      </c>
      <c r="CY333" s="246">
        <f si="245" t="shared"/>
        <v>0</v>
      </c>
      <c r="CZ333" s="246">
        <f si="246" t="shared"/>
        <v>226.21428571428601</v>
      </c>
      <c r="DA333" s="246">
        <f si="249" t="shared"/>
        <v>0</v>
      </c>
      <c r="DB333" s="246">
        <f si="250" t="shared"/>
        <v>232.9285714285715</v>
      </c>
      <c r="DC333" s="301">
        <f si="251" t="shared"/>
        <v>232.9285714285715</v>
      </c>
      <c r="DD333" s="302">
        <f si="252" t="shared"/>
        <v>0</v>
      </c>
      <c r="DE333" s="357">
        <f si="253" t="shared"/>
        <v>0</v>
      </c>
    </row>
    <row r="334" spans="99:109" x14ac:dyDescent="0.25">
      <c r="CU334">
        <v>333</v>
      </c>
      <c r="CV334">
        <f si="254" t="shared"/>
        <v>17</v>
      </c>
      <c r="CW334">
        <f si="247" t="shared"/>
        <v>13</v>
      </c>
      <c r="CX334" s="355" t="str">
        <f si="248" t="shared"/>
        <v>13_17</v>
      </c>
      <c r="CY334" s="246">
        <f si="245" t="shared"/>
        <v>0</v>
      </c>
      <c r="CZ334" s="246">
        <f si="246" t="shared"/>
        <v>31.3571428571429</v>
      </c>
      <c r="DA334" s="246">
        <f si="249" t="shared"/>
        <v>0</v>
      </c>
      <c r="DB334" s="246">
        <f si="250" t="shared"/>
        <v>31.571428571428598</v>
      </c>
      <c r="DC334" s="301">
        <f si="251" t="shared"/>
        <v>31.571428571428598</v>
      </c>
      <c r="DD334" s="302">
        <f si="252" t="shared"/>
        <v>0</v>
      </c>
      <c r="DE334" s="357">
        <f si="253" t="shared"/>
        <v>0</v>
      </c>
    </row>
    <row r="335" spans="99:109" x14ac:dyDescent="0.25">
      <c r="CU335">
        <v>334</v>
      </c>
      <c r="CV335">
        <f si="254" t="shared"/>
        <v>17</v>
      </c>
      <c r="CW335">
        <f si="247" t="shared"/>
        <v>14</v>
      </c>
      <c r="CX335" s="355" t="str">
        <f si="248" t="shared"/>
        <v>14_17</v>
      </c>
      <c r="CY335" s="246">
        <f si="245" t="shared"/>
        <v>1980.5155443784624</v>
      </c>
      <c r="CZ335" s="246">
        <f si="246" t="shared"/>
        <v>2369.5714285714298</v>
      </c>
      <c r="DA335" s="246">
        <f si="249" t="shared"/>
        <v>1981.449522445052</v>
      </c>
      <c r="DB335" s="246">
        <f si="250" t="shared"/>
        <v>2413</v>
      </c>
      <c r="DC335" s="301">
        <f si="251" t="shared"/>
        <v>431.55047755494797</v>
      </c>
      <c r="DD335" s="302">
        <f si="252" t="shared"/>
        <v>0.21789805123209968</v>
      </c>
      <c r="DE335" s="357">
        <f si="253" t="shared"/>
        <v>0.82115603914009616</v>
      </c>
    </row>
    <row r="336" spans="99:109" x14ac:dyDescent="0.25">
      <c r="CU336">
        <v>335</v>
      </c>
      <c r="CV336">
        <f si="254" t="shared"/>
        <v>17</v>
      </c>
      <c r="CW336">
        <f si="247" t="shared"/>
        <v>15</v>
      </c>
      <c r="CX336" s="355" t="str">
        <f si="248" t="shared"/>
        <v>15_17</v>
      </c>
      <c r="CY336" s="246">
        <f si="245" t="shared"/>
        <v>0</v>
      </c>
      <c r="CZ336" s="246">
        <f si="246" t="shared"/>
        <v>51.357142857142897</v>
      </c>
      <c r="DA336" s="246">
        <f si="249" t="shared"/>
        <v>0</v>
      </c>
      <c r="DB336" s="246">
        <f si="250" t="shared"/>
        <v>49.535714285714299</v>
      </c>
      <c r="DC336" s="301">
        <f si="251" t="shared"/>
        <v>49.535714285714299</v>
      </c>
      <c r="DD336" s="302">
        <f si="252" t="shared"/>
        <v>0</v>
      </c>
      <c r="DE336" s="357">
        <f si="253" t="shared"/>
        <v>0</v>
      </c>
    </row>
    <row r="337" spans="99:109" x14ac:dyDescent="0.25">
      <c r="CU337">
        <v>336</v>
      </c>
      <c r="CV337">
        <f si="254" t="shared"/>
        <v>17</v>
      </c>
      <c r="CW337">
        <f si="247" t="shared"/>
        <v>16</v>
      </c>
      <c r="CX337" s="355" t="str">
        <f si="248" t="shared"/>
        <v>16_17</v>
      </c>
      <c r="CY337" s="246">
        <f si="245" t="shared"/>
        <v>0</v>
      </c>
      <c r="CZ337" s="246">
        <f si="246" t="shared"/>
        <v>6.1428571428571397</v>
      </c>
      <c r="DA337" s="246">
        <f si="249" t="shared"/>
        <v>0</v>
      </c>
      <c r="DB337" s="246">
        <f si="250" t="shared"/>
        <v>6.357142857142855</v>
      </c>
      <c r="DC337" s="301">
        <f si="251" t="shared"/>
        <v>6.357142857142855</v>
      </c>
      <c r="DD337" s="302">
        <f si="252" t="shared"/>
        <v>0</v>
      </c>
      <c r="DE337" s="357">
        <f si="253" t="shared"/>
        <v>0</v>
      </c>
    </row>
    <row r="338" spans="99:109" x14ac:dyDescent="0.25">
      <c r="CU338">
        <v>337</v>
      </c>
      <c r="CV338">
        <f si="254" t="shared"/>
        <v>17</v>
      </c>
      <c r="CW338">
        <f si="247" t="shared"/>
        <v>17</v>
      </c>
      <c r="CX338" s="355" t="str">
        <f si="248" t="shared"/>
        <v>17_17</v>
      </c>
      <c r="CY338" s="246">
        <f si="245" t="shared"/>
        <v>31225.381148375323</v>
      </c>
      <c r="CZ338" s="246">
        <f si="246" t="shared"/>
        <v>23316.142857142899</v>
      </c>
      <c r="DA338" s="246">
        <f si="249" t="shared"/>
        <v>31225.381148375323</v>
      </c>
      <c r="DB338" s="246">
        <f si="250" t="shared"/>
        <v>23316.142857142899</v>
      </c>
      <c r="DC338" s="301">
        <f si="251" t="shared"/>
        <v>-7909.2382912324247</v>
      </c>
      <c r="DD338" s="302">
        <f si="252" t="shared"/>
        <v>-0.25329517207971525</v>
      </c>
      <c r="DE338" s="357">
        <f si="253" t="shared"/>
        <v>1.3392172684689754</v>
      </c>
    </row>
    <row r="339" spans="99:109" x14ac:dyDescent="0.25">
      <c r="CU339">
        <v>338</v>
      </c>
      <c r="CV339">
        <f si="254" t="shared"/>
        <v>17</v>
      </c>
      <c r="CW339">
        <f si="247" t="shared"/>
        <v>18</v>
      </c>
      <c r="CX339" s="355" t="str">
        <f si="248" t="shared"/>
        <v>17_18</v>
      </c>
      <c r="CY339" s="246">
        <f si="245" t="shared"/>
        <v>0</v>
      </c>
      <c r="CZ339" s="246">
        <f si="246" t="shared"/>
        <v>3.78571428571429</v>
      </c>
      <c r="DA339" s="246">
        <f si="249" t="shared"/>
        <v>0</v>
      </c>
      <c r="DB339" s="246">
        <f si="250" t="shared"/>
        <v>3.6785714285714297</v>
      </c>
      <c r="DC339" s="301">
        <f si="251" t="shared"/>
        <v>3.6785714285714297</v>
      </c>
      <c r="DD339" s="302">
        <f si="252" t="shared"/>
        <v>0</v>
      </c>
      <c r="DE339" s="357">
        <f si="253" t="shared"/>
        <v>0</v>
      </c>
    </row>
    <row r="340" spans="99:109" x14ac:dyDescent="0.25">
      <c r="CU340">
        <v>339</v>
      </c>
      <c r="CV340">
        <f si="254" t="shared"/>
        <v>17</v>
      </c>
      <c r="CW340">
        <f si="247" t="shared"/>
        <v>19</v>
      </c>
      <c r="CX340" s="355" t="str">
        <f si="248" t="shared"/>
        <v>17_19</v>
      </c>
      <c r="CY340" s="246">
        <f si="245" t="shared"/>
        <v>3626.3820581669556</v>
      </c>
      <c r="CZ340" s="246">
        <f si="246" t="shared"/>
        <v>5983.6428571428596</v>
      </c>
      <c r="DA340" s="246">
        <f si="249" t="shared"/>
        <v>3692.6530925212323</v>
      </c>
      <c r="DB340" s="246">
        <f si="250" t="shared"/>
        <v>5999.1428571428596</v>
      </c>
      <c r="DC340" s="301">
        <f si="251" t="shared"/>
        <v>2306.4897646216273</v>
      </c>
      <c r="DD340" s="302">
        <f si="252" t="shared"/>
        <v>0.63603054714745078</v>
      </c>
      <c r="DE340" s="357">
        <f si="253" t="shared"/>
        <v>0.61553011496043752</v>
      </c>
    </row>
    <row r="341" spans="99:109" x14ac:dyDescent="0.25">
      <c r="CU341">
        <v>340</v>
      </c>
      <c r="CV341">
        <f si="254" t="shared"/>
        <v>17</v>
      </c>
      <c r="CW341">
        <f si="247" t="shared"/>
        <v>20</v>
      </c>
      <c r="CX341" s="355" t="str">
        <f si="248" t="shared"/>
        <v>17_20</v>
      </c>
      <c r="CY341" s="246">
        <f si="245" t="shared"/>
        <v>0</v>
      </c>
      <c r="CZ341" s="246">
        <f si="246" t="shared"/>
        <v>0.5</v>
      </c>
      <c r="DA341" s="246">
        <f si="249" t="shared"/>
        <v>0</v>
      </c>
      <c r="DB341" s="246">
        <f si="250" t="shared"/>
        <v>0.5</v>
      </c>
      <c r="DC341" s="301">
        <f si="251" t="shared"/>
        <v>0.5</v>
      </c>
      <c r="DD341" s="302">
        <f si="252" t="shared"/>
        <v>0</v>
      </c>
      <c r="DE341" s="357">
        <f si="253" t="shared"/>
        <v>0</v>
      </c>
    </row>
    <row r="342" spans="99:109" x14ac:dyDescent="0.25">
      <c r="CU342">
        <v>341</v>
      </c>
      <c r="CV342">
        <f si="254" t="shared"/>
        <v>18</v>
      </c>
      <c r="CW342">
        <f si="247" t="shared"/>
        <v>1</v>
      </c>
      <c r="CX342" s="355" t="str">
        <f si="248" t="shared"/>
        <v>1_18</v>
      </c>
      <c r="CY342" s="246">
        <f si="245" t="shared"/>
        <v>78.924798496323817</v>
      </c>
      <c r="CZ342" s="246">
        <f si="246" t="shared"/>
        <v>413.357142857143</v>
      </c>
      <c r="DA342" s="246">
        <f si="249" t="shared"/>
        <v>82.125345948851944</v>
      </c>
      <c r="DB342" s="246">
        <f si="250" t="shared"/>
        <v>446.2857142857145</v>
      </c>
      <c r="DC342" s="301">
        <f si="251" t="shared"/>
        <v>364.16036833686258</v>
      </c>
      <c r="DD342" s="302">
        <f si="252" t="shared"/>
        <v>4.614017080497514</v>
      </c>
      <c r="DE342" s="357">
        <f si="253" t="shared"/>
        <v>0.18401966121701771</v>
      </c>
    </row>
    <row r="343" spans="99:109" x14ac:dyDescent="0.25">
      <c r="CU343">
        <v>342</v>
      </c>
      <c r="CV343">
        <f si="254" t="shared"/>
        <v>18</v>
      </c>
      <c r="CW343">
        <f si="247" t="shared"/>
        <v>2</v>
      </c>
      <c r="CX343" s="355" t="str">
        <f si="248" t="shared"/>
        <v>2_18</v>
      </c>
      <c r="CY343" s="246">
        <f si="245" t="shared"/>
        <v>0</v>
      </c>
      <c r="CZ343" s="246">
        <f si="246" t="shared"/>
        <v>159.357142857143</v>
      </c>
      <c r="DA343" s="246">
        <f si="249" t="shared"/>
        <v>0</v>
      </c>
      <c r="DB343" s="246">
        <f si="250" t="shared"/>
        <v>174.4285714285715</v>
      </c>
      <c r="DC343" s="301">
        <f si="251" t="shared"/>
        <v>174.4285714285715</v>
      </c>
      <c r="DD343" s="302">
        <f si="252" t="shared"/>
        <v>0</v>
      </c>
      <c r="DE343" s="357">
        <f si="253" t="shared"/>
        <v>0</v>
      </c>
    </row>
    <row r="344" spans="99:109" x14ac:dyDescent="0.25">
      <c r="CU344">
        <v>343</v>
      </c>
      <c r="CV344">
        <f si="254" t="shared"/>
        <v>18</v>
      </c>
      <c r="CW344">
        <f si="247" t="shared"/>
        <v>3</v>
      </c>
      <c r="CX344" s="355" t="str">
        <f si="248" t="shared"/>
        <v>3_18</v>
      </c>
      <c r="CY344" s="246">
        <f si="245" t="shared"/>
        <v>126.279323096765</v>
      </c>
      <c r="CZ344" s="246">
        <f si="246" t="shared"/>
        <v>208.78571428571399</v>
      </c>
      <c r="DA344" s="246">
        <f si="249" t="shared"/>
        <v>126.78919501046737</v>
      </c>
      <c r="DB344" s="246">
        <f si="250" t="shared"/>
        <v>214.892857142857</v>
      </c>
      <c r="DC344" s="301">
        <f si="251" t="shared"/>
        <v>88.10366213238963</v>
      </c>
      <c r="DD344" s="302">
        <f si="252" t="shared"/>
        <v>0.69768874247827395</v>
      </c>
      <c r="DE344" s="357">
        <f si="253" t="shared"/>
        <v>0.59001121161593628</v>
      </c>
    </row>
    <row r="345" spans="99:109" x14ac:dyDescent="0.25">
      <c r="CU345">
        <v>344</v>
      </c>
      <c r="CV345">
        <f si="254" t="shared"/>
        <v>18</v>
      </c>
      <c r="CW345">
        <f si="247" t="shared"/>
        <v>4</v>
      </c>
      <c r="CX345" s="355" t="str">
        <f si="248" t="shared"/>
        <v>4_18</v>
      </c>
      <c r="CY345" s="246">
        <f si="245" t="shared"/>
        <v>0</v>
      </c>
      <c r="CZ345" s="246">
        <f si="246" t="shared"/>
        <v>109.357142857143</v>
      </c>
      <c r="DA345" s="246">
        <f si="249" t="shared"/>
        <v>0</v>
      </c>
      <c r="DB345" s="246">
        <f si="250" t="shared"/>
        <v>105.392857142857</v>
      </c>
      <c r="DC345" s="301">
        <f si="251" t="shared"/>
        <v>105.392857142857</v>
      </c>
      <c r="DD345" s="302">
        <f si="252" t="shared"/>
        <v>0</v>
      </c>
      <c r="DE345" s="357">
        <f si="253" t="shared"/>
        <v>0</v>
      </c>
    </row>
    <row r="346" spans="99:109" x14ac:dyDescent="0.25">
      <c r="CU346">
        <v>345</v>
      </c>
      <c r="CV346">
        <f si="254" t="shared"/>
        <v>18</v>
      </c>
      <c r="CW346">
        <f si="247" t="shared"/>
        <v>5</v>
      </c>
      <c r="CX346" s="355" t="str">
        <f si="248" t="shared"/>
        <v>5_18</v>
      </c>
      <c r="CY346" s="246">
        <f si="245" t="shared"/>
        <v>43.503910764872536</v>
      </c>
      <c r="CZ346" s="246">
        <f si="246" t="shared"/>
        <v>153.857142857143</v>
      </c>
      <c r="DA346" s="246">
        <f si="249" t="shared"/>
        <v>45.601411248811409</v>
      </c>
      <c r="DB346" s="246">
        <f si="250" t="shared"/>
        <v>157.642857142857</v>
      </c>
      <c r="DC346" s="301">
        <f si="251" t="shared"/>
        <v>112.04144589404558</v>
      </c>
      <c r="DD346" s="302">
        <f si="252" t="shared"/>
        <v>2.5754338845443301</v>
      </c>
      <c r="DE346" s="357">
        <f si="253" t="shared"/>
        <v>0.28927039305997299</v>
      </c>
    </row>
    <row r="347" spans="99:109" x14ac:dyDescent="0.25">
      <c r="CU347">
        <v>346</v>
      </c>
      <c r="CV347">
        <f si="254" t="shared"/>
        <v>18</v>
      </c>
      <c r="CW347">
        <f si="247" t="shared"/>
        <v>6</v>
      </c>
      <c r="CX347" s="355" t="str">
        <f si="248" t="shared"/>
        <v>6_18</v>
      </c>
      <c r="CY347" s="246">
        <f si="245" t="shared"/>
        <v>0</v>
      </c>
      <c r="CZ347" s="246">
        <f si="246" t="shared"/>
        <v>477.92857142857099</v>
      </c>
      <c r="DA347" s="246">
        <f si="249" t="shared"/>
        <v>0</v>
      </c>
      <c r="DB347" s="246">
        <f si="250" t="shared"/>
        <v>511.392857142857</v>
      </c>
      <c r="DC347" s="301">
        <f si="251" t="shared"/>
        <v>511.392857142857</v>
      </c>
      <c r="DD347" s="302">
        <f si="252" t="shared"/>
        <v>0</v>
      </c>
      <c r="DE347" s="357">
        <f si="253" t="shared"/>
        <v>0</v>
      </c>
    </row>
    <row r="348" spans="99:109" x14ac:dyDescent="0.25">
      <c r="CU348">
        <v>347</v>
      </c>
      <c r="CV348">
        <f si="254" t="shared"/>
        <v>18</v>
      </c>
      <c r="CW348">
        <f si="247" t="shared"/>
        <v>7</v>
      </c>
      <c r="CX348" s="355" t="str">
        <f si="248" t="shared"/>
        <v>7_18</v>
      </c>
      <c r="CY348" s="246">
        <f si="245" t="shared"/>
        <v>1075.2914544115756</v>
      </c>
      <c r="CZ348" s="246">
        <f si="246" t="shared"/>
        <v>1333.92857142857</v>
      </c>
      <c r="DA348" s="246">
        <f si="249" t="shared"/>
        <v>1122.1500791957285</v>
      </c>
      <c r="DB348" s="246">
        <f si="250" t="shared"/>
        <v>1370.2857142857151</v>
      </c>
      <c r="DC348" s="301">
        <f si="251" t="shared"/>
        <v>248.13563508998664</v>
      </c>
      <c r="DD348" s="302">
        <f si="252" t="shared"/>
        <v>0.23076128250807332</v>
      </c>
      <c r="DE348" s="357">
        <f si="253" t="shared"/>
        <v>0.81891686346644021</v>
      </c>
    </row>
    <row r="349" spans="99:109" x14ac:dyDescent="0.25">
      <c r="CU349">
        <v>348</v>
      </c>
      <c r="CV349">
        <f si="254" t="shared"/>
        <v>18</v>
      </c>
      <c r="CW349">
        <f si="247" t="shared"/>
        <v>8</v>
      </c>
      <c r="CX349" s="355" t="str">
        <f si="248" t="shared"/>
        <v>8_18</v>
      </c>
      <c r="CY349" s="246">
        <f si="245" t="shared"/>
        <v>0</v>
      </c>
      <c r="CZ349" s="246">
        <f si="246" t="shared"/>
        <v>4.8571428571428603</v>
      </c>
      <c r="DA349" s="246">
        <f si="249" t="shared"/>
        <v>0</v>
      </c>
      <c r="DB349" s="246">
        <f si="250" t="shared"/>
        <v>6.6785714285714306</v>
      </c>
      <c r="DC349" s="301">
        <f si="251" t="shared"/>
        <v>6.6785714285714306</v>
      </c>
      <c r="DD349" s="302">
        <f si="252" t="shared"/>
        <v>0</v>
      </c>
      <c r="DE349" s="357">
        <f si="253" t="shared"/>
        <v>0</v>
      </c>
    </row>
    <row r="350" spans="99:109" x14ac:dyDescent="0.25">
      <c r="CU350">
        <v>349</v>
      </c>
      <c r="CV350">
        <f si="254" t="shared"/>
        <v>18</v>
      </c>
      <c r="CW350">
        <f si="247" t="shared"/>
        <v>9</v>
      </c>
      <c r="CX350" s="355" t="str">
        <f si="248" t="shared"/>
        <v>9_18</v>
      </c>
      <c r="CY350" s="246">
        <f si="245" t="shared"/>
        <v>0</v>
      </c>
      <c r="CZ350" s="246">
        <f si="246" t="shared"/>
        <v>211.57142857142901</v>
      </c>
      <c r="DA350" s="246">
        <f si="249" t="shared"/>
        <v>0.69771725221513547</v>
      </c>
      <c r="DB350" s="246">
        <f si="250" t="shared"/>
        <v>215.64285714285751</v>
      </c>
      <c r="DC350" s="301">
        <f si="251" t="shared"/>
        <v>214.94513989064237</v>
      </c>
      <c r="DD350" s="302">
        <f si="252" t="shared"/>
        <v>0</v>
      </c>
      <c r="DE350" s="357">
        <f si="253" t="shared"/>
        <v>3.2355222030513017E-3</v>
      </c>
    </row>
    <row r="351" spans="99:109" x14ac:dyDescent="0.25">
      <c r="CU351">
        <v>350</v>
      </c>
      <c r="CV351">
        <f si="254" t="shared"/>
        <v>18</v>
      </c>
      <c r="CW351">
        <f si="247" t="shared"/>
        <v>10</v>
      </c>
      <c r="CX351" s="355" t="str">
        <f si="248" t="shared"/>
        <v>10_18</v>
      </c>
      <c r="CY351" s="246">
        <f si="245" t="shared"/>
        <v>1.0314590921360949</v>
      </c>
      <c r="CZ351" s="246">
        <f si="246" t="shared"/>
        <v>154.5</v>
      </c>
      <c r="DA351" s="246">
        <f si="249" t="shared"/>
        <v>0.51572954606804744</v>
      </c>
      <c r="DB351" s="246">
        <f si="250" t="shared"/>
        <v>164.5</v>
      </c>
      <c r="DC351" s="301">
        <f si="251" t="shared"/>
        <v>163.98427045393194</v>
      </c>
      <c r="DD351" s="302">
        <f si="252" t="shared"/>
        <v>158.98281541571325</v>
      </c>
      <c r="DE351" s="357">
        <f si="253" t="shared"/>
        <v>3.1351340186507445E-3</v>
      </c>
    </row>
    <row r="352" spans="99:109" x14ac:dyDescent="0.25">
      <c r="CU352">
        <v>351</v>
      </c>
      <c r="CV352">
        <f si="254" t="shared"/>
        <v>18</v>
      </c>
      <c r="CW352">
        <f si="247" t="shared"/>
        <v>11</v>
      </c>
      <c r="CX352" s="355" t="str">
        <f si="248" t="shared"/>
        <v>11_18</v>
      </c>
      <c r="CY352" s="246">
        <f si="245" t="shared"/>
        <v>0</v>
      </c>
      <c r="CZ352" s="246">
        <f si="246" t="shared"/>
        <v>49.714285714285701</v>
      </c>
      <c r="DA352" s="246">
        <f si="249" t="shared"/>
        <v>0</v>
      </c>
      <c r="DB352" s="246">
        <f si="250" t="shared"/>
        <v>46.107142857142847</v>
      </c>
      <c r="DC352" s="301">
        <f si="251" t="shared"/>
        <v>46.107142857142847</v>
      </c>
      <c r="DD352" s="302">
        <f si="252" t="shared"/>
        <v>0</v>
      </c>
      <c r="DE352" s="357">
        <f si="253" t="shared"/>
        <v>0</v>
      </c>
    </row>
    <row r="353" spans="99:109" x14ac:dyDescent="0.25">
      <c r="CU353">
        <v>352</v>
      </c>
      <c r="CV353">
        <f si="254" t="shared"/>
        <v>18</v>
      </c>
      <c r="CW353">
        <f si="247" t="shared"/>
        <v>12</v>
      </c>
      <c r="CX353" s="355" t="str">
        <f si="248" t="shared"/>
        <v>12_18</v>
      </c>
      <c r="CY353" s="246">
        <f si="245" t="shared"/>
        <v>14877.229131394453</v>
      </c>
      <c r="CZ353" s="246">
        <f si="246" t="shared"/>
        <v>11128.214285714301</v>
      </c>
      <c r="DA353" s="246">
        <f si="249" t="shared"/>
        <v>15313.924707816859</v>
      </c>
      <c r="DB353" s="246">
        <f si="250" t="shared"/>
        <v>11750.892857142851</v>
      </c>
      <c r="DC353" s="301">
        <f si="251" t="shared"/>
        <v>-3563.0318506740077</v>
      </c>
      <c r="DD353" s="302">
        <f si="252" t="shared"/>
        <v>-0.23949566274778764</v>
      </c>
      <c r="DE353" s="357">
        <f si="253" t="shared"/>
        <v>1.303213712693176</v>
      </c>
    </row>
    <row r="354" spans="99:109" x14ac:dyDescent="0.25">
      <c r="CU354">
        <v>353</v>
      </c>
      <c r="CV354">
        <f si="254" t="shared"/>
        <v>18</v>
      </c>
      <c r="CW354">
        <f si="247" t="shared"/>
        <v>13</v>
      </c>
      <c r="CX354" s="355" t="str">
        <f si="248" t="shared"/>
        <v>13_18</v>
      </c>
      <c r="CY354" s="246">
        <f si="245" t="shared"/>
        <v>8323.6866326829531</v>
      </c>
      <c r="CZ354" s="246">
        <f si="246" t="shared"/>
        <v>9470.6428571428605</v>
      </c>
      <c r="DA354" s="246">
        <f si="249" t="shared"/>
        <v>8454.0049768018507</v>
      </c>
      <c r="DB354" s="246">
        <f si="250" t="shared"/>
        <v>9717.8571428571449</v>
      </c>
      <c r="DC354" s="301">
        <f si="251" t="shared"/>
        <v>1263.8521660552942</v>
      </c>
      <c r="DD354" s="302">
        <f si="252" t="shared"/>
        <v>0.15183802824733683</v>
      </c>
      <c r="DE354" s="357">
        <f si="253" t="shared"/>
        <v>0.86994538533793375</v>
      </c>
    </row>
    <row r="355" spans="99:109" x14ac:dyDescent="0.25">
      <c r="CU355">
        <v>354</v>
      </c>
      <c r="CV355">
        <f si="254" t="shared"/>
        <v>18</v>
      </c>
      <c r="CW355">
        <f si="247" t="shared"/>
        <v>14</v>
      </c>
      <c r="CX355" s="355" t="str">
        <f si="248" t="shared"/>
        <v>14_18</v>
      </c>
      <c r="CY355" s="246">
        <f si="245" t="shared"/>
        <v>0</v>
      </c>
      <c r="CZ355" s="246">
        <f si="246" t="shared"/>
        <v>5.5714285714285703</v>
      </c>
      <c r="DA355" s="246">
        <f si="249" t="shared"/>
        <v>0</v>
      </c>
      <c r="DB355" s="246">
        <f si="250" t="shared"/>
        <v>5.6428571428571406</v>
      </c>
      <c r="DC355" s="301">
        <f si="251" t="shared"/>
        <v>5.6428571428571406</v>
      </c>
      <c r="DD355" s="302">
        <f si="252" t="shared"/>
        <v>0</v>
      </c>
      <c r="DE355" s="357">
        <f si="253" t="shared"/>
        <v>0</v>
      </c>
    </row>
    <row r="356" spans="99:109" x14ac:dyDescent="0.25">
      <c r="CU356">
        <v>355</v>
      </c>
      <c r="CV356">
        <f si="254" t="shared"/>
        <v>18</v>
      </c>
      <c r="CW356">
        <f si="247" t="shared"/>
        <v>15</v>
      </c>
      <c r="CX356" s="355" t="str">
        <f si="248" t="shared"/>
        <v>15_18</v>
      </c>
      <c r="CY356" s="246">
        <f si="245" t="shared"/>
        <v>63.309193910396125</v>
      </c>
      <c r="CZ356" s="246">
        <f si="246" t="shared"/>
        <v>100.142857142857</v>
      </c>
      <c r="DA356" s="246">
        <f si="249" t="shared"/>
        <v>57.696676665710044</v>
      </c>
      <c r="DB356" s="246">
        <f si="250" t="shared"/>
        <v>96.892857142857054</v>
      </c>
      <c r="DC356" s="301">
        <f si="251" t="shared"/>
        <v>39.19618047714701</v>
      </c>
      <c r="DD356" s="302">
        <f si="252" t="shared"/>
        <v>0.61912303815813596</v>
      </c>
      <c r="DE356" s="357">
        <f si="253" t="shared"/>
        <v>0.59546883399921957</v>
      </c>
    </row>
    <row r="357" spans="99:109" x14ac:dyDescent="0.25">
      <c r="CU357">
        <v>356</v>
      </c>
      <c r="CV357">
        <f si="254" t="shared"/>
        <v>18</v>
      </c>
      <c r="CW357">
        <f si="247" t="shared"/>
        <v>16</v>
      </c>
      <c r="CX357" s="355" t="str">
        <f si="248" t="shared"/>
        <v>16_18</v>
      </c>
      <c r="CY357" s="246">
        <f si="245" t="shared"/>
        <v>231.81788436179991</v>
      </c>
      <c r="CZ357" s="246">
        <f si="246" t="shared"/>
        <v>331.57142857142901</v>
      </c>
      <c r="DA357" s="246">
        <f si="249" t="shared"/>
        <v>232.12873599956259</v>
      </c>
      <c r="DB357" s="246">
        <f si="250" t="shared"/>
        <v>321</v>
      </c>
      <c r="DC357" s="301">
        <f si="251" t="shared"/>
        <v>88.871264000437407</v>
      </c>
      <c r="DD357" s="302">
        <f si="252" t="shared"/>
        <v>0.38336672877980094</v>
      </c>
      <c r="DE357" s="357">
        <f si="253" t="shared"/>
        <v>0.72314247974941614</v>
      </c>
    </row>
    <row r="358" spans="99:109" x14ac:dyDescent="0.25">
      <c r="CU358">
        <v>357</v>
      </c>
      <c r="CV358">
        <f si="254" t="shared"/>
        <v>18</v>
      </c>
      <c r="CW358">
        <f si="247" t="shared"/>
        <v>17</v>
      </c>
      <c r="CX358" s="355" t="str">
        <f si="248" t="shared"/>
        <v>17_18</v>
      </c>
      <c r="CY358" s="246">
        <f si="245" t="shared"/>
        <v>0</v>
      </c>
      <c r="CZ358" s="246">
        <f si="246" t="shared"/>
        <v>3.5714285714285698</v>
      </c>
      <c r="DA358" s="246">
        <f si="249" t="shared"/>
        <v>0</v>
      </c>
      <c r="DB358" s="246">
        <f si="250" t="shared"/>
        <v>3.6785714285714297</v>
      </c>
      <c r="DC358" s="301">
        <f si="251" t="shared"/>
        <v>3.6785714285714297</v>
      </c>
      <c r="DD358" s="302">
        <f si="252" t="shared"/>
        <v>0</v>
      </c>
      <c r="DE358" s="357">
        <f si="253" t="shared"/>
        <v>0</v>
      </c>
    </row>
    <row r="359" spans="99:109" x14ac:dyDescent="0.25">
      <c r="CU359">
        <v>358</v>
      </c>
      <c r="CV359">
        <f si="254" t="shared"/>
        <v>18</v>
      </c>
      <c r="CW359">
        <f si="247" t="shared"/>
        <v>18</v>
      </c>
      <c r="CX359" s="355" t="str">
        <f si="248" t="shared"/>
        <v>18_18</v>
      </c>
      <c r="CY359" s="246">
        <f si="245" t="shared"/>
        <v>53751.881467584739</v>
      </c>
      <c r="CZ359" s="246">
        <f si="246" t="shared"/>
        <v>53916.071428571398</v>
      </c>
      <c r="DA359" s="246">
        <f si="249" t="shared"/>
        <v>53751.881467584739</v>
      </c>
      <c r="DB359" s="246">
        <f si="250" t="shared"/>
        <v>53916.071428571398</v>
      </c>
      <c r="DC359" s="301">
        <f si="251" t="shared"/>
        <v>164.18996098665957</v>
      </c>
      <c r="DD359" s="302">
        <f si="252" t="shared"/>
        <v>3.0545900255728705E-3</v>
      </c>
      <c r="DE359" s="357">
        <f si="253" t="shared"/>
        <v>0.99695471208053099</v>
      </c>
    </row>
    <row r="360" spans="99:109" x14ac:dyDescent="0.25">
      <c r="CU360">
        <v>359</v>
      </c>
      <c r="CV360">
        <f si="254" t="shared"/>
        <v>18</v>
      </c>
      <c r="CW360">
        <f si="247" t="shared"/>
        <v>19</v>
      </c>
      <c r="CX360" s="355" t="str">
        <f si="248" t="shared"/>
        <v>18_19</v>
      </c>
      <c r="CY360" s="246">
        <f si="245" t="shared"/>
        <v>39.18462610018824</v>
      </c>
      <c r="CZ360" s="246">
        <f si="246" t="shared"/>
        <v>9.8571428571428594</v>
      </c>
      <c r="DA360" s="246">
        <f si="249" t="shared"/>
        <v>38.250106765889917</v>
      </c>
      <c r="DB360" s="246">
        <f si="250" t="shared"/>
        <v>9.1428571428571459</v>
      </c>
      <c r="DC360" s="301">
        <f si="251" t="shared"/>
        <v>-29.107249623032772</v>
      </c>
      <c r="DD360" s="302">
        <f si="252" t="shared"/>
        <v>-0.742823206953937</v>
      </c>
      <c r="DE360" s="357">
        <f si="253" t="shared"/>
        <v>4.1836054275192085</v>
      </c>
    </row>
    <row r="361" spans="99:109" x14ac:dyDescent="0.25">
      <c r="CU361">
        <v>360</v>
      </c>
      <c r="CV361">
        <f si="254" t="shared"/>
        <v>18</v>
      </c>
      <c r="CW361">
        <f si="247" t="shared"/>
        <v>20</v>
      </c>
      <c r="CX361" s="355" t="str">
        <f si="248" t="shared"/>
        <v>18_20</v>
      </c>
      <c r="CY361" s="246">
        <f si="245" t="shared"/>
        <v>8827.5343688063967</v>
      </c>
      <c r="CZ361" s="246">
        <f si="246" t="shared"/>
        <v>9344.6428571428605</v>
      </c>
      <c r="DA361" s="246">
        <f si="249" t="shared"/>
        <v>8715.8714148617019</v>
      </c>
      <c r="DB361" s="246">
        <f si="250" t="shared"/>
        <v>9298</v>
      </c>
      <c r="DC361" s="301">
        <f si="251" t="shared"/>
        <v>582.12858513829815</v>
      </c>
      <c r="DD361" s="302">
        <f si="252" t="shared"/>
        <v>6.5944641030835194E-2</v>
      </c>
      <c r="DE361" s="357">
        <f si="253" t="shared"/>
        <v>0.93739206440758249</v>
      </c>
    </row>
    <row r="362" spans="99:109" x14ac:dyDescent="0.25">
      <c r="CU362">
        <v>361</v>
      </c>
      <c r="CV362">
        <f si="254" t="shared"/>
        <v>19</v>
      </c>
      <c r="CW362">
        <f si="247" t="shared"/>
        <v>1</v>
      </c>
      <c r="CX362" s="355" t="str">
        <f si="248" t="shared"/>
        <v>1_19</v>
      </c>
      <c r="CY362" s="246">
        <f si="245" t="shared"/>
        <v>439.04605068877754</v>
      </c>
      <c r="CZ362" s="246">
        <f si="246" t="shared"/>
        <v>1255.3571428571399</v>
      </c>
      <c r="DA362" s="246">
        <f si="249" t="shared"/>
        <v>442.41288205375923</v>
      </c>
      <c r="DB362" s="246">
        <f si="250" t="shared"/>
        <v>1309.6071428571399</v>
      </c>
      <c r="DC362" s="301">
        <f si="251" t="shared"/>
        <v>867.19426080338076</v>
      </c>
      <c r="DD362" s="302">
        <f si="252" t="shared"/>
        <v>1.9751783655562378</v>
      </c>
      <c r="DE362" s="357">
        <f si="253" t="shared"/>
        <v>0.3378210667731677</v>
      </c>
    </row>
    <row r="363" spans="99:109" x14ac:dyDescent="0.25">
      <c r="CU363">
        <v>362</v>
      </c>
      <c r="CV363">
        <f si="254" t="shared"/>
        <v>19</v>
      </c>
      <c r="CW363">
        <f si="247" t="shared"/>
        <v>2</v>
      </c>
      <c r="CX363" s="355" t="str">
        <f si="248" t="shared"/>
        <v>2_19</v>
      </c>
      <c r="CY363" s="246">
        <f si="245" t="shared"/>
        <v>194.46646367581585</v>
      </c>
      <c r="CZ363" s="246">
        <f si="246" t="shared"/>
        <v>179.642857142857</v>
      </c>
      <c r="DA363" s="246">
        <f si="249" t="shared"/>
        <v>211.56086640154547</v>
      </c>
      <c r="DB363" s="246">
        <f si="250" t="shared"/>
        <v>218.7142857142855</v>
      </c>
      <c r="DC363" s="301">
        <f si="251" t="shared"/>
        <v>7.1534193127400272</v>
      </c>
      <c r="DD363" s="302">
        <f si="252" t="shared"/>
        <v>3.6784848027396087E-2</v>
      </c>
      <c r="DE363" s="357">
        <f si="253" t="shared"/>
        <v>0.96729331470334401</v>
      </c>
    </row>
    <row r="364" spans="99:109" x14ac:dyDescent="0.25">
      <c r="CU364">
        <v>363</v>
      </c>
      <c r="CV364">
        <f si="254" t="shared"/>
        <v>19</v>
      </c>
      <c r="CW364">
        <f si="247" t="shared"/>
        <v>3</v>
      </c>
      <c r="CX364" s="355" t="str">
        <f si="248" t="shared"/>
        <v>3_19</v>
      </c>
      <c r="CY364" s="246">
        <f si="245" t="shared"/>
        <v>773.30981330461475</v>
      </c>
      <c r="CZ364" s="246">
        <f si="246" t="shared"/>
        <v>1921.2857142857099</v>
      </c>
      <c r="DA364" s="246">
        <f si="249" t="shared"/>
        <v>775.82795263356934</v>
      </c>
      <c r="DB364" s="246">
        <f si="250" t="shared"/>
        <v>1962.5714285714248</v>
      </c>
      <c r="DC364" s="301">
        <f si="251" t="shared"/>
        <v>1186.7434759378555</v>
      </c>
      <c r="DD364" s="302">
        <f si="252" t="shared"/>
        <v>1.5346287548925555</v>
      </c>
      <c r="DE364" s="357">
        <f si="253" t="shared"/>
        <v>0.39531195723067375</v>
      </c>
    </row>
    <row r="365" spans="99:109" x14ac:dyDescent="0.25">
      <c r="CU365">
        <v>364</v>
      </c>
      <c r="CV365">
        <f si="254" t="shared"/>
        <v>19</v>
      </c>
      <c r="CW365">
        <f si="247" t="shared"/>
        <v>4</v>
      </c>
      <c r="CX365" s="355" t="str">
        <f si="248" t="shared"/>
        <v>4_19</v>
      </c>
      <c r="CY365" s="246">
        <f si="245" t="shared"/>
        <v>252.06480144695055</v>
      </c>
      <c r="CZ365" s="246">
        <f si="246" t="shared"/>
        <v>626.42857142857099</v>
      </c>
      <c r="DA365" s="246">
        <f si="249" t="shared"/>
        <v>255.04573820296247</v>
      </c>
      <c r="DB365" s="246">
        <f si="250" t="shared"/>
        <v>611.42857142857099</v>
      </c>
      <c r="DC365" s="301">
        <f si="251" t="shared"/>
        <v>356.38283322560852</v>
      </c>
      <c r="DD365" s="302">
        <f si="252" t="shared"/>
        <v>1.4138540215842579</v>
      </c>
      <c r="DE365" s="357">
        <f si="253" t="shared"/>
        <v>0.41713088023849032</v>
      </c>
    </row>
    <row r="366" spans="99:109" x14ac:dyDescent="0.25">
      <c r="CU366">
        <v>365</v>
      </c>
      <c r="CV366">
        <f si="254" t="shared"/>
        <v>19</v>
      </c>
      <c r="CW366">
        <f si="247" t="shared"/>
        <v>5</v>
      </c>
      <c r="CX366" s="355" t="str">
        <f si="248" t="shared"/>
        <v>5_19</v>
      </c>
      <c r="CY366" s="246">
        <f si="245" t="shared"/>
        <v>162.56973014751006</v>
      </c>
      <c r="CZ366" s="246">
        <f si="246" t="shared"/>
        <v>351.42857142857099</v>
      </c>
      <c r="DA366" s="246">
        <f si="249" t="shared"/>
        <v>168.73513047955032</v>
      </c>
      <c r="DB366" s="246">
        <f si="250" t="shared"/>
        <v>352.67857142857099</v>
      </c>
      <c r="DC366" s="301">
        <f si="251" t="shared"/>
        <v>183.94344094902067</v>
      </c>
      <c r="DD366" s="302">
        <f si="252" t="shared"/>
        <v>1.1314741113374356</v>
      </c>
      <c r="DE366" s="357">
        <f si="253" t="shared"/>
        <v>0.47843885097999139</v>
      </c>
    </row>
    <row r="367" spans="99:109" x14ac:dyDescent="0.25">
      <c r="CU367">
        <v>366</v>
      </c>
      <c r="CV367">
        <f si="254" t="shared"/>
        <v>19</v>
      </c>
      <c r="CW367">
        <f si="247" t="shared"/>
        <v>6</v>
      </c>
      <c r="CX367" s="355" t="str">
        <f si="248" t="shared"/>
        <v>6_19</v>
      </c>
      <c r="CY367" s="246">
        <f si="245" t="shared"/>
        <v>589.33934370343547</v>
      </c>
      <c r="CZ367" s="246">
        <f si="246" t="shared"/>
        <v>621.71428571428601</v>
      </c>
      <c r="DA367" s="246">
        <f si="249" t="shared"/>
        <v>607.89974764364956</v>
      </c>
      <c r="DB367" s="246">
        <f si="250" t="shared"/>
        <v>696.75</v>
      </c>
      <c r="DC367" s="301">
        <f si="251" t="shared"/>
        <v>88.850252356350438</v>
      </c>
      <c r="DD367" s="302">
        <f si="252" t="shared"/>
        <v>0.15076246530226775</v>
      </c>
      <c r="DE367" s="357">
        <f si="253" t="shared"/>
        <v>0.87247900630591968</v>
      </c>
    </row>
    <row r="368" spans="99:109" x14ac:dyDescent="0.25">
      <c r="CU368">
        <v>367</v>
      </c>
      <c r="CV368">
        <f si="254" t="shared"/>
        <v>19</v>
      </c>
      <c r="CW368">
        <f si="247" t="shared"/>
        <v>7</v>
      </c>
      <c r="CX368" s="355" t="str">
        <f si="248" t="shared"/>
        <v>7_19</v>
      </c>
      <c r="CY368" s="246">
        <f si="245" t="shared"/>
        <v>0</v>
      </c>
      <c r="CZ368" s="246">
        <f si="246" t="shared"/>
        <v>244.21428571428601</v>
      </c>
      <c r="DA368" s="246">
        <f si="249" t="shared"/>
        <v>0</v>
      </c>
      <c r="DB368" s="246">
        <f si="250" t="shared"/>
        <v>246.4285714285715</v>
      </c>
      <c r="DC368" s="301">
        <f si="251" t="shared"/>
        <v>246.4285714285715</v>
      </c>
      <c r="DD368" s="302">
        <f si="252" t="shared"/>
        <v>0</v>
      </c>
      <c r="DE368" s="357">
        <f si="253" t="shared"/>
        <v>0</v>
      </c>
    </row>
    <row r="369" spans="99:109" x14ac:dyDescent="0.25">
      <c r="CU369">
        <v>368</v>
      </c>
      <c r="CV369">
        <f si="254" t="shared"/>
        <v>19</v>
      </c>
      <c r="CW369">
        <f si="247" t="shared"/>
        <v>8</v>
      </c>
      <c r="CX369" s="355" t="str">
        <f si="248" t="shared"/>
        <v>8_19</v>
      </c>
      <c r="CY369" s="246">
        <f si="245" t="shared"/>
        <v>142.03837565277641</v>
      </c>
      <c r="CZ369" s="246">
        <f si="246" t="shared"/>
        <v>80.642857142857096</v>
      </c>
      <c r="DA369" s="246">
        <f si="249" t="shared"/>
        <v>136.59510412736483</v>
      </c>
      <c r="DB369" s="246">
        <f si="250" t="shared"/>
        <v>88.357142857142847</v>
      </c>
      <c r="DC369" s="301">
        <f si="251" t="shared"/>
        <v>-48.237961270221987</v>
      </c>
      <c r="DD369" s="302">
        <f si="252" t="shared"/>
        <v>-0.33961217205231453</v>
      </c>
      <c r="DE369" s="357">
        <f si="253" t="shared"/>
        <v>1.5459429731472174</v>
      </c>
    </row>
    <row r="370" spans="99:109" x14ac:dyDescent="0.25">
      <c r="CU370">
        <v>369</v>
      </c>
      <c r="CV370">
        <f si="254" t="shared"/>
        <v>19</v>
      </c>
      <c r="CW370">
        <f si="247" t="shared"/>
        <v>9</v>
      </c>
      <c r="CX370" s="355" t="str">
        <f si="248" t="shared"/>
        <v>9_19</v>
      </c>
      <c r="CY370" s="246">
        <f si="245" t="shared"/>
        <v>550.7430171629353</v>
      </c>
      <c r="CZ370" s="246">
        <f si="246" t="shared"/>
        <v>1650.2142857142901</v>
      </c>
      <c r="DA370" s="246">
        <f si="249" t="shared"/>
        <v>573.03924010068454</v>
      </c>
      <c r="DB370" s="246">
        <f si="250" t="shared"/>
        <v>1658.0357142857151</v>
      </c>
      <c r="DC370" s="301">
        <f si="251" t="shared"/>
        <v>1084.9964741850306</v>
      </c>
      <c r="DD370" s="302">
        <f si="252" t="shared"/>
        <v>1.97005942948531</v>
      </c>
      <c r="DE370" s="357">
        <f si="253" t="shared"/>
        <v>0.34561332736282518</v>
      </c>
    </row>
    <row r="371" spans="99:109" x14ac:dyDescent="0.25">
      <c r="CU371">
        <v>370</v>
      </c>
      <c r="CV371">
        <f si="254" t="shared"/>
        <v>19</v>
      </c>
      <c r="CW371">
        <f si="247" t="shared"/>
        <v>10</v>
      </c>
      <c r="CX371" s="355" t="str">
        <f si="248" t="shared"/>
        <v>10_19</v>
      </c>
      <c r="CY371" s="246">
        <f si="245" t="shared"/>
        <v>0</v>
      </c>
      <c r="CZ371" s="246">
        <f si="246" t="shared"/>
        <v>156.142857142857</v>
      </c>
      <c r="DA371" s="246">
        <f si="249" t="shared"/>
        <v>0.63753458765053928</v>
      </c>
      <c r="DB371" s="246">
        <f si="250" t="shared"/>
        <v>155.6785714285715</v>
      </c>
      <c r="DC371" s="301">
        <f si="251" t="shared"/>
        <v>155.04103684092095</v>
      </c>
      <c r="DD371" s="302">
        <f si="252" t="shared"/>
        <v>0</v>
      </c>
      <c r="DE371" s="357">
        <f si="253" t="shared"/>
        <v>4.0951980853900184E-3</v>
      </c>
    </row>
    <row r="372" spans="99:109" x14ac:dyDescent="0.25">
      <c r="CU372">
        <v>371</v>
      </c>
      <c r="CV372">
        <f si="254" t="shared"/>
        <v>19</v>
      </c>
      <c r="CW372">
        <f si="247" t="shared"/>
        <v>11</v>
      </c>
      <c r="CX372" s="355" t="str">
        <f si="248" t="shared"/>
        <v>11_19</v>
      </c>
      <c r="CY372" s="246">
        <f si="245" t="shared"/>
        <v>15537.022607052979</v>
      </c>
      <c r="CZ372" s="246">
        <f si="246" t="shared"/>
        <v>14140.785714285699</v>
      </c>
      <c r="DA372" s="246">
        <f si="249" t="shared"/>
        <v>15907.532836071321</v>
      </c>
      <c r="DB372" s="246">
        <f si="250" t="shared"/>
        <v>14403.89285714285</v>
      </c>
      <c r="DC372" s="301">
        <f si="251" t="shared"/>
        <v>-1503.6399789284715</v>
      </c>
      <c r="DD372" s="302">
        <f si="252" t="shared"/>
        <v>-9.6777871601081353E-2</v>
      </c>
      <c r="DE372" s="357">
        <f si="253" t="shared"/>
        <v>1.1043912221398413</v>
      </c>
    </row>
    <row r="373" spans="99:109" x14ac:dyDescent="0.25">
      <c r="CU373">
        <v>372</v>
      </c>
      <c r="CV373">
        <f si="254" t="shared"/>
        <v>19</v>
      </c>
      <c r="CW373">
        <f si="247" t="shared"/>
        <v>12</v>
      </c>
      <c r="CX373" s="355" t="str">
        <f si="248" t="shared"/>
        <v>12_19</v>
      </c>
      <c r="CY373" s="246">
        <f si="245" t="shared"/>
        <v>55.6382084918584</v>
      </c>
      <c r="CZ373" s="246">
        <f si="246" t="shared"/>
        <v>344.78571428571399</v>
      </c>
      <c r="DA373" s="246">
        <f si="249" t="shared"/>
        <v>64.526221757043459</v>
      </c>
      <c r="DB373" s="246">
        <f si="250" t="shared"/>
        <v>368.392857142857</v>
      </c>
      <c r="DC373" s="301">
        <f si="251" t="shared"/>
        <v>303.86663538581354</v>
      </c>
      <c r="DD373" s="302">
        <f si="252" t="shared"/>
        <v>5.4614741132486087</v>
      </c>
      <c r="DE373" s="357">
        <f si="253" t="shared"/>
        <v>0.17515600670840695</v>
      </c>
    </row>
    <row r="374" spans="99:109" x14ac:dyDescent="0.25">
      <c r="CU374">
        <v>373</v>
      </c>
      <c r="CV374">
        <f si="254" t="shared"/>
        <v>19</v>
      </c>
      <c r="CW374">
        <f si="247" t="shared"/>
        <v>13</v>
      </c>
      <c r="CX374" s="355" t="str">
        <f si="248" t="shared"/>
        <v>13_19</v>
      </c>
      <c r="CY374" s="246">
        <f si="245" t="shared"/>
        <v>0</v>
      </c>
      <c r="CZ374" s="246">
        <f si="246" t="shared"/>
        <v>201.21428571428601</v>
      </c>
      <c r="DA374" s="246">
        <f si="249" t="shared"/>
        <v>0</v>
      </c>
      <c r="DB374" s="246">
        <f si="250" t="shared"/>
        <v>204</v>
      </c>
      <c r="DC374" s="301">
        <f si="251" t="shared"/>
        <v>204</v>
      </c>
      <c r="DD374" s="302">
        <f si="252" t="shared"/>
        <v>0</v>
      </c>
      <c r="DE374" s="357">
        <f si="253" t="shared"/>
        <v>0</v>
      </c>
    </row>
    <row r="375" spans="99:109" x14ac:dyDescent="0.25">
      <c r="CU375">
        <v>374</v>
      </c>
      <c r="CV375">
        <f si="254" t="shared"/>
        <v>19</v>
      </c>
      <c r="CW375">
        <f si="247" t="shared"/>
        <v>14</v>
      </c>
      <c r="CX375" s="355" t="str">
        <f si="248" t="shared"/>
        <v>14_19</v>
      </c>
      <c r="CY375" s="246">
        <f si="245" t="shared"/>
        <v>0</v>
      </c>
      <c r="CZ375" s="246">
        <f si="246" t="shared"/>
        <v>425.21428571428601</v>
      </c>
      <c r="DA375" s="246">
        <f si="249" t="shared"/>
        <v>0</v>
      </c>
      <c r="DB375" s="246">
        <f si="250" t="shared"/>
        <v>428.25</v>
      </c>
      <c r="DC375" s="301">
        <f si="251" t="shared"/>
        <v>428.25</v>
      </c>
      <c r="DD375" s="302">
        <f si="252" t="shared"/>
        <v>0</v>
      </c>
      <c r="DE375" s="357">
        <f si="253" t="shared"/>
        <v>0</v>
      </c>
    </row>
    <row r="376" spans="99:109" x14ac:dyDescent="0.25">
      <c r="CU376">
        <v>375</v>
      </c>
      <c r="CV376">
        <f si="254" t="shared"/>
        <v>19</v>
      </c>
      <c r="CW376">
        <f si="247" t="shared"/>
        <v>15</v>
      </c>
      <c r="CX376" s="355" t="str">
        <f si="248" t="shared"/>
        <v>15_19</v>
      </c>
      <c r="CY376" s="246">
        <f si="245" t="shared"/>
        <v>0</v>
      </c>
      <c r="CZ376" s="246">
        <f si="246" t="shared"/>
        <v>1634.5</v>
      </c>
      <c r="DA376" s="246">
        <f si="249" t="shared"/>
        <v>0</v>
      </c>
      <c r="DB376" s="246">
        <f si="250" t="shared"/>
        <v>1658.1071428571449</v>
      </c>
      <c r="DC376" s="301">
        <f si="251" t="shared"/>
        <v>1658.1071428571449</v>
      </c>
      <c r="DD376" s="302">
        <f si="252" t="shared"/>
        <v>0</v>
      </c>
      <c r="DE376" s="357">
        <f si="253" t="shared"/>
        <v>0</v>
      </c>
    </row>
    <row r="377" spans="99:109" x14ac:dyDescent="0.25">
      <c r="CU377">
        <v>376</v>
      </c>
      <c r="CV377">
        <f si="254" t="shared"/>
        <v>19</v>
      </c>
      <c r="CW377">
        <f si="247" t="shared"/>
        <v>16</v>
      </c>
      <c r="CX377" s="355" t="str">
        <f si="248" t="shared"/>
        <v>16_19</v>
      </c>
      <c r="CY377" s="246">
        <f si="245" t="shared"/>
        <v>0</v>
      </c>
      <c r="CZ377" s="246">
        <f si="246" t="shared"/>
        <v>14.9285714285714</v>
      </c>
      <c r="DA377" s="246">
        <f si="249" t="shared"/>
        <v>0</v>
      </c>
      <c r="DB377" s="246">
        <f si="250" t="shared"/>
        <v>17.857142857142851</v>
      </c>
      <c r="DC377" s="301">
        <f si="251" t="shared"/>
        <v>17.857142857142851</v>
      </c>
      <c r="DD377" s="302">
        <f si="252" t="shared"/>
        <v>0</v>
      </c>
      <c r="DE377" s="357">
        <f si="253" t="shared"/>
        <v>0</v>
      </c>
    </row>
    <row r="378" spans="99:109" x14ac:dyDescent="0.25">
      <c r="CU378">
        <v>377</v>
      </c>
      <c r="CV378">
        <f si="254" t="shared"/>
        <v>19</v>
      </c>
      <c r="CW378">
        <f si="247" t="shared"/>
        <v>17</v>
      </c>
      <c r="CX378" s="355" t="str">
        <f si="248" t="shared"/>
        <v>17_19</v>
      </c>
      <c r="CY378" s="246">
        <f si="245" t="shared"/>
        <v>3758.924126875509</v>
      </c>
      <c r="CZ378" s="246">
        <f si="246" t="shared"/>
        <v>6014.6428571428596</v>
      </c>
      <c r="DA378" s="246">
        <f si="249" t="shared"/>
        <v>3692.6530925212323</v>
      </c>
      <c r="DB378" s="246">
        <f si="250" t="shared"/>
        <v>5999.1428571428596</v>
      </c>
      <c r="DC378" s="301">
        <f si="251" t="shared"/>
        <v>2306.4897646216273</v>
      </c>
      <c r="DD378" s="302">
        <f si="252" t="shared"/>
        <v>0.61360370328592573</v>
      </c>
      <c r="DE378" s="357">
        <f si="253" t="shared"/>
        <v>0.61553011496043752</v>
      </c>
    </row>
    <row r="379" spans="99:109" x14ac:dyDescent="0.25">
      <c r="CU379">
        <v>378</v>
      </c>
      <c r="CV379">
        <f si="254" t="shared"/>
        <v>19</v>
      </c>
      <c r="CW379">
        <f si="247" t="shared"/>
        <v>18</v>
      </c>
      <c r="CX379" s="355" t="str">
        <f si="248" t="shared"/>
        <v>18_19</v>
      </c>
      <c r="CY379" s="246">
        <f si="245" t="shared"/>
        <v>37.315587431591595</v>
      </c>
      <c r="CZ379" s="246">
        <f si="246" t="shared"/>
        <v>8.4285714285714306</v>
      </c>
      <c r="DA379" s="246">
        <f si="249" t="shared"/>
        <v>38.250106765889917</v>
      </c>
      <c r="DB379" s="246">
        <f si="250" t="shared"/>
        <v>9.1428571428571459</v>
      </c>
      <c r="DC379" s="301">
        <f si="251" t="shared"/>
        <v>-29.107249623032772</v>
      </c>
      <c r="DD379" s="302">
        <f si="252" t="shared"/>
        <v>-0.78002924853838429</v>
      </c>
      <c r="DE379" s="357">
        <f si="253" t="shared"/>
        <v>4.1836054275192085</v>
      </c>
    </row>
    <row r="380" spans="99:109" x14ac:dyDescent="0.25">
      <c r="CU380">
        <v>379</v>
      </c>
      <c r="CV380">
        <f si="254" t="shared"/>
        <v>19</v>
      </c>
      <c r="CW380">
        <f si="247" t="shared"/>
        <v>19</v>
      </c>
      <c r="CX380" s="355" t="str">
        <f si="248" t="shared"/>
        <v>19_19</v>
      </c>
      <c r="CY380" s="246">
        <f si="245" t="shared"/>
        <v>76347.273145808664</v>
      </c>
      <c r="CZ380" s="246">
        <f si="246" t="shared"/>
        <v>73774.5</v>
      </c>
      <c r="DA380" s="246">
        <f si="249" t="shared"/>
        <v>76347.273145808664</v>
      </c>
      <c r="DB380" s="246">
        <f si="250" t="shared"/>
        <v>73774.5</v>
      </c>
      <c r="DC380" s="301">
        <f si="251" t="shared"/>
        <v>-2572.7731458086637</v>
      </c>
      <c r="DD380" s="302">
        <f si="252" t="shared"/>
        <v>-3.3698297788516428E-2</v>
      </c>
      <c r="DE380" s="357">
        <f si="253" t="shared"/>
        <v>1.0348734745177353</v>
      </c>
    </row>
    <row r="381" spans="99:109" x14ac:dyDescent="0.25">
      <c r="CU381">
        <v>380</v>
      </c>
      <c r="CV381">
        <f si="254" t="shared"/>
        <v>19</v>
      </c>
      <c r="CW381">
        <f si="247" t="shared"/>
        <v>20</v>
      </c>
      <c r="CX381" s="355" t="str">
        <f si="248" t="shared"/>
        <v>19_20</v>
      </c>
      <c r="CY381" s="246">
        <f si="245" t="shared"/>
        <v>0</v>
      </c>
      <c r="CZ381" s="246">
        <f si="246" t="shared"/>
        <v>0.5</v>
      </c>
      <c r="DA381" s="246">
        <f si="249" t="shared"/>
        <v>0</v>
      </c>
      <c r="DB381" s="246">
        <f si="250" t="shared"/>
        <v>0.53571428571428548</v>
      </c>
      <c r="DC381" s="301">
        <f si="251" t="shared"/>
        <v>0.53571428571428548</v>
      </c>
      <c r="DD381" s="302">
        <f si="252" t="shared"/>
        <v>0</v>
      </c>
      <c r="DE381" s="357">
        <f si="253" t="shared"/>
        <v>0</v>
      </c>
    </row>
    <row r="382" spans="99:109" x14ac:dyDescent="0.25">
      <c r="CU382">
        <v>381</v>
      </c>
      <c r="CV382">
        <f si="254" t="shared"/>
        <v>20</v>
      </c>
      <c r="CW382">
        <f si="247" t="shared"/>
        <v>1</v>
      </c>
      <c r="CX382" s="355" t="str">
        <f si="248" t="shared"/>
        <v>1_20</v>
      </c>
      <c r="CY382" s="246">
        <f si="245" t="shared"/>
        <v>0</v>
      </c>
      <c r="CZ382" s="246">
        <f si="246" t="shared"/>
        <v>199.142857142857</v>
      </c>
      <c r="DA382" s="246">
        <f si="249" t="shared"/>
        <v>0</v>
      </c>
      <c r="DB382" s="246">
        <f si="250" t="shared"/>
        <v>201.4285714285715</v>
      </c>
      <c r="DC382" s="301">
        <f si="251" t="shared"/>
        <v>201.4285714285715</v>
      </c>
      <c r="DD382" s="302">
        <f si="252" t="shared"/>
        <v>0</v>
      </c>
      <c r="DE382" s="357">
        <f si="253" t="shared"/>
        <v>0</v>
      </c>
    </row>
    <row r="383" spans="99:109" x14ac:dyDescent="0.25">
      <c r="CU383">
        <v>382</v>
      </c>
      <c r="CV383">
        <f si="254" t="shared"/>
        <v>20</v>
      </c>
      <c r="CW383">
        <f si="247" t="shared"/>
        <v>2</v>
      </c>
      <c r="CX383" s="355" t="str">
        <f si="248" t="shared"/>
        <v>2_20</v>
      </c>
      <c r="CY383" s="246">
        <f si="245" t="shared"/>
        <v>0</v>
      </c>
      <c r="CZ383" s="246">
        <f si="246" t="shared"/>
        <v>46.428571428571402</v>
      </c>
      <c r="DA383" s="246">
        <f si="249" t="shared"/>
        <v>0</v>
      </c>
      <c r="DB383" s="246">
        <f si="250" t="shared"/>
        <v>51.571428571428555</v>
      </c>
      <c r="DC383" s="301">
        <f si="251" t="shared"/>
        <v>51.571428571428555</v>
      </c>
      <c r="DD383" s="302">
        <f si="252" t="shared"/>
        <v>0</v>
      </c>
      <c r="DE383" s="357">
        <f si="253" t="shared"/>
        <v>0</v>
      </c>
    </row>
    <row r="384" spans="99:109" x14ac:dyDescent="0.25">
      <c r="CU384">
        <v>383</v>
      </c>
      <c r="CV384">
        <f si="254" t="shared"/>
        <v>20</v>
      </c>
      <c r="CW384">
        <f si="247" t="shared"/>
        <v>3</v>
      </c>
      <c r="CX384" s="355" t="str">
        <f si="248" t="shared"/>
        <v>3_20</v>
      </c>
      <c r="CY384" s="246">
        <f si="245" t="shared"/>
        <v>0</v>
      </c>
      <c r="CZ384" s="246">
        <f si="246" t="shared"/>
        <v>81.285714285714306</v>
      </c>
      <c r="DA384" s="246">
        <f si="249" t="shared"/>
        <v>0</v>
      </c>
      <c r="DB384" s="246">
        <f si="250" t="shared"/>
        <v>90.535714285714306</v>
      </c>
      <c r="DC384" s="301">
        <f si="251" t="shared"/>
        <v>90.535714285714306</v>
      </c>
      <c r="DD384" s="302">
        <f si="252" t="shared"/>
        <v>0</v>
      </c>
      <c r="DE384" s="357">
        <f si="253" t="shared"/>
        <v>0</v>
      </c>
    </row>
    <row r="385" spans="99:109" x14ac:dyDescent="0.25">
      <c r="CU385">
        <v>384</v>
      </c>
      <c r="CV385">
        <f si="254" t="shared"/>
        <v>20</v>
      </c>
      <c r="CW385">
        <f si="247" t="shared"/>
        <v>4</v>
      </c>
      <c r="CX385" s="355" t="str">
        <f si="248" t="shared"/>
        <v>4_20</v>
      </c>
      <c r="CY385" s="246">
        <f si="245" t="shared"/>
        <v>0</v>
      </c>
      <c r="CZ385" s="246">
        <f si="246" t="shared"/>
        <v>58.928571428571402</v>
      </c>
      <c r="DA385" s="246">
        <f si="249" t="shared"/>
        <v>0</v>
      </c>
      <c r="DB385" s="246">
        <f si="250" t="shared"/>
        <v>54.928571428571402</v>
      </c>
      <c r="DC385" s="301">
        <f si="251" t="shared"/>
        <v>54.928571428571402</v>
      </c>
      <c r="DD385" s="302">
        <f si="252" t="shared"/>
        <v>0</v>
      </c>
      <c r="DE385" s="357">
        <f si="253" t="shared"/>
        <v>0</v>
      </c>
    </row>
    <row r="386" spans="99:109" x14ac:dyDescent="0.25">
      <c r="CU386">
        <v>385</v>
      </c>
      <c r="CV386">
        <f si="254" t="shared"/>
        <v>20</v>
      </c>
      <c r="CW386">
        <f si="247" t="shared"/>
        <v>5</v>
      </c>
      <c r="CX386" s="355" t="str">
        <f si="248" t="shared"/>
        <v>5_20</v>
      </c>
      <c r="CY386" s="246">
        <f ref="CY386:CY401" si="255" t="shared">VLOOKUP($CV386,$B$67:$V$86,MATCH($CW386,$B$66:$V$66,0),0)</f>
        <v>0</v>
      </c>
      <c r="CZ386" s="246">
        <f ref="CZ386:CZ401" si="256" t="shared">VLOOKUP($CV386,$Z$41:$AT$60,MATCH($CW386,$Z$40:$AT$40,0),0)</f>
        <v>78.285714285714306</v>
      </c>
      <c r="DA386" s="246">
        <f si="249" t="shared"/>
        <v>0</v>
      </c>
      <c r="DB386" s="246">
        <f si="250" t="shared"/>
        <v>81.964285714285694</v>
      </c>
      <c r="DC386" s="301">
        <f si="251" t="shared"/>
        <v>81.964285714285694</v>
      </c>
      <c r="DD386" s="302">
        <f si="252" t="shared"/>
        <v>0</v>
      </c>
      <c r="DE386" s="357">
        <f si="253" t="shared"/>
        <v>0</v>
      </c>
    </row>
    <row r="387" spans="99:109" x14ac:dyDescent="0.25">
      <c r="CU387">
        <v>386</v>
      </c>
      <c r="CV387">
        <f si="254" t="shared"/>
        <v>20</v>
      </c>
      <c r="CW387">
        <f ref="CW387:CW401" si="257" t="shared">MOD(ROW()-2,$CS$2)+1</f>
        <v>6</v>
      </c>
      <c r="CX387" s="355" t="str">
        <f ref="CX387:CX401" si="258" t="shared">IF(CV387&lt;=CW387,CONCATENATE(CV387,"_",CW387),CONCATENATE(CW387,"_",CV387))</f>
        <v>6_20</v>
      </c>
      <c r="CY387" s="246">
        <f si="255" t="shared"/>
        <v>0</v>
      </c>
      <c r="CZ387" s="246">
        <f si="256" t="shared"/>
        <v>251.57142857142901</v>
      </c>
      <c r="DA387" s="246">
        <f ref="DA387:DA401" si="259" t="shared">AVERAGEIF($CX$2:$CX$401,$CX387,$CY$2:$CY$401)</f>
        <v>0</v>
      </c>
      <c r="DB387" s="246">
        <f ref="DB387:DB401" si="260" t="shared">AVERAGEIF($CX$2:$CX$401,$CX387,$CZ$2:$CZ$401)</f>
        <v>259.07142857142901</v>
      </c>
      <c r="DC387" s="301">
        <f ref="DC387:DC401" si="261" t="shared">DB387-DA387</f>
        <v>259.07142857142901</v>
      </c>
      <c r="DD387" s="302">
        <f ref="DD387:DD401" si="262" t="shared">IF(CY387&gt;0,DC387/CY387,0)</f>
        <v>0</v>
      </c>
      <c r="DE387" s="357">
        <f ref="DE387:DE401" si="263" t="shared">DA387/DB387</f>
        <v>0</v>
      </c>
    </row>
    <row r="388" spans="99:109" x14ac:dyDescent="0.25">
      <c r="CU388">
        <v>387</v>
      </c>
      <c r="CV388">
        <f ref="CV388:CV401" si="264" t="shared">IF(CW387&lt;$CS$2,CV387,CV387+1)</f>
        <v>20</v>
      </c>
      <c r="CW388">
        <f si="257" t="shared"/>
        <v>7</v>
      </c>
      <c r="CX388" s="355" t="str">
        <f si="258" t="shared"/>
        <v>7_20</v>
      </c>
      <c r="CY388" s="246">
        <f si="255" t="shared"/>
        <v>0</v>
      </c>
      <c r="CZ388" s="246">
        <f si="256" t="shared"/>
        <v>186.642857142857</v>
      </c>
      <c r="DA388" s="246">
        <f si="259" t="shared"/>
        <v>0</v>
      </c>
      <c r="DB388" s="246">
        <f si="260" t="shared"/>
        <v>190.53571428571399</v>
      </c>
      <c r="DC388" s="301">
        <f si="261" t="shared"/>
        <v>190.53571428571399</v>
      </c>
      <c r="DD388" s="302">
        <f si="262" t="shared"/>
        <v>0</v>
      </c>
      <c r="DE388" s="357">
        <f si="263" t="shared"/>
        <v>0</v>
      </c>
    </row>
    <row r="389" spans="99:109" x14ac:dyDescent="0.25">
      <c r="CU389">
        <v>388</v>
      </c>
      <c r="CV389">
        <f si="264" t="shared"/>
        <v>20</v>
      </c>
      <c r="CW389">
        <f si="257" t="shared"/>
        <v>8</v>
      </c>
      <c r="CX389" s="355" t="str">
        <f si="258" t="shared"/>
        <v>8_20</v>
      </c>
      <c r="CY389" s="246">
        <f si="255" t="shared"/>
        <v>0</v>
      </c>
      <c r="CZ389" s="246">
        <f si="256" t="shared"/>
        <v>1.5</v>
      </c>
      <c r="DA389" s="246">
        <f si="259" t="shared"/>
        <v>0</v>
      </c>
      <c r="DB389" s="246">
        <f si="260" t="shared"/>
        <v>1.892857142857145</v>
      </c>
      <c r="DC389" s="301">
        <f si="261" t="shared"/>
        <v>1.892857142857145</v>
      </c>
      <c r="DD389" s="302">
        <f si="262" t="shared"/>
        <v>0</v>
      </c>
      <c r="DE389" s="357">
        <f si="263" t="shared"/>
        <v>0</v>
      </c>
    </row>
    <row r="390" spans="99:109" x14ac:dyDescent="0.25">
      <c r="CU390">
        <v>389</v>
      </c>
      <c r="CV390">
        <f si="264" t="shared"/>
        <v>20</v>
      </c>
      <c r="CW390">
        <f si="257" t="shared"/>
        <v>9</v>
      </c>
      <c r="CX390" s="355" t="str">
        <f si="258" t="shared"/>
        <v>9_20</v>
      </c>
      <c r="CY390" s="246">
        <f si="255" t="shared"/>
        <v>0</v>
      </c>
      <c r="CZ390" s="246">
        <f si="256" t="shared"/>
        <v>65.642857142857096</v>
      </c>
      <c r="DA390" s="246">
        <f si="259" t="shared"/>
        <v>0</v>
      </c>
      <c r="DB390" s="246">
        <f si="260" t="shared"/>
        <v>62.785714285714249</v>
      </c>
      <c r="DC390" s="301">
        <f si="261" t="shared"/>
        <v>62.785714285714249</v>
      </c>
      <c r="DD390" s="302">
        <f si="262" t="shared"/>
        <v>0</v>
      </c>
      <c r="DE390" s="357">
        <f si="263" t="shared"/>
        <v>0</v>
      </c>
    </row>
    <row r="391" spans="99:109" x14ac:dyDescent="0.25">
      <c r="CU391">
        <v>390</v>
      </c>
      <c r="CV391">
        <f si="264" t="shared"/>
        <v>20</v>
      </c>
      <c r="CW391">
        <f si="257" t="shared"/>
        <v>10</v>
      </c>
      <c r="CX391" s="355" t="str">
        <f si="258" t="shared"/>
        <v>10_20</v>
      </c>
      <c r="CY391" s="246">
        <f si="255" t="shared"/>
        <v>0</v>
      </c>
      <c r="CZ391" s="246">
        <f si="256" t="shared"/>
        <v>119.071428571429</v>
      </c>
      <c r="DA391" s="246">
        <f si="259" t="shared"/>
        <v>0</v>
      </c>
      <c r="DB391" s="246">
        <f si="260" t="shared"/>
        <v>115.1785714285715</v>
      </c>
      <c r="DC391" s="301">
        <f si="261" t="shared"/>
        <v>115.1785714285715</v>
      </c>
      <c r="DD391" s="302">
        <f si="262" t="shared"/>
        <v>0</v>
      </c>
      <c r="DE391" s="357">
        <f si="263" t="shared"/>
        <v>0</v>
      </c>
    </row>
    <row r="392" spans="99:109" x14ac:dyDescent="0.25">
      <c r="CU392">
        <v>391</v>
      </c>
      <c r="CV392">
        <f si="264" t="shared"/>
        <v>20</v>
      </c>
      <c r="CW392">
        <f si="257" t="shared"/>
        <v>11</v>
      </c>
      <c r="CX392" s="355" t="str">
        <f si="258" t="shared"/>
        <v>11_20</v>
      </c>
      <c r="CY392" s="246">
        <f si="255" t="shared"/>
        <v>0</v>
      </c>
      <c r="CZ392" s="246">
        <f si="256" t="shared"/>
        <v>25.5</v>
      </c>
      <c r="DA392" s="246">
        <f si="259" t="shared"/>
        <v>0</v>
      </c>
      <c r="DB392" s="246">
        <f si="260" t="shared"/>
        <v>24.571428571428548</v>
      </c>
      <c r="DC392" s="301">
        <f si="261" t="shared"/>
        <v>24.571428571428548</v>
      </c>
      <c r="DD392" s="302">
        <f si="262" t="shared"/>
        <v>0</v>
      </c>
      <c r="DE392" s="357">
        <f si="263" t="shared"/>
        <v>0</v>
      </c>
    </row>
    <row r="393" spans="99:109" x14ac:dyDescent="0.25">
      <c r="CU393">
        <v>392</v>
      </c>
      <c r="CV393">
        <f si="264" t="shared"/>
        <v>20</v>
      </c>
      <c r="CW393">
        <f si="257" t="shared"/>
        <v>12</v>
      </c>
      <c r="CX393" s="355" t="str">
        <f si="258" t="shared"/>
        <v>12_20</v>
      </c>
      <c r="CY393" s="246">
        <f si="255" t="shared"/>
        <v>0</v>
      </c>
      <c r="CZ393" s="246">
        <f si="256" t="shared"/>
        <v>3337.7857142857101</v>
      </c>
      <c r="DA393" s="246">
        <f si="259" t="shared"/>
        <v>0</v>
      </c>
      <c r="DB393" s="246">
        <f si="260" t="shared"/>
        <v>3508.75</v>
      </c>
      <c r="DC393" s="301">
        <f si="261" t="shared"/>
        <v>3508.75</v>
      </c>
      <c r="DD393" s="302">
        <f si="262" t="shared"/>
        <v>0</v>
      </c>
      <c r="DE393" s="357">
        <f si="263" t="shared"/>
        <v>0</v>
      </c>
    </row>
    <row r="394" spans="99:109" x14ac:dyDescent="0.25">
      <c r="CU394">
        <v>393</v>
      </c>
      <c r="CV394">
        <f si="264" t="shared"/>
        <v>20</v>
      </c>
      <c r="CW394">
        <f si="257" t="shared"/>
        <v>13</v>
      </c>
      <c r="CX394" s="355" t="str">
        <f si="258" t="shared"/>
        <v>13_20</v>
      </c>
      <c r="CY394" s="246">
        <f si="255" t="shared"/>
        <v>0</v>
      </c>
      <c r="CZ394" s="246">
        <f si="256" t="shared"/>
        <v>458.5</v>
      </c>
      <c r="DA394" s="246">
        <f si="259" t="shared"/>
        <v>0</v>
      </c>
      <c r="DB394" s="246">
        <f si="260" t="shared"/>
        <v>463.7857142857145</v>
      </c>
      <c r="DC394" s="301">
        <f si="261" t="shared"/>
        <v>463.7857142857145</v>
      </c>
      <c r="DD394" s="302">
        <f si="262" t="shared"/>
        <v>0</v>
      </c>
      <c r="DE394" s="357">
        <f si="263" t="shared"/>
        <v>0</v>
      </c>
    </row>
    <row r="395" spans="99:109" x14ac:dyDescent="0.25">
      <c r="CU395">
        <v>394</v>
      </c>
      <c r="CV395">
        <f si="264" t="shared"/>
        <v>20</v>
      </c>
      <c r="CW395">
        <f si="257" t="shared"/>
        <v>14</v>
      </c>
      <c r="CX395" s="355" t="str">
        <f si="258" t="shared"/>
        <v>14_20</v>
      </c>
      <c r="CY395" s="246">
        <f si="255" t="shared"/>
        <v>0</v>
      </c>
      <c r="CZ395" s="246">
        <f si="256" t="shared"/>
        <v>1</v>
      </c>
      <c r="DA395" s="246">
        <f si="259" t="shared"/>
        <v>0</v>
      </c>
      <c r="DB395" s="246">
        <f si="260" t="shared"/>
        <v>0.5</v>
      </c>
      <c r="DC395" s="301">
        <f si="261" t="shared"/>
        <v>0.5</v>
      </c>
      <c r="DD395" s="302">
        <f si="262" t="shared"/>
        <v>0</v>
      </c>
      <c r="DE395" s="357">
        <f si="263" t="shared"/>
        <v>0</v>
      </c>
    </row>
    <row r="396" spans="99:109" x14ac:dyDescent="0.25">
      <c r="CU396">
        <v>395</v>
      </c>
      <c r="CV396">
        <f si="264" t="shared"/>
        <v>20</v>
      </c>
      <c r="CW396">
        <f si="257" t="shared"/>
        <v>15</v>
      </c>
      <c r="CX396" s="355" t="str">
        <f si="258" t="shared"/>
        <v>15_20</v>
      </c>
      <c r="CY396" s="246">
        <f si="255" t="shared"/>
        <v>0</v>
      </c>
      <c r="CZ396" s="246">
        <f si="256" t="shared"/>
        <v>23.428571428571399</v>
      </c>
      <c r="DA396" s="246">
        <f si="259" t="shared"/>
        <v>0</v>
      </c>
      <c r="DB396" s="246">
        <f si="260" t="shared"/>
        <v>19.25</v>
      </c>
      <c r="DC396" s="301">
        <f si="261" t="shared"/>
        <v>19.25</v>
      </c>
      <c r="DD396" s="302">
        <f si="262" t="shared"/>
        <v>0</v>
      </c>
      <c r="DE396" s="357">
        <f si="263" t="shared"/>
        <v>0</v>
      </c>
    </row>
    <row r="397" spans="99:109" x14ac:dyDescent="0.25">
      <c r="CU397">
        <v>396</v>
      </c>
      <c r="CV397">
        <f si="264" t="shared"/>
        <v>20</v>
      </c>
      <c r="CW397">
        <f si="257" t="shared"/>
        <v>16</v>
      </c>
      <c r="CX397" s="355" t="str">
        <f si="258" t="shared"/>
        <v>16_20</v>
      </c>
      <c r="CY397" s="246">
        <f si="255" t="shared"/>
        <v>0</v>
      </c>
      <c r="CZ397" s="246">
        <f si="256" t="shared"/>
        <v>267.92857142857099</v>
      </c>
      <c r="DA397" s="246">
        <f si="259" t="shared"/>
        <v>0</v>
      </c>
      <c r="DB397" s="246">
        <f si="260" t="shared"/>
        <v>265.60714285714249</v>
      </c>
      <c r="DC397" s="301">
        <f si="261" t="shared"/>
        <v>265.60714285714249</v>
      </c>
      <c r="DD397" s="302">
        <f si="262" t="shared"/>
        <v>0</v>
      </c>
      <c r="DE397" s="357">
        <f si="263" t="shared"/>
        <v>0</v>
      </c>
    </row>
    <row r="398" spans="99:109" x14ac:dyDescent="0.25">
      <c r="CU398">
        <v>397</v>
      </c>
      <c r="CV398">
        <f si="264" t="shared"/>
        <v>20</v>
      </c>
      <c r="CW398">
        <f si="257" t="shared"/>
        <v>17</v>
      </c>
      <c r="CX398" s="355" t="str">
        <f si="258" t="shared"/>
        <v>17_20</v>
      </c>
      <c r="CY398" s="246">
        <f si="255" t="shared"/>
        <v>0</v>
      </c>
      <c r="CZ398" s="246">
        <f si="256" t="shared"/>
        <v>0.5</v>
      </c>
      <c r="DA398" s="246">
        <f si="259" t="shared"/>
        <v>0</v>
      </c>
      <c r="DB398" s="246">
        <f si="260" t="shared"/>
        <v>0.5</v>
      </c>
      <c r="DC398" s="301">
        <f si="261" t="shared"/>
        <v>0.5</v>
      </c>
      <c r="DD398" s="302">
        <f si="262" t="shared"/>
        <v>0</v>
      </c>
      <c r="DE398" s="357">
        <f si="263" t="shared"/>
        <v>0</v>
      </c>
    </row>
    <row r="399" spans="99:109" x14ac:dyDescent="0.25">
      <c r="CU399">
        <v>398</v>
      </c>
      <c r="CV399">
        <f si="264" t="shared"/>
        <v>20</v>
      </c>
      <c r="CW399">
        <f si="257" t="shared"/>
        <v>18</v>
      </c>
      <c r="CX399" s="355" t="str">
        <f si="258" t="shared"/>
        <v>18_20</v>
      </c>
      <c r="CY399" s="246">
        <f si="255" t="shared"/>
        <v>8604.208460917007</v>
      </c>
      <c r="CZ399" s="246">
        <f si="256" t="shared"/>
        <v>9251.3571428571395</v>
      </c>
      <c r="DA399" s="246">
        <f si="259" t="shared"/>
        <v>8715.8714148617019</v>
      </c>
      <c r="DB399" s="246">
        <f si="260" t="shared"/>
        <v>9298</v>
      </c>
      <c r="DC399" s="301">
        <f si="261" t="shared"/>
        <v>582.12858513829815</v>
      </c>
      <c r="DD399" s="302">
        <f si="262" t="shared"/>
        <v>6.7656262372362011E-2</v>
      </c>
      <c r="DE399" s="357">
        <f si="263" t="shared"/>
        <v>0.93739206440758249</v>
      </c>
    </row>
    <row r="400" spans="99:109" x14ac:dyDescent="0.25">
      <c r="CU400">
        <v>399</v>
      </c>
      <c r="CV400">
        <f si="264" t="shared"/>
        <v>20</v>
      </c>
      <c r="CW400">
        <f si="257" t="shared"/>
        <v>19</v>
      </c>
      <c r="CX400" s="355" t="str">
        <f si="258" t="shared"/>
        <v>19_20</v>
      </c>
      <c r="CY400" s="246">
        <f si="255" t="shared"/>
        <v>0</v>
      </c>
      <c r="CZ400" s="246">
        <f si="256" t="shared"/>
        <v>0.57142857142857095</v>
      </c>
      <c r="DA400" s="246">
        <f si="259" t="shared"/>
        <v>0</v>
      </c>
      <c r="DB400" s="246">
        <f si="260" t="shared"/>
        <v>0.53571428571428548</v>
      </c>
      <c r="DC400" s="301">
        <f si="261" t="shared"/>
        <v>0.53571428571428548</v>
      </c>
      <c r="DD400" s="302">
        <f si="262" t="shared"/>
        <v>0</v>
      </c>
      <c r="DE400" s="357">
        <f si="263" t="shared"/>
        <v>0</v>
      </c>
    </row>
    <row r="401" spans="99:109" x14ac:dyDescent="0.25">
      <c r="CU401">
        <v>400</v>
      </c>
      <c r="CV401">
        <f si="264" t="shared"/>
        <v>20</v>
      </c>
      <c r="CW401">
        <f si="257" t="shared"/>
        <v>20</v>
      </c>
      <c r="CX401" s="355" t="str">
        <f si="258" t="shared"/>
        <v>20_20</v>
      </c>
      <c r="CY401" s="246">
        <f si="255" t="shared"/>
        <v>72130.422014518277</v>
      </c>
      <c r="CZ401" s="246">
        <f si="256" t="shared"/>
        <v>69854</v>
      </c>
      <c r="DA401" s="246">
        <f si="259" t="shared"/>
        <v>72130.422014518277</v>
      </c>
      <c r="DB401" s="246">
        <f si="260" t="shared"/>
        <v>69854</v>
      </c>
      <c r="DC401" s="301">
        <f si="261" t="shared"/>
        <v>-2276.4220145182771</v>
      </c>
      <c r="DD401" s="302">
        <f si="262" t="shared"/>
        <v>-3.1559804461702486E-2</v>
      </c>
      <c r="DE401" s="357">
        <f si="263" t="shared"/>
        <v>1.0325882843433201</v>
      </c>
    </row>
  </sheetData>
  <mergeCells count="8">
    <mergeCell ref="AD2:AI2"/>
    <mergeCell ref="B2:C2"/>
    <mergeCell ref="D2:G2"/>
    <mergeCell ref="H2:K2"/>
    <mergeCell ref="U2:AC2"/>
    <mergeCell ref="L2:N2"/>
    <mergeCell ref="O2:Q2"/>
    <mergeCell ref="R2:S2"/>
  </mergeCells>
  <conditionalFormatting sqref="R4:R23">
    <cfRule priority="10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95:AU115">
    <cfRule priority="1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6:AU116">
    <cfRule priority="1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V95:AV115">
    <cfRule priority="1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23">
    <cfRule priority="1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23">
    <cfRule priority="1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21:AU141">
    <cfRule priority="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42:AU142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V121:AV141">
    <cfRule priority="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4:S23">
    <cfRule priority="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4:R28">
    <cfRule priority="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4:S28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28"/>
  <sheetViews>
    <sheetView topLeftCell="A94" workbookViewId="0">
      <selection activeCell="Q105" sqref="Q105:Q124"/>
    </sheetView>
  </sheetViews>
  <sheetFormatPr defaultRowHeight="15" x14ac:dyDescent="0.25"/>
  <cols>
    <col min="1" max="2" style="212" width="9.140625" collapsed="true"/>
    <col min="3" max="3" bestFit="true" customWidth="true" style="212" width="12.7109375" collapsed="true"/>
    <col min="4" max="4" customWidth="true" style="211" width="18.85546875" collapsed="true"/>
    <col min="5" max="5" customWidth="true" style="212" width="6.7109375" collapsed="true"/>
    <col min="6" max="6" customWidth="true" style="212" width="12.7109375" collapsed="true"/>
    <col min="7" max="8" customWidth="true" style="211" width="18.85546875" collapsed="true"/>
    <col min="9" max="9" customWidth="true" style="211" width="8.5703125" collapsed="true"/>
    <col min="10" max="10" bestFit="true" customWidth="true" style="211" width="10.140625" collapsed="true"/>
    <col min="11" max="11" bestFit="true" customWidth="true" style="211" width="9.28515625" collapsed="true"/>
    <col min="12" max="14" style="212" width="9.140625" collapsed="true"/>
    <col min="15" max="15" customWidth="true" style="212" width="13.0" collapsed="true"/>
    <col min="16" max="16" customWidth="true" style="213" width="19.5703125" collapsed="true"/>
    <col min="17" max="17" customWidth="true" style="282" width="19.5703125" collapsed="true"/>
    <col min="18" max="16384" style="212" width="9.140625" collapsed="true"/>
  </cols>
  <sheetData>
    <row r="1" spans="3:23" x14ac:dyDescent="0.25">
      <c r="C1" s="9" t="s">
        <v>215</v>
      </c>
      <c r="F1" s="9" t="s">
        <v>216</v>
      </c>
      <c r="N1" s="203" t="s">
        <v>253</v>
      </c>
      <c r="S1" s="203"/>
      <c r="T1" s="203" t="s">
        <v>253</v>
      </c>
      <c r="U1" s="208"/>
      <c r="V1" s="208"/>
      <c r="W1" s="208"/>
    </row>
    <row ht="15.75" r="2" spans="3:23" thickBot="1" x14ac:dyDescent="0.3">
      <c r="C2" s="203" t="s">
        <v>208</v>
      </c>
      <c r="M2" s="9" t="s">
        <v>219</v>
      </c>
      <c r="N2" s="9" t="s">
        <v>247</v>
      </c>
      <c r="O2" s="9" t="s">
        <v>248</v>
      </c>
      <c r="P2" s="283" t="s">
        <v>254</v>
      </c>
      <c r="Q2" s="284" t="s">
        <v>255</v>
      </c>
      <c r="R2" s="9" t="s">
        <v>366</v>
      </c>
      <c r="T2" s="208"/>
      <c r="U2" s="203" t="s">
        <v>257</v>
      </c>
      <c r="V2"/>
      <c r="W2" s="208"/>
    </row>
    <row r="3" spans="3:23" x14ac:dyDescent="0.25">
      <c r="C3" s="214" t="s">
        <v>3</v>
      </c>
      <c r="D3" s="215" t="s">
        <v>209</v>
      </c>
      <c r="F3" s="214" t="s">
        <v>3</v>
      </c>
      <c r="G3" s="215" t="s">
        <v>209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IFERROR(VLOOKUP(N3,Calibration_OD!$AD$3:$AH$28,5,FALSE),P3)</f>
        <v>1</v>
      </c>
      <c r="R3" s="212">
        <f>IF(Q3=P3,0,1)</f>
        <v>0</v>
      </c>
      <c r="T3">
        <v>1</v>
      </c>
      <c r="U3" s="202" t="s">
        <v>258</v>
      </c>
      <c r="V3"/>
      <c r="W3" s="208"/>
    </row>
    <row r="4" spans="3:23" x14ac:dyDescent="0.25">
      <c r="C4" s="217" t="s">
        <v>213</v>
      </c>
      <c r="D4" s="218">
        <f>TLFD!B11</f>
        <v>21189.983208000001</v>
      </c>
      <c r="F4" s="217" t="s">
        <v>213</v>
      </c>
      <c r="G4" s="218">
        <f>TLFD!F11</f>
        <v>27324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13.7073027249</v>
      </c>
      <c r="Q4" s="285">
        <f>IFERROR(VLOOKUP(N4,Calibration_OD!$AD$3:$AH$28,5,FALSE),P4)</f>
        <v>13.7073027249</v>
      </c>
      <c r="R4" s="212">
        <f ref="R4:R67" si="0" t="shared">IF(Q4=P4,0,1)</f>
        <v>0</v>
      </c>
      <c r="T4">
        <v>2</v>
      </c>
      <c r="U4" s="202" t="s">
        <v>259</v>
      </c>
      <c r="V4"/>
      <c r="W4" s="208"/>
    </row>
    <row r="5" spans="3:23" x14ac:dyDescent="0.25">
      <c r="C5" s="204" t="s">
        <v>214</v>
      </c>
      <c r="D5" s="220">
        <f>TLFD!B12+TLFD!B13+(TLFD!B14/2)</f>
        <v>93591.529319499998</v>
      </c>
      <c r="F5" s="204" t="s">
        <v>214</v>
      </c>
      <c r="G5" s="220">
        <f>TLFD!F12+TLFD!F13+(TLFD!F14/2)</f>
        <v>95653.5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7.0220312730799997E-2</v>
      </c>
      <c r="Q5" s="285">
        <f>IFERROR(VLOOKUP(N5,Calibration_OD!$AD$3:$AH$28,5,FALSE),P5)</f>
        <v>7.0220312730799997E-2</v>
      </c>
      <c r="R5" s="212">
        <f si="0" t="shared"/>
        <v>0</v>
      </c>
      <c r="T5">
        <v>3</v>
      </c>
      <c r="U5" s="208" t="s">
        <v>260</v>
      </c>
      <c r="V5" s="208"/>
      <c r="W5" s="208"/>
    </row>
    <row r="6" spans="3:23" x14ac:dyDescent="0.25">
      <c r="C6" s="204" t="s">
        <v>210</v>
      </c>
      <c r="D6" s="220">
        <f>(TLFD!B14/2)+SUM(TLFD!B15:B20)</f>
        <v>108381.9797065</v>
      </c>
      <c r="F6" s="204" t="s">
        <v>210</v>
      </c>
      <c r="G6" s="220">
        <f>(TLFD!F14/2)+SUM(TLFD!F15:F20)</f>
        <v>129770.5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-3.3904088920700001E-2</v>
      </c>
      <c r="Q6" s="285">
        <f>IFERROR(VLOOKUP(N6,Calibration_OD!$AD$3:$AH$28,5,FALSE),P6)</f>
        <v>-3.3904088920700001E-2</v>
      </c>
      <c r="R6" s="212">
        <f si="0" t="shared"/>
        <v>0</v>
      </c>
      <c r="T6">
        <v>4</v>
      </c>
      <c r="U6" s="208" t="s">
        <v>261</v>
      </c>
      <c r="V6" s="208"/>
      <c r="W6" s="208"/>
    </row>
    <row r="7" spans="3:23" x14ac:dyDescent="0.25">
      <c r="C7" s="205" t="s">
        <v>211</v>
      </c>
      <c r="D7" s="222">
        <f>SUM(TLFD!B21:B101)</f>
        <v>45980.262599000002</v>
      </c>
      <c r="F7" s="205" t="s">
        <v>211</v>
      </c>
      <c r="G7" s="222">
        <f>SUM(TLFD!F21:F101)</f>
        <v>51485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0.14394271350499999</v>
      </c>
      <c r="Q7" s="285">
        <f>IFERROR(VLOOKUP(N7,Calibration_OD!$AD$3:$AH$28,5,FALSE),P7)</f>
        <v>0.14394271350499999</v>
      </c>
      <c r="R7" s="212">
        <f si="0" t="shared"/>
        <v>0</v>
      </c>
      <c r="T7" s="208">
        <v>5</v>
      </c>
      <c r="U7" s="208" t="s">
        <v>262</v>
      </c>
      <c r="V7" s="208"/>
      <c r="W7" s="208"/>
    </row>
    <row ht="15.75" r="8" spans="3:23" thickBot="1" x14ac:dyDescent="0.3">
      <c r="C8" s="206" t="s">
        <v>4</v>
      </c>
      <c r="D8" s="224">
        <f>SUM(D4:D7)</f>
        <v>269143.75483300001</v>
      </c>
      <c r="E8" s="225"/>
      <c r="F8" s="206" t="s">
        <v>4</v>
      </c>
      <c r="G8" s="224">
        <f>SUM(G4:G7)</f>
        <v>304233</v>
      </c>
      <c r="H8" s="254"/>
      <c r="I8" s="254" t="s">
        <v>256</v>
      </c>
      <c r="J8" s="287">
        <v>0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0.36721258210199997</v>
      </c>
      <c r="Q8" s="285">
        <f>IFERROR(VLOOKUP(N8,Calibration_OD!$AD$3:$AH$28,5,FALSE),P8)</f>
        <v>0.36721258210199997</v>
      </c>
      <c r="R8" s="212">
        <f si="0" t="shared"/>
        <v>0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-1.7918460355300001</v>
      </c>
      <c r="Q9" s="285">
        <f>IFERROR(VLOOKUP(N9,Calibration_OD!$AD$3:$AH$28,5,FALSE),P9)</f>
        <v>-1.7918460355300001</v>
      </c>
      <c r="R9" s="212">
        <f si="0" t="shared"/>
        <v>0</v>
      </c>
      <c r="T9" s="208"/>
      <c r="U9" s="288" t="s">
        <v>263</v>
      </c>
      <c r="V9" s="208"/>
      <c r="W9" s="208"/>
    </row>
    <row ht="15.75" r="10" spans="3:23" thickBot="1" x14ac:dyDescent="0.3">
      <c r="C10" s="207" t="s">
        <v>212</v>
      </c>
      <c r="I10" s="256" t="s">
        <v>243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1.39963442933</v>
      </c>
      <c r="Q10" s="285">
        <f>IFERROR(VLOOKUP(N10,Calibration_OD!$AD$3:$AH$28,5,FALSE),P10)</f>
        <v>1.39963442933</v>
      </c>
      <c r="R10" s="212">
        <f si="0" t="shared"/>
        <v>0</v>
      </c>
      <c r="T10" s="208">
        <v>1</v>
      </c>
      <c r="U10" s="202" t="s">
        <v>258</v>
      </c>
      <c r="V10" s="208"/>
      <c r="W10" s="208"/>
    </row>
    <row r="11" spans="3:23" x14ac:dyDescent="0.25">
      <c r="C11" s="214" t="s">
        <v>3</v>
      </c>
      <c r="D11" s="215" t="s">
        <v>209</v>
      </c>
      <c r="F11" s="214" t="s">
        <v>3</v>
      </c>
      <c r="G11" s="215" t="s">
        <v>209</v>
      </c>
      <c r="H11" s="252"/>
      <c r="I11" s="215" t="s">
        <v>244</v>
      </c>
      <c r="J11" s="215" t="s">
        <v>245</v>
      </c>
      <c r="K11" s="215" t="s">
        <v>246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0.66317866364400002</v>
      </c>
      <c r="Q11" s="285">
        <f>IFERROR(VLOOKUP(N11,Calibration_OD!$AD$3:$AH$28,5,FALSE),P11)</f>
        <v>0.66317866364400002</v>
      </c>
      <c r="R11" s="212">
        <f si="0" t="shared"/>
        <v>0</v>
      </c>
      <c r="T11" s="208">
        <v>2</v>
      </c>
      <c r="U11" s="208" t="s">
        <v>264</v>
      </c>
      <c r="V11" s="208"/>
      <c r="W11" s="208"/>
    </row>
    <row r="12" spans="3:23" x14ac:dyDescent="0.25">
      <c r="C12" s="217" t="s">
        <v>213</v>
      </c>
      <c r="D12" s="227">
        <f>D4/D$8</f>
        <v>7.8731097517563034E-2</v>
      </c>
      <c r="F12" s="217" t="s">
        <v>213</v>
      </c>
      <c r="G12" s="227">
        <f>G4/G$8</f>
        <v>8.9812742207452834E-2</v>
      </c>
      <c r="H12" s="227"/>
      <c r="I12" s="258">
        <f>D12/G12</f>
        <v>0.87661389222151798</v>
      </c>
      <c r="J12" s="259">
        <f>LN(I12)</f>
        <v>-0.13168864327732988</v>
      </c>
      <c r="K12" s="259">
        <f>J8*J12</f>
        <v>0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-0.38108886824999999</v>
      </c>
      <c r="Q12" s="285">
        <f>IFERROR(VLOOKUP(N12,Calibration_OD!$AD$3:$AH$28,5,FALSE),P12)</f>
        <v>-0.38108886824999999</v>
      </c>
      <c r="R12" s="212">
        <f si="0" t="shared"/>
        <v>0</v>
      </c>
      <c r="T12" s="208">
        <v>3</v>
      </c>
      <c r="U12" s="208" t="s">
        <v>265</v>
      </c>
      <c r="V12" s="208"/>
      <c r="W12" s="208"/>
    </row>
    <row r="13" spans="3:23" x14ac:dyDescent="0.25">
      <c r="C13" s="204" t="s">
        <v>214</v>
      </c>
      <c r="D13" s="228">
        <f ref="D13:D16" si="1" t="shared">D5/D$8</f>
        <v>0.34773806799853946</v>
      </c>
      <c r="F13" s="204" t="s">
        <v>214</v>
      </c>
      <c r="G13" s="228">
        <f ref="G13:G16" si="2" t="shared">G5/G$8</f>
        <v>0.31440869333701471</v>
      </c>
      <c r="H13" s="228"/>
      <c r="I13" s="258">
        <f ref="I13:I15" si="3" t="shared">D13/G13</f>
        <v>1.1060065302513724</v>
      </c>
      <c r="J13" s="259">
        <f ref="J13:J15" si="4" t="shared">LN(I13)</f>
        <v>0.10075580746912491</v>
      </c>
      <c r="K13" s="259">
        <f>J8*(J13-J12)</f>
        <v>0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-0.73323034645999996</v>
      </c>
      <c r="Q13" s="285">
        <f>IFERROR(VLOOKUP(N13,Calibration_OD!$AD$3:$AH$28,5,FALSE),P13)</f>
        <v>-0.73323034645999996</v>
      </c>
      <c r="R13" s="212">
        <f si="0" t="shared"/>
        <v>0</v>
      </c>
      <c r="T13" s="208">
        <v>4</v>
      </c>
      <c r="U13" s="208" t="s">
        <v>266</v>
      </c>
      <c r="V13" s="208"/>
      <c r="W13" s="208"/>
    </row>
    <row r="14" spans="3:23" x14ac:dyDescent="0.25">
      <c r="C14" s="204" t="s">
        <v>210</v>
      </c>
      <c r="D14" s="228">
        <f si="1" t="shared"/>
        <v>0.40269178741951311</v>
      </c>
      <c r="F14" s="204" t="s">
        <v>210</v>
      </c>
      <c r="G14" s="228">
        <f si="2" t="shared"/>
        <v>0.42654971682887788</v>
      </c>
      <c r="H14" s="228"/>
      <c r="I14" s="258">
        <f si="3" t="shared"/>
        <v>0.94406764682266564</v>
      </c>
      <c r="J14" s="259">
        <f si="4" t="shared"/>
        <v>-5.755745563430209E-2</v>
      </c>
      <c r="K14" s="259">
        <f>J8*(J14-J13-J12)</f>
        <v>0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-0.913115187153</v>
      </c>
      <c r="Q14" s="285">
        <f>IFERROR(VLOOKUP(N14,Calibration_OD!$AD$3:$AH$28,5,FALSE),P14)</f>
        <v>-0.913115187153</v>
      </c>
      <c r="R14" s="212">
        <f si="0" t="shared"/>
        <v>0</v>
      </c>
      <c r="T14" s="208">
        <v>5</v>
      </c>
      <c r="U14" s="202" t="s">
        <v>267</v>
      </c>
      <c r="V14" s="208"/>
      <c r="W14" s="208"/>
    </row>
    <row ht="15.75" r="15" spans="3:23" thickBot="1" x14ac:dyDescent="0.3">
      <c r="C15" s="205" t="s">
        <v>211</v>
      </c>
      <c r="D15" s="228">
        <f si="1" t="shared"/>
        <v>0.1708390470643843</v>
      </c>
      <c r="F15" s="205" t="s">
        <v>211</v>
      </c>
      <c r="G15" s="228">
        <f si="2" t="shared"/>
        <v>0.16922884762665458</v>
      </c>
      <c r="H15" s="228"/>
      <c r="I15" s="260">
        <f si="3" t="shared"/>
        <v>1.0095149229006279</v>
      </c>
      <c r="J15" s="261">
        <f si="4" t="shared"/>
        <v>9.4699411286851831E-3</v>
      </c>
      <c r="K15" s="261">
        <f>J8*(J15-J14-J13-J12)</f>
        <v>0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-0.56168035354400003</v>
      </c>
      <c r="Q15" s="285">
        <f>IFERROR(VLOOKUP(N15,Calibration_OD!$AD$3:$AH$28,5,FALSE),P15)</f>
        <v>-0.56168035354400003</v>
      </c>
      <c r="R15" s="212">
        <f si="0" t="shared"/>
        <v>0</v>
      </c>
      <c r="T15" s="208">
        <v>6</v>
      </c>
      <c r="U15" s="208" t="s">
        <v>268</v>
      </c>
      <c r="V15" s="208"/>
      <c r="W15" s="208"/>
    </row>
    <row ht="15.75" r="16" spans="3:23" thickBot="1" x14ac:dyDescent="0.3">
      <c r="C16" s="206" t="s">
        <v>4</v>
      </c>
      <c r="D16" s="230">
        <f si="1" t="shared"/>
        <v>1</v>
      </c>
      <c r="E16" s="225"/>
      <c r="F16" s="206" t="s">
        <v>4</v>
      </c>
      <c r="G16" s="230">
        <f si="2" t="shared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-0.30132725845199998</v>
      </c>
      <c r="Q16" s="285">
        <f>IFERROR(VLOOKUP(N16,Calibration_OD!$AD$3:$AH$28,5,FALSE),P16)</f>
        <v>-0.30132725845199998</v>
      </c>
      <c r="R16" s="212">
        <f si="0" t="shared"/>
        <v>0</v>
      </c>
      <c r="T16" s="208">
        <v>7</v>
      </c>
      <c r="U16" s="208" t="s">
        <v>261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1.97893419319</v>
      </c>
      <c r="Q17" s="285">
        <f>IFERROR(VLOOKUP(N17,Calibration_OD!$AD$3:$AH$28,5,FALSE),P17)</f>
        <v>1.97893419319</v>
      </c>
      <c r="R17" s="212">
        <f si="0" t="shared"/>
        <v>0</v>
      </c>
      <c r="T17" s="208">
        <v>8</v>
      </c>
      <c r="U17" s="208" t="s">
        <v>269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0.89286126056000004</v>
      </c>
      <c r="Q18" s="285">
        <f>IFERROR(VLOOKUP(N18,Calibration_OD!$AD$3:$AH$28,5,FALSE),P18)</f>
        <v>0.89286126056000004</v>
      </c>
      <c r="R18" s="212">
        <f si="0" t="shared"/>
        <v>0</v>
      </c>
    </row>
    <row r="19" spans="2:23" x14ac:dyDescent="0.25">
      <c r="C19" s="231" t="s">
        <v>217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>IFERROR(VLOOKUP(N19,Calibration_OD!$AD$3:$AH$28,5,FALSE),P19)</f>
        <v>0</v>
      </c>
      <c r="R19" s="212">
        <f si="0" t="shared"/>
        <v>0</v>
      </c>
    </row>
    <row r="20" spans="2:23" x14ac:dyDescent="0.25">
      <c r="C20" s="231" t="s">
        <v>218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>IFERROR(VLOOKUP(N20,Calibration_OD!$AD$3:$AH$28,5,FALSE),P20)</f>
        <v>0</v>
      </c>
      <c r="R20" s="212">
        <f si="0" t="shared"/>
        <v>0</v>
      </c>
    </row>
    <row ht="15.75" r="21" spans="2:23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>IFERROR(VLOOKUP(N21,Calibration_OD!$AD$3:$AH$28,5,FALSE),P21)</f>
        <v>0</v>
      </c>
      <c r="R21" s="212">
        <f si="0" t="shared"/>
        <v>0</v>
      </c>
    </row>
    <row r="22" spans="2:23" x14ac:dyDescent="0.25">
      <c r="B22" s="262" t="s">
        <v>247</v>
      </c>
      <c r="C22" s="232" t="s">
        <v>219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0.55927220197000005</v>
      </c>
      <c r="Q22" s="285">
        <f>IFERROR(VLOOKUP(N22,Calibration_OD!$AD$3:$AH$28,5,FALSE),P22)</f>
        <v>0.55927220197000005</v>
      </c>
      <c r="R22" s="212">
        <f si="0" t="shared"/>
        <v>0</v>
      </c>
    </row>
    <row r="23" spans="2:23" x14ac:dyDescent="0.25">
      <c r="B23" s="263">
        <v>44</v>
      </c>
      <c r="C23" s="217" t="s">
        <v>213</v>
      </c>
      <c r="D23" s="267">
        <f>VLOOKUP($B23,$N:$P,3,FALSE)</f>
        <v>-16.440174024099999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-14.073533462</v>
      </c>
      <c r="Q23" s="285">
        <f>IFERROR(VLOOKUP(N23,Calibration_OD!$AD$3:$AH$28,5,FALSE),P23)</f>
        <v>-14.073533462</v>
      </c>
      <c r="R23" s="212">
        <f si="0" t="shared"/>
        <v>0</v>
      </c>
    </row>
    <row r="24" spans="2:23" x14ac:dyDescent="0.25">
      <c r="B24" s="263">
        <v>45</v>
      </c>
      <c r="C24" s="204" t="s">
        <v>214</v>
      </c>
      <c r="D24" s="267">
        <f ref="D24:D26" si="5" t="shared">VLOOKUP($B24,$N:$P,3,FALSE)</f>
        <v>0.76432473059999995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0.63378543659999997</v>
      </c>
      <c r="Q24" s="285">
        <f>IFERROR(VLOOKUP(N24,Calibration_OD!$AD$3:$AH$28,5,FALSE),P24)</f>
        <v>0.63378543659999997</v>
      </c>
      <c r="R24" s="212">
        <f si="0" t="shared"/>
        <v>0</v>
      </c>
    </row>
    <row r="25" spans="2:23" x14ac:dyDescent="0.25">
      <c r="B25" s="263">
        <v>46</v>
      </c>
      <c r="C25" s="204" t="s">
        <v>210</v>
      </c>
      <c r="D25" s="267">
        <f si="5" t="shared"/>
        <v>-2.9040051223000001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-3.2242002957000002</v>
      </c>
      <c r="Q25" s="285">
        <f>IFERROR(VLOOKUP(N25,Calibration_OD!$AD$3:$AH$28,5,FALSE),P25)</f>
        <v>-3.2242002957000002</v>
      </c>
      <c r="R25" s="212">
        <f si="0" t="shared"/>
        <v>0</v>
      </c>
    </row>
    <row ht="15.75" r="26" spans="2:23" thickBot="1" x14ac:dyDescent="0.3">
      <c r="B26" s="264">
        <v>47</v>
      </c>
      <c r="C26" s="210" t="s">
        <v>211</v>
      </c>
      <c r="D26" s="268">
        <f si="5" t="shared"/>
        <v>-2.9754271853000001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0.21220129380800001</v>
      </c>
      <c r="Q26" s="285">
        <f>IFERROR(VLOOKUP(N26,Calibration_OD!$AD$3:$AH$28,5,FALSE),P26)</f>
        <v>0.21220129380800001</v>
      </c>
      <c r="R26" s="212">
        <f si="0" t="shared"/>
        <v>0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-0.156772126135</v>
      </c>
      <c r="Q27" s="285">
        <f>IFERROR(VLOOKUP(N27,Calibration_OD!$AD$3:$AH$28,5,FALSE),P27)</f>
        <v>-0.156772126135</v>
      </c>
      <c r="R27" s="212">
        <f si="0" t="shared"/>
        <v>0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0.78053827557199995</v>
      </c>
      <c r="Q28" s="285">
        <f>IFERROR(VLOOKUP(N28,Calibration_OD!$AD$3:$AH$28,5,FALSE),P28)</f>
        <v>0.78053827557199995</v>
      </c>
      <c r="R28" s="212">
        <f si="0" t="shared"/>
        <v>0</v>
      </c>
    </row>
    <row r="29" spans="2:23" x14ac:dyDescent="0.25">
      <c r="C29" s="231" t="s">
        <v>217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-12.632321361500001</v>
      </c>
      <c r="Q29" s="285">
        <f>IFERROR(VLOOKUP(N29,Calibration_OD!$AD$3:$AH$28,5,FALSE),P29)</f>
        <v>-12.632321361500001</v>
      </c>
      <c r="R29" s="212">
        <f si="0" t="shared"/>
        <v>0</v>
      </c>
    </row>
    <row r="30" spans="2:23" x14ac:dyDescent="0.25">
      <c r="C30" s="231" t="s">
        <v>220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-4.8107266858799997</v>
      </c>
      <c r="Q30" s="285">
        <f>IFERROR(VLOOKUP(N30,Calibration_OD!$AD$3:$AH$28,5,FALSE),P30)</f>
        <v>-4.8107266858799997</v>
      </c>
      <c r="R30" s="212">
        <f si="0" t="shared"/>
        <v>0</v>
      </c>
    </row>
    <row ht="15.75" r="31" spans="2:23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-3.8910416045999998</v>
      </c>
      <c r="Q31" s="285">
        <f>IFERROR(VLOOKUP(N31,Calibration_OD!$AD$3:$AH$28,5,FALSE),P31)</f>
        <v>-3.8910416045999998</v>
      </c>
      <c r="R31" s="212">
        <f si="0" t="shared"/>
        <v>0</v>
      </c>
    </row>
    <row r="32" spans="2:23" x14ac:dyDescent="0.25">
      <c r="B32" s="262" t="s">
        <v>247</v>
      </c>
      <c r="C32" s="232" t="s">
        <v>219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-0.58240561309000005</v>
      </c>
      <c r="Q32" s="285">
        <f>IFERROR(VLOOKUP(N32,Calibration_OD!$AD$3:$AH$28,5,FALSE),P32)</f>
        <v>-0.58240561309000005</v>
      </c>
      <c r="R32" s="212">
        <f si="0" t="shared"/>
        <v>0</v>
      </c>
    </row>
    <row r="33" spans="2:18" x14ac:dyDescent="0.25">
      <c r="B33" s="263">
        <f>B23</f>
        <v>44</v>
      </c>
      <c r="C33" s="217" t="s">
        <v>213</v>
      </c>
      <c r="D33" s="269">
        <f>K12</f>
        <v>0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0.161916660248</v>
      </c>
      <c r="Q33" s="285">
        <f>IFERROR(VLOOKUP(N33,Calibration_OD!$AD$3:$AH$28,5,FALSE),P33)</f>
        <v>0.161916660248</v>
      </c>
      <c r="R33" s="212">
        <f si="0" t="shared"/>
        <v>0</v>
      </c>
    </row>
    <row r="34" spans="2:18" x14ac:dyDescent="0.25">
      <c r="B34" s="263">
        <f ref="B34:B36" si="6" t="shared">B24</f>
        <v>45</v>
      </c>
      <c r="C34" s="204" t="s">
        <v>214</v>
      </c>
      <c r="D34" s="270">
        <f ref="D34:D36" si="7" t="shared">K13</f>
        <v>0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-0.164548260329</v>
      </c>
      <c r="Q34" s="285">
        <f>IFERROR(VLOOKUP(N34,Calibration_OD!$AD$3:$AH$28,5,FALSE),P34)</f>
        <v>-0.164548260329</v>
      </c>
      <c r="R34" s="212">
        <f si="0" t="shared"/>
        <v>0</v>
      </c>
    </row>
    <row r="35" spans="2:18" x14ac:dyDescent="0.25">
      <c r="B35" s="263">
        <f si="6" t="shared"/>
        <v>46</v>
      </c>
      <c r="C35" s="204" t="s">
        <v>210</v>
      </c>
      <c r="D35" s="270">
        <f si="7" t="shared"/>
        <v>0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0.20498917376299999</v>
      </c>
      <c r="Q35" s="285">
        <f>IFERROR(VLOOKUP(N35,Calibration_OD!$AD$3:$AH$28,5,FALSE),P35)</f>
        <v>0.20498917376299999</v>
      </c>
      <c r="R35" s="212">
        <f si="0" t="shared"/>
        <v>0</v>
      </c>
    </row>
    <row ht="15.75" r="36" spans="2:18" thickBot="1" x14ac:dyDescent="0.3">
      <c r="B36" s="265">
        <f si="6" t="shared"/>
        <v>47</v>
      </c>
      <c r="C36" s="210" t="s">
        <v>211</v>
      </c>
      <c r="D36" s="235">
        <f si="7" t="shared"/>
        <v>0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-0.128001396233</v>
      </c>
      <c r="Q36" s="285">
        <f>IFERROR(VLOOKUP(N36,Calibration_OD!$AD$3:$AH$28,5,FALSE),P36)</f>
        <v>-0.128001396233</v>
      </c>
      <c r="R36" s="212">
        <f si="0" t="shared"/>
        <v>0</v>
      </c>
    </row>
    <row ht="15.75" r="37" spans="2:18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6.1170505754699997E-2</v>
      </c>
      <c r="Q37" s="285">
        <f>IFERROR(VLOOKUP(N37,Calibration_OD!$AD$3:$AH$28,5,FALSE),P37)</f>
        <v>6.1170505754699997E-2</v>
      </c>
      <c r="R37" s="212">
        <f si="0" t="shared"/>
        <v>0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1.3253567635600001</v>
      </c>
      <c r="Q38" s="285">
        <f>IFERROR(VLOOKUP(N38,Calibration_OD!$AD$3:$AH$28,5,FALSE),P38)</f>
        <v>1.3253567635600001</v>
      </c>
      <c r="R38" s="212">
        <f si="0" t="shared"/>
        <v>0</v>
      </c>
    </row>
    <row r="39" spans="2:18" x14ac:dyDescent="0.25">
      <c r="C39" s="231" t="s">
        <v>217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-9.2010945905200003</v>
      </c>
      <c r="Q39" s="285">
        <f>IFERROR(VLOOKUP(N39,Calibration_OD!$AD$3:$AH$28,5,FALSE),P39)</f>
        <v>-9.2010945905200003</v>
      </c>
      <c r="R39" s="212">
        <f si="0" t="shared"/>
        <v>0</v>
      </c>
    </row>
    <row r="40" spans="2:18" x14ac:dyDescent="0.25">
      <c r="C40" s="231" t="s">
        <v>221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-1.9374462076300001</v>
      </c>
      <c r="Q40" s="285">
        <f>IFERROR(VLOOKUP(N40,Calibration_OD!$AD$3:$AH$28,5,FALSE),P40)</f>
        <v>-1.9374462076300001</v>
      </c>
      <c r="R40" s="212">
        <f si="0" t="shared"/>
        <v>0</v>
      </c>
    </row>
    <row ht="15.75" r="41" spans="2:18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-3.5790279598199999</v>
      </c>
      <c r="Q41" s="285">
        <f>IFERROR(VLOOKUP(N41,Calibration_OD!$AD$3:$AH$28,5,FALSE),P41)</f>
        <v>-3.5790279598199999</v>
      </c>
      <c r="R41" s="212">
        <f si="0" t="shared"/>
        <v>0</v>
      </c>
    </row>
    <row r="42" spans="2:18" x14ac:dyDescent="0.25">
      <c r="B42" s="262" t="s">
        <v>247</v>
      </c>
      <c r="C42" s="232" t="s">
        <v>219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-1.4119850282299999</v>
      </c>
      <c r="Q42" s="285">
        <f>IFERROR(VLOOKUP(N42,Calibration_OD!$AD$3:$AH$28,5,FALSE),P42)</f>
        <v>-1.4119850282299999</v>
      </c>
      <c r="R42" s="212">
        <f si="0" t="shared"/>
        <v>0</v>
      </c>
    </row>
    <row r="43" spans="2:18" x14ac:dyDescent="0.25">
      <c r="B43" s="263">
        <f>B33</f>
        <v>44</v>
      </c>
      <c r="C43" s="217" t="s">
        <v>213</v>
      </c>
      <c r="D43" s="271">
        <f>D23+D33</f>
        <v>-16.440174024099999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-0.149205194047</v>
      </c>
      <c r="Q43" s="285">
        <f>IFERROR(VLOOKUP(N43,Calibration_OD!$AD$3:$AH$28,5,FALSE),P43)</f>
        <v>-0.149205194047</v>
      </c>
      <c r="R43" s="212">
        <f si="0" t="shared"/>
        <v>0</v>
      </c>
    </row>
    <row r="44" spans="2:18" x14ac:dyDescent="0.25">
      <c r="B44" s="263">
        <f ref="B44:B46" si="8" t="shared">B34</f>
        <v>45</v>
      </c>
      <c r="C44" s="204" t="s">
        <v>214</v>
      </c>
      <c r="D44" s="271">
        <f ref="D44:D46" si="9" t="shared">D24+D34</f>
        <v>0.76432473059999995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0.517393579278</v>
      </c>
      <c r="Q44" s="285">
        <f>IFERROR(VLOOKUP(N44,Calibration_OD!$AD$3:$AH$28,5,FALSE),P44)</f>
        <v>0.517393579278</v>
      </c>
      <c r="R44" s="212">
        <f si="0" t="shared"/>
        <v>0</v>
      </c>
    </row>
    <row r="45" spans="2:18" x14ac:dyDescent="0.25">
      <c r="B45" s="263">
        <f si="8" t="shared"/>
        <v>46</v>
      </c>
      <c r="C45" s="204" t="s">
        <v>210</v>
      </c>
      <c r="D45" s="271">
        <f si="9" t="shared"/>
        <v>-2.9040051223000001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0.84374741070500003</v>
      </c>
      <c r="Q45" s="285">
        <f>IFERROR(VLOOKUP(N45,Calibration_OD!$AD$3:$AH$28,5,FALSE),P45)</f>
        <v>0.84374741070500003</v>
      </c>
      <c r="R45" s="212">
        <f si="0" t="shared"/>
        <v>0</v>
      </c>
    </row>
    <row ht="15.75" r="46" spans="2:18" thickBot="1" x14ac:dyDescent="0.3">
      <c r="B46" s="265">
        <f si="8" t="shared"/>
        <v>47</v>
      </c>
      <c r="C46" s="210" t="s">
        <v>211</v>
      </c>
      <c r="D46" s="272">
        <f si="9" t="shared"/>
        <v>-2.9754271853000001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-16.440174024099999</v>
      </c>
      <c r="Q46" s="285">
        <f>IFERROR(VLOOKUP(N46,Calibration_OD!$AD$3:$AH$28,5,FALSE),P46)</f>
        <v>-16.440174024099999</v>
      </c>
      <c r="R46" s="212">
        <f si="0" t="shared"/>
        <v>0</v>
      </c>
    </row>
    <row ht="15.75" r="47" spans="2:18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0.76432473059999995</v>
      </c>
      <c r="Q47" s="285">
        <f>IFERROR(VLOOKUP(N47,Calibration_OD!$AD$3:$AH$28,5,FALSE),P47)</f>
        <v>0.76432473059999995</v>
      </c>
      <c r="R47" s="212">
        <f si="0" t="shared"/>
        <v>0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-2.9040051223000001</v>
      </c>
      <c r="Q48" s="285">
        <f>IFERROR(VLOOKUP(N48,Calibration_OD!$AD$3:$AH$28,5,FALSE),P48)</f>
        <v>-2.9040051223000001</v>
      </c>
      <c r="R48" s="212">
        <f si="0" t="shared"/>
        <v>0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-2.9754271853000001</v>
      </c>
      <c r="Q49" s="285">
        <f>IFERROR(VLOOKUP(N49,Calibration_OD!$AD$3:$AH$28,5,FALSE),P49)</f>
        <v>-2.9754271853000001</v>
      </c>
      <c r="R49" s="212">
        <f si="0" t="shared"/>
        <v>0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0.16683062839400001</v>
      </c>
      <c r="Q50" s="285">
        <f>IFERROR(VLOOKUP(N50,Calibration_OD!$AD$3:$AH$28,5,FALSE),P50)</f>
        <v>0.16683062839400001</v>
      </c>
      <c r="R50" s="212">
        <f si="0" t="shared"/>
        <v>0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0.80686039287</v>
      </c>
      <c r="Q51" s="285">
        <f>IFERROR(VLOOKUP(N51,Calibration_OD!$AD$3:$AH$28,5,FALSE),P51)</f>
        <v>0.80686039287</v>
      </c>
      <c r="R51" s="212">
        <f si="0" t="shared"/>
        <v>0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6">
        <f>OtherTourDestination!E60</f>
        <v>-10.34047865796</v>
      </c>
      <c r="Q52" s="285">
        <f>IFERROR(VLOOKUP(N52,Calibration_OD!$AD$3:$AH$28,5,FALSE),P52)</f>
        <v>-10.34047865796</v>
      </c>
      <c r="R52" s="212">
        <f si="0" t="shared"/>
        <v>0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6">
        <f>OtherTourDestination!E61</f>
        <v>-3.91221337131</v>
      </c>
      <c r="Q53" s="285">
        <f>IFERROR(VLOOKUP(N53,Calibration_OD!$AD$3:$AH$28,5,FALSE),P53)</f>
        <v>-3.91221337131</v>
      </c>
      <c r="R53" s="212">
        <f si="0" t="shared"/>
        <v>0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6">
        <f>OtherTourDestination!E62</f>
        <v>-4.2648637480299998</v>
      </c>
      <c r="Q54" s="285">
        <f>IFERROR(VLOOKUP(N54,Calibration_OD!$AD$3:$AH$28,5,FALSE),P54)</f>
        <v>-4.2648637480299998</v>
      </c>
      <c r="R54" s="212">
        <f si="0" t="shared"/>
        <v>0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6">
        <f>OtherTourDestination!E63</f>
        <v>-0.84819566531000001</v>
      </c>
      <c r="Q55" s="285">
        <f>IFERROR(VLOOKUP(N55,Calibration_OD!$AD$3:$AH$28,5,FALSE),P55)</f>
        <v>-0.84819566531000001</v>
      </c>
      <c r="R55" s="212">
        <f si="0" t="shared"/>
        <v>0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6">
        <f>OtherTourDestination!E64</f>
        <v>0.21306405683599999</v>
      </c>
      <c r="Q56" s="285">
        <f>IFERROR(VLOOKUP(N56,Calibration_OD!$AD$3:$AH$28,5,FALSE),P56)</f>
        <v>0.21306405683599999</v>
      </c>
      <c r="R56" s="212">
        <f si="0" t="shared"/>
        <v>0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0.49322187999099998</v>
      </c>
      <c r="Q57" s="285">
        <f>IFERROR(VLOOKUP(N57,Calibration_OD!$AD$3:$AH$28,5,FALSE),P57)</f>
        <v>0.49322187999099998</v>
      </c>
      <c r="R57" s="212">
        <f si="0" t="shared"/>
        <v>0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-0.81297460986500003</v>
      </c>
      <c r="Q58" s="285">
        <f>IFERROR(VLOOKUP(N58,Calibration_OD!$AD$3:$AH$28,5,FALSE),P58)</f>
        <v>-0.81297460986500003</v>
      </c>
      <c r="R58" s="212">
        <f si="0" t="shared"/>
        <v>0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8.0759501397E-2</v>
      </c>
      <c r="Q59" s="285">
        <f>IFERROR(VLOOKUP(N59,Calibration_OD!$AD$3:$AH$28,5,FALSE),P59)</f>
        <v>8.0759501397E-2</v>
      </c>
      <c r="R59" s="212">
        <f si="0" t="shared"/>
        <v>0</v>
      </c>
    </row>
    <row r="60" spans="13:18" x14ac:dyDescent="0.25">
      <c r="M60" s="212" t="str">
        <f>VLOOKUP(N60,Coeff_Descr!$A:$D,3,FALSE)</f>
        <v>ESCORT</v>
      </c>
      <c r="N60" s="212">
        <f>OtherTourDestination!B68</f>
        <v>70</v>
      </c>
      <c r="O60" s="212" t="str">
        <f>OtherTourDestination!C68</f>
        <v>LSM_0070</v>
      </c>
      <c r="P60" s="213">
        <f>OtherTourDestination!E68</f>
        <v>0.29053029913700001</v>
      </c>
      <c r="Q60" s="285">
        <f>IFERROR(VLOOKUP(N60,Calibration_OD!$AD$3:$AH$28,5,FALSE),P60)</f>
        <v>0.29053029913700001</v>
      </c>
      <c r="R60" s="212">
        <f si="0" t="shared"/>
        <v>0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71</v>
      </c>
      <c r="O61" s="212" t="str">
        <f>OtherTourDestination!C69</f>
        <v>Gamma071</v>
      </c>
      <c r="P61" s="213">
        <f>OtherTourDestination!E69</f>
        <v>0</v>
      </c>
      <c r="Q61" s="285">
        <f>IFERROR(VLOOKUP(N61,Calibration_OD!$AD$3:$AH$28,5,FALSE),P61)</f>
        <v>0</v>
      </c>
      <c r="R61" s="212">
        <f si="0" t="shared"/>
        <v>0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72</v>
      </c>
      <c r="O62" s="212" t="str">
        <f>OtherTourDestination!C70</f>
        <v>Gamma072</v>
      </c>
      <c r="P62" s="213">
        <f>OtherTourDestination!E70</f>
        <v>-3.51218611463</v>
      </c>
      <c r="Q62" s="285">
        <f>IFERROR(VLOOKUP(N62,Calibration_OD!$AD$3:$AH$28,5,FALSE),P62)</f>
        <v>-3.51218611463</v>
      </c>
      <c r="R62" s="212">
        <f si="0" t="shared"/>
        <v>0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73</v>
      </c>
      <c r="O63" s="212" t="str">
        <f>OtherTourDestination!C71</f>
        <v>Gamma073</v>
      </c>
      <c r="P63" s="213">
        <f>OtherTourDestination!E71</f>
        <v>-1.9512398226400001</v>
      </c>
      <c r="Q63" s="285">
        <f>IFERROR(VLOOKUP(N63,Calibration_OD!$AD$3:$AH$28,5,FALSE),P63)</f>
        <v>-1.9512398226400001</v>
      </c>
      <c r="R63" s="212">
        <f si="0" t="shared"/>
        <v>0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74</v>
      </c>
      <c r="O64" s="212" t="str">
        <f>OtherTourDestination!C72</f>
        <v>Gamma074</v>
      </c>
      <c r="P64" s="213">
        <f>OtherTourDestination!E72</f>
        <v>-2.2875988415099999</v>
      </c>
      <c r="Q64" s="285">
        <f>IFERROR(VLOOKUP(N64,Calibration_OD!$AD$3:$AH$28,5,FALSE),P64)</f>
        <v>-2.2875988415099999</v>
      </c>
      <c r="R64" s="212">
        <f si="0" t="shared"/>
        <v>0</v>
      </c>
    </row>
    <row r="65" spans="13:18" x14ac:dyDescent="0.25">
      <c r="M65" s="212" t="str">
        <f>VLOOKUP(N65,Coeff_Descr!$A:$D,3,FALSE)</f>
        <v>ESCORT</v>
      </c>
      <c r="N65" s="212">
        <f>OtherTourDestination!B73</f>
        <v>75</v>
      </c>
      <c r="O65" s="212" t="str">
        <f>OtherTourDestination!C73</f>
        <v>Gamma075</v>
      </c>
      <c r="P65" s="213">
        <f>OtherTourDestination!E73</f>
        <v>-2.97270473739</v>
      </c>
      <c r="Q65" s="285">
        <f>IFERROR(VLOOKUP(N65,Calibration_OD!$AD$3:$AH$28,5,FALSE),P65)</f>
        <v>-2.97270473739</v>
      </c>
      <c r="R65" s="212">
        <f si="0" t="shared"/>
        <v>0</v>
      </c>
    </row>
    <row r="66" spans="13:18" x14ac:dyDescent="0.25">
      <c r="M66" s="212" t="str">
        <f>VLOOKUP(N66,Coeff_Descr!$A:$D,3,FALSE)</f>
        <v>ESCORT</v>
      </c>
      <c r="N66" s="212">
        <f>OtherTourDestination!B74</f>
        <v>76</v>
      </c>
      <c r="O66" s="212" t="str">
        <f>OtherTourDestination!C74</f>
        <v>Gamma076</v>
      </c>
      <c r="P66" s="213">
        <f>OtherTourDestination!E74</f>
        <v>-2.2065775626700002</v>
      </c>
      <c r="Q66" s="285">
        <f>IFERROR(VLOOKUP(N66,Calibration_OD!$AD$3:$AH$28,5,FALSE),P66)</f>
        <v>-2.2065775626700002</v>
      </c>
      <c r="R66" s="212">
        <f si="0" t="shared"/>
        <v>0</v>
      </c>
    </row>
    <row r="67" spans="13:18" x14ac:dyDescent="0.25">
      <c r="M67" s="212" t="str">
        <f>VLOOKUP(N67,Coeff_Descr!$A:$D,3,FALSE)</f>
        <v>ESCORT</v>
      </c>
      <c r="N67" s="212">
        <f>OtherTourDestination!B75</f>
        <v>77</v>
      </c>
      <c r="O67" s="212" t="str">
        <f>OtherTourDestination!C75</f>
        <v>Gamma077</v>
      </c>
      <c r="P67" s="213">
        <f>OtherTourDestination!E75</f>
        <v>-1.91608314575</v>
      </c>
      <c r="Q67" s="285">
        <f>IFERROR(VLOOKUP(N67,Calibration_OD!$AD$3:$AH$28,5,FALSE),P67)</f>
        <v>-1.91608314575</v>
      </c>
      <c r="R67" s="212">
        <f si="0" t="shared"/>
        <v>0</v>
      </c>
    </row>
    <row r="68" spans="13:18" x14ac:dyDescent="0.25">
      <c r="M68" s="212" t="str">
        <f>VLOOKUP(N68,Coeff_Descr!$A:$D,3,FALSE)</f>
        <v>ESCORT</v>
      </c>
      <c r="N68" s="212">
        <f>OtherTourDestination!B76</f>
        <v>78</v>
      </c>
      <c r="O68" s="212" t="str">
        <f>OtherTourDestination!C76</f>
        <v>Gamma078</v>
      </c>
      <c r="P68" s="213">
        <f>OtherTourDestination!E76</f>
        <v>-2.9941803696</v>
      </c>
      <c r="Q68" s="285">
        <f>IFERROR(VLOOKUP(N68,Calibration_OD!$AD$3:$AH$28,5,FALSE),P68)</f>
        <v>-2.9941803696</v>
      </c>
      <c r="R68" s="212">
        <f ref="R68:R123" si="10" t="shared">IF(Q68=P68,0,1)</f>
        <v>0</v>
      </c>
    </row>
    <row r="69" spans="13:18" x14ac:dyDescent="0.25">
      <c r="M69" s="212" t="str">
        <f>VLOOKUP(N69,Coeff_Descr!$A:$D,3,FALSE)</f>
        <v>ESCORT</v>
      </c>
      <c r="N69" s="212">
        <f>OtherTourDestination!B77</f>
        <v>79</v>
      </c>
      <c r="O69" s="212" t="str">
        <f>OtherTourDestination!C77</f>
        <v>Gamma079</v>
      </c>
      <c r="P69" s="213">
        <f>OtherTourDestination!E77</f>
        <v>-20.893048808300001</v>
      </c>
      <c r="Q69" s="285">
        <f>IFERROR(VLOOKUP(N69,Calibration_OD!$AD$3:$AH$28,5,FALSE),P69)</f>
        <v>-20.893048808300001</v>
      </c>
      <c r="R69" s="212">
        <f si="10" t="shared"/>
        <v>0</v>
      </c>
    </row>
    <row r="70" spans="13:18" x14ac:dyDescent="0.25">
      <c r="M70" s="212" t="str">
        <f>VLOOKUP(N70,Coeff_Descr!$A:$D,3,FALSE)</f>
        <v>ESCORT</v>
      </c>
      <c r="N70" s="212">
        <f>OtherTourDestination!B78</f>
        <v>80</v>
      </c>
      <c r="O70" s="212" t="str">
        <f>OtherTourDestination!C78</f>
        <v>Gamma080</v>
      </c>
      <c r="P70" s="213">
        <f>OtherTourDestination!E78</f>
        <v>-0.340851234339</v>
      </c>
      <c r="Q70" s="285">
        <f>IFERROR(VLOOKUP(N70,Calibration_OD!$AD$3:$AH$28,5,FALSE),P70)</f>
        <v>-0.340851234339</v>
      </c>
      <c r="R70" s="212">
        <f si="10" t="shared"/>
        <v>0</v>
      </c>
    </row>
    <row r="71" spans="13:18" x14ac:dyDescent="0.25">
      <c r="M71" s="212" t="str">
        <f>VLOOKUP(N71,Coeff_Descr!$A:$D,3,FALSE)</f>
        <v>ESCORT</v>
      </c>
      <c r="N71" s="212">
        <f>OtherTourDestination!B79</f>
        <v>81</v>
      </c>
      <c r="O71" s="212" t="str">
        <f>OtherTourDestination!C79</f>
        <v>Gamma081</v>
      </c>
      <c r="P71" s="213">
        <f>OtherTourDestination!E79</f>
        <v>-3.5548804977600001</v>
      </c>
      <c r="Q71" s="285">
        <f>IFERROR(VLOOKUP(N71,Calibration_OD!$AD$3:$AH$28,5,FALSE),P71)</f>
        <v>-3.5548804977600001</v>
      </c>
      <c r="R71" s="212">
        <f si="10" t="shared"/>
        <v>0</v>
      </c>
    </row>
    <row r="72" spans="13:18" x14ac:dyDescent="0.25">
      <c r="M72" s="212" t="str">
        <f>VLOOKUP(N72,Coeff_Descr!$A:$D,3,FALSE)</f>
        <v>ESCORT</v>
      </c>
      <c r="N72" s="212">
        <f>OtherTourDestination!B80</f>
        <v>82</v>
      </c>
      <c r="O72" s="212" t="str">
        <f>OtherTourDestination!C80</f>
        <v>Gamma082</v>
      </c>
      <c r="P72" s="213">
        <f>OtherTourDestination!E80</f>
        <v>-2.04042829643</v>
      </c>
      <c r="Q72" s="285">
        <f>IFERROR(VLOOKUP(N72,Calibration_OD!$AD$3:$AH$28,5,FALSE),P72)</f>
        <v>-2.04042829643</v>
      </c>
      <c r="R72" s="212">
        <f si="10" t="shared"/>
        <v>0</v>
      </c>
    </row>
    <row r="73" spans="13:18" x14ac:dyDescent="0.25">
      <c r="M73" s="212" t="str">
        <f>VLOOKUP(N73,Coeff_Descr!$A:$D,3,FALSE)</f>
        <v>ESCORT</v>
      </c>
      <c r="N73" s="212">
        <f>OtherTourDestination!B81</f>
        <v>83</v>
      </c>
      <c r="O73" s="212" t="str">
        <f>OtherTourDestination!C81</f>
        <v>Gamma083</v>
      </c>
      <c r="P73" s="213">
        <f>OtherTourDestination!E81</f>
        <v>-3.1291070048599998</v>
      </c>
      <c r="Q73" s="285">
        <f>IFERROR(VLOOKUP(N73,Calibration_OD!$AD$3:$AH$28,5,FALSE),P73)</f>
        <v>-3.1291070048599998</v>
      </c>
      <c r="R73" s="212">
        <f si="10" t="shared"/>
        <v>0</v>
      </c>
    </row>
    <row r="74" spans="13:18" x14ac:dyDescent="0.25">
      <c r="M74" s="212" t="str">
        <f>VLOOKUP(N74,Coeff_Descr!$A:$D,3,FALSE)</f>
        <v>ESCORT</v>
      </c>
      <c r="N74" s="212">
        <f>OtherTourDestination!B82</f>
        <v>84</v>
      </c>
      <c r="O74" s="212" t="str">
        <f>OtherTourDestination!C82</f>
        <v>Gamma084</v>
      </c>
      <c r="P74" s="213">
        <f>OtherTourDestination!E82</f>
        <v>-1.36058822067</v>
      </c>
      <c r="Q74" s="285">
        <f>IFERROR(VLOOKUP(N74,Calibration_OD!$AD$3:$AH$28,5,FALSE),P74)</f>
        <v>-1.36058822067</v>
      </c>
      <c r="R74" s="212">
        <f si="10" t="shared"/>
        <v>0</v>
      </c>
    </row>
    <row r="75" spans="13:18" x14ac:dyDescent="0.25">
      <c r="M75" s="212" t="str">
        <f>VLOOKUP(N75,Coeff_Descr!$A:$D,3,FALSE)</f>
        <v>ESCORT</v>
      </c>
      <c r="N75" s="212">
        <f>OtherTourDestination!B83</f>
        <v>85</v>
      </c>
      <c r="O75" s="212" t="str">
        <f>OtherTourDestination!C83</f>
        <v>Gamma085</v>
      </c>
      <c r="P75" s="213">
        <f>OtherTourDestination!E83</f>
        <v>-3.7593502074299998</v>
      </c>
      <c r="Q75" s="285">
        <f>IFERROR(VLOOKUP(N75,Calibration_OD!$AD$3:$AH$28,5,FALSE),P75)</f>
        <v>-3.7593502074299998</v>
      </c>
      <c r="R75" s="212">
        <f si="10" t="shared"/>
        <v>0</v>
      </c>
    </row>
    <row r="76" spans="13:18" x14ac:dyDescent="0.25">
      <c r="M76" s="212" t="str">
        <f>VLOOKUP(N76,Coeff_Descr!$A:$D,3,FALSE)</f>
        <v>ESCORT</v>
      </c>
      <c r="N76" s="212">
        <f>OtherTourDestination!B84</f>
        <v>86</v>
      </c>
      <c r="O76" s="212" t="str">
        <f>OtherTourDestination!C84</f>
        <v>Gamma086</v>
      </c>
      <c r="P76" s="213">
        <f>OtherTourDestination!E84</f>
        <v>-2.6162258391100002</v>
      </c>
      <c r="Q76" s="285">
        <f>IFERROR(VLOOKUP(N76,Calibration_OD!$AD$3:$AH$28,5,FALSE),P76)</f>
        <v>-2.6162258391100002</v>
      </c>
      <c r="R76" s="212">
        <f si="10" t="shared"/>
        <v>0</v>
      </c>
    </row>
    <row r="77" spans="13:18" x14ac:dyDescent="0.25">
      <c r="M77" s="212" t="str">
        <f>VLOOKUP(N77,Coeff_Descr!$A:$D,3,FALSE)</f>
        <v>ESCORT</v>
      </c>
      <c r="N77" s="212">
        <f>OtherTourDestination!B85</f>
        <v>87</v>
      </c>
      <c r="O77" s="212" t="str">
        <f>OtherTourDestination!C85</f>
        <v>Gamma087</v>
      </c>
      <c r="P77" s="213">
        <f>OtherTourDestination!E85</f>
        <v>-18.920608679800001</v>
      </c>
      <c r="Q77" s="285">
        <f>IFERROR(VLOOKUP(N77,Calibration_OD!$AD$3:$AH$28,5,FALSE),P77)</f>
        <v>-18.920608679800001</v>
      </c>
      <c r="R77" s="212">
        <f si="10" t="shared"/>
        <v>0</v>
      </c>
    </row>
    <row r="78" spans="13:18" x14ac:dyDescent="0.25">
      <c r="M78" s="212" t="str">
        <f>VLOOKUP(N78,Coeff_Descr!$A:$D,3,FALSE)</f>
        <v>ESCORT</v>
      </c>
      <c r="N78" s="212">
        <f>OtherTourDestination!B86</f>
        <v>88</v>
      </c>
      <c r="O78" s="212" t="str">
        <f>OtherTourDestination!C86</f>
        <v>Gamma088</v>
      </c>
      <c r="P78" s="213">
        <f>OtherTourDestination!E86</f>
        <v>0</v>
      </c>
      <c r="Q78" s="285">
        <f>IFERROR(VLOOKUP(N78,Calibration_OD!$AD$3:$AH$28,5,FALSE),P78)</f>
        <v>0</v>
      </c>
      <c r="R78" s="212">
        <f si="10" t="shared"/>
        <v>0</v>
      </c>
    </row>
    <row r="79" spans="13:18" x14ac:dyDescent="0.25">
      <c r="M79" s="212" t="str">
        <f>VLOOKUP(N79,Coeff_Descr!$A:$D,3,FALSE)</f>
        <v>PERSBUS/MED</v>
      </c>
      <c r="N79" s="212">
        <f>OtherTourDestination!B87</f>
        <v>89</v>
      </c>
      <c r="O79" s="212" t="str">
        <f>OtherTourDestination!C87</f>
        <v>Gamma089</v>
      </c>
      <c r="P79" s="213">
        <f>OtherTourDestination!E87</f>
        <v>-6.14284833482</v>
      </c>
      <c r="Q79" s="285">
        <f>IFERROR(VLOOKUP(N79,Calibration_OD!$AD$3:$AH$28,5,FALSE),P79)</f>
        <v>-6.14284833482</v>
      </c>
      <c r="R79" s="212">
        <f si="10" t="shared"/>
        <v>0</v>
      </c>
    </row>
    <row r="80" spans="13:18" x14ac:dyDescent="0.25">
      <c r="M80" s="212" t="str">
        <f>VLOOKUP(N80,Coeff_Descr!$A:$D,3,FALSE)</f>
        <v>PERSBUS/MED</v>
      </c>
      <c r="N80" s="212">
        <f>OtherTourDestination!B88</f>
        <v>90</v>
      </c>
      <c r="O80" s="212" t="str">
        <f>OtherTourDestination!C88</f>
        <v>Gamma090</v>
      </c>
      <c r="P80" s="213">
        <f>OtherTourDestination!E88</f>
        <v>-16.4745846271</v>
      </c>
      <c r="Q80" s="285">
        <f>IFERROR(VLOOKUP(N80,Calibration_OD!$AD$3:$AH$28,5,FALSE),P80)</f>
        <v>-16.4745846271</v>
      </c>
      <c r="R80" s="212">
        <f si="10" t="shared"/>
        <v>0</v>
      </c>
    </row>
    <row r="81" spans="13:18" x14ac:dyDescent="0.25">
      <c r="M81" s="212" t="str">
        <f>VLOOKUP(N81,Coeff_Descr!$A:$D,3,FALSE)</f>
        <v>PERSBUS/MED</v>
      </c>
      <c r="N81" s="212">
        <f>OtherTourDestination!B89</f>
        <v>91</v>
      </c>
      <c r="O81" s="212" t="str">
        <f>OtherTourDestination!C89</f>
        <v>Gamma091</v>
      </c>
      <c r="P81" s="213">
        <f>OtherTourDestination!E89</f>
        <v>-9.3272520902899991</v>
      </c>
      <c r="Q81" s="285">
        <f>IFERROR(VLOOKUP(N81,Calibration_OD!$AD$3:$AH$28,5,FALSE),P81)</f>
        <v>-9.3272520902899991</v>
      </c>
      <c r="R81" s="212">
        <f si="10" t="shared"/>
        <v>0</v>
      </c>
    </row>
    <row r="82" spans="13:18" x14ac:dyDescent="0.25">
      <c r="M82" s="212" t="str">
        <f>VLOOKUP(N82,Coeff_Descr!$A:$D,3,FALSE)</f>
        <v>PERSBUS/MED</v>
      </c>
      <c r="N82" s="212">
        <f>OtherTourDestination!B90</f>
        <v>92</v>
      </c>
      <c r="O82" s="212" t="str">
        <f>OtherTourDestination!C90</f>
        <v>Gamma092</v>
      </c>
      <c r="P82" s="213">
        <f>OtherTourDestination!E90</f>
        <v>-0.748114378523</v>
      </c>
      <c r="Q82" s="285">
        <f>IFERROR(VLOOKUP(N82,Calibration_OD!$AD$3:$AH$28,5,FALSE),P82)</f>
        <v>-0.748114378523</v>
      </c>
      <c r="R82" s="212">
        <f si="10" t="shared"/>
        <v>0</v>
      </c>
    </row>
    <row r="83" spans="13:18" x14ac:dyDescent="0.25">
      <c r="M83" s="212" t="str">
        <f>VLOOKUP(N83,Coeff_Descr!$A:$D,3,FALSE)</f>
        <v>PERSBUS/MED</v>
      </c>
      <c r="N83" s="212">
        <f>OtherTourDestination!B91</f>
        <v>93</v>
      </c>
      <c r="O83" s="212" t="str">
        <f>OtherTourDestination!C91</f>
        <v>Gamma093</v>
      </c>
      <c r="P83" s="213">
        <f>OtherTourDestination!E91</f>
        <v>-0.29100107664500002</v>
      </c>
      <c r="Q83" s="285">
        <f>IFERROR(VLOOKUP(N83,Calibration_OD!$AD$3:$AH$28,5,FALSE),P83)</f>
        <v>-0.29100107664500002</v>
      </c>
      <c r="R83" s="212">
        <f si="10" t="shared"/>
        <v>0</v>
      </c>
    </row>
    <row r="84" spans="13:18" x14ac:dyDescent="0.25">
      <c r="M84" s="212" t="str">
        <f>VLOOKUP(N84,Coeff_Descr!$A:$D,3,FALSE)</f>
        <v>PERSBUS/MED</v>
      </c>
      <c r="N84" s="212">
        <f>OtherTourDestination!B92</f>
        <v>94</v>
      </c>
      <c r="O84" s="212" t="str">
        <f>OtherTourDestination!C92</f>
        <v>Gamma094</v>
      </c>
      <c r="P84" s="213">
        <f>OtherTourDestination!E92</f>
        <v>0</v>
      </c>
      <c r="Q84" s="285">
        <f>IFERROR(VLOOKUP(N84,Calibration_OD!$AD$3:$AH$28,5,FALSE),P84)</f>
        <v>0</v>
      </c>
      <c r="R84" s="212">
        <f si="10" t="shared"/>
        <v>0</v>
      </c>
    </row>
    <row r="85" spans="13:18" x14ac:dyDescent="0.25">
      <c r="M85" s="212" t="str">
        <f>VLOOKUP(N85,Coeff_Descr!$A:$D,3,FALSE)</f>
        <v>PERSBUS/MED</v>
      </c>
      <c r="N85" s="212">
        <f>OtherTourDestination!B93</f>
        <v>95</v>
      </c>
      <c r="O85" s="212" t="str">
        <f>OtherTourDestination!C93</f>
        <v>Gamma095</v>
      </c>
      <c r="P85" s="213">
        <f>OtherTourDestination!E93</f>
        <v>-10.3298280696</v>
      </c>
      <c r="Q85" s="285">
        <f>IFERROR(VLOOKUP(N85,Calibration_OD!$AD$3:$AH$28,5,FALSE),P85)</f>
        <v>-10.3298280696</v>
      </c>
      <c r="R85" s="212">
        <f si="10" t="shared"/>
        <v>0</v>
      </c>
    </row>
    <row r="86" spans="13:18" x14ac:dyDescent="0.25">
      <c r="M86" s="212" t="str">
        <f>VLOOKUP(N86,Coeff_Descr!$A:$D,3,FALSE)</f>
        <v>PERSBUS/MED</v>
      </c>
      <c r="N86" s="212">
        <f>OtherTourDestination!B94</f>
        <v>96</v>
      </c>
      <c r="O86" s="212" t="str">
        <f>OtherTourDestination!C94</f>
        <v>Gamma096</v>
      </c>
      <c r="P86" s="213">
        <f>OtherTourDestination!E94</f>
        <v>-16.742935323400001</v>
      </c>
      <c r="Q86" s="285">
        <f>IFERROR(VLOOKUP(N86,Calibration_OD!$AD$3:$AH$28,5,FALSE),P86)</f>
        <v>-16.742935323400001</v>
      </c>
      <c r="R86" s="212">
        <f si="10" t="shared"/>
        <v>0</v>
      </c>
    </row>
    <row r="87" spans="13:18" x14ac:dyDescent="0.25">
      <c r="M87" s="212" t="str">
        <f>VLOOKUP(N87,Coeff_Descr!$A:$D,3,FALSE)</f>
        <v>PERSBUS/MED</v>
      </c>
      <c r="N87" s="212">
        <f>OtherTourDestination!B95</f>
        <v>97</v>
      </c>
      <c r="O87" s="212" t="str">
        <f>OtherTourDestination!C95</f>
        <v>Gamma097</v>
      </c>
      <c r="P87" s="213">
        <f>OtherTourDestination!E95</f>
        <v>-6.97234539975</v>
      </c>
      <c r="Q87" s="285">
        <f>IFERROR(VLOOKUP(N87,Calibration_OD!$AD$3:$AH$28,5,FALSE),P87)</f>
        <v>-6.97234539975</v>
      </c>
      <c r="R87" s="212">
        <f si="10" t="shared"/>
        <v>0</v>
      </c>
    </row>
    <row r="88" spans="13:18" x14ac:dyDescent="0.25">
      <c r="M88" s="212" t="str">
        <f>VLOOKUP(N88,Coeff_Descr!$A:$D,3,FALSE)</f>
        <v>SHOP</v>
      </c>
      <c r="N88" s="212">
        <f>OtherTourDestination!B96</f>
        <v>98</v>
      </c>
      <c r="O88" s="212" t="str">
        <f>OtherTourDestination!C96</f>
        <v>Gamma098</v>
      </c>
      <c r="P88" s="213">
        <f>OtherTourDestination!E96</f>
        <v>-10.7755348742</v>
      </c>
      <c r="Q88" s="285">
        <f>IFERROR(VLOOKUP(N88,Calibration_OD!$AD$3:$AH$28,5,FALSE),P88)</f>
        <v>-10.7755348742</v>
      </c>
      <c r="R88" s="212">
        <f si="10" t="shared"/>
        <v>0</v>
      </c>
    </row>
    <row r="89" spans="13:18" x14ac:dyDescent="0.25">
      <c r="M89" s="212" t="str">
        <f>VLOOKUP(N89,Coeff_Descr!$A:$D,3,FALSE)</f>
        <v>SHOP</v>
      </c>
      <c r="N89" s="212">
        <f>OtherTourDestination!B97</f>
        <v>99</v>
      </c>
      <c r="O89" s="212" t="str">
        <f>OtherTourDestination!C97</f>
        <v>Gamma099</v>
      </c>
      <c r="P89" s="213">
        <f>OtherTourDestination!E97</f>
        <v>-11.547846395100001</v>
      </c>
      <c r="Q89" s="285">
        <f>IFERROR(VLOOKUP(N89,Calibration_OD!$AD$3:$AH$28,5,FALSE),P89)</f>
        <v>-11.547846395100001</v>
      </c>
      <c r="R89" s="212">
        <f si="10" t="shared"/>
        <v>0</v>
      </c>
    </row>
    <row r="90" spans="13:18" x14ac:dyDescent="0.25">
      <c r="M90" s="212" t="str">
        <f>VLOOKUP(N90,Coeff_Descr!$A:$D,3,FALSE)</f>
        <v>SHOP</v>
      </c>
      <c r="N90" s="212">
        <f>OtherTourDestination!B98</f>
        <v>100</v>
      </c>
      <c r="O90" s="212" t="str">
        <f>OtherTourDestination!C98</f>
        <v>Gamma100</v>
      </c>
      <c r="P90" s="213">
        <f>OtherTourDestination!E98</f>
        <v>0</v>
      </c>
      <c r="Q90" s="285">
        <f>IFERROR(VLOOKUP(N90,Calibration_OD!$AD$3:$AH$28,5,FALSE),P90)</f>
        <v>0</v>
      </c>
      <c r="R90" s="212">
        <f si="10" t="shared"/>
        <v>0</v>
      </c>
    </row>
    <row r="91" spans="13:18" x14ac:dyDescent="0.25">
      <c r="M91" s="212" t="str">
        <f>VLOOKUP(N91,Coeff_Descr!$A:$D,3,FALSE)</f>
        <v>SHOP</v>
      </c>
      <c r="N91" s="212">
        <f>OtherTourDestination!B99</f>
        <v>101</v>
      </c>
      <c r="O91" s="212" t="str">
        <f>OtherTourDestination!C99</f>
        <v>Gamma101</v>
      </c>
      <c r="P91" s="213">
        <f>OtherTourDestination!E99</f>
        <v>-11.0962758301</v>
      </c>
      <c r="Q91" s="285">
        <f>IFERROR(VLOOKUP(N91,Calibration_OD!$AD$3:$AH$28,5,FALSE),P91)</f>
        <v>-11.0962758301</v>
      </c>
      <c r="R91" s="212">
        <f si="10" t="shared"/>
        <v>0</v>
      </c>
    </row>
    <row r="92" spans="13:18" x14ac:dyDescent="0.25">
      <c r="M92" s="212" t="str">
        <f>VLOOKUP(N92,Coeff_Descr!$A:$D,3,FALSE)</f>
        <v>MEAL</v>
      </c>
      <c r="N92" s="212">
        <f>OtherTourDestination!B100</f>
        <v>102</v>
      </c>
      <c r="O92" s="212" t="str">
        <f>OtherTourDestination!C100</f>
        <v>Gamma102</v>
      </c>
      <c r="P92" s="213">
        <f>OtherTourDestination!E100</f>
        <v>0</v>
      </c>
      <c r="Q92" s="285">
        <f>IFERROR(VLOOKUP(N92,Calibration_OD!$AD$3:$AH$28,5,FALSE),P92)</f>
        <v>0</v>
      </c>
      <c r="R92" s="212">
        <f si="10" t="shared"/>
        <v>0</v>
      </c>
    </row>
    <row r="93" spans="13:18" x14ac:dyDescent="0.25">
      <c r="M93" s="212" t="str">
        <f>VLOOKUP(N93,Coeff_Descr!$A:$D,3,FALSE)</f>
        <v>MEAL</v>
      </c>
      <c r="N93" s="212">
        <f>OtherTourDestination!B101</f>
        <v>103</v>
      </c>
      <c r="O93" s="212" t="str">
        <f>OtherTourDestination!C101</f>
        <v>Gamma103</v>
      </c>
      <c r="P93" s="213">
        <f>OtherTourDestination!E101</f>
        <v>-12.7257909892</v>
      </c>
      <c r="Q93" s="285">
        <f>IFERROR(VLOOKUP(N93,Calibration_OD!$AD$3:$AH$28,5,FALSE),P93)</f>
        <v>-12.7257909892</v>
      </c>
      <c r="R93" s="212">
        <f si="10" t="shared"/>
        <v>0</v>
      </c>
    </row>
    <row r="94" spans="13:18" x14ac:dyDescent="0.25">
      <c r="M94" s="212" t="str">
        <f>VLOOKUP(N94,Coeff_Descr!$A:$D,3,FALSE)</f>
        <v>MEAL</v>
      </c>
      <c r="N94" s="212">
        <f>OtherTourDestination!B102</f>
        <v>104</v>
      </c>
      <c r="O94" s="212" t="str">
        <f>OtherTourDestination!C102</f>
        <v>Gamma104</v>
      </c>
      <c r="P94" s="213">
        <f>OtherTourDestination!E102</f>
        <v>-12.5271034041</v>
      </c>
      <c r="Q94" s="285">
        <f>IFERROR(VLOOKUP(N94,Calibration_OD!$AD$3:$AH$28,5,FALSE),P94)</f>
        <v>-12.5271034041</v>
      </c>
      <c r="R94" s="212">
        <f si="10" t="shared"/>
        <v>0</v>
      </c>
    </row>
    <row r="95" spans="13:18" x14ac:dyDescent="0.25">
      <c r="M95" s="212" t="str">
        <f>VLOOKUP(N95,Coeff_Descr!$A:$D,3,FALSE)</f>
        <v>MEAL</v>
      </c>
      <c r="N95" s="212">
        <f>OtherTourDestination!B103</f>
        <v>105</v>
      </c>
      <c r="O95" s="212" t="str">
        <f>OtherTourDestination!C103</f>
        <v>Gamma105</v>
      </c>
      <c r="P95" s="213">
        <f>OtherTourDestination!E103</f>
        <v>-21.008822510800002</v>
      </c>
      <c r="Q95" s="285">
        <f>IFERROR(VLOOKUP(N95,Calibration_OD!$AD$3:$AH$28,5,FALSE),P95)</f>
        <v>-21.008822510800002</v>
      </c>
      <c r="R95" s="212">
        <f si="10" t="shared"/>
        <v>0</v>
      </c>
    </row>
    <row r="96" spans="13:18" x14ac:dyDescent="0.25">
      <c r="M96" s="212" t="str">
        <f>VLOOKUP(N96,Coeff_Descr!$A:$D,3,FALSE)</f>
        <v>SOCREC</v>
      </c>
      <c r="N96" s="212">
        <f>OtherTourDestination!B104</f>
        <v>106</v>
      </c>
      <c r="O96" s="212" t="str">
        <f>OtherTourDestination!C104</f>
        <v>Gamma106</v>
      </c>
      <c r="P96" s="213">
        <f>OtherTourDestination!E104</f>
        <v>-1.63176275226</v>
      </c>
      <c r="Q96" s="285">
        <f>IFERROR(VLOOKUP(N96,Calibration_OD!$AD$3:$AH$28,5,FALSE),P96)</f>
        <v>-1.63176275226</v>
      </c>
      <c r="R96" s="212">
        <f si="10" t="shared"/>
        <v>0</v>
      </c>
    </row>
    <row r="97" spans="13:18" x14ac:dyDescent="0.25">
      <c r="M97" s="212" t="str">
        <f>VLOOKUP(N97,Coeff_Descr!$A:$D,3,FALSE)</f>
        <v>SOCREC</v>
      </c>
      <c r="N97" s="212">
        <f>OtherTourDestination!B105</f>
        <v>107</v>
      </c>
      <c r="O97" s="212" t="str">
        <f>OtherTourDestination!C105</f>
        <v>Gamma107</v>
      </c>
      <c r="P97" s="213">
        <f>OtherTourDestination!E105</f>
        <v>-4.6653914733199997</v>
      </c>
      <c r="Q97" s="285">
        <f>IFERROR(VLOOKUP(N97,Calibration_OD!$AD$3:$AH$28,5,FALSE),P97)</f>
        <v>-4.6653914733199997</v>
      </c>
      <c r="R97" s="212">
        <f si="10" t="shared"/>
        <v>0</v>
      </c>
    </row>
    <row r="98" spans="13:18" x14ac:dyDescent="0.25">
      <c r="M98" s="212" t="str">
        <f>VLOOKUP(N98,Coeff_Descr!$A:$D,3,FALSE)</f>
        <v>SOCREC</v>
      </c>
      <c r="N98" s="212">
        <f>OtherTourDestination!B106</f>
        <v>108</v>
      </c>
      <c r="O98" s="212" t="str">
        <f>OtherTourDestination!C106</f>
        <v>Gamma108</v>
      </c>
      <c r="P98" s="213">
        <f>OtherTourDestination!E106</f>
        <v>-7.5050624753099999</v>
      </c>
      <c r="Q98" s="285">
        <f>IFERROR(VLOOKUP(N98,Calibration_OD!$AD$3:$AH$28,5,FALSE),P98)</f>
        <v>-7.5050624753099999</v>
      </c>
      <c r="R98" s="212">
        <f si="10" t="shared"/>
        <v>0</v>
      </c>
    </row>
    <row r="99" spans="13:18" x14ac:dyDescent="0.25">
      <c r="M99" s="212" t="str">
        <f>VLOOKUP(N99,Coeff_Descr!$A:$D,3,FALSE)</f>
        <v>SOCREC</v>
      </c>
      <c r="N99" s="212">
        <f>OtherTourDestination!B107</f>
        <v>109</v>
      </c>
      <c r="O99" s="212" t="str">
        <f>OtherTourDestination!C107</f>
        <v>Gamma109</v>
      </c>
      <c r="P99" s="213">
        <f>OtherTourDestination!E107</f>
        <v>-7.2217481188799999</v>
      </c>
      <c r="Q99" s="285">
        <f>IFERROR(VLOOKUP(N99,Calibration_OD!$AD$3:$AH$28,5,FALSE),P99)</f>
        <v>-7.2217481188799999</v>
      </c>
      <c r="R99" s="212">
        <f si="10" t="shared"/>
        <v>0</v>
      </c>
    </row>
    <row r="100" spans="13:18" x14ac:dyDescent="0.25">
      <c r="M100" s="212" t="str">
        <f>VLOOKUP(N100,Coeff_Descr!$A:$D,3,FALSE)</f>
        <v>SOCREC</v>
      </c>
      <c r="N100" s="212">
        <f>OtherTourDestination!B108</f>
        <v>110</v>
      </c>
      <c r="O100" s="212" t="str">
        <f>OtherTourDestination!C108</f>
        <v>Gamma110</v>
      </c>
      <c r="P100" s="213">
        <f>OtherTourDestination!E108</f>
        <v>-3.4793464222399999</v>
      </c>
      <c r="Q100" s="285">
        <f>IFERROR(VLOOKUP(N100,Calibration_OD!$AD$3:$AH$28,5,FALSE),P100)</f>
        <v>-3.4793464222399999</v>
      </c>
      <c r="R100" s="212">
        <f si="10" t="shared"/>
        <v>0</v>
      </c>
    </row>
    <row r="101" spans="13:18" x14ac:dyDescent="0.25">
      <c r="M101" s="212" t="str">
        <f>VLOOKUP(N101,Coeff_Descr!$A:$D,3,FALSE)</f>
        <v>SOCREC</v>
      </c>
      <c r="N101" s="212">
        <f>OtherTourDestination!B109</f>
        <v>111</v>
      </c>
      <c r="O101" s="212" t="str">
        <f>OtherTourDestination!C109</f>
        <v>Gamma111</v>
      </c>
      <c r="P101" s="213">
        <f>OtherTourDestination!E109</f>
        <v>0</v>
      </c>
      <c r="Q101" s="285">
        <f>IFERROR(VLOOKUP(N101,Calibration_OD!$AD$3:$AH$28,5,FALSE),P101)</f>
        <v>0</v>
      </c>
      <c r="R101" s="212">
        <f si="10" t="shared"/>
        <v>0</v>
      </c>
    </row>
    <row r="102" spans="13:18" x14ac:dyDescent="0.25">
      <c r="M102" s="212" t="str">
        <f>VLOOKUP(N102,Coeff_Descr!$A:$D,3,FALSE)</f>
        <v>SOCREC</v>
      </c>
      <c r="N102" s="212">
        <f>OtherTourDestination!B110</f>
        <v>112</v>
      </c>
      <c r="O102" s="212" t="str">
        <f>OtherTourDestination!C110</f>
        <v>Gamma112</v>
      </c>
      <c r="P102" s="213">
        <f>OtherTourDestination!E110</f>
        <v>0</v>
      </c>
      <c r="Q102" s="285">
        <f>IFERROR(VLOOKUP(N102,Calibration_OD!$AD$3:$AH$28,5,FALSE),P102)</f>
        <v>0</v>
      </c>
      <c r="R102" s="212">
        <f si="10" t="shared"/>
        <v>0</v>
      </c>
    </row>
    <row r="103" spans="13:18" x14ac:dyDescent="0.25">
      <c r="M103" s="212" t="str">
        <f>VLOOKUP(N103,Coeff_Descr!$A:$D,3,FALSE)</f>
        <v>SOCREC</v>
      </c>
      <c r="N103" s="212">
        <f>OtherTourDestination!B111</f>
        <v>113</v>
      </c>
      <c r="O103" s="212" t="str">
        <f>OtherTourDestination!C111</f>
        <v>Gamma113</v>
      </c>
      <c r="P103" s="213">
        <f>OtherTourDestination!E111</f>
        <v>-2.23577200178</v>
      </c>
      <c r="Q103" s="285">
        <f>IFERROR(VLOOKUP(N103,Calibration_OD!$AD$3:$AH$28,5,FALSE),P103)</f>
        <v>-2.23577200178</v>
      </c>
      <c r="R103" s="212">
        <f si="10" t="shared"/>
        <v>0</v>
      </c>
    </row>
    <row r="104" spans="13:18" x14ac:dyDescent="0.25">
      <c r="N104" s="212">
        <f>OtherTourDestination!B112</f>
        <v>201</v>
      </c>
      <c r="O104" s="212" t="str">
        <f>OtherTourDestination!C112</f>
        <v>Dist_1</v>
      </c>
      <c r="P104" s="213">
        <f>OtherTourDestination!E112</f>
        <v>0</v>
      </c>
      <c r="Q104" s="285">
        <f>IFERROR(VLOOKUP(N104,Calibration_OD!$AD$3:$AH$28,5,FALSE),P104)</f>
        <v>0</v>
      </c>
      <c r="R104" s="212">
        <f si="10" t="shared"/>
        <v>0</v>
      </c>
    </row>
    <row r="105" spans="13:18" x14ac:dyDescent="0.25">
      <c r="N105" s="212">
        <f>OtherTourDestination!B113</f>
        <v>202</v>
      </c>
      <c r="O105" s="212" t="str">
        <f>OtherTourDestination!C113</f>
        <v>Dist_2</v>
      </c>
      <c r="P105" s="213">
        <f>OtherTourDestination!E113</f>
        <v>-6.2169386706100003</v>
      </c>
      <c r="Q105" s="285">
        <f>IFERROR(VLOOKUP(N105,Calibration_OD!$AD$3:$AH$28,5,FALSE),P105)</f>
        <v>-6.2476288343847779</v>
      </c>
      <c r="R105" s="212">
        <f si="10" t="shared"/>
        <v>1</v>
      </c>
    </row>
    <row r="106" spans="13:18" x14ac:dyDescent="0.25">
      <c r="N106" s="212">
        <f>OtherTourDestination!B114</f>
        <v>203</v>
      </c>
      <c r="O106" s="212" t="str">
        <f>OtherTourDestination!C114</f>
        <v>Dist_3</v>
      </c>
      <c r="P106" s="213">
        <f>OtherTourDestination!E114</f>
        <v>0.42142888119999999</v>
      </c>
      <c r="Q106" s="285">
        <f>IFERROR(VLOOKUP(N106,Calibration_OD!$AD$3:$AH$28,5,FALSE),P106)</f>
        <v>0.71755015398776956</v>
      </c>
      <c r="R106" s="212">
        <f si="10" t="shared"/>
        <v>1</v>
      </c>
    </row>
    <row r="107" spans="13:18" x14ac:dyDescent="0.25">
      <c r="N107" s="212">
        <f>OtherTourDestination!B115</f>
        <v>204</v>
      </c>
      <c r="O107" s="212" t="str">
        <f>OtherTourDestination!C115</f>
        <v>Dist_4</v>
      </c>
      <c r="P107" s="213">
        <f>OtherTourDestination!E115</f>
        <v>0.91642162899000001</v>
      </c>
      <c r="Q107" s="285">
        <f>IFERROR(VLOOKUP(N107,Calibration_OD!$AD$3:$AH$28,5,FALSE),P107)</f>
        <v>1.1909425295047587</v>
      </c>
      <c r="R107" s="212">
        <f si="10" t="shared"/>
        <v>1</v>
      </c>
    </row>
    <row r="108" spans="13:18" x14ac:dyDescent="0.25">
      <c r="N108" s="212">
        <f>OtherTourDestination!B116</f>
        <v>205</v>
      </c>
      <c r="O108" s="212" t="str">
        <f>OtherTourDestination!C116</f>
        <v>Dist_5</v>
      </c>
      <c r="P108" s="213">
        <f>OtherTourDestination!E116</f>
        <v>-0.56799444445000002</v>
      </c>
      <c r="Q108" s="285">
        <f>IFERROR(VLOOKUP(N108,Calibration_OD!$AD$3:$AH$28,5,FALSE),P108)</f>
        <v>-0.26075040723380438</v>
      </c>
      <c r="R108" s="212">
        <f si="10" t="shared"/>
        <v>1</v>
      </c>
    </row>
    <row r="109" spans="13:18" x14ac:dyDescent="0.25">
      <c r="N109" s="212">
        <f>OtherTourDestination!B117</f>
        <v>206</v>
      </c>
      <c r="O109" s="212" t="str">
        <f>OtherTourDestination!C117</f>
        <v>Dist_6</v>
      </c>
      <c r="P109" s="213">
        <f>OtherTourDestination!E117</f>
        <v>-2.0533642130700001</v>
      </c>
      <c r="Q109" s="285">
        <f>IFERROR(VLOOKUP(N109,Calibration_OD!$AD$3:$AH$28,5,FALSE),P109)</f>
        <v>-1.9375103520877812</v>
      </c>
      <c r="R109" s="212">
        <f si="10" t="shared"/>
        <v>1</v>
      </c>
    </row>
    <row r="110" spans="13:18" x14ac:dyDescent="0.25">
      <c r="N110" s="212">
        <f>OtherTourDestination!B118</f>
        <v>207</v>
      </c>
      <c r="O110" s="212" t="str">
        <f>OtherTourDestination!C118</f>
        <v>Dist_7</v>
      </c>
      <c r="P110" s="213">
        <f>OtherTourDestination!E118</f>
        <v>-0.40548595943999999</v>
      </c>
      <c r="Q110" s="285">
        <f>IFERROR(VLOOKUP(N110,Calibration_OD!$AD$3:$AH$28,5,FALSE),P110)</f>
        <v>-0.18303278128110811</v>
      </c>
      <c r="R110" s="212">
        <f si="10" t="shared"/>
        <v>1</v>
      </c>
    </row>
    <row r="111" spans="13:18" x14ac:dyDescent="0.25">
      <c r="N111" s="212">
        <f>OtherTourDestination!B119</f>
        <v>208</v>
      </c>
      <c r="O111" s="212" t="str">
        <f>OtherTourDestination!C119</f>
        <v>Dist_8</v>
      </c>
      <c r="P111" s="213">
        <f>OtherTourDestination!E119</f>
        <v>-0.97788986240999998</v>
      </c>
      <c r="Q111" s="285">
        <f>IFERROR(VLOOKUP(N111,Calibration_OD!$AD$3:$AH$28,5,FALSE),P111)</f>
        <v>-0.76600628506703383</v>
      </c>
      <c r="R111" s="212">
        <f si="10" t="shared"/>
        <v>1</v>
      </c>
    </row>
    <row r="112" spans="13:18" x14ac:dyDescent="0.25">
      <c r="N112" s="212">
        <f>OtherTourDestination!B120</f>
        <v>209</v>
      </c>
      <c r="O112" s="212" t="str">
        <f>OtherTourDestination!C120</f>
        <v>Dist_9</v>
      </c>
      <c r="P112" s="213">
        <f>OtherTourDestination!E120</f>
        <v>-3.1743365959999999E-2</v>
      </c>
      <c r="Q112" s="285">
        <f>IFERROR(VLOOKUP(N112,Calibration_OD!$AD$3:$AH$28,5,FALSE),P112)</f>
        <v>0.18357422302558388</v>
      </c>
      <c r="R112" s="212">
        <f si="10" t="shared"/>
        <v>1</v>
      </c>
    </row>
    <row r="113" spans="14:18" x14ac:dyDescent="0.25">
      <c r="N113" s="212">
        <f>OtherTourDestination!B121</f>
        <v>210</v>
      </c>
      <c r="O113" s="212" t="str">
        <f>OtherTourDestination!C121</f>
        <v>Dist_10</v>
      </c>
      <c r="P113" s="213">
        <f>OtherTourDestination!E121</f>
        <v>0.15622447707000001</v>
      </c>
      <c r="Q113" s="285">
        <f>IFERROR(VLOOKUP(N113,Calibration_OD!$AD$3:$AH$28,5,FALSE),P113)</f>
        <v>0.41552590420912217</v>
      </c>
      <c r="R113" s="212">
        <f si="10" t="shared"/>
        <v>1</v>
      </c>
    </row>
    <row r="114" spans="14:18" x14ac:dyDescent="0.25">
      <c r="N114" s="212">
        <f>OtherTourDestination!B122</f>
        <v>211</v>
      </c>
      <c r="O114" s="212" t="str">
        <f>OtherTourDestination!C122</f>
        <v>Dist_11</v>
      </c>
      <c r="P114" s="213">
        <f>OtherTourDestination!E122</f>
        <v>-1.01407339219</v>
      </c>
      <c r="Q114" s="285">
        <f>IFERROR(VLOOKUP(N114,Calibration_OD!$AD$3:$AH$28,5,FALSE),P114)</f>
        <v>-0.83411612250456824</v>
      </c>
      <c r="R114" s="212">
        <f si="10" t="shared"/>
        <v>1</v>
      </c>
    </row>
    <row r="115" spans="14:18" x14ac:dyDescent="0.25">
      <c r="N115" s="212">
        <f>OtherTourDestination!B123</f>
        <v>212</v>
      </c>
      <c r="O115" s="212" t="str">
        <f>OtherTourDestination!C123</f>
        <v>Dist_12</v>
      </c>
      <c r="P115" s="213">
        <f>OtherTourDestination!E123</f>
        <v>-0.62809360730999997</v>
      </c>
      <c r="Q115" s="285">
        <f>IFERROR(VLOOKUP(N115,Calibration_OD!$AD$3:$AH$28,5,FALSE),P115)</f>
        <v>-0.46268166650840992</v>
      </c>
      <c r="R115" s="212">
        <f si="10" t="shared"/>
        <v>1</v>
      </c>
    </row>
    <row r="116" spans="14:18" x14ac:dyDescent="0.25">
      <c r="N116" s="212">
        <f>OtherTourDestination!B124</f>
        <v>213</v>
      </c>
      <c r="O116" s="212" t="str">
        <f>OtherTourDestination!C124</f>
        <v>Dist_13</v>
      </c>
      <c r="P116" s="213">
        <f>OtherTourDestination!E124</f>
        <v>0.10418431307999999</v>
      </c>
      <c r="Q116" s="285">
        <f>IFERROR(VLOOKUP(N116,Calibration_OD!$AD$3:$AH$28,5,FALSE),P116)</f>
        <v>0.34609512488586669</v>
      </c>
      <c r="R116" s="212">
        <f si="10" t="shared"/>
        <v>1</v>
      </c>
    </row>
    <row r="117" spans="14:18" x14ac:dyDescent="0.25">
      <c r="N117" s="212">
        <f>OtherTourDestination!B125</f>
        <v>214</v>
      </c>
      <c r="O117" s="212" t="str">
        <f>OtherTourDestination!C125</f>
        <v>Dist_14</v>
      </c>
      <c r="P117" s="213">
        <f>OtherTourDestination!E125</f>
        <v>-2.4233362293799998</v>
      </c>
      <c r="Q117" s="285">
        <f>IFERROR(VLOOKUP(N117,Calibration_OD!$AD$3:$AH$28,5,FALSE),P117)</f>
        <v>-2.24651256112926</v>
      </c>
      <c r="R117" s="212">
        <f si="10" t="shared"/>
        <v>1</v>
      </c>
    </row>
    <row r="118" spans="14:18" x14ac:dyDescent="0.25">
      <c r="N118" s="212">
        <f>OtherTourDestination!B126</f>
        <v>215</v>
      </c>
      <c r="O118" s="212" t="str">
        <f>OtherTourDestination!C126</f>
        <v>Dist_15</v>
      </c>
      <c r="P118" s="213">
        <f>OtherTourDestination!E126</f>
        <v>-1.56405201293</v>
      </c>
      <c r="Q118" s="285">
        <f>IFERROR(VLOOKUP(N118,Calibration_OD!$AD$3:$AH$28,5,FALSE),P118)</f>
        <v>-1.349333115979866</v>
      </c>
      <c r="R118" s="212">
        <f si="10" t="shared"/>
        <v>1</v>
      </c>
    </row>
    <row r="119" spans="14:18" x14ac:dyDescent="0.25">
      <c r="N119" s="212">
        <f>OtherTourDestination!B127</f>
        <v>216</v>
      </c>
      <c r="O119" s="212" t="str">
        <f>OtherTourDestination!C127</f>
        <v>Dist_16</v>
      </c>
      <c r="P119" s="213">
        <f>OtherTourDestination!E127</f>
        <v>-0.52108912330000001</v>
      </c>
      <c r="Q119" s="285">
        <f>IFERROR(VLOOKUP(N119,Calibration_OD!$AD$3:$AH$28,5,FALSE),P119)</f>
        <v>-0.21749287788900129</v>
      </c>
      <c r="R119" s="212">
        <f si="10" t="shared"/>
        <v>1</v>
      </c>
    </row>
    <row r="120" spans="14:18" x14ac:dyDescent="0.25">
      <c r="N120" s="212">
        <f>OtherTourDestination!B128</f>
        <v>217</v>
      </c>
      <c r="O120" s="212" t="str">
        <f>OtherTourDestination!C128</f>
        <v>Dist_17</v>
      </c>
      <c r="P120" s="213">
        <f>OtherTourDestination!E128</f>
        <v>-3.00684424117</v>
      </c>
      <c r="Q120" s="285">
        <f>IFERROR(VLOOKUP(N120,Calibration_OD!$AD$3:$AH$28,5,FALSE),P120)</f>
        <v>-2.8348936879656756</v>
      </c>
      <c r="R120" s="212">
        <f si="10" t="shared"/>
        <v>1</v>
      </c>
    </row>
    <row r="121" spans="14:18" x14ac:dyDescent="0.25">
      <c r="N121" s="212">
        <f>OtherTourDestination!B129</f>
        <v>218</v>
      </c>
      <c r="O121" s="212" t="str">
        <f>OtherTourDestination!C129</f>
        <v>Dist_18</v>
      </c>
      <c r="P121" s="213">
        <f>OtherTourDestination!E129</f>
        <v>-0.99555441392999999</v>
      </c>
      <c r="Q121" s="285">
        <f>IFERROR(VLOOKUP(N121,Calibration_OD!$AD$3:$AH$28,5,FALSE),P121)</f>
        <v>-0.81066654469665878</v>
      </c>
      <c r="R121" s="212">
        <f si="10" t="shared"/>
        <v>1</v>
      </c>
    </row>
    <row r="122" spans="14:18" x14ac:dyDescent="0.25">
      <c r="N122" s="212">
        <f>OtherTourDestination!B130</f>
        <v>219</v>
      </c>
      <c r="O122" s="212" t="str">
        <f>OtherTourDestination!C130</f>
        <v>Dist_19</v>
      </c>
      <c r="P122" s="213">
        <f>OtherTourDestination!E130</f>
        <v>-3.0763458399100001</v>
      </c>
      <c r="Q122" s="285">
        <f>IFERROR(VLOOKUP(N122,Calibration_OD!$AD$3:$AH$28,5,FALSE),P122)</f>
        <v>-2.9333700530495168</v>
      </c>
      <c r="R122" s="212">
        <f si="10" t="shared"/>
        <v>1</v>
      </c>
    </row>
    <row r="123" spans="14:18" x14ac:dyDescent="0.25">
      <c r="N123" s="212">
        <f>OtherTourDestination!B131</f>
        <v>220</v>
      </c>
      <c r="O123" s="212" t="str">
        <f>OtherTourDestination!C131</f>
        <v>Dist_20</v>
      </c>
      <c r="P123" s="213">
        <f>OtherTourDestination!E131</f>
        <v>-4.5237586444</v>
      </c>
      <c r="Q123" s="285">
        <f>IFERROR(VLOOKUP(N123,Calibration_OD!$AD$3:$AH$28,5,FALSE),P123)</f>
        <v>-4.3769140944584581</v>
      </c>
      <c r="R123" s="212">
        <f si="10" t="shared"/>
        <v>1</v>
      </c>
    </row>
    <row r="124" spans="14:18" x14ac:dyDescent="0.25">
      <c r="N124" s="212">
        <f>OtherTourDestination!B132</f>
        <v>221</v>
      </c>
      <c r="O124" s="212" t="str">
        <f>OtherTourDestination!C132</f>
        <v>O1_D1</v>
      </c>
      <c r="P124" s="213">
        <f>OtherTourDestination!E132</f>
        <v>4.2815474280799997</v>
      </c>
      <c r="Q124" s="285">
        <f>IFERROR(VLOOKUP(N124,Calibration_OD!$AD$3:$AH$28,5,FALSE),P124)</f>
        <v>4.2815474280799997</v>
      </c>
      <c r="R124" s="212">
        <f ref="R124:R128" si="11" t="shared">IF(Q124=P124,0,1)</f>
        <v>0</v>
      </c>
    </row>
    <row r="125" spans="14:18" x14ac:dyDescent="0.25">
      <c r="N125" s="212">
        <f>OtherTourDestination!B133</f>
        <v>222</v>
      </c>
      <c r="O125" s="212" t="str">
        <f>OtherTourDestination!C133</f>
        <v>O6_D6</v>
      </c>
      <c r="P125" s="213">
        <f>OtherTourDestination!E133</f>
        <v>0</v>
      </c>
      <c r="Q125" s="285">
        <f>IFERROR(VLOOKUP(N125,Calibration_OD!$AD$3:$AH$28,5,FALSE),P125)</f>
        <v>0</v>
      </c>
      <c r="R125" s="212">
        <f si="11" t="shared"/>
        <v>0</v>
      </c>
    </row>
    <row r="126" spans="14:18" x14ac:dyDescent="0.25">
      <c r="N126" s="212">
        <f>OtherTourDestination!B134</f>
        <v>223</v>
      </c>
      <c r="O126" s="212" t="str">
        <f>OtherTourDestination!C134</f>
        <v>O12_D12</v>
      </c>
      <c r="P126" s="213">
        <f>OtherTourDestination!E134</f>
        <v>1.0082637678399999</v>
      </c>
      <c r="Q126" s="285">
        <f>IFERROR(VLOOKUP(N126,Calibration_OD!$AD$3:$AH$28,5,FALSE),P126)</f>
        <v>1.0082637678399999</v>
      </c>
      <c r="R126" s="212">
        <f si="11" t="shared"/>
        <v>0</v>
      </c>
    </row>
    <row r="127" spans="14:18" x14ac:dyDescent="0.25">
      <c r="N127" s="212">
        <f>OtherTourDestination!B135</f>
        <v>224</v>
      </c>
      <c r="O127" s="212" t="str">
        <f>OtherTourDestination!C135</f>
        <v>O13_D13</v>
      </c>
      <c r="P127" s="213">
        <f>OtherTourDestination!E135</f>
        <v>0</v>
      </c>
      <c r="Q127" s="285">
        <f>IFERROR(VLOOKUP(N127,Calibration_OD!$AD$3:$AH$28,5,FALSE),P127)</f>
        <v>0</v>
      </c>
      <c r="R127" s="212">
        <f si="11" t="shared"/>
        <v>0</v>
      </c>
    </row>
    <row r="128" spans="14:18" x14ac:dyDescent="0.25">
      <c r="N128" s="212">
        <f>OtherTourDestination!B136</f>
        <v>225</v>
      </c>
      <c r="O128" s="212" t="str">
        <f>OtherTourDestination!C136</f>
        <v>O20_D20</v>
      </c>
      <c r="P128" s="213">
        <f>OtherTourDestination!E136</f>
        <v>0</v>
      </c>
      <c r="Q128" s="285">
        <f>IFERROR(VLOOKUP(N128,Calibration_OD!$AD$3:$AH$28,5,FALSE),P128)</f>
        <v>0</v>
      </c>
      <c r="R128" s="212">
        <f si="11" t="shared"/>
        <v>0</v>
      </c>
    </row>
  </sheetData>
  <conditionalFormatting sqref="R3:R128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O34" sqref="O34"/>
    </sheetView>
  </sheetViews>
  <sheetFormatPr defaultRowHeight="15" x14ac:dyDescent="0.25"/>
  <sheetData>
    <row r="1" spans="1:2" x14ac:dyDescent="0.25">
      <c r="A1" t="s">
        <v>274</v>
      </c>
      <c r="B1" t="s">
        <v>275</v>
      </c>
    </row>
    <row r="2" spans="1:2" x14ac:dyDescent="0.25">
      <c r="A2">
        <v>1</v>
      </c>
      <c r="B2" t="s">
        <v>276</v>
      </c>
    </row>
    <row r="3" spans="1:2" x14ac:dyDescent="0.25">
      <c r="A3">
        <v>2</v>
      </c>
      <c r="B3" t="s">
        <v>277</v>
      </c>
    </row>
    <row r="4" spans="1:2" x14ac:dyDescent="0.25">
      <c r="A4">
        <v>3</v>
      </c>
      <c r="B4" t="s">
        <v>278</v>
      </c>
    </row>
    <row r="5" spans="1:2" x14ac:dyDescent="0.25">
      <c r="A5">
        <v>4</v>
      </c>
      <c r="B5" t="s">
        <v>279</v>
      </c>
    </row>
    <row r="6" spans="1:2" x14ac:dyDescent="0.25">
      <c r="A6">
        <v>5</v>
      </c>
      <c r="B6" t="s">
        <v>280</v>
      </c>
    </row>
    <row r="7" spans="1:2" x14ac:dyDescent="0.25">
      <c r="A7">
        <v>6</v>
      </c>
      <c r="B7" t="s">
        <v>281</v>
      </c>
    </row>
    <row r="8" spans="1:2" x14ac:dyDescent="0.25">
      <c r="A8">
        <v>7</v>
      </c>
      <c r="B8" t="s">
        <v>282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11</vt:i4>
      </vt:variant>
      <vt:variant>
        <vt:lpstr>Named Ranges</vt:lpstr>
      </vt:variant>
      <vt:variant>
        <vt:i4>25</vt:i4>
      </vt:variant>
    </vt:vector>
  </HeadingPairs>
  <TitlesOfParts>
    <vt:vector baseType="lpstr" size="36">
      <vt:lpstr>TLFD</vt:lpstr>
      <vt:lpstr>TDFD</vt:lpstr>
      <vt:lpstr>County_Flow</vt:lpstr>
      <vt:lpstr>Documentation</vt:lpstr>
      <vt:lpstr>Coeff_Descr</vt:lpstr>
      <vt:lpstr>survey_other_auto_dist</vt:lpstr>
      <vt:lpstr>model_other_auto_dist</vt:lpstr>
      <vt:lpstr>OtherTourDestination</vt:lpstr>
      <vt:lpstr>Calibration_OD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2020-05-30T04:47:36Z</dcterms:modified>
</cp:coreProperties>
</file>