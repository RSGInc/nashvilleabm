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ml.chart+xml" PartName="/xl/charts/chart18.xml"/>
  <Override ContentType="application/vnd.openxmlformats-officedocument.drawingml.chart+xml" PartName="/xl/charts/chart19.xml"/>
  <Override ContentType="application/vnd.openxmlformats-officedocument.drawingml.chart+xml" PartName="/xl/charts/chart20.xml"/>
  <Override ContentType="application/vnd.ms-office.chartcolorstyle+xml" PartName="/xl/charts/colors1.xml"/>
  <Override ContentType="application/vnd.ms-office.chartstyle+xml" PartName="/xl/charts/style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drawing+xml" PartName="/xl/drawings/drawing5.xml"/>
  <Override ContentType="application/vnd.openxmlformats-officedocument.drawing+xml" PartName="/xl/drawings/drawing6.xml"/>
  <Override ContentType="application/vnd.openxmlformats-officedocument.drawing+xml" PartName="/xl/drawings/drawing7.xml"/>
  <Override ContentType="application/vnd.openxmlformats-officedocument.drawing+xml" PartName="/xl/drawings/drawing8.xml"/>
  <Override ContentType="application/vnd.openxmlformats-officedocument.drawing+xml" PartName="/xl/drawings/drawing9.xml"/>
  <Override ContentType="application/vnd.openxmlformats-officedocument.drawing+xml" PartName="/xl/drawings/drawing10.xml"/>
  <Override ContentType="application/vnd.openxmlformats-officedocument.drawing+xml" PartName="/xl/drawings/drawing1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spreadsheetml.worksheet+xml" PartName="/xl/worksheets/sheet14.xml"/>
  <Override ContentType="application/vnd.openxmlformats-officedocument.spreadsheetml.worksheet+xml" PartName="/xl/worksheets/sheet15.xml"/>
  <Override ContentType="application/vnd.openxmlformats-officedocument.spreadsheetml.worksheet+xml" PartName="/xl/worksheets/sheet16.xml"/>
  <Override ContentType="application/vnd.openxmlformats-officedocument.spreadsheetml.worksheet+xml" PartName="/xl/worksheets/sheet17.xml"/>
  <Override ContentType="application/vnd.openxmlformats-officedocument.spreadsheetml.worksheet+xml" PartName="/xl/worksheets/sheet18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mc:Ignorable="x15">
  <fileVersion appName="xl" codeName="{51196F13-6AD0-C1B8-E2B4-A1F9AE17003E}" lastEdited="6" lowestEdited="4" rupBuild="14420"/>
  <workbookPr codeName="ThisWorkbook" defaultThemeVersion="124226"/>
  <mc:AlternateContent>
    <mc:Choice Requires="x15">
      <x15ac:absPath xmlns:x15ac="http://schemas.microsoft.com/office/spreadsheetml/2010/11/ac" url="E:\Projects\Clients\SACOG\Tasks\calibration\daysim_summaries\output\"/>
    </mc:Choice>
  </mc:AlternateContent>
  <bookViews>
    <workbookView windowHeight="15690" windowWidth="28950" xWindow="0" yWindow="0"/>
  </bookViews>
  <sheets>
    <sheet name="Arrival_Time" r:id="rId1" sheetId="12"/>
    <sheet name="Departure_Time" r:id="rId2" sheetId="3"/>
    <sheet name="Duration" r:id="rId3" sheetId="13"/>
    <sheet name="Arrival_Time_Work" r:id="rId4" sheetId="15"/>
    <sheet name="Arrival_Time_School" r:id="rId5" sheetId="16"/>
    <sheet name="Arrival_Time_Other" r:id="rId6" sheetId="17"/>
    <sheet name="Arrival_Time_Workbased" r:id="rId7" sheetId="18"/>
    <sheet name="Depart_Time_Work" r:id="rId8" sheetId="19"/>
    <sheet name="Depart_Time_School" r:id="rId9" sheetId="20"/>
    <sheet name="Depart_Time_Other" r:id="rId10" sheetId="21"/>
    <sheet name="Depart_Time_Workbased" r:id="rId11" sheetId="22"/>
    <sheet name="Documentation" r:id="rId12" sheetId="7"/>
    <sheet name="SchoolTourTime" r:id="rId13" sheetId="24"/>
    <sheet name="WorkTourTime" r:id="rId14" sheetId="26"/>
    <sheet name="WorkBasedSubtourTime" r:id="rId15" sheetId="25"/>
    <sheet name="Calibration_Work" r:id="rId16" sheetId="27"/>
    <sheet name="Calibration_School" r:id="rId17" sheetId="23"/>
    <sheet name="Calibration_WorkBased" r:id="rId18" sheetId="28"/>
  </sheets>
  <definedNames>
    <definedName name="DURDEST">Duration!$I$8:$L$57</definedName>
    <definedName name="Other_Arrival">Arrival_Time_Other!$M$8:$T$59</definedName>
    <definedName name="out1">Arrival_Time!$B$8:$E$58</definedName>
    <definedName name="out10">Arrival_Time_School!$M$8:$T$58</definedName>
    <definedName name="out11">Arrival_Time_Other!$B$8:$I$58</definedName>
    <definedName name="out12">Arrival_Time_Other!$M$8:$T$58</definedName>
    <definedName name="out13">Arrival_Time_Workbased!$B$8:$I$58</definedName>
    <definedName name="out14">Arrival_Time_Workbased!$M$8:$T$58</definedName>
    <definedName name="out15">Depart_Time_Work!$B$8:$I$58</definedName>
    <definedName name="out16">Depart_Time_Work!$M$8:$T$58</definedName>
    <definedName name="out17">Depart_Time_School!$B$8:$I$58</definedName>
    <definedName name="out18">Depart_Time_School!$M$8:$T$58</definedName>
    <definedName name="out19">Depart_Time_Other!$B$8:$I$58</definedName>
    <definedName name="out2">Arrival_Time!$I$8:$L$58</definedName>
    <definedName name="out20">Depart_Time_Other!$M$8:$T$58</definedName>
    <definedName name="out21">Depart_Time_Workbased!$B$8:$I$58</definedName>
    <definedName name="out22">Depart_Time_Workbased!$M$8:$T$58</definedName>
    <definedName name="out3">Departure_Time!$B$8:$E$58</definedName>
    <definedName name="out4">Departure_Time!$I$8:$L$58</definedName>
    <definedName name="out5">Duration!$B$8:$E$56</definedName>
    <definedName name="out6">Duration!$I$8:$L$56</definedName>
    <definedName name="out7">Arrival_Time_Work!$B$8:$I$58</definedName>
    <definedName name="out8">Arrival_Time_Work!$M$8:$T$58</definedName>
    <definedName name="out9">Arrival_Time_School!$B$8:$I$58</definedName>
    <definedName name="School_Arrival">Arrival_Time_School!$M$8:$T$59</definedName>
    <definedName name="TIMARRPD">Arrival_Time!$I$8:$L$59</definedName>
    <definedName name="TIMDEPPD">Departure_Time!$I$8:$L$59</definedName>
    <definedName name="Work_Arrival">Arrival_Time_Work!$M$8:$T$59</definedName>
    <definedName name="Workbased_Arrival">Arrival_Time_Workbased!$M$8:$T$59</definedName>
    <definedName name="out_1">Arrival_Time!$B$8:$E$58</definedName>
    <definedName name="out_3">Departure_Time!$B$8:$E$58</definedName>
    <definedName name="out_5">Duration!$B$8:$E$56</definedName>
    <definedName name="out_7">Arrival_Time_Work!$B$8:$I$58</definedName>
    <definedName name="out_9">Arrival_Time_School!$B$8:$I$58</definedName>
    <definedName name="out_11">Arrival_Time_Other!$B$8:$I$58</definedName>
    <definedName name="out_13">Arrival_Time_Workbased!$B$8:$I$58</definedName>
    <definedName name="out_15">Depart_Time_Work!$B$8:$I$58</definedName>
    <definedName name="out_17">Depart_Time_School!$B$8:$I$58</definedName>
    <definedName name="out_19">Depart_Time_Other!$B$8:$I$58</definedName>
    <definedName name="out_21">Depart_Time_Workbased!$B$8:$I$58</definedName>
    <definedName name="out_2">Arrival_Time!$I$8:$L$58</definedName>
    <definedName name="out_4">Departure_Time!$I$8:$L$58</definedName>
    <definedName name="out_6">Duration!$I$8:$L$56</definedName>
    <definedName name="out_8">Arrival_Time_Work!$M$8:$T$58</definedName>
    <definedName name="out_10">Arrival_Time_School!$M$8:$T$58</definedName>
    <definedName name="out_12">Arrival_Time_Other!$M$8:$T$58</definedName>
    <definedName name="out_14">Arrival_Time_Workbased!$M$8:$T$58</definedName>
    <definedName name="out_16">Depart_Time_Work!$M$8:$T$58</definedName>
    <definedName name="out_18">Depart_Time_School!$M$8:$T$58</definedName>
    <definedName name="out_20">Depart_Time_Other!$M$8:$T$58</definedName>
    <definedName name="out_22">Depart_Time_Workbased!$M$8:$T$58</definedName>
  </definedNames>
  <calcPr calcId="162913"/>
</workbook>
</file>

<file path=xl/calcChain.xml><?xml version="1.0" encoding="utf-8"?>
<calcChain xmlns="http://schemas.openxmlformats.org/spreadsheetml/2006/main">
  <c i="28" l="1" r="D29"/>
  <c i="28" r="D28"/>
  <c i="28" r="D27"/>
  <c i="28" r="D26"/>
  <c i="28" r="D25"/>
  <c i="28" r="D24"/>
  <c i="28" r="D23"/>
  <c i="28" r="D22"/>
  <c i="28" r="D21"/>
  <c i="28" r="D20"/>
  <c i="28" r="C29"/>
  <c i="28" r="C28"/>
  <c i="28" r="C27"/>
  <c i="28" r="C26"/>
  <c i="28" r="C25"/>
  <c i="28" r="C24"/>
  <c i="28" r="C23"/>
  <c i="28" r="C22"/>
  <c i="28" r="C21"/>
  <c i="28" r="C20"/>
  <c i="28" r="O29"/>
  <c i="28" r="O28"/>
  <c i="28" r="H28"/>
  <c i="28" r="O27"/>
  <c i="28" r="H27"/>
  <c i="28" r="O26"/>
  <c i="28" r="H26"/>
  <c i="28" r="O25"/>
  <c i="28" r="H25"/>
  <c i="28" r="O24"/>
  <c i="28" r="H24"/>
  <c i="28" r="O23"/>
  <c i="28" r="H23"/>
  <c i="28" r="O22"/>
  <c i="28" r="H22"/>
  <c i="28" r="O21"/>
  <c i="28" r="H21"/>
  <c i="28" r="O20"/>
  <c i="28" l="1" r="D30"/>
  <c i="28" r="C30"/>
  <c i="23" r="O38"/>
  <c i="23" r="O39"/>
  <c i="23" r="O40"/>
  <c i="23" r="O41"/>
  <c i="23" r="O42"/>
  <c i="23" r="O43"/>
  <c i="23" r="O44"/>
  <c i="23" r="O45"/>
  <c i="23" r="O46"/>
  <c i="23" r="O37"/>
  <c i="27" r="O37"/>
  <c i="27" r="O38"/>
  <c i="27" r="O39"/>
  <c i="27" r="O40"/>
  <c i="27" r="O41"/>
  <c i="27" r="O42"/>
  <c i="27" r="O43"/>
  <c i="27" r="O44"/>
  <c i="27" r="O45"/>
  <c i="27" r="O36"/>
  <c i="27" r="D29"/>
  <c i="27" r="D28"/>
  <c i="27" r="D27"/>
  <c i="27" r="D26"/>
  <c i="27" r="D25"/>
  <c i="27" r="D24"/>
  <c i="27" r="D23"/>
  <c i="27" r="D22"/>
  <c i="27" r="D21"/>
  <c i="27" r="D20"/>
  <c i="27" r="C29"/>
  <c i="27" r="C28"/>
  <c i="27" r="C27"/>
  <c i="27" r="C26"/>
  <c i="27" r="C25"/>
  <c i="27" r="C24"/>
  <c i="27" r="C23"/>
  <c i="27" r="C22"/>
  <c i="27" r="C21"/>
  <c i="27" r="C20"/>
  <c i="27" r="O21"/>
  <c i="27" r="O22"/>
  <c i="27" r="O23"/>
  <c i="27" r="O24"/>
  <c i="27" r="O25"/>
  <c i="27" r="O26"/>
  <c i="27" r="O27"/>
  <c i="27" r="O28"/>
  <c i="27" r="O29"/>
  <c i="27" r="O20"/>
  <c i="27" r="H29"/>
  <c i="27" r="H28"/>
  <c i="27" r="H27"/>
  <c i="27" r="H26"/>
  <c i="27" r="H25"/>
  <c i="27" r="H24"/>
  <c i="27" r="H23"/>
  <c i="27" r="H22"/>
  <c i="27" r="H21"/>
  <c i="27" r="H20"/>
  <c i="23" r="O21"/>
  <c i="23" r="O22"/>
  <c i="23" r="O23"/>
  <c i="23" r="O24"/>
  <c i="23" r="O25"/>
  <c i="23" r="O26"/>
  <c i="23" r="O27"/>
  <c i="23" r="O28"/>
  <c i="23" r="O29"/>
  <c i="23" r="O20"/>
  <c i="23" r="D29"/>
  <c i="23" r="D28"/>
  <c i="23" r="D27"/>
  <c i="23" r="D26"/>
  <c i="23" r="D25"/>
  <c i="23" r="D24"/>
  <c i="23" r="D23"/>
  <c i="23" r="D22"/>
  <c i="23" r="D21"/>
  <c i="23" r="D20"/>
  <c i="23" r="C29"/>
  <c i="23" r="C28"/>
  <c i="23" r="C27"/>
  <c i="23" r="C26"/>
  <c i="23" r="C25"/>
  <c i="23" r="C24"/>
  <c i="23" r="C23"/>
  <c i="23" r="C22"/>
  <c i="23" r="C21"/>
  <c i="23" r="C20"/>
  <c i="23" r="H28"/>
  <c i="23" r="H27"/>
  <c i="23" r="H26"/>
  <c i="23" r="H25"/>
  <c i="23" r="H24"/>
  <c i="23" r="H23"/>
  <c i="23" r="H22"/>
  <c i="23" r="H21"/>
  <c i="28" r="D45"/>
  <c i="28" r="C45"/>
  <c i="28" r="D44"/>
  <c i="28" r="C44"/>
  <c i="28" r="D43"/>
  <c i="28" r="C43"/>
  <c i="28" r="D42"/>
  <c i="28" r="C42"/>
  <c i="28" r="D41"/>
  <c i="28" r="C41"/>
  <c i="28" r="D40"/>
  <c i="28" r="C40"/>
  <c i="28" r="H39"/>
  <c i="28" r="D39"/>
  <c i="28" r="C39"/>
  <c i="28" r="H38"/>
  <c i="28" r="D38"/>
  <c i="28" r="C38"/>
  <c i="28" r="H37"/>
  <c i="28" r="D37"/>
  <c i="28" r="C37"/>
  <c i="28" r="R52"/>
  <c i="28" r="Q52"/>
  <c i="28" r="H36"/>
  <c i="28" r="D36"/>
  <c i="28" r="C36"/>
  <c i="28" r="R51"/>
  <c i="28" r="Q51"/>
  <c i="28" r="S51" s="1"/>
  <c i="28" r="T51" s="1"/>
  <c i="28" r="R50"/>
  <c i="28" r="Q50"/>
  <c i="28" r="R49"/>
  <c i="28" r="Q49"/>
  <c i="28" r="R48"/>
  <c i="28" r="Q48"/>
  <c i="28" r="S48" s="1"/>
  <c i="28" r="T48" s="1"/>
  <c i="28" r="R47"/>
  <c i="28" r="Q47"/>
  <c i="28" r="R46"/>
  <c i="28" r="Q46"/>
  <c i="28" r="R45"/>
  <c i="28" r="Q45"/>
  <c i="28" r="D13"/>
  <c i="28" r="C13"/>
  <c i="28" r="R44"/>
  <c i="28" r="Q44"/>
  <c i="28" r="H12"/>
  <c i="28" r="D12"/>
  <c i="28" r="C12"/>
  <c i="28" r="R43"/>
  <c i="28" r="Q43"/>
  <c i="28" r="S43" s="1"/>
  <c i="28" r="T43" s="1"/>
  <c i="28" r="H11"/>
  <c i="28" r="D11"/>
  <c i="28" r="C11"/>
  <c i="28" r="R42"/>
  <c i="28" r="Q42"/>
  <c i="28" r="H10"/>
  <c i="28" r="D10"/>
  <c i="28" r="C10"/>
  <c i="28" r="R41"/>
  <c i="28" r="Q41"/>
  <c i="28" r="S41" s="1"/>
  <c i="28" r="T41" s="1"/>
  <c i="28" r="H9"/>
  <c i="28" r="D9"/>
  <c i="28" r="C9"/>
  <c i="28" r="R40"/>
  <c i="28" r="Q40"/>
  <c i="28" r="H8"/>
  <c i="28" r="D8"/>
  <c i="28" r="C8"/>
  <c i="28" r="R39"/>
  <c i="28" r="Q39"/>
  <c i="28" r="S39" s="1"/>
  <c i="28" r="T39" s="1"/>
  <c i="28" r="H7"/>
  <c i="28" r="D7"/>
  <c i="28" r="C7"/>
  <c i="28" r="R38"/>
  <c i="28" r="Q38"/>
  <c i="28" r="H6"/>
  <c i="28" r="D6"/>
  <c i="28" r="C6"/>
  <c i="28" r="R37"/>
  <c i="28" r="Q37"/>
  <c i="28" r="H5"/>
  <c i="28" r="D5"/>
  <c i="28" r="C5"/>
  <c i="28" r="R36"/>
  <c i="28" r="Q36"/>
  <c i="28" r="D4"/>
  <c i="28" r="C4"/>
  <c i="28" r="R35"/>
  <c i="28" r="Q35"/>
  <c i="28" r="S35" s="1"/>
  <c i="28" r="T35" s="1"/>
  <c i="28" r="R34"/>
  <c i="28" r="Q34"/>
  <c i="28" r="R33"/>
  <c i="28" r="Q33"/>
  <c i="28" r="S33" s="1"/>
  <c i="28" r="R32"/>
  <c i="28" r="Q32"/>
  <c i="28" r="S32" s="1"/>
  <c i="28" r="T32" s="1"/>
  <c i="28" r="R31"/>
  <c i="28" r="Q31"/>
  <c i="28" r="R30"/>
  <c i="28" r="Q30"/>
  <c i="28" r="S30" s="1"/>
  <c i="28" r="R29"/>
  <c i="28" r="Q29"/>
  <c i="28" r="S29" s="1"/>
  <c i="28" r="R28"/>
  <c i="28" r="Q28"/>
  <c i="28" r="S28" s="1"/>
  <c i="28" r="R27"/>
  <c i="28" r="Q27"/>
  <c i="28" r="R26"/>
  <c i="28" r="Q26"/>
  <c i="28" r="R25"/>
  <c i="28" r="Q25"/>
  <c i="28" r="S25" s="1"/>
  <c i="28" r="R24"/>
  <c i="28" r="Q24"/>
  <c i="28" r="S24" s="1"/>
  <c i="28" r="R23"/>
  <c i="28" r="Q23"/>
  <c i="28" r="S23" s="1"/>
  <c i="28" r="R22"/>
  <c i="28" r="Q22"/>
  <c i="28" r="S22" s="1"/>
  <c i="28" r="R21"/>
  <c i="28" r="Q21"/>
  <c i="28" r="S21" s="1"/>
  <c i="28" r="R20"/>
  <c i="28" r="Q20"/>
  <c i="28" r="S20" s="1"/>
  <c i="28" r="R19"/>
  <c i="28" r="Q19"/>
  <c i="28" r="R18"/>
  <c i="28" r="Q18"/>
  <c i="28" r="R17"/>
  <c i="28" r="Q17"/>
  <c i="28" r="R16"/>
  <c i="28" r="Q16"/>
  <c i="28" r="R15"/>
  <c i="28" r="Q15"/>
  <c i="28" r="R14"/>
  <c i="28" r="Q14"/>
  <c i="28" r="R13"/>
  <c i="28" r="Q13"/>
  <c i="28" r="R12"/>
  <c i="28" r="Q12"/>
  <c i="28" r="S12" s="1"/>
  <c i="28" r="R11"/>
  <c i="28" r="Q11"/>
  <c i="28" r="R10"/>
  <c i="28" r="Q10"/>
  <c i="28" r="S10" s="1"/>
  <c i="28" r="R9"/>
  <c i="28" r="Q9"/>
  <c i="28" r="S9" s="1"/>
  <c i="28" r="R8"/>
  <c i="28" r="Q8"/>
  <c i="28" r="S8" s="1"/>
  <c i="28" r="R7"/>
  <c i="28" r="Q7"/>
  <c i="28" r="R6"/>
  <c i="28" r="Q6"/>
  <c i="28" r="R5"/>
  <c i="28" r="Q5"/>
  <c i="28" r="S5" s="1"/>
  <c i="28" r="R4"/>
  <c i="28" r="Q4"/>
  <c i="28" r="S4" s="1"/>
  <c i="28" r="R3"/>
  <c i="28" r="Q3"/>
  <c i="27" l="1" r="C30"/>
  <c i="27" r="D30"/>
  <c i="28" r="M25"/>
  <c i="28" r="M27"/>
  <c i="28" r="M29"/>
  <c i="28" r="M26"/>
  <c i="28" r="M21"/>
  <c i="28" r="M22"/>
  <c i="23" r="D30"/>
  <c i="23" r="C30"/>
  <c i="28" r="C14"/>
  <c i="28" r="E9" s="1"/>
  <c i="28" r="S45"/>
  <c i="28" r="T45" s="1"/>
  <c i="28" r="E13"/>
  <c i="28" r="M37"/>
  <c i="28" r="S47"/>
  <c i="28" r="T47" s="1"/>
  <c i="28" r="S50"/>
  <c i="28" r="T50" s="1"/>
  <c i="28" r="C46"/>
  <c i="28" r="E46" s="1"/>
  <c i="28" r="T33"/>
  <c i="28" r="D46"/>
  <c i="28" r="F37" s="1"/>
  <c i="28" r="S44"/>
  <c i="28" r="T44" s="1"/>
  <c i="28" r="S37"/>
  <c i="28" r="T37" s="1"/>
  <c i="28" r="M41"/>
  <c i="28" r="M43"/>
  <c i="28" r="S15"/>
  <c i="28" r="M6" s="1"/>
  <c i="28" r="S18"/>
  <c i="28" r="M9" s="1"/>
  <c i="28" r="S27"/>
  <c i="28" r="M40" s="1"/>
  <c i="28" r="M11"/>
  <c i="28" r="S40"/>
  <c i="28" r="T40" s="1"/>
  <c i="28" r="S6"/>
  <c i="28" r="S13"/>
  <c i="28" r="M4" s="1"/>
  <c i="28" r="S46"/>
  <c i="28" r="T46" s="1"/>
  <c i="28" r="S49"/>
  <c i="28" r="T49" s="1"/>
  <c i="28" r="M36"/>
  <c i="28" r="S31"/>
  <c i="28" r="M44" s="1"/>
  <c i="28" r="S34"/>
  <c i="28" r="T34" s="1"/>
  <c i="28" r="S36"/>
  <c i="28" r="T36" s="1"/>
  <c i="28" r="M13"/>
  <c i="28" r="S26"/>
  <c i="28" r="M39" s="1"/>
  <c i="28" r="S16"/>
  <c i="28" r="M7" s="1"/>
  <c i="28" r="S19"/>
  <c i="28" r="M10" s="1"/>
  <c i="28" r="M38"/>
  <c i="28" r="M42"/>
  <c i="28" r="S42"/>
  <c i="28" r="T42" s="1"/>
  <c i="28" r="S52"/>
  <c i="28" r="T52" s="1"/>
  <c i="28" r="M12"/>
  <c i="28" r="S7"/>
  <c i="28" r="S11"/>
  <c i="28" r="S14"/>
  <c i="28" r="M5" s="1"/>
  <c i="28" r="S17"/>
  <c i="28" r="M8" s="1"/>
  <c i="28" r="S38"/>
  <c i="28" r="T38" s="1"/>
  <c i="28" r="S3"/>
  <c i="28" r="D14"/>
  <c i="27" r="H13"/>
  <c i="27" r="H4"/>
  <c i="27" r="R73"/>
  <c i="27" r="S73"/>
  <c i="27" r="R74"/>
  <c i="27" r="S74"/>
  <c i="27" r="R75"/>
  <c i="27" r="S75"/>
  <c i="27" r="R76"/>
  <c i="27" r="S76"/>
  <c i="27" r="R68"/>
  <c i="27" r="S68"/>
  <c i="27" r="R69"/>
  <c i="27" r="S69"/>
  <c i="27" r="R70"/>
  <c i="27" r="T70" s="1"/>
  <c i="27" r="S70"/>
  <c i="27" r="R71"/>
  <c i="27" r="S71"/>
  <c i="27" r="R72"/>
  <c i="27" r="S72"/>
  <c i="27" r="R65"/>
  <c i="27" r="S65"/>
  <c i="27" r="R66"/>
  <c i="27" r="S66"/>
  <c i="27" r="R67"/>
  <c i="27" r="S67"/>
  <c i="27" r="R4"/>
  <c i="27" r="T4" s="1"/>
  <c i="27" r="S4"/>
  <c i="27" r="R5"/>
  <c i="27" r="T5" s="1"/>
  <c i="27" r="S5"/>
  <c i="27" r="R6"/>
  <c i="27" r="T6" s="1"/>
  <c i="27" r="S6"/>
  <c i="27" r="R7"/>
  <c i="27" r="T7" s="1"/>
  <c i="27" r="S7"/>
  <c i="27" r="R8"/>
  <c i="27" r="T8" s="1"/>
  <c i="27" r="S8"/>
  <c i="27" r="R9"/>
  <c i="27" r="T9" s="1"/>
  <c i="27" r="S9"/>
  <c i="27" r="R10"/>
  <c i="27" r="T10" s="1"/>
  <c i="27" r="S10"/>
  <c i="27" r="R11"/>
  <c i="27" r="T11" s="1"/>
  <c i="27" r="S11"/>
  <c i="27" r="R12"/>
  <c i="27" r="T12" s="1"/>
  <c i="27" r="S12"/>
  <c i="27" r="R13"/>
  <c i="27" r="T13" s="1"/>
  <c i="27" r="S13"/>
  <c i="27" r="R14"/>
  <c i="27" r="T14" s="1"/>
  <c i="27" r="S14"/>
  <c i="27" r="R15"/>
  <c i="27" r="T15" s="1"/>
  <c i="27" r="S15"/>
  <c i="27" r="R16"/>
  <c i="27" r="T16" s="1"/>
  <c i="27" r="S16"/>
  <c i="27" r="R17"/>
  <c i="27" r="T17" s="1"/>
  <c i="27" r="S17"/>
  <c i="27" r="R18"/>
  <c i="27" r="T18" s="1"/>
  <c i="27" r="S18"/>
  <c i="27" r="R19"/>
  <c i="27" r="T19" s="1"/>
  <c i="27" r="S19"/>
  <c i="27" r="R20"/>
  <c i="27" r="T20" s="1"/>
  <c i="27" r="S20"/>
  <c i="27" r="R21"/>
  <c i="27" r="T21" s="1"/>
  <c i="27" r="S21"/>
  <c i="27" r="R22"/>
  <c i="27" r="T22" s="1"/>
  <c i="27" r="S22"/>
  <c i="27" r="R23"/>
  <c i="27" r="T23" s="1"/>
  <c i="27" r="S23"/>
  <c i="27" r="R24"/>
  <c i="27" r="T24" s="1"/>
  <c i="27" r="S24"/>
  <c i="27" r="R25"/>
  <c i="27" r="T25" s="1"/>
  <c i="27" r="S25"/>
  <c i="27" r="R26"/>
  <c i="27" r="T26" s="1"/>
  <c i="27" r="S26"/>
  <c i="27" r="R27"/>
  <c i="27" r="T27" s="1"/>
  <c i="27" r="S27"/>
  <c i="27" r="R28"/>
  <c i="27" r="T28" s="1"/>
  <c i="27" r="S28"/>
  <c i="27" r="R29"/>
  <c i="27" r="T29" s="1"/>
  <c i="27" r="S29"/>
  <c i="27" r="R30"/>
  <c i="27" r="T30" s="1"/>
  <c i="27" r="S30"/>
  <c i="27" r="R31"/>
  <c i="27" r="T31" s="1"/>
  <c i="27" r="S31"/>
  <c i="27" r="R32"/>
  <c i="27" r="T32" s="1"/>
  <c i="27" r="S32"/>
  <c i="27" r="R33"/>
  <c i="27" r="S33"/>
  <c i="27" r="R34"/>
  <c i="27" r="S34"/>
  <c i="27" r="R35"/>
  <c i="27" r="S35"/>
  <c i="27" r="R36"/>
  <c i="27" r="S36"/>
  <c i="27" r="R37"/>
  <c i="27" r="S37"/>
  <c i="27" r="R38"/>
  <c i="27" r="S38"/>
  <c i="27" r="R39"/>
  <c i="27" r="S39"/>
  <c i="27" r="R40"/>
  <c i="27" r="S40"/>
  <c i="27" r="R41"/>
  <c i="27" r="S41"/>
  <c i="27" r="R42"/>
  <c i="27" r="S42"/>
  <c i="27" r="R43"/>
  <c i="27" r="S43"/>
  <c i="27" r="R44"/>
  <c i="27" r="S44"/>
  <c i="27" r="R45"/>
  <c i="27" r="S45"/>
  <c i="27" r="R46"/>
  <c i="27" r="S46"/>
  <c i="27" r="R47"/>
  <c i="27" r="S47"/>
  <c i="27" r="R48"/>
  <c i="27" r="S48"/>
  <c i="27" r="R49"/>
  <c i="27" r="S49"/>
  <c i="27" r="R50"/>
  <c i="27" r="S50"/>
  <c i="27" r="R51"/>
  <c i="27" r="S51"/>
  <c i="27" r="R52"/>
  <c i="27" r="S52"/>
  <c i="27" r="R53"/>
  <c i="27" r="S53"/>
  <c i="27" r="R54"/>
  <c i="27" r="S54"/>
  <c i="27" r="R55"/>
  <c i="27" r="S55"/>
  <c i="27" r="R56"/>
  <c i="27" r="S56"/>
  <c i="27" r="R57"/>
  <c i="27" r="S57"/>
  <c i="27" r="R58"/>
  <c i="27" r="S58"/>
  <c i="27" r="R59"/>
  <c i="27" r="S59"/>
  <c i="27" r="R60"/>
  <c i="27" r="S60"/>
  <c i="27" r="R61"/>
  <c i="27" r="S61"/>
  <c i="27" r="R62"/>
  <c i="27" r="S62"/>
  <c i="27" r="R63"/>
  <c i="27" r="S63"/>
  <c i="27" r="R64"/>
  <c i="27" r="S64"/>
  <c i="27" r="S3"/>
  <c i="27" r="R3"/>
  <c i="27" r="C45"/>
  <c i="27" r="C44"/>
  <c i="27" r="C43"/>
  <c i="27" r="C42"/>
  <c i="27" r="C41"/>
  <c i="27" r="C40"/>
  <c i="27" r="C39"/>
  <c i="27" r="C38"/>
  <c i="27" r="C37"/>
  <c i="27" r="C36"/>
  <c i="27" r="D45"/>
  <c i="27" r="D44"/>
  <c i="27" r="D43"/>
  <c i="27" r="D42"/>
  <c i="27" r="D41"/>
  <c i="27" r="D40"/>
  <c i="27" r="D39"/>
  <c i="27" r="D38"/>
  <c i="27" r="D37"/>
  <c i="27" r="D36"/>
  <c i="27" r="D13"/>
  <c i="27" r="D12"/>
  <c i="27" r="D11"/>
  <c i="27" r="D10"/>
  <c i="27" r="D9"/>
  <c i="27" r="D8"/>
  <c i="27" r="D7"/>
  <c i="27" r="D6"/>
  <c i="27" r="D5"/>
  <c i="27" r="D4"/>
  <c i="27" r="C13"/>
  <c i="27" r="C12"/>
  <c i="27" r="C11"/>
  <c i="27" r="C10"/>
  <c i="27" r="C9"/>
  <c i="27" r="C8"/>
  <c i="27" r="C7"/>
  <c i="27" r="C6"/>
  <c i="27" r="C5"/>
  <c i="27" r="C4"/>
  <c i="27" r="H44"/>
  <c i="27" r="H43"/>
  <c i="27" r="H42"/>
  <c i="27" r="H41"/>
  <c i="27" r="H40"/>
  <c i="27" r="H39"/>
  <c i="27" r="H38"/>
  <c i="27" r="H37"/>
  <c i="27" r="H36"/>
  <c i="27" r="O13"/>
  <c i="27" r="O12"/>
  <c i="27" r="H12"/>
  <c i="27" r="O11"/>
  <c i="27" r="H11"/>
  <c i="27" r="O10"/>
  <c i="27" r="H10"/>
  <c i="27" r="O9"/>
  <c i="27" r="H9"/>
  <c i="27" r="O8"/>
  <c i="27" r="H8"/>
  <c i="27" r="O7"/>
  <c i="27" r="H7"/>
  <c i="27" r="O6"/>
  <c i="27" r="H6"/>
  <c i="27" r="O5"/>
  <c i="27" r="H5"/>
  <c i="27" r="O4"/>
  <c i="28" l="1" r="E4"/>
  <c i="28" r="E25"/>
  <c i="28" r="E24"/>
  <c i="28" r="E23"/>
  <c i="28" r="E27"/>
  <c i="28" r="E26"/>
  <c i="28" r="E29"/>
  <c i="28" r="E28"/>
  <c i="28" r="E21"/>
  <c i="28" r="E22"/>
  <c i="28" r="E20"/>
  <c i="28" r="F9"/>
  <c i="28" r="G9" s="1"/>
  <c i="28" r="F28"/>
  <c i="28" r="F25"/>
  <c i="28" r="F29"/>
  <c i="28" r="F26"/>
  <c i="28" r="F23"/>
  <c i="28" r="F24"/>
  <c i="28" r="F21"/>
  <c i="28" r="F22"/>
  <c i="28" r="F27"/>
  <c i="28" r="F20"/>
  <c i="28" r="G20" s="1"/>
  <c i="28" r="E30"/>
  <c i="28" r="F30"/>
  <c i="28" r="E14"/>
  <c i="28" r="M23"/>
  <c i="28" r="M24"/>
  <c i="28" r="M20"/>
  <c i="28" r="M28"/>
  <c i="28" r="E12"/>
  <c i="28" r="E6"/>
  <c i="28" r="E10"/>
  <c i="28" r="E8"/>
  <c i="28" r="F40"/>
  <c i="28" r="E11"/>
  <c i="28" r="E7"/>
  <c i="28" r="E5"/>
  <c i="27" r="T44"/>
  <c i="27" r="U44" s="1"/>
  <c i="27" r="T68"/>
  <c i="27" r="U68" s="1"/>
  <c i="27" r="T33"/>
  <c i="27" r="U33"/>
  <c i="27" r="T56"/>
  <c i="27" r="U56" s="1"/>
  <c i="27" r="T54"/>
  <c i="27" r="U54" s="1"/>
  <c i="27" r="T42"/>
  <c i="27" r="U42" s="1"/>
  <c i="27" r="T75"/>
  <c i="27" r="U75" s="1"/>
  <c i="27" r="T3"/>
  <c i="27" r="M20" s="1"/>
  <c i="27" r="M26"/>
  <c i="27" r="M23"/>
  <c i="27" r="M25"/>
  <c i="27" r="M24"/>
  <c i="27" r="M28"/>
  <c i="27" r="M45"/>
  <c i="27" r="M22"/>
  <c i="27" r="M44"/>
  <c i="27" r="M43"/>
  <c i="27" r="M42"/>
  <c i="27" r="M41"/>
  <c i="27" r="M29"/>
  <c i="27" r="M21"/>
  <c i="27" r="M40"/>
  <c i="27" r="M39"/>
  <c i="27" r="M38"/>
  <c i="27" r="M27"/>
  <c i="27" r="M37"/>
  <c i="27" r="M36"/>
  <c i="27" r="T69"/>
  <c i="27" r="U69" s="1"/>
  <c i="27" r="T64"/>
  <c i="27" r="U64" s="1"/>
  <c i="27" r="T52"/>
  <c i="27" r="U52" s="1"/>
  <c i="27" r="T40"/>
  <c i="27" r="U40" s="1"/>
  <c i="27" r="T73"/>
  <c i="27" r="U73" s="1"/>
  <c i="27" r="T55"/>
  <c i="27" r="U55" s="1"/>
  <c i="27" r="T63"/>
  <c i="27" r="U63" s="1"/>
  <c i="27" r="T51"/>
  <c i="27" r="U51"/>
  <c i="27" r="T39"/>
  <c i="27" r="U39" s="1"/>
  <c i="27" r="T50"/>
  <c i="27" r="U50" s="1"/>
  <c i="27" r="T38"/>
  <c i="27" r="U38" s="1"/>
  <c i="27" r="T62"/>
  <c i="27" r="U62" s="1"/>
  <c i="27" r="C14"/>
  <c i="27" r="E7" s="1"/>
  <c i="27" r="T61"/>
  <c i="27" r="U61" s="1"/>
  <c i="27" r="T49"/>
  <c i="27" r="U49" s="1"/>
  <c i="27" r="T37"/>
  <c i="27" r="U37" s="1"/>
  <c i="27" r="T41"/>
  <c i="27" r="U41" s="1"/>
  <c i="27" r="T60"/>
  <c i="27" r="U60" s="1"/>
  <c i="27" r="T48"/>
  <c i="27" r="U48" s="1"/>
  <c i="27" r="T36"/>
  <c i="27" r="U36" s="1"/>
  <c i="27" r="T53"/>
  <c i="27" r="U53" s="1"/>
  <c i="27" r="T57"/>
  <c i="27" r="U57" s="1"/>
  <c i="27" r="T59"/>
  <c i="27" r="U59" s="1"/>
  <c i="27" r="T47"/>
  <c i="27" r="U47" s="1"/>
  <c i="27" r="T35"/>
  <c i="27" r="U35" s="1"/>
  <c i="27" r="T43"/>
  <c i="27" r="U43" s="1"/>
  <c i="27" r="C46"/>
  <c i="27" r="E46" s="1"/>
  <c i="27" r="T58"/>
  <c i="27" r="U58" s="1"/>
  <c i="27" r="T46"/>
  <c i="27" r="U46" s="1"/>
  <c i="27" r="T34"/>
  <c i="27" r="U34" s="1"/>
  <c i="27" r="U70"/>
  <c i="28" r="F36"/>
  <c i="28" r="F44"/>
  <c i="28" r="F42"/>
  <c i="28" r="F39"/>
  <c i="28" r="F41"/>
  <c i="28" r="F43"/>
  <c i="28" r="F38"/>
  <c i="28" r="F45"/>
  <c i="28" r="F46"/>
  <c i="28" r="G46" s="1"/>
  <c i="28" r="E41"/>
  <c i="28" r="E44"/>
  <c i="28" r="E43"/>
  <c i="28" r="E42"/>
  <c i="28" r="E39"/>
  <c i="28" r="E40"/>
  <c i="28" r="E38"/>
  <c i="28" r="E36"/>
  <c i="28" r="E45"/>
  <c i="28" r="E37"/>
  <c i="28" r="G37" s="1"/>
  <c i="28" r="F13"/>
  <c i="28" r="G13" s="1"/>
  <c i="28" r="F14"/>
  <c i="28" r="F11"/>
  <c i="28" r="F7"/>
  <c i="28" r="F8"/>
  <c i="28" r="F5"/>
  <c i="28" r="F12"/>
  <c i="28" r="F6"/>
  <c i="28" r="F10"/>
  <c i="28" r="F4"/>
  <c i="28" r="G4" s="1"/>
  <c i="27" r="T76"/>
  <c i="27" r="U76" s="1"/>
  <c i="27" r="T45"/>
  <c i="27" r="U45" s="1"/>
  <c i="27" r="T74"/>
  <c i="27" r="U74" s="1"/>
  <c i="27" r="T72"/>
  <c i="27" r="U72" s="1"/>
  <c i="27" r="T71"/>
  <c i="27" r="U71" s="1"/>
  <c i="27" r="T67"/>
  <c i="27" r="U67" s="1"/>
  <c i="27" r="T66"/>
  <c i="27" r="U66" s="1"/>
  <c i="27" r="T65"/>
  <c i="27" r="U65" s="1"/>
  <c i="27" r="M9"/>
  <c i="27" r="M4"/>
  <c i="27" r="M7"/>
  <c i="27" r="M10"/>
  <c i="27" r="D14"/>
  <c i="27" r="M11"/>
  <c i="27" r="M12"/>
  <c i="27" r="M8"/>
  <c i="27" r="D46"/>
  <c i="27" r="F36" s="1"/>
  <c i="27" r="M6"/>
  <c i="27" r="M13"/>
  <c i="27" r="M5"/>
  <c i="23" r="O5"/>
  <c i="23" r="O6"/>
  <c i="23" r="O7"/>
  <c i="23" r="O8"/>
  <c i="23" r="O9"/>
  <c i="23" r="O10"/>
  <c i="23" r="O11"/>
  <c i="23" r="O12"/>
  <c i="23" r="O13"/>
  <c i="23" r="O4"/>
  <c i="28" l="1" r="G40"/>
  <c i="28" r="G12"/>
  <c i="28" r="G5"/>
  <c i="28" r="G8"/>
  <c i="28" r="I8" s="1"/>
  <c i="28" r="N8" s="1"/>
  <c i="28" r="T17" s="1"/>
  <c i="28" r="G14"/>
  <c i="28" r="G11"/>
  <c i="28" r="G7"/>
  <c i="28" r="I7" s="1"/>
  <c i="28" r="N7" s="1"/>
  <c i="28" r="T16" s="1"/>
  <c i="28" r="G10"/>
  <c i="28" r="I10" s="1"/>
  <c i="28" r="N10" s="1"/>
  <c i="28" r="T19" s="1"/>
  <c i="28" r="G6"/>
  <c i="28" r="I6" s="1"/>
  <c i="28" r="N6" s="1"/>
  <c i="28" r="T15" s="1"/>
  <c i="28" r="G45"/>
  <c i="28" r="G22"/>
  <c i="28" r="G41"/>
  <c i="28" r="G21"/>
  <c i="28" r="G28"/>
  <c i="28" r="G29"/>
  <c i="28" r="G26"/>
  <c i="28" r="G27"/>
  <c i="28" r="G23"/>
  <c i="28" r="I23" s="1"/>
  <c i="28" r="N23" s="1"/>
  <c i="28" r="T6" s="1"/>
  <c i="28" r="G24"/>
  <c i="28" r="I24" s="1"/>
  <c i="28" r="N24" s="1"/>
  <c i="28" r="T7" s="1"/>
  <c i="28" r="G25"/>
  <c i="28" r="I25" s="1"/>
  <c i="28" r="N25" s="1"/>
  <c i="28" r="T8" s="1"/>
  <c i="28" r="G30"/>
  <c i="28" r="G39"/>
  <c i="28" r="G42"/>
  <c i="28" r="G38"/>
  <c i="28" r="G44"/>
  <c i="28" r="G36"/>
  <c i="28" r="G43"/>
  <c i="28" r="I5"/>
  <c i="28" r="N5" s="1"/>
  <c i="28" r="T14" s="1"/>
  <c i="27" r="E11"/>
  <c i="27" r="E29"/>
  <c i="27" r="E28"/>
  <c i="27" r="E25"/>
  <c i="27" r="E27"/>
  <c i="27" r="E30"/>
  <c i="27" r="E26"/>
  <c i="27" r="E21"/>
  <c i="27" r="E20"/>
  <c i="27" r="E22"/>
  <c i="27" r="E23"/>
  <c i="27" r="E24"/>
  <c i="27" r="E41"/>
  <c i="27" r="E38"/>
  <c i="27" r="E44"/>
  <c i="27" r="E40"/>
  <c i="27" r="E45"/>
  <c i="27" r="E42"/>
  <c i="27" r="E6"/>
  <c i="27" r="E8"/>
  <c i="27" r="E37"/>
  <c i="27" r="E43"/>
  <c i="27" r="E4"/>
  <c i="27" r="E9"/>
  <c i="27" r="E14"/>
  <c i="27" r="E13"/>
  <c i="27" r="E12"/>
  <c i="27" r="E36"/>
  <c i="27" r="G36" s="1"/>
  <c i="27" r="E5"/>
  <c i="27" r="E39"/>
  <c i="27" r="G39" s="1"/>
  <c i="27" r="I39" s="1"/>
  <c i="27" r="N39" s="1"/>
  <c i="27" r="U26" s="1"/>
  <c i="27" r="E10"/>
  <c i="27" r="F25"/>
  <c i="27" r="F26"/>
  <c i="27" r="F28"/>
  <c i="27" r="F29"/>
  <c i="27" r="F21"/>
  <c i="27" r="F27"/>
  <c i="27" r="F24"/>
  <c i="27" r="F20"/>
  <c i="27" r="F30"/>
  <c i="27" r="F22"/>
  <c i="27" r="F23"/>
  <c i="28" r="I4"/>
  <c i="28" r="N4" s="1"/>
  <c i="28" r="T13" s="1"/>
  <c i="28" r="I11"/>
  <c i="28" r="N11" s="1"/>
  <c i="28" r="T20" s="1"/>
  <c i="28" r="I9"/>
  <c i="28" r="N9" s="1"/>
  <c i="28" r="T18" s="1"/>
  <c i="27" r="F39"/>
  <c i="27" r="F42"/>
  <c i="27" r="F45"/>
  <c i="27" r="F46"/>
  <c i="27" r="G46" s="1"/>
  <c i="27" r="F40"/>
  <c i="27" r="F8"/>
  <c i="27" r="F5"/>
  <c i="27" r="G5" s="1"/>
  <c i="27" r="F13"/>
  <c i="27" r="F9"/>
  <c i="27" r="F10"/>
  <c i="27" r="F6"/>
  <c i="27" r="F14"/>
  <c i="27" r="F12"/>
  <c i="27" r="F43"/>
  <c i="27" r="F44"/>
  <c i="27" r="F37"/>
  <c i="27" r="F11"/>
  <c i="27" r="F41"/>
  <c i="27" r="F7"/>
  <c i="27" r="G7" s="1"/>
  <c i="27" r="F38"/>
  <c i="27" r="F4"/>
  <c i="28" l="1" r="I43"/>
  <c i="28" r="N43" s="1"/>
  <c i="28" r="T30" s="1"/>
  <c i="28" r="I36"/>
  <c i="28" r="N36" s="1"/>
  <c i="28" r="T23" s="1"/>
  <c i="28" r="I12"/>
  <c i="28" r="N12" s="1"/>
  <c i="28" r="T21" s="1"/>
  <c i="28" r="I44"/>
  <c i="28" r="N44" s="1"/>
  <c i="28" r="T31" s="1"/>
  <c i="28" r="I41"/>
  <c i="28" r="N41" s="1"/>
  <c i="28" r="T28" s="1"/>
  <c i="28" r="I13"/>
  <c i="28" r="N13" s="1"/>
  <c i="28" r="T22" s="1"/>
  <c i="28" r="I38"/>
  <c i="28" r="N38" s="1"/>
  <c i="28" r="T25" s="1"/>
  <c i="28" r="I40"/>
  <c i="28" r="N40" s="1"/>
  <c i="28" r="T27" s="1"/>
  <c i="28" r="I45"/>
  <c i="28" r="I39"/>
  <c i="28" r="N39" s="1"/>
  <c i="28" r="T26" s="1"/>
  <c i="27" r="G43"/>
  <c i="28" r="I27"/>
  <c i="28" r="N27" s="1"/>
  <c i="28" r="T10" s="1"/>
  <c i="28" r="I26"/>
  <c i="28" r="N26" s="1"/>
  <c i="28" r="T9" s="1"/>
  <c i="27" r="G38"/>
  <c i="27" r="I38" s="1"/>
  <c i="27" r="N38" s="1"/>
  <c i="27" r="U25" s="1"/>
  <c i="28" r="I29"/>
  <c i="28" r="N29" s="1"/>
  <c i="28" r="T12" s="1"/>
  <c i="28" r="I28"/>
  <c i="28" r="N28" s="1"/>
  <c i="28" r="T11" s="1"/>
  <c i="28" r="I21"/>
  <c i="28" r="N21" s="1"/>
  <c i="28" r="T4" s="1"/>
  <c i="27" r="G11"/>
  <c i="27" r="I11" s="1"/>
  <c i="27" r="N11" s="1"/>
  <c i="27" r="U20" s="1"/>
  <c i="28" r="I22"/>
  <c i="28" r="N22" s="1"/>
  <c i="28" r="T5" s="1"/>
  <c i="27" r="G4"/>
  <c i="27" r="I4" s="1"/>
  <c i="27" r="N4" s="1"/>
  <c i="27" r="U13" s="1"/>
  <c i="28" r="I20"/>
  <c i="28" r="N20" s="1"/>
  <c i="28" r="T3" s="1"/>
  <c i="28" r="I37"/>
  <c i="28" r="N37" s="1"/>
  <c i="28" r="T24" s="1"/>
  <c i="28" r="I42"/>
  <c i="28" r="N42" s="1"/>
  <c i="28" r="T29" s="1"/>
  <c i="27" r="G8"/>
  <c i="27" r="I8" s="1"/>
  <c i="27" r="N8" s="1"/>
  <c i="27" r="U17" s="1"/>
  <c i="27" r="G40"/>
  <c i="27" r="I40" s="1"/>
  <c i="27" r="N40" s="1"/>
  <c i="27" r="U27" s="1"/>
  <c i="27" r="G22"/>
  <c i="27" r="G23"/>
  <c i="27" r="I23" s="1"/>
  <c i="27" r="N23" s="1"/>
  <c i="27" r="U6" s="1"/>
  <c i="27" r="G37"/>
  <c i="27" r="I37" s="1"/>
  <c i="27" r="N37" s="1"/>
  <c i="27" r="U24" s="1"/>
  <c i="27" r="G45"/>
  <c i="27" r="I45" s="1"/>
  <c i="27" r="N45" s="1"/>
  <c i="27" r="U32" s="1"/>
  <c i="27" r="G42"/>
  <c i="27" r="I42" s="1"/>
  <c i="27" r="N42" s="1"/>
  <c i="27" r="U29" s="1"/>
  <c i="27" r="G26"/>
  <c i="27" r="G41"/>
  <c i="27" r="I41" s="1"/>
  <c i="27" r="N41" s="1"/>
  <c i="27" r="U28" s="1"/>
  <c i="27" r="G30"/>
  <c i="27" r="G12"/>
  <c i="27" r="G27"/>
  <c i="27" r="G24"/>
  <c i="27" r="G44"/>
  <c i="27" r="I44" s="1"/>
  <c i="27" r="N44" s="1"/>
  <c i="27" r="U31" s="1"/>
  <c i="27" r="G25"/>
  <c i="27" r="G20"/>
  <c i="27" r="G28"/>
  <c i="27" r="G10"/>
  <c i="27" r="G29"/>
  <c i="27" r="G9"/>
  <c i="27" r="G21"/>
  <c i="27" r="G14"/>
  <c i="27" r="G6"/>
  <c i="27" r="G13"/>
  <c i="27" r="I43"/>
  <c i="27" r="N43" s="1"/>
  <c i="27" r="U30" s="1"/>
  <c i="27" r="I36"/>
  <c i="27" r="N36" s="1"/>
  <c i="27" r="U23" s="1"/>
  <c i="27" l="1" r="I7"/>
  <c i="27" r="N7" s="1"/>
  <c i="27" r="U16" s="1"/>
  <c i="27" r="I26"/>
  <c i="27" r="N26" s="1"/>
  <c i="27" r="U9" s="1"/>
  <c i="27" r="I12"/>
  <c i="27" r="N12" s="1"/>
  <c i="27" r="U21" s="1"/>
  <c i="27" r="I5"/>
  <c i="27" r="N5" s="1"/>
  <c i="27" r="U14" s="1"/>
  <c i="27" r="I13"/>
  <c i="27" r="N13" s="1"/>
  <c i="27" r="U22" s="1"/>
  <c i="27" r="I10"/>
  <c i="27" r="N10" s="1"/>
  <c i="27" r="U19" s="1"/>
  <c i="27" r="I25"/>
  <c i="27" r="N25" s="1"/>
  <c i="27" r="U8" s="1"/>
  <c i="27" r="I21"/>
  <c i="27" r="N21" s="1"/>
  <c i="27" r="U4" s="1"/>
  <c i="27" r="I6"/>
  <c i="27" r="N6" s="1"/>
  <c i="27" r="U15" s="1"/>
  <c i="27" r="I29"/>
  <c i="27" r="N29" s="1"/>
  <c i="27" r="U12" s="1"/>
  <c i="27" r="I28"/>
  <c i="27" r="N28" s="1"/>
  <c i="27" r="U11" s="1"/>
  <c i="27" r="I9"/>
  <c i="27" r="N9" s="1"/>
  <c i="27" r="U18" s="1"/>
  <c i="27" r="I24"/>
  <c i="27" r="N24" s="1"/>
  <c i="27" r="U7" s="1"/>
  <c i="27" r="I27"/>
  <c i="27" r="N27" s="1"/>
  <c i="27" r="U10" s="1"/>
  <c i="27" r="I22"/>
  <c i="27" r="N22" s="1"/>
  <c i="27" r="U5" s="1"/>
  <c i="27" r="I20"/>
  <c i="27" r="N20" s="1"/>
  <c i="27" r="U3" s="1"/>
  <c i="23" r="C46"/>
  <c i="23" l="1" r="H8"/>
  <c i="23" r="R4"/>
  <c i="23" r="T4" s="1"/>
  <c i="23" r="S4"/>
  <c i="23" r="R5"/>
  <c i="23" r="T5" s="1"/>
  <c i="23" r="S5"/>
  <c i="23" r="R6"/>
  <c i="23" r="T6" s="1"/>
  <c i="23" r="S6"/>
  <c i="23" r="R7"/>
  <c i="23" r="T7" s="1"/>
  <c i="23" r="S7"/>
  <c i="23" r="R8"/>
  <c i="23" r="S8"/>
  <c i="23" r="R9"/>
  <c i="23" r="T9" s="1"/>
  <c i="23" r="S9"/>
  <c i="23" r="R10"/>
  <c i="23" r="T10" s="1"/>
  <c i="23" r="S10"/>
  <c i="23" r="R11"/>
  <c i="23" r="T11" s="1"/>
  <c i="23" r="S11"/>
  <c i="23" r="R12"/>
  <c i="23" r="T12" s="1"/>
  <c i="23" r="S12"/>
  <c i="23" r="R13"/>
  <c i="23" r="T13" s="1"/>
  <c i="23" r="S13"/>
  <c i="23" r="R14"/>
  <c i="23" r="T14" s="1"/>
  <c i="23" r="S14"/>
  <c i="23" r="R15"/>
  <c i="23" r="T15" s="1"/>
  <c i="23" r="S15"/>
  <c i="23" r="R16"/>
  <c i="23" r="T16" s="1"/>
  <c i="23" r="S16"/>
  <c i="23" r="R17"/>
  <c i="23" r="T17" s="1"/>
  <c i="23" r="S17"/>
  <c i="23" r="R18"/>
  <c i="23" r="T18" s="1"/>
  <c i="23" r="S18"/>
  <c i="23" r="R19"/>
  <c i="23" r="T19" s="1"/>
  <c i="23" r="S19"/>
  <c i="23" r="R20"/>
  <c i="23" r="T20" s="1"/>
  <c i="23" r="S20"/>
  <c i="23" r="R21"/>
  <c i="23" r="T21" s="1"/>
  <c i="23" r="S21"/>
  <c i="23" r="R22"/>
  <c i="23" r="T22" s="1"/>
  <c i="23" r="S22"/>
  <c i="23" r="R23"/>
  <c i="23" r="T23" s="1"/>
  <c i="23" r="S23"/>
  <c i="23" r="R24"/>
  <c i="23" r="T24" s="1"/>
  <c i="23" r="S24"/>
  <c i="23" r="R25"/>
  <c i="23" r="T25" s="1"/>
  <c i="23" r="S25"/>
  <c i="23" r="R26"/>
  <c i="23" r="T26" s="1"/>
  <c i="23" r="S26"/>
  <c i="23" r="R27"/>
  <c i="23" r="T27" s="1"/>
  <c i="23" r="S27"/>
  <c i="23" r="R28"/>
  <c i="23" r="T28" s="1"/>
  <c i="23" r="S28"/>
  <c i="23" r="R29"/>
  <c i="23" r="T29" s="1"/>
  <c i="23" r="S29"/>
  <c i="23" r="R30"/>
  <c i="23" r="T30" s="1"/>
  <c i="23" r="S30"/>
  <c i="23" r="R31"/>
  <c i="23" r="T31" s="1"/>
  <c i="23" r="S31"/>
  <c i="23" r="R32"/>
  <c i="23" r="T32" s="1"/>
  <c i="23" r="S32"/>
  <c i="23" r="R33"/>
  <c i="23" r="T33" s="1"/>
  <c i="23" r="U33" s="1"/>
  <c i="23" r="S33"/>
  <c i="23" r="R34"/>
  <c i="23" r="S34"/>
  <c i="23" r="R35"/>
  <c i="23" r="T35" s="1"/>
  <c i="23" r="U35" s="1"/>
  <c i="23" r="S35"/>
  <c i="23" r="R36"/>
  <c i="23" r="T36" s="1"/>
  <c i="23" r="S36"/>
  <c i="23" r="R37"/>
  <c i="23" r="T37" s="1"/>
  <c i="23" r="U37" s="1"/>
  <c i="23" r="S37"/>
  <c i="23" r="R38"/>
  <c i="23" r="T38" s="1"/>
  <c i="23" r="U38" s="1"/>
  <c i="23" r="S38"/>
  <c i="23" r="R39"/>
  <c i="23" r="T39" s="1"/>
  <c i="23" r="U39" s="1"/>
  <c i="23" r="S39"/>
  <c i="23" r="R40"/>
  <c i="23" r="S40"/>
  <c i="23" r="R41"/>
  <c i="23" r="S41"/>
  <c i="23" r="R42"/>
  <c i="23" r="S42"/>
  <c i="23" r="R43"/>
  <c i="23" r="S43"/>
  <c i="23" r="R44"/>
  <c i="23" r="T44" s="1"/>
  <c i="23" r="S44"/>
  <c i="23" r="R45"/>
  <c i="23" r="T45" s="1"/>
  <c i="23" r="S45"/>
  <c i="23" r="R46"/>
  <c i="23" r="T46" s="1"/>
  <c i="23" r="S46"/>
  <c i="23" r="R47"/>
  <c i="23" r="T47" s="1"/>
  <c i="23" r="S47"/>
  <c i="23" r="R48"/>
  <c i="23" r="T48" s="1"/>
  <c i="23" r="S48"/>
  <c i="23" r="R49"/>
  <c i="23" r="T49" s="1"/>
  <c i="23" r="U49" s="1"/>
  <c i="23" r="S49"/>
  <c i="23" r="R50"/>
  <c i="23" r="T50" s="1"/>
  <c i="23" r="S50"/>
  <c i="23" r="R51"/>
  <c i="23" r="T51" s="1"/>
  <c i="23" r="S51"/>
  <c i="23" r="R52"/>
  <c i="23" r="T52" s="1"/>
  <c i="23" r="S52"/>
  <c i="23" r="R53"/>
  <c i="23" r="T53" s="1"/>
  <c i="23" r="S53"/>
  <c i="23" r="R54"/>
  <c i="23" r="T54" s="1"/>
  <c i="23" r="S54"/>
  <c i="23" r="R55"/>
  <c i="23" r="T55" s="1"/>
  <c i="23" r="S55"/>
  <c i="23" r="R56"/>
  <c i="23" r="T56" s="1"/>
  <c i="23" r="S56"/>
  <c i="23" r="R57"/>
  <c i="23" r="T57" s="1"/>
  <c i="23" r="U57" s="1"/>
  <c i="23" r="S57"/>
  <c i="23" r="R58"/>
  <c i="23" r="S58"/>
  <c i="23" r="R59"/>
  <c i="23" r="T59" s="1"/>
  <c i="23" r="U59" s="1"/>
  <c i="23" r="S59"/>
  <c i="23" r="R60"/>
  <c i="23" r="T60" s="1"/>
  <c i="23" r="S60"/>
  <c i="23" r="R61"/>
  <c i="23" r="T61" s="1"/>
  <c i="23" r="U61" s="1"/>
  <c i="23" r="S61"/>
  <c i="23" r="R62"/>
  <c i="23" r="T62" s="1"/>
  <c i="23" r="U62" s="1"/>
  <c i="23" r="S62"/>
  <c i="23" r="R63"/>
  <c i="23" r="T63" s="1"/>
  <c i="23" r="U63" s="1"/>
  <c i="23" r="S63"/>
  <c i="23" r="R64"/>
  <c i="23" r="T64" s="1"/>
  <c i="23" r="S64"/>
  <c i="23" r="S3"/>
  <c i="23" r="R3"/>
  <c i="23" l="1" r="M29"/>
  <c i="23" r="M27"/>
  <c i="23" r="M26"/>
  <c i="23" r="M46"/>
  <c i="23" r="M45"/>
  <c i="23" r="M44"/>
  <c i="23" r="M43"/>
  <c i="23" r="M42"/>
  <c i="23" r="M41"/>
  <c i="23" r="M40"/>
  <c i="23" r="M39"/>
  <c i="23" r="M24"/>
  <c i="23" r="M38"/>
  <c i="23" r="M37"/>
  <c i="23" r="M23"/>
  <c i="23" r="M22"/>
  <c i="23" r="M21"/>
  <c i="23" r="M28"/>
  <c i="23" r="T58"/>
  <c i="23" r="U58" s="1"/>
  <c i="23" r="U47"/>
  <c i="23" r="T40"/>
  <c i="23" r="U40" s="1"/>
  <c i="23" r="U48"/>
  <c i="23" r="U46"/>
  <c i="23" r="T34"/>
  <c i="23" r="U34" s="1"/>
  <c i="23" r="U45"/>
  <c i="23" r="M6"/>
  <c i="23" r="U50"/>
  <c i="23" r="U64"/>
  <c i="23" r="M8"/>
  <c i="23" r="M5"/>
  <c i="23" r="M7"/>
  <c i="23" r="U60"/>
  <c i="23" r="U36"/>
  <c i="23" r="T43"/>
  <c i="23" r="U43" s="1"/>
  <c i="23" r="T42"/>
  <c i="23" r="U42" s="1"/>
  <c i="23" r="U56"/>
  <c i="23" r="T3"/>
  <c i="23" r="M20" s="1"/>
  <c i="23" r="T41"/>
  <c i="23" r="U41" s="1"/>
  <c i="23" r="U55"/>
  <c i="23" r="U53"/>
  <c i="23" r="U52"/>
  <c i="23" r="U54"/>
  <c i="23" r="U51"/>
  <c i="23" r="M4"/>
  <c i="23" r="T8"/>
  <c i="23" r="M25" s="1"/>
  <c i="23" r="M13"/>
  <c i="23" r="U44"/>
  <c i="23" r="M12"/>
  <c i="23" r="M11"/>
  <c i="23" r="M10"/>
  <c i="23" r="M9"/>
  <c i="23" r="D46"/>
  <c i="23" r="D45"/>
  <c i="23" r="D44"/>
  <c i="23" r="D43"/>
  <c i="23" r="D42"/>
  <c i="23" r="D41"/>
  <c i="23" r="D40"/>
  <c i="23" r="D39"/>
  <c i="23" r="D38"/>
  <c i="23" r="D37"/>
  <c i="23" r="C45"/>
  <c i="23" r="C44"/>
  <c i="23" r="C43"/>
  <c i="23" r="C42"/>
  <c i="23" r="C41"/>
  <c i="23" r="C40"/>
  <c i="23" r="C39"/>
  <c i="23" r="C38"/>
  <c i="23" r="C37"/>
  <c i="23" r="H45"/>
  <c i="23" r="H44"/>
  <c i="23" r="H43"/>
  <c i="23" r="H42"/>
  <c i="23" r="H41"/>
  <c i="23" r="H40"/>
  <c i="23" r="H39"/>
  <c i="23" r="H38"/>
  <c i="23" r="H37"/>
  <c i="23" r="H5"/>
  <c i="23" r="H6"/>
  <c i="23" r="H7"/>
  <c i="23" r="H9"/>
  <c i="23" r="H10"/>
  <c i="23" r="H11"/>
  <c i="23" r="H12"/>
  <c i="23" r="D13"/>
  <c i="23" r="D12"/>
  <c i="23" r="D11"/>
  <c i="23" r="D10"/>
  <c i="23" r="D9"/>
  <c i="23" r="D8"/>
  <c i="23" r="D7"/>
  <c i="23" r="D6"/>
  <c i="23" r="D5"/>
  <c i="23" r="D4"/>
  <c i="23" r="C13"/>
  <c i="23" r="C12"/>
  <c i="23" r="C11"/>
  <c i="23" r="C10"/>
  <c i="23" r="C9"/>
  <c i="23" r="C8"/>
  <c i="23" r="C7"/>
  <c i="23" r="C6"/>
  <c i="23" r="C5"/>
  <c i="23" r="C4"/>
  <c i="23" l="1" r="D47"/>
  <c i="23" r="F39" s="1"/>
  <c i="23" r="F44"/>
  <c i="23" r="F46"/>
  <c i="23" r="F37"/>
  <c i="23" r="F41"/>
  <c i="23" r="F38"/>
  <c i="23" r="F42"/>
  <c i="23" r="F47"/>
  <c i="23" r="F43"/>
  <c i="23" r="C14"/>
  <c i="23" r="E10" s="1"/>
  <c i="23" r="C47"/>
  <c i="23" r="D14"/>
  <c i="22" r="U58"/>
  <c i="22" r="J58"/>
  <c i="22" r="U57"/>
  <c i="22" r="J57"/>
  <c i="22" r="U56"/>
  <c i="22" r="J56"/>
  <c i="22" r="U55"/>
  <c i="22" r="J55"/>
  <c i="22" r="U54"/>
  <c i="22" r="J54"/>
  <c i="22" r="U53"/>
  <c i="22" r="J53"/>
  <c i="22" r="U52"/>
  <c i="22" r="J52"/>
  <c i="22" r="U51"/>
  <c i="22" r="J51"/>
  <c i="22" r="U50"/>
  <c i="22" r="J50"/>
  <c i="22" r="U49"/>
  <c i="22" r="J49"/>
  <c i="22" r="U48"/>
  <c i="22" r="J48"/>
  <c i="22" r="U47"/>
  <c i="22" r="J47"/>
  <c i="22" r="U46"/>
  <c i="22" r="J46"/>
  <c i="22" r="U45"/>
  <c i="22" r="J45"/>
  <c i="22" r="U44"/>
  <c i="22" r="J44"/>
  <c i="22" r="U43"/>
  <c i="22" r="J43"/>
  <c i="22" r="U42"/>
  <c i="22" r="J42"/>
  <c i="22" r="U41"/>
  <c i="22" r="J41"/>
  <c i="22" r="U40"/>
  <c i="22" r="J40"/>
  <c i="22" r="U39"/>
  <c i="22" r="J39"/>
  <c i="22" r="U38"/>
  <c i="22" r="J38"/>
  <c i="22" r="U37"/>
  <c i="22" r="J37"/>
  <c i="22" r="U36"/>
  <c i="22" r="J36"/>
  <c i="22" r="U35"/>
  <c i="22" r="J35"/>
  <c i="22" r="U34"/>
  <c i="22" r="J34"/>
  <c i="22" r="U33"/>
  <c i="22" r="J33"/>
  <c i="22" r="U32"/>
  <c i="22" r="J32"/>
  <c i="22" r="U31"/>
  <c i="22" r="J31"/>
  <c i="22" r="U30"/>
  <c i="22" r="J30"/>
  <c i="22" r="U29"/>
  <c i="22" r="J29"/>
  <c i="22" r="U28"/>
  <c i="22" r="J28"/>
  <c i="22" r="U27"/>
  <c i="22" r="J27"/>
  <c i="22" r="U26"/>
  <c i="22" r="J26"/>
  <c i="22" r="U25"/>
  <c i="22" r="J25"/>
  <c i="22" r="U24"/>
  <c i="22" r="J24"/>
  <c i="22" r="U23"/>
  <c i="22" r="J23"/>
  <c i="22" r="U22"/>
  <c i="22" r="J22"/>
  <c i="22" r="U21"/>
  <c i="22" r="J21"/>
  <c i="22" r="U20"/>
  <c i="22" r="J20"/>
  <c i="22" r="U19"/>
  <c i="22" r="J19"/>
  <c i="22" r="U18"/>
  <c i="22" r="J18"/>
  <c i="22" r="U17"/>
  <c i="22" r="J17"/>
  <c i="22" r="U16"/>
  <c i="22" r="J16"/>
  <c i="22" r="U15"/>
  <c i="22" r="J15"/>
  <c i="22" r="U14"/>
  <c i="22" r="J14"/>
  <c i="22" r="U13"/>
  <c i="22" r="J13"/>
  <c i="22" r="U12"/>
  <c i="22" r="J12"/>
  <c i="22" r="U11"/>
  <c i="22" r="J11"/>
  <c i="22" r="U10"/>
  <c i="22" r="J10"/>
  <c i="22" r="U9"/>
  <c i="22" r="J9"/>
  <c i="22" r="U8"/>
  <c i="22" r="J8"/>
  <c i="21" r="U58"/>
  <c i="21" r="J58"/>
  <c i="21" r="U57"/>
  <c i="21" r="J57"/>
  <c i="21" r="U56"/>
  <c i="21" r="J56"/>
  <c i="21" r="U55"/>
  <c i="21" r="J55"/>
  <c i="21" r="U54"/>
  <c i="21" r="J54"/>
  <c i="21" r="U53"/>
  <c i="21" r="J53"/>
  <c i="21" r="U52"/>
  <c i="21" r="J52"/>
  <c i="21" r="U51"/>
  <c i="21" r="J51"/>
  <c i="21" r="U50"/>
  <c i="21" r="J50"/>
  <c i="21" r="U49"/>
  <c i="21" r="J49"/>
  <c i="21" r="U48"/>
  <c i="21" r="J48"/>
  <c i="21" r="U47"/>
  <c i="21" r="J47"/>
  <c i="21" r="U46"/>
  <c i="21" r="J46"/>
  <c i="21" r="U45"/>
  <c i="21" r="J45"/>
  <c i="21" r="U44"/>
  <c i="21" r="J44"/>
  <c i="21" r="U43"/>
  <c i="21" r="J43"/>
  <c i="21" r="U42"/>
  <c i="21" r="J42"/>
  <c i="21" r="U41"/>
  <c i="21" r="J41"/>
  <c i="21" r="U40"/>
  <c i="21" r="J40"/>
  <c i="21" r="U39"/>
  <c i="21" r="J39"/>
  <c i="21" r="U38"/>
  <c i="21" r="J38"/>
  <c i="21" r="U37"/>
  <c i="21" r="J37"/>
  <c i="21" r="U36"/>
  <c i="21" r="J36"/>
  <c i="21" r="U35"/>
  <c i="21" r="J35"/>
  <c i="21" r="U34"/>
  <c i="21" r="J34"/>
  <c i="21" r="U33"/>
  <c i="21" r="J33"/>
  <c i="21" r="U32"/>
  <c i="21" r="J32"/>
  <c i="21" r="U31"/>
  <c i="21" r="J31"/>
  <c i="21" r="U30"/>
  <c i="21" r="J30"/>
  <c i="21" r="U29"/>
  <c i="21" r="J29"/>
  <c i="21" r="U28"/>
  <c i="21" r="J28"/>
  <c i="21" r="U27"/>
  <c i="21" r="J27"/>
  <c i="21" r="U26"/>
  <c i="21" r="J26"/>
  <c i="21" r="U25"/>
  <c i="21" r="J25"/>
  <c i="21" r="U24"/>
  <c i="21" r="J24"/>
  <c i="21" r="U23"/>
  <c i="21" r="J23"/>
  <c i="21" r="U22"/>
  <c i="21" r="J22"/>
  <c i="21" r="U21"/>
  <c i="21" r="J21"/>
  <c i="21" r="U20"/>
  <c i="21" r="J20"/>
  <c i="21" r="U19"/>
  <c i="21" r="J19"/>
  <c i="21" r="U18"/>
  <c i="21" r="J18"/>
  <c i="21" r="U17"/>
  <c i="21" r="J17"/>
  <c i="21" r="U16"/>
  <c i="21" r="J16"/>
  <c i="21" r="U15"/>
  <c i="21" r="J15"/>
  <c i="21" r="U14"/>
  <c i="21" r="J14"/>
  <c i="21" r="U13"/>
  <c i="21" r="J13"/>
  <c i="21" r="U12"/>
  <c i="21" r="J12"/>
  <c i="21" r="U11"/>
  <c i="21" r="J11"/>
  <c i="21" r="U10"/>
  <c i="21" r="J10"/>
  <c i="21" r="U9"/>
  <c i="21" r="J9"/>
  <c i="21" r="U8"/>
  <c i="21" r="J8"/>
  <c i="20" r="U58"/>
  <c i="20" r="J58"/>
  <c i="20" r="U57"/>
  <c i="20" r="J57"/>
  <c i="20" r="U56"/>
  <c i="20" r="J56"/>
  <c i="20" r="U55"/>
  <c i="20" r="J55"/>
  <c i="20" r="U54"/>
  <c i="20" r="J54"/>
  <c i="20" r="U53"/>
  <c i="20" r="J53"/>
  <c i="20" r="U52"/>
  <c i="20" r="J52"/>
  <c i="20" r="U51"/>
  <c i="20" r="J51"/>
  <c i="20" r="U50"/>
  <c i="20" r="J50"/>
  <c i="20" r="U49"/>
  <c i="20" r="J49"/>
  <c i="20" r="U48"/>
  <c i="20" r="J48"/>
  <c i="20" r="U47"/>
  <c i="20" r="J47"/>
  <c i="20" r="U46"/>
  <c i="20" r="J46"/>
  <c i="20" r="U45"/>
  <c i="20" r="J45"/>
  <c i="20" r="U44"/>
  <c i="20" r="J44"/>
  <c i="20" r="U43"/>
  <c i="20" r="J43"/>
  <c i="20" r="U42"/>
  <c i="20" r="J42"/>
  <c i="20" r="U41"/>
  <c i="20" r="J41"/>
  <c i="20" r="U40"/>
  <c i="20" r="J40"/>
  <c i="20" r="U39"/>
  <c i="20" r="J39"/>
  <c i="20" r="U38"/>
  <c i="20" r="J38"/>
  <c i="20" r="U37"/>
  <c i="20" r="J37"/>
  <c i="20" r="U36"/>
  <c i="20" r="J36"/>
  <c i="20" r="U35"/>
  <c i="20" r="J35"/>
  <c i="20" r="U34"/>
  <c i="20" r="J34"/>
  <c i="20" r="U33"/>
  <c i="20" r="J33"/>
  <c i="20" r="U32"/>
  <c i="20" r="J32"/>
  <c i="20" r="U31"/>
  <c i="20" r="J31"/>
  <c i="20" r="U30"/>
  <c i="20" r="J30"/>
  <c i="20" r="U29"/>
  <c i="20" r="J29"/>
  <c i="20" r="U28"/>
  <c i="20" r="J28"/>
  <c i="20" r="U27"/>
  <c i="20" r="J27"/>
  <c i="20" r="U26"/>
  <c i="20" r="J26"/>
  <c i="20" r="U25"/>
  <c i="20" r="J25"/>
  <c i="20" r="U24"/>
  <c i="20" r="J24"/>
  <c i="20" r="U23"/>
  <c i="20" r="J23"/>
  <c i="20" r="U22"/>
  <c i="20" r="J22"/>
  <c i="20" r="U21"/>
  <c i="20" r="J21"/>
  <c i="20" r="U20"/>
  <c i="20" r="J20"/>
  <c i="20" r="U19"/>
  <c i="20" r="J19"/>
  <c i="20" r="U18"/>
  <c i="20" r="J18"/>
  <c i="20" r="U17"/>
  <c i="20" r="J17"/>
  <c i="20" r="U16"/>
  <c i="20" r="J16"/>
  <c i="20" r="U15"/>
  <c i="20" r="J15"/>
  <c i="20" r="U14"/>
  <c i="20" r="J14"/>
  <c i="20" r="U13"/>
  <c i="20" r="J13"/>
  <c i="20" r="U12"/>
  <c i="20" r="J12"/>
  <c i="20" r="U11"/>
  <c i="20" r="J11"/>
  <c i="20" r="U10"/>
  <c i="20" r="J10"/>
  <c i="20" r="U9"/>
  <c i="20" r="J9"/>
  <c i="20" r="U8"/>
  <c i="20" r="J8"/>
  <c i="23" l="1" r="F21"/>
  <c i="23" r="F26"/>
  <c i="23" r="F25"/>
  <c i="23" r="F23"/>
  <c i="23" r="F24"/>
  <c i="23" r="F27"/>
  <c i="23" r="F29"/>
  <c i="23" r="F30"/>
  <c i="23" r="F20"/>
  <c i="23" r="F28"/>
  <c i="23" r="F22"/>
  <c i="23" r="E12"/>
  <c i="23" r="E26"/>
  <c i="23" r="G26" s="1"/>
  <c i="23" r="E29"/>
  <c i="23" r="G29" s="1"/>
  <c i="23" r="E22"/>
  <c i="23" r="G22" s="1"/>
  <c i="23" r="E27"/>
  <c i="23" r="G27" s="1"/>
  <c i="23" r="E24"/>
  <c i="23" r="G24" s="1"/>
  <c i="23" r="E28"/>
  <c i="23" r="G28" s="1"/>
  <c i="23" r="E21"/>
  <c i="23" r="G21" s="1"/>
  <c i="23" r="E23"/>
  <c i="23" r="G23" s="1"/>
  <c i="23" r="I23" s="1"/>
  <c i="23" r="N23" s="1"/>
  <c i="23" r="U6" s="1"/>
  <c i="23" r="E20"/>
  <c i="23" r="G20" s="1"/>
  <c i="23" r="E25"/>
  <c i="23" r="G25" s="1"/>
  <c i="23" r="I25" s="1"/>
  <c i="23" r="N25" s="1"/>
  <c i="23" r="U8" s="1"/>
  <c i="23" r="E30"/>
  <c i="23" r="G30" s="1"/>
  <c i="23" r="F45"/>
  <c i="23" r="F40"/>
  <c i="23" r="E41"/>
  <c i="23" r="G41" s="1"/>
  <c i="23" r="E11"/>
  <c i="23" r="E7"/>
  <c i="23" r="E14"/>
  <c i="23" r="E9"/>
  <c i="23" r="E6"/>
  <c i="23" r="G6" s="1"/>
  <c i="23" r="E8"/>
  <c i="23" r="E5"/>
  <c i="23" r="G5" s="1"/>
  <c i="23" r="E4"/>
  <c i="23" r="E13"/>
  <c i="23" r="E44"/>
  <c i="23" r="G44" s="1"/>
  <c i="23" r="E46"/>
  <c i="23" r="G46" s="1"/>
  <c i="23" r="E37"/>
  <c i="23" r="G37" s="1"/>
  <c i="23" r="E45"/>
  <c i="23" r="E38"/>
  <c i="23" r="G38" s="1"/>
  <c i="23" r="E39"/>
  <c i="23" r="G39" s="1"/>
  <c i="23" r="E47"/>
  <c i="23" r="G47" s="1"/>
  <c i="23" r="E43"/>
  <c i="23" r="G43" s="1"/>
  <c i="23" r="E42"/>
  <c i="23" r="G42" s="1"/>
  <c i="23" r="E40"/>
  <c i="23" r="G40" s="1"/>
  <c i="23" r="F9"/>
  <c i="23" r="F14"/>
  <c i="23" r="F10"/>
  <c i="23" r="G10" s="1"/>
  <c i="23" r="F13"/>
  <c i="23" r="F11"/>
  <c i="23" r="F8"/>
  <c i="23" r="F6"/>
  <c i="23" r="F4"/>
  <c i="23" r="F12"/>
  <c i="23" r="F7"/>
  <c i="23" r="F5"/>
  <c i="19" r="U58"/>
  <c i="19" r="J58"/>
  <c i="19" r="U57"/>
  <c i="19" r="J57"/>
  <c i="19" r="U56"/>
  <c i="19" r="J56"/>
  <c i="19" r="U55"/>
  <c i="19" r="J55"/>
  <c i="19" r="U54"/>
  <c i="19" r="J54"/>
  <c i="19" r="U53"/>
  <c i="19" r="J53"/>
  <c i="19" r="U52"/>
  <c i="19" r="J52"/>
  <c i="19" r="U51"/>
  <c i="19" r="J51"/>
  <c i="19" r="U50"/>
  <c i="19" r="J50"/>
  <c i="19" r="U49"/>
  <c i="19" r="J49"/>
  <c i="19" r="U48"/>
  <c i="19" r="J48"/>
  <c i="19" r="U47"/>
  <c i="19" r="J47"/>
  <c i="19" r="U46"/>
  <c i="19" r="J46"/>
  <c i="19" r="U45"/>
  <c i="19" r="J45"/>
  <c i="19" r="U44"/>
  <c i="19" r="J44"/>
  <c i="19" r="U43"/>
  <c i="19" r="J43"/>
  <c i="19" r="U42"/>
  <c i="19" r="J42"/>
  <c i="19" r="U41"/>
  <c i="19" r="J41"/>
  <c i="19" r="U40"/>
  <c i="19" r="J40"/>
  <c i="19" r="U39"/>
  <c i="19" r="J39"/>
  <c i="19" r="U38"/>
  <c i="19" r="J38"/>
  <c i="19" r="U37"/>
  <c i="19" r="J37"/>
  <c i="19" r="U36"/>
  <c i="19" r="J36"/>
  <c i="19" r="U35"/>
  <c i="19" r="J35"/>
  <c i="19" r="U34"/>
  <c i="19" r="J34"/>
  <c i="19" r="U33"/>
  <c i="19" r="J33"/>
  <c i="19" r="U32"/>
  <c i="19" r="J32"/>
  <c i="19" r="U31"/>
  <c i="19" r="J31"/>
  <c i="19" r="U30"/>
  <c i="19" r="J30"/>
  <c i="19" r="U29"/>
  <c i="19" r="J29"/>
  <c i="19" r="U28"/>
  <c i="19" r="J28"/>
  <c i="19" r="U27"/>
  <c i="19" r="J27"/>
  <c i="19" r="U26"/>
  <c i="19" r="J26"/>
  <c i="19" r="U25"/>
  <c i="19" r="J25"/>
  <c i="19" r="U24"/>
  <c i="19" r="J24"/>
  <c i="19" r="U23"/>
  <c i="19" r="J23"/>
  <c i="19" r="U22"/>
  <c i="19" r="J22"/>
  <c i="19" r="U21"/>
  <c i="19" r="J21"/>
  <c i="19" r="U20"/>
  <c i="19" r="J20"/>
  <c i="19" r="U19"/>
  <c i="19" r="J19"/>
  <c i="19" r="U18"/>
  <c i="19" r="J18"/>
  <c i="19" r="U17"/>
  <c i="19" r="J17"/>
  <c i="19" r="U16"/>
  <c i="19" r="J16"/>
  <c i="19" r="U15"/>
  <c i="19" r="J15"/>
  <c i="19" r="U14"/>
  <c i="19" r="J14"/>
  <c i="19" r="U13"/>
  <c i="19" r="J13"/>
  <c i="19" r="U12"/>
  <c i="19" r="J12"/>
  <c i="19" r="U11"/>
  <c i="19" r="J11"/>
  <c i="19" r="U10"/>
  <c i="19" r="J10"/>
  <c i="19" r="U9"/>
  <c i="19" r="J9"/>
  <c i="19" r="U8"/>
  <c i="19" r="J8"/>
  <c i="23" l="1" r="G7"/>
  <c i="23" r="I20"/>
  <c i="23" r="N20" s="1"/>
  <c i="23" r="U3" s="1"/>
  <c i="23" r="I21"/>
  <c i="23" r="N21" s="1"/>
  <c i="23" r="U4" s="1"/>
  <c i="23" r="I28"/>
  <c i="23" r="N28" s="1"/>
  <c i="23" r="U11" s="1"/>
  <c i="23" r="I24"/>
  <c i="23" r="N24" s="1"/>
  <c i="23" r="U7" s="1"/>
  <c i="23" r="I27"/>
  <c i="23" r="N27" s="1"/>
  <c i="23" r="U10" s="1"/>
  <c i="23" r="G45"/>
  <c i="23" r="I22"/>
  <c i="23" r="N22" s="1"/>
  <c i="23" r="U5" s="1"/>
  <c i="23" r="I29"/>
  <c i="23" r="N29" s="1"/>
  <c i="23" r="U12" s="1"/>
  <c i="23" r="I26"/>
  <c i="23" r="N26" s="1"/>
  <c i="23" r="U9" s="1"/>
  <c i="23" r="G12"/>
  <c i="23" r="G11"/>
  <c i="23" r="G14"/>
  <c i="23" r="G9"/>
  <c i="23" r="I43"/>
  <c i="23" r="I39"/>
  <c i="23" r="I38"/>
  <c i="23" r="I45"/>
  <c i="23" r="I37"/>
  <c i="23" r="I42"/>
  <c i="23" r="I46"/>
  <c i="23" r="I44"/>
  <c i="23" r="I40"/>
  <c i="23" r="G8"/>
  <c i="23" r="I11" s="1"/>
  <c i="23" r="N11" s="1"/>
  <c i="23" r="U20" s="1"/>
  <c i="23" r="I41"/>
  <c i="23" r="G13"/>
  <c i="23" r="G4"/>
  <c i="13" r="L57"/>
  <c i="13" r="L111" s="1"/>
  <c i="13" r="K57"/>
  <c i="13" r="K112" s="1"/>
  <c i="13" r="J57"/>
  <c i="13" r="J113" s="1"/>
  <c i="13" r="I57"/>
  <c i="13" r="I110" s="1"/>
  <c i="13" r="E57"/>
  <c i="13" r="E112" s="1"/>
  <c i="13" r="D57"/>
  <c i="13" r="D113" s="1"/>
  <c i="13" r="C57"/>
  <c i="13" r="C110" s="1"/>
  <c i="13" r="B57"/>
  <c i="13" r="B111" s="1"/>
  <c i="3" r="L59"/>
  <c i="3" r="L115" s="1"/>
  <c i="3" r="K59"/>
  <c i="3" r="K106" s="1"/>
  <c i="3" r="J59"/>
  <c i="3" r="J115" s="1"/>
  <c i="3" r="I59"/>
  <c i="3" r="I115" s="1"/>
  <c i="3" r="E59"/>
  <c i="3" r="E115" s="1"/>
  <c i="3" r="D59"/>
  <c i="3" r="D112" s="1"/>
  <c i="3" r="C59"/>
  <c i="3" r="C114" s="1"/>
  <c i="3" r="B59"/>
  <c i="3" r="B113" s="1"/>
  <c i="12" r="L59"/>
  <c i="12" r="L115" s="1"/>
  <c i="12" r="K59"/>
  <c i="12" r="K112" s="1"/>
  <c i="12" r="J59"/>
  <c i="12" r="J113" s="1"/>
  <c i="12" r="I59"/>
  <c i="12" r="I113" s="1"/>
  <c i="12" r="E59"/>
  <c i="12" r="E110" s="1"/>
  <c i="12" r="D59"/>
  <c i="12" r="D115" s="1"/>
  <c i="12" r="C59"/>
  <c i="12" r="C114" s="1"/>
  <c i="12" r="B59"/>
  <c i="12" r="B115" s="1"/>
  <c i="18" r="U9"/>
  <c i="18" r="U10"/>
  <c i="18" r="U11"/>
  <c i="18" r="U12"/>
  <c i="18" r="U13"/>
  <c i="18" r="U14"/>
  <c i="18" r="U15"/>
  <c i="18" r="U16"/>
  <c i="18" r="U17"/>
  <c i="18" r="U18"/>
  <c i="18" r="U19"/>
  <c i="18" r="U20"/>
  <c i="18" r="U21"/>
  <c i="18" r="U22"/>
  <c i="18" r="U23"/>
  <c i="18" r="U24"/>
  <c i="18" r="U25"/>
  <c i="18" r="U26"/>
  <c i="18" r="U27"/>
  <c i="18" r="U28"/>
  <c i="18" r="U29"/>
  <c i="18" r="U30"/>
  <c i="18" r="U31"/>
  <c i="18" r="U32"/>
  <c i="18" r="U33"/>
  <c i="18" r="U34"/>
  <c i="18" r="U35"/>
  <c i="18" r="U36"/>
  <c i="18" r="U37"/>
  <c i="18" r="U38"/>
  <c i="18" r="U39"/>
  <c i="18" r="U40"/>
  <c i="18" r="U41"/>
  <c i="18" r="U42"/>
  <c i="18" r="U43"/>
  <c i="18" r="U44"/>
  <c i="18" r="U45"/>
  <c i="18" r="U46"/>
  <c i="18" r="U47"/>
  <c i="18" r="U48"/>
  <c i="18" r="U49"/>
  <c i="18" r="U50"/>
  <c i="18" r="U51"/>
  <c i="18" r="U52"/>
  <c i="18" r="U53"/>
  <c i="18" r="U54"/>
  <c i="18" r="U55"/>
  <c i="18" r="U56"/>
  <c i="18" r="U57"/>
  <c i="18" r="U58"/>
  <c i="18" r="U8"/>
  <c i="17" r="U9"/>
  <c i="17" r="U10"/>
  <c i="17" r="U11"/>
  <c i="17" r="U12"/>
  <c i="17" r="U13"/>
  <c i="17" r="U14"/>
  <c i="17" r="U15"/>
  <c i="17" r="U16"/>
  <c i="17" r="U17"/>
  <c i="17" r="U18"/>
  <c i="17" r="U19"/>
  <c i="17" r="U20"/>
  <c i="17" r="U21"/>
  <c i="17" r="U22"/>
  <c i="17" r="U23"/>
  <c i="17" r="U24"/>
  <c i="17" r="U25"/>
  <c i="17" r="U26"/>
  <c i="17" r="U27"/>
  <c i="17" r="U28"/>
  <c i="17" r="U29"/>
  <c i="17" r="U30"/>
  <c i="17" r="U31"/>
  <c i="17" r="U32"/>
  <c i="17" r="U33"/>
  <c i="17" r="U34"/>
  <c i="17" r="U35"/>
  <c i="17" r="U36"/>
  <c i="17" r="U37"/>
  <c i="17" r="U38"/>
  <c i="17" r="U39"/>
  <c i="17" r="U40"/>
  <c i="17" r="U41"/>
  <c i="17" r="U42"/>
  <c i="17" r="U43"/>
  <c i="17" r="U44"/>
  <c i="17" r="U45"/>
  <c i="17" r="U46"/>
  <c i="17" r="U47"/>
  <c i="17" r="U48"/>
  <c i="17" r="U49"/>
  <c i="17" r="U50"/>
  <c i="17" r="U51"/>
  <c i="17" r="U52"/>
  <c i="17" r="U53"/>
  <c i="17" r="U54"/>
  <c i="17" r="U55"/>
  <c i="17" r="U56"/>
  <c i="17" r="U57"/>
  <c i="17" r="U58"/>
  <c i="17" r="U8"/>
  <c i="16" r="U9"/>
  <c i="16" r="U10"/>
  <c i="16" r="U11"/>
  <c i="16" r="U12"/>
  <c i="16" r="U13"/>
  <c i="16" r="U14"/>
  <c i="16" r="U15"/>
  <c i="16" r="U16"/>
  <c i="16" r="U17"/>
  <c i="16" r="U18"/>
  <c i="16" r="U19"/>
  <c i="16" r="U20"/>
  <c i="16" r="U21"/>
  <c i="16" r="U22"/>
  <c i="16" r="U23"/>
  <c i="16" r="U24"/>
  <c i="16" r="U25"/>
  <c i="16" r="U26"/>
  <c i="16" r="U27"/>
  <c i="16" r="U28"/>
  <c i="16" r="U29"/>
  <c i="16" r="U30"/>
  <c i="16" r="U31"/>
  <c i="16" r="U32"/>
  <c i="16" r="U33"/>
  <c i="16" r="U34"/>
  <c i="16" r="U35"/>
  <c i="16" r="U36"/>
  <c i="16" r="U37"/>
  <c i="16" r="U38"/>
  <c i="16" r="U39"/>
  <c i="16" r="U40"/>
  <c i="16" r="U41"/>
  <c i="16" r="U42"/>
  <c i="16" r="U43"/>
  <c i="16" r="U44"/>
  <c i="16" r="U45"/>
  <c i="16" r="U46"/>
  <c i="16" r="U47"/>
  <c i="16" r="U48"/>
  <c i="16" r="U49"/>
  <c i="16" r="U50"/>
  <c i="16" r="U51"/>
  <c i="16" r="U52"/>
  <c i="16" r="U53"/>
  <c i="16" r="U54"/>
  <c i="16" r="U55"/>
  <c i="16" r="U56"/>
  <c i="16" r="U57"/>
  <c i="16" r="U58"/>
  <c i="16" r="U8"/>
  <c i="15" r="U9"/>
  <c i="15" r="U10"/>
  <c i="15" r="U11"/>
  <c i="15" r="U12"/>
  <c i="15" r="U13"/>
  <c i="15" r="U14"/>
  <c i="15" r="U15"/>
  <c i="15" r="U16"/>
  <c i="15" r="U17"/>
  <c i="15" r="U18"/>
  <c i="15" r="U19"/>
  <c i="15" r="U20"/>
  <c i="15" r="U21"/>
  <c i="15" r="U22"/>
  <c i="15" r="U23"/>
  <c i="15" r="U24"/>
  <c i="15" r="U25"/>
  <c i="15" r="U26"/>
  <c i="15" r="U27"/>
  <c i="15" r="U28"/>
  <c i="15" r="U29"/>
  <c i="15" r="U30"/>
  <c i="15" r="U31"/>
  <c i="15" r="U32"/>
  <c i="15" r="U33"/>
  <c i="15" r="U34"/>
  <c i="15" r="U35"/>
  <c i="15" r="U36"/>
  <c i="15" r="U37"/>
  <c i="15" r="U38"/>
  <c i="15" r="U39"/>
  <c i="15" r="U40"/>
  <c i="15" r="U41"/>
  <c i="15" r="U42"/>
  <c i="15" r="U43"/>
  <c i="15" r="U44"/>
  <c i="15" r="U45"/>
  <c i="15" r="U46"/>
  <c i="15" r="U47"/>
  <c i="15" r="U48"/>
  <c i="15" r="U49"/>
  <c i="15" r="U50"/>
  <c i="15" r="U51"/>
  <c i="15" r="U52"/>
  <c i="15" r="U53"/>
  <c i="15" r="U54"/>
  <c i="15" r="U55"/>
  <c i="15" r="U56"/>
  <c i="15" r="U57"/>
  <c i="15" r="U58"/>
  <c i="15" r="U8"/>
  <c i="13" r="M9"/>
  <c i="13" r="M10"/>
  <c i="13" r="M11"/>
  <c i="13" r="M12"/>
  <c i="13" r="M13"/>
  <c i="13" r="M14"/>
  <c i="13" r="M15"/>
  <c i="13" r="M16"/>
  <c i="13" r="M17"/>
  <c i="13" r="M18"/>
  <c i="13" r="M19"/>
  <c i="13" r="M20"/>
  <c i="13" r="M21"/>
  <c i="13" r="M22"/>
  <c i="13" r="M23"/>
  <c i="13" r="M24"/>
  <c i="13" r="M25"/>
  <c i="13" r="M26"/>
  <c i="13" r="M27"/>
  <c i="13" r="M28"/>
  <c i="13" r="M29"/>
  <c i="13" r="M30"/>
  <c i="13" r="M31"/>
  <c i="13" r="M32"/>
  <c i="13" r="M33"/>
  <c i="13" r="M34"/>
  <c i="13" r="M35"/>
  <c i="13" r="M36"/>
  <c i="13" r="M37"/>
  <c i="13" r="M38"/>
  <c i="13" r="M39"/>
  <c i="13" r="M40"/>
  <c i="13" r="M41"/>
  <c i="13" r="M42"/>
  <c i="13" r="M43"/>
  <c i="13" r="M44"/>
  <c i="13" r="M45"/>
  <c i="13" r="M46"/>
  <c i="13" r="M47"/>
  <c i="13" r="M48"/>
  <c i="13" r="M49"/>
  <c i="13" r="M50"/>
  <c i="13" r="M51"/>
  <c i="13" r="M52"/>
  <c i="13" r="M53"/>
  <c i="13" r="M54"/>
  <c i="13" r="M55"/>
  <c i="13" r="M56"/>
  <c i="13" r="M8"/>
  <c i="3" r="M9"/>
  <c i="3" r="M10"/>
  <c i="3" r="M11"/>
  <c i="3" r="M12"/>
  <c i="3" r="M13"/>
  <c i="3" r="M14"/>
  <c i="3" r="M15"/>
  <c i="3" r="M16"/>
  <c i="3" r="M17"/>
  <c i="3" r="M18"/>
  <c i="3" r="M19"/>
  <c i="3" r="M20"/>
  <c i="3" r="M21"/>
  <c i="3" r="M22"/>
  <c i="3" r="M23"/>
  <c i="3" r="M24"/>
  <c i="3" r="M25"/>
  <c i="3" r="M26"/>
  <c i="3" r="M27"/>
  <c i="3" r="M28"/>
  <c i="3" r="M29"/>
  <c i="3" r="M30"/>
  <c i="3" r="M31"/>
  <c i="3" r="M32"/>
  <c i="3" r="M33"/>
  <c i="3" r="M34"/>
  <c i="3" r="M35"/>
  <c i="3" r="M36"/>
  <c i="3" r="M37"/>
  <c i="3" r="M38"/>
  <c i="3" r="M39"/>
  <c i="3" r="M40"/>
  <c i="3" r="M41"/>
  <c i="3" r="M42"/>
  <c i="3" r="M43"/>
  <c i="3" r="M44"/>
  <c i="3" r="M45"/>
  <c i="3" r="M46"/>
  <c i="3" r="M47"/>
  <c i="3" r="M48"/>
  <c i="3" r="M49"/>
  <c i="3" r="M50"/>
  <c i="3" r="M51"/>
  <c i="3" r="M52"/>
  <c i="3" r="M53"/>
  <c i="3" r="M54"/>
  <c i="3" r="M55"/>
  <c i="3" r="M56"/>
  <c i="3" r="M57"/>
  <c i="3" r="M58"/>
  <c i="3" r="M8"/>
  <c i="12" r="M9"/>
  <c i="12" r="M10"/>
  <c i="12" r="M11"/>
  <c i="12" r="M12"/>
  <c i="12" r="M13"/>
  <c i="12" r="M14"/>
  <c i="12" r="M15"/>
  <c i="12" r="M16"/>
  <c i="12" r="M17"/>
  <c i="12" r="M18"/>
  <c i="12" r="M19"/>
  <c i="12" r="M20"/>
  <c i="12" r="M21"/>
  <c i="12" r="M22"/>
  <c i="12" r="M23"/>
  <c i="12" r="M24"/>
  <c i="12" r="M25"/>
  <c i="12" r="M26"/>
  <c i="12" r="M27"/>
  <c i="12" r="M28"/>
  <c i="12" r="M29"/>
  <c i="12" r="M30"/>
  <c i="12" r="M31"/>
  <c i="12" r="M32"/>
  <c i="12" r="M33"/>
  <c i="12" r="M34"/>
  <c i="12" r="M35"/>
  <c i="12" r="M36"/>
  <c i="12" r="M37"/>
  <c i="12" r="M38"/>
  <c i="12" r="M39"/>
  <c i="12" r="M40"/>
  <c i="12" r="M41"/>
  <c i="12" r="M42"/>
  <c i="12" r="M43"/>
  <c i="12" r="M44"/>
  <c i="12" r="M45"/>
  <c i="12" r="M46"/>
  <c i="12" r="M47"/>
  <c i="12" r="M48"/>
  <c i="12" r="M49"/>
  <c i="12" r="M50"/>
  <c i="12" r="M51"/>
  <c i="12" r="M52"/>
  <c i="12" r="M53"/>
  <c i="12" r="M54"/>
  <c i="12" r="M55"/>
  <c i="12" r="M56"/>
  <c i="12" r="M57"/>
  <c i="12" r="M58"/>
  <c i="12" r="M8"/>
  <c i="18" r="J58"/>
  <c i="18" r="J57"/>
  <c i="18" r="J56"/>
  <c i="18" r="J55"/>
  <c i="18" r="J54"/>
  <c i="18" r="J53"/>
  <c i="18" r="J52"/>
  <c i="18" r="J51"/>
  <c i="18" r="J50"/>
  <c i="18" r="J49"/>
  <c i="18" r="J48"/>
  <c i="18" r="J47"/>
  <c i="18" r="J46"/>
  <c i="18" r="J45"/>
  <c i="18" r="J44"/>
  <c i="18" r="J43"/>
  <c i="18" r="J42"/>
  <c i="18" r="J41"/>
  <c i="18" r="J40"/>
  <c i="18" r="J39"/>
  <c i="18" r="J38"/>
  <c i="18" r="J37"/>
  <c i="18" r="J36"/>
  <c i="18" r="J35"/>
  <c i="18" r="J34"/>
  <c i="18" r="J33"/>
  <c i="18" r="J32"/>
  <c i="18" r="J31"/>
  <c i="18" r="J30"/>
  <c i="18" r="J29"/>
  <c i="18" r="J28"/>
  <c i="18" r="J27"/>
  <c i="18" r="J26"/>
  <c i="18" r="J25"/>
  <c i="18" r="J24"/>
  <c i="18" r="J23"/>
  <c i="18" r="J22"/>
  <c i="18" r="J21"/>
  <c i="18" r="J20"/>
  <c i="18" r="J19"/>
  <c i="18" r="J18"/>
  <c i="18" r="J17"/>
  <c i="18" r="J16"/>
  <c i="18" r="J15"/>
  <c i="18" r="J14"/>
  <c i="18" r="J13"/>
  <c i="18" r="J12"/>
  <c i="18" r="J11"/>
  <c i="18" r="J10"/>
  <c i="18" r="J9"/>
  <c i="18" r="J8"/>
  <c i="17" r="J58"/>
  <c i="17" r="J57"/>
  <c i="17" r="J56"/>
  <c i="17" r="J55"/>
  <c i="17" r="J54"/>
  <c i="17" r="J53"/>
  <c i="17" r="J52"/>
  <c i="17" r="J51"/>
  <c i="17" r="J50"/>
  <c i="17" r="J49"/>
  <c i="17" r="J48"/>
  <c i="17" r="J47"/>
  <c i="17" r="J46"/>
  <c i="17" r="J45"/>
  <c i="17" r="J44"/>
  <c i="17" r="J43"/>
  <c i="17" r="J42"/>
  <c i="17" r="J41"/>
  <c i="17" r="J40"/>
  <c i="17" r="J39"/>
  <c i="17" r="J38"/>
  <c i="17" r="J37"/>
  <c i="17" r="J36"/>
  <c i="17" r="J35"/>
  <c i="17" r="J34"/>
  <c i="17" r="J33"/>
  <c i="17" r="J32"/>
  <c i="17" r="J31"/>
  <c i="17" r="J30"/>
  <c i="17" r="J29"/>
  <c i="17" r="J28"/>
  <c i="17" r="J27"/>
  <c i="17" r="J26"/>
  <c i="17" r="J25"/>
  <c i="17" r="J24"/>
  <c i="17" r="J23"/>
  <c i="17" r="J22"/>
  <c i="17" r="J21"/>
  <c i="17" r="J20"/>
  <c i="17" r="J19"/>
  <c i="17" r="J18"/>
  <c i="17" r="J17"/>
  <c i="17" r="J16"/>
  <c i="17" r="J15"/>
  <c i="17" r="J14"/>
  <c i="17" r="J13"/>
  <c i="17" r="J12"/>
  <c i="17" r="J11"/>
  <c i="17" r="J10"/>
  <c i="17" r="J9"/>
  <c i="17" r="J8"/>
  <c i="16" r="J58"/>
  <c i="16" r="J57"/>
  <c i="16" r="J56"/>
  <c i="16" r="J55"/>
  <c i="16" r="J54"/>
  <c i="16" r="J53"/>
  <c i="16" r="J52"/>
  <c i="16" r="J51"/>
  <c i="16" r="J50"/>
  <c i="16" r="J49"/>
  <c i="16" r="J48"/>
  <c i="16" r="J47"/>
  <c i="16" r="J46"/>
  <c i="16" r="J45"/>
  <c i="16" r="J44"/>
  <c i="16" r="J43"/>
  <c i="16" r="J42"/>
  <c i="16" r="J41"/>
  <c i="16" r="J40"/>
  <c i="16" r="J39"/>
  <c i="16" r="J38"/>
  <c i="16" r="J37"/>
  <c i="16" r="J36"/>
  <c i="16" r="J35"/>
  <c i="16" r="J34"/>
  <c i="16" r="J33"/>
  <c i="16" r="J32"/>
  <c i="16" r="J31"/>
  <c i="16" r="J30"/>
  <c i="16" r="J29"/>
  <c i="16" r="J28"/>
  <c i="16" r="J27"/>
  <c i="16" r="J26"/>
  <c i="16" r="J25"/>
  <c i="16" r="J24"/>
  <c i="16" r="J23"/>
  <c i="16" r="J22"/>
  <c i="16" r="J21"/>
  <c i="16" r="J20"/>
  <c i="16" r="J19"/>
  <c i="16" r="J18"/>
  <c i="16" r="J17"/>
  <c i="16" r="J16"/>
  <c i="16" r="J15"/>
  <c i="16" r="J14"/>
  <c i="16" r="J13"/>
  <c i="16" r="J12"/>
  <c i="16" r="J11"/>
  <c i="16" r="J10"/>
  <c i="16" r="J9"/>
  <c i="16" r="J8"/>
  <c i="15" r="J9"/>
  <c i="15" r="J10"/>
  <c i="15" r="J11"/>
  <c i="15" r="J12"/>
  <c i="15" r="J13"/>
  <c i="15" r="J14"/>
  <c i="15" r="J15"/>
  <c i="15" r="J16"/>
  <c i="15" r="J17"/>
  <c i="15" r="J18"/>
  <c i="15" r="J19"/>
  <c i="15" r="J20"/>
  <c i="15" r="J21"/>
  <c i="15" r="J22"/>
  <c i="15" r="J23"/>
  <c i="15" r="J24"/>
  <c i="15" r="J25"/>
  <c i="15" r="J26"/>
  <c i="15" r="J27"/>
  <c i="15" r="J28"/>
  <c i="15" r="J29"/>
  <c i="15" r="J30"/>
  <c i="15" r="J31"/>
  <c i="15" r="J32"/>
  <c i="15" r="J33"/>
  <c i="15" r="J34"/>
  <c i="15" r="J35"/>
  <c i="15" r="J36"/>
  <c i="15" r="J37"/>
  <c i="15" r="J38"/>
  <c i="15" r="J39"/>
  <c i="15" r="J40"/>
  <c i="15" r="J41"/>
  <c i="15" r="J42"/>
  <c i="15" r="J43"/>
  <c i="15" r="J44"/>
  <c i="15" r="J45"/>
  <c i="15" r="J46"/>
  <c i="15" r="J47"/>
  <c i="15" r="J48"/>
  <c i="15" r="J49"/>
  <c i="15" r="J50"/>
  <c i="15" r="J51"/>
  <c i="15" r="J52"/>
  <c i="15" r="J53"/>
  <c i="15" r="J54"/>
  <c i="15" r="J55"/>
  <c i="15" r="J56"/>
  <c i="15" r="J57"/>
  <c i="15" r="J58"/>
  <c i="15" r="J8"/>
  <c i="13" r="F9"/>
  <c i="13" r="F10"/>
  <c i="13" r="F11"/>
  <c i="13" r="F12"/>
  <c i="13" r="F13"/>
  <c i="13" r="F14"/>
  <c i="13" r="F15"/>
  <c i="13" r="F16"/>
  <c i="13" r="F17"/>
  <c i="13" r="F18"/>
  <c i="13" r="F19"/>
  <c i="13" r="F20"/>
  <c i="13" r="F21"/>
  <c i="13" r="F22"/>
  <c i="13" r="F23"/>
  <c i="13" r="F24"/>
  <c i="13" r="F25"/>
  <c i="13" r="F26"/>
  <c i="13" r="F27"/>
  <c i="13" r="F28"/>
  <c i="13" r="F29"/>
  <c i="13" r="F30"/>
  <c i="13" r="F31"/>
  <c i="13" r="F32"/>
  <c i="13" r="F33"/>
  <c i="13" r="F34"/>
  <c i="13" r="F35"/>
  <c i="13" r="F36"/>
  <c i="13" r="F37"/>
  <c i="13" r="F38"/>
  <c i="13" r="F39"/>
  <c i="13" r="F40"/>
  <c i="13" r="F41"/>
  <c i="13" r="F42"/>
  <c i="13" r="F43"/>
  <c i="13" r="F44"/>
  <c i="13" r="F45"/>
  <c i="13" r="F46"/>
  <c i="13" r="F47"/>
  <c i="13" r="F48"/>
  <c i="13" r="F49"/>
  <c i="13" r="F50"/>
  <c i="13" r="F51"/>
  <c i="13" r="F52"/>
  <c i="13" r="F53"/>
  <c i="13" r="F54"/>
  <c i="13" r="F55"/>
  <c i="13" r="F56"/>
  <c i="13" r="F8"/>
  <c i="3" r="F58"/>
  <c i="3" r="F57"/>
  <c i="3" r="F56"/>
  <c i="3" r="F55"/>
  <c i="3" r="F54"/>
  <c i="3" r="F53"/>
  <c i="3" r="F52"/>
  <c i="3" r="F51"/>
  <c i="3" r="F50"/>
  <c i="3" r="F49"/>
  <c i="3" r="F48"/>
  <c i="3" r="F47"/>
  <c i="3" r="F46"/>
  <c i="3" r="F45"/>
  <c i="3" r="F44"/>
  <c i="3" r="F43"/>
  <c i="3" r="F42"/>
  <c i="3" r="F41"/>
  <c i="3" r="F40"/>
  <c i="3" r="F39"/>
  <c i="3" r="F38"/>
  <c i="3" r="F37"/>
  <c i="3" r="F36"/>
  <c i="3" r="F35"/>
  <c i="3" r="F34"/>
  <c i="3" r="F33"/>
  <c i="3" r="F32"/>
  <c i="3" r="F31"/>
  <c i="3" r="F30"/>
  <c i="3" r="F29"/>
  <c i="3" r="F28"/>
  <c i="3" r="F27"/>
  <c i="3" r="F26"/>
  <c i="3" r="F25"/>
  <c i="3" r="F24"/>
  <c i="3" r="F23"/>
  <c i="3" r="F22"/>
  <c i="3" r="F21"/>
  <c i="3" r="F20"/>
  <c i="3" r="F19"/>
  <c i="3" r="F18"/>
  <c i="3" r="F17"/>
  <c i="3" r="F16"/>
  <c i="3" r="F15"/>
  <c i="3" r="F14"/>
  <c i="3" r="F13"/>
  <c i="3" r="F12"/>
  <c i="3" r="F11"/>
  <c i="3" r="F10"/>
  <c i="3" r="F9"/>
  <c i="3" r="F8"/>
  <c i="12" r="F9"/>
  <c i="12" r="F10"/>
  <c i="12" r="F11"/>
  <c i="12" r="F12"/>
  <c i="12" r="F13"/>
  <c i="12" r="F14"/>
  <c i="12" r="F15"/>
  <c i="12" r="F16"/>
  <c i="12" r="F17"/>
  <c i="12" r="F18"/>
  <c i="12" r="F19"/>
  <c i="12" r="F20"/>
  <c i="12" r="F21"/>
  <c i="12" r="F22"/>
  <c i="12" r="F23"/>
  <c i="12" r="F24"/>
  <c i="12" r="F25"/>
  <c i="12" r="F26"/>
  <c i="12" r="F27"/>
  <c i="12" r="F28"/>
  <c i="12" r="F29"/>
  <c i="12" r="F30"/>
  <c i="12" r="F31"/>
  <c i="12" r="F32"/>
  <c i="12" r="F33"/>
  <c i="12" r="F34"/>
  <c i="12" r="F35"/>
  <c i="12" r="F36"/>
  <c i="12" r="F37"/>
  <c i="12" r="F38"/>
  <c i="12" r="F39"/>
  <c i="12" r="F40"/>
  <c i="12" r="F41"/>
  <c i="12" r="F42"/>
  <c i="12" r="F43"/>
  <c i="12" r="F44"/>
  <c i="12" r="F45"/>
  <c i="12" r="F46"/>
  <c i="12" r="F47"/>
  <c i="12" r="F48"/>
  <c i="12" r="F49"/>
  <c i="12" r="F50"/>
  <c i="12" r="F51"/>
  <c i="12" r="F52"/>
  <c i="12" r="F53"/>
  <c i="12" r="F54"/>
  <c i="12" r="F55"/>
  <c i="12" r="F56"/>
  <c i="12" r="F57"/>
  <c i="12" r="F58"/>
  <c i="12" r="F8"/>
  <c i="23" l="1" r="U26"/>
  <c i="23" r="N40"/>
  <c i="23" r="U30"/>
  <c i="23" r="N44"/>
  <c i="23" r="U32"/>
  <c i="23" r="N46"/>
  <c i="23" r="U28"/>
  <c i="23" r="N42"/>
  <c i="23" r="U23"/>
  <c i="23" r="N37"/>
  <c i="23" r="U31"/>
  <c i="23" r="N45"/>
  <c i="23" r="U24"/>
  <c i="23" r="N38"/>
  <c i="23" r="U25"/>
  <c i="23" r="N39"/>
  <c i="23" r="U29"/>
  <c i="23" r="N43"/>
  <c i="23" r="U27"/>
  <c i="23" r="N41"/>
  <c i="23" r="I9"/>
  <c i="23" r="N9" s="1"/>
  <c i="23" r="U18" s="1"/>
  <c i="23" r="I13"/>
  <c i="23" r="N13" s="1"/>
  <c i="23" r="U22" s="1"/>
  <c i="23" r="I8"/>
  <c i="23" r="N8" s="1"/>
  <c i="23" r="U17" s="1"/>
  <c i="23" r="I6"/>
  <c i="23" r="N6" s="1"/>
  <c i="23" r="U15" s="1"/>
  <c i="3" r="K110"/>
  <c i="3" r="K89"/>
  <c i="23" r="I10"/>
  <c i="23" r="N10" s="1"/>
  <c i="23" r="U19" s="1"/>
  <c i="3" r="L89"/>
  <c i="3" r="L91"/>
  <c i="23" r="I12"/>
  <c i="23" r="N12" s="1"/>
  <c i="23" r="U21" s="1"/>
  <c i="3" r="L94"/>
  <c i="23" r="I5"/>
  <c i="23" r="N5" s="1"/>
  <c i="23" r="U14" s="1"/>
  <c i="3" r="K100"/>
  <c i="23" r="I7"/>
  <c i="23" r="N7" s="1"/>
  <c i="23" r="U16" s="1"/>
  <c i="3" r="K103"/>
  <c i="23" r="I4"/>
  <c i="23" r="N4" s="1"/>
  <c i="23" r="U13" s="1"/>
  <c i="3" r="L114"/>
  <c i="3" r="D78"/>
  <c i="3" r="L80"/>
  <c i="3" r="L82"/>
  <c i="3" r="D85"/>
  <c i="3" r="E94"/>
  <c i="3" r="D106"/>
  <c i="3" r="E112"/>
  <c i="3" r="B112"/>
  <c i="3" r="D66"/>
  <c i="3" r="D71"/>
  <c i="3" r="L73"/>
  <c i="3" r="K75"/>
  <c i="3" r="L75"/>
  <c i="3" r="K77"/>
  <c i="3" r="J66"/>
  <c i="3" r="J68"/>
  <c i="3" r="C90"/>
  <c i="3" r="C91"/>
  <c i="3" r="C98"/>
  <c i="3" r="C100"/>
  <c i="3" r="B108"/>
  <c i="3" r="B110"/>
  <c i="3" r="B76"/>
  <c i="3" r="C77"/>
  <c i="3" r="B78"/>
  <c i="3" r="L78"/>
  <c i="3" r="B80"/>
  <c i="3" r="C82"/>
  <c i="3" r="C83"/>
  <c i="3" r="C87"/>
  <c i="3" r="L105"/>
  <c i="3" r="L67"/>
  <c i="3" r="L70"/>
  <c i="3" r="L72"/>
  <c i="3" r="L84"/>
  <c i="3" r="L86"/>
  <c i="3" r="L97"/>
  <c i="3" r="L102"/>
  <c i="3" r="L107"/>
  <c i="3" r="L111"/>
  <c i="3" r="L113"/>
  <c i="3" r="L65"/>
  <c i="3" r="K67"/>
  <c i="3" r="L69"/>
  <c i="3" r="K72"/>
  <c i="3" r="L74"/>
  <c i="3" r="L76"/>
  <c i="3" r="L79"/>
  <c i="3" r="L81"/>
  <c i="3" r="L83"/>
  <c i="3" r="K86"/>
  <c i="3" r="L88"/>
  <c i="3" r="L90"/>
  <c i="3" r="L93"/>
  <c i="3" r="L96"/>
  <c i="3" r="L99"/>
  <c i="3" r="L101"/>
  <c i="3" r="L104"/>
  <c i="3" r="K107"/>
  <c i="3" r="L109"/>
  <c i="3" r="K111"/>
  <c i="3" r="L112"/>
  <c i="3" r="L66"/>
  <c i="3" r="L68"/>
  <c i="3" r="L71"/>
  <c i="3" r="J74"/>
  <c i="3" r="L77"/>
  <c i="3" r="K79"/>
  <c i="3" r="K81"/>
  <c i="3" r="L85"/>
  <c i="3" r="L87"/>
  <c i="3" r="L92"/>
  <c i="3" r="L95"/>
  <c i="3" r="L98"/>
  <c i="3" r="L100"/>
  <c i="3" r="L103"/>
  <c i="3" r="L106"/>
  <c i="3" r="L108"/>
  <c i="3" r="L110"/>
  <c i="3" r="D102"/>
  <c i="3" r="E74"/>
  <c i="3" r="E80"/>
  <c i="3" r="E88"/>
  <c i="3" r="E96"/>
  <c i="3" r="E98"/>
  <c i="3" r="E102"/>
  <c i="3" r="E104"/>
  <c i="3" r="E114"/>
  <c i="3" r="E68"/>
  <c i="3" r="E70"/>
  <c i="3" r="E72"/>
  <c i="3" r="D74"/>
  <c i="3" r="E76"/>
  <c i="3" r="D80"/>
  <c i="3" r="D88"/>
  <c i="3" r="D99"/>
  <c i="3" r="D105"/>
  <c i="3" r="E108"/>
  <c i="3" r="E110"/>
  <c i="3" r="E66"/>
  <c i="3" r="D76"/>
  <c i="3" r="E78"/>
  <c i="3" r="C81"/>
  <c i="3" r="E82"/>
  <c i="3" r="E84"/>
  <c i="3" r="E86"/>
  <c i="3" r="C89"/>
  <c i="3" r="E90"/>
  <c i="3" r="E92"/>
  <c i="3" r="C99"/>
  <c i="3" r="E100"/>
  <c i="3" r="C102"/>
  <c i="3" r="C105"/>
  <c i="3" r="E106"/>
  <c i="3" r="C65"/>
  <c i="3" r="C67"/>
  <c i="3" r="C68"/>
  <c i="3" r="C69"/>
  <c i="3" r="C73"/>
  <c i="3" r="C75"/>
  <c i="3" r="J76"/>
  <c i="3" r="C79"/>
  <c i="3" r="J80"/>
  <c i="3" r="J82"/>
  <c i="3" r="J88"/>
  <c i="3" r="J90"/>
  <c i="3" r="C94"/>
  <c i="3" r="C95"/>
  <c i="3" r="J97"/>
  <c i="3" r="J98"/>
  <c i="3" r="J99"/>
  <c i="3" r="J100"/>
  <c i="3" r="J101"/>
  <c i="3" r="J103"/>
  <c i="3" r="J104"/>
  <c i="3" r="J105"/>
  <c i="3" r="J106"/>
  <c i="3" r="C111"/>
  <c i="3" r="D115"/>
  <c i="3" r="C66"/>
  <c i="3" r="C70"/>
  <c i="3" r="C71"/>
  <c i="3" r="C72"/>
  <c i="3" r="C74"/>
  <c i="3" r="J77"/>
  <c i="3" r="C78"/>
  <c i="3" r="J81"/>
  <c i="3" r="J83"/>
  <c i="3" r="J84"/>
  <c i="3" r="J85"/>
  <c i="3" r="J86"/>
  <c i="3" r="J87"/>
  <c i="3" r="J89"/>
  <c i="3" r="J91"/>
  <c i="3" r="J92"/>
  <c i="3" r="C96"/>
  <c i="3" r="C97"/>
  <c i="3" r="C101"/>
  <c i="3" r="C103"/>
  <c i="3" r="J108"/>
  <c i="3" r="J113"/>
  <c i="3" r="C115"/>
  <c i="3" r="J78"/>
  <c i="3" r="J93"/>
  <c i="3" r="J94"/>
  <c i="3" r="J107"/>
  <c i="3" r="J65"/>
  <c i="3" r="J67"/>
  <c i="3" r="J69"/>
  <c i="3" r="J70"/>
  <c i="3" r="J71"/>
  <c i="3" r="J72"/>
  <c i="3" r="J73"/>
  <c i="3" r="J75"/>
  <c i="3" r="C76"/>
  <c i="3" r="J79"/>
  <c i="3" r="C80"/>
  <c i="3" r="C84"/>
  <c i="3" r="C85"/>
  <c i="3" r="C86"/>
  <c i="3" r="C88"/>
  <c i="3" r="C92"/>
  <c i="3" r="C93"/>
  <c i="3" r="J95"/>
  <c i="3" r="J96"/>
  <c i="3" r="J102"/>
  <c i="3" r="C109"/>
  <c i="3" r="J110"/>
  <c i="3" r="J112"/>
  <c i="3" r="D67"/>
  <c i="3" r="K68"/>
  <c i="3" r="D70"/>
  <c i="3" r="K71"/>
  <c i="3" r="D75"/>
  <c i="3" r="D77"/>
  <c i="3" r="D79"/>
  <c i="3" r="D81"/>
  <c i="3" r="K82"/>
  <c i="3" r="D84"/>
  <c i="3" r="K85"/>
  <c i="3" r="D89"/>
  <c i="3" r="K90"/>
  <c i="3" r="K92"/>
  <c i="3" r="K94"/>
  <c i="3" r="K96"/>
  <c i="3" r="D98"/>
  <c i="3" r="K99"/>
  <c i="3" r="D103"/>
  <c i="3" r="D104"/>
  <c i="3" r="K105"/>
  <c i="3" r="D107"/>
  <c i="3" r="K108"/>
  <c i="3" r="K109"/>
  <c i="13" r="D73"/>
  <c i="3" r="K65"/>
  <c i="3" r="D69"/>
  <c i="3" r="K70"/>
  <c i="3" r="D72"/>
  <c i="3" r="K73"/>
  <c i="3" r="D83"/>
  <c i="3" r="K84"/>
  <c i="3" r="D86"/>
  <c i="3" r="K87"/>
  <c i="3" r="D91"/>
  <c i="3" r="B92"/>
  <c i="3" r="D93"/>
  <c i="3" r="B94"/>
  <c i="3" r="D95"/>
  <c i="3" r="B96"/>
  <c i="3" r="D97"/>
  <c i="3" r="K98"/>
  <c i="3" r="D100"/>
  <c i="3" r="K101"/>
  <c i="3" r="K104"/>
  <c i="3" r="C107"/>
  <c i="3" r="D109"/>
  <c i="3" r="D110"/>
  <c i="3" r="K112"/>
  <c i="3" r="K113"/>
  <c i="3" r="K114"/>
  <c i="3" r="K115"/>
  <c i="3" r="D65"/>
  <c i="3" r="K66"/>
  <c i="3" r="D68"/>
  <c i="3" r="K69"/>
  <c i="3" r="D73"/>
  <c i="3" r="K74"/>
  <c i="3" r="K76"/>
  <c i="3" r="K78"/>
  <c i="3" r="K80"/>
  <c i="3" r="D82"/>
  <c i="3" r="K83"/>
  <c i="3" r="D87"/>
  <c i="3" r="K88"/>
  <c i="3" r="D90"/>
  <c i="3" r="K91"/>
  <c i="3" r="D92"/>
  <c i="3" r="K93"/>
  <c i="3" r="D94"/>
  <c i="3" r="K95"/>
  <c i="3" r="D96"/>
  <c i="3" r="K97"/>
  <c i="3" r="D101"/>
  <c i="3" r="K102"/>
  <c i="3" r="D108"/>
  <c i="3" r="D111"/>
  <c i="3" r="D113"/>
  <c i="3" r="D114"/>
  <c i="3" r="C104"/>
  <c i="12" r="B102"/>
  <c i="3" r="C106"/>
  <c i="3" r="C108"/>
  <c i="3" r="J109"/>
  <c i="3" r="C110"/>
  <c i="3" r="J111"/>
  <c i="3" r="C112"/>
  <c i="3" r="J114"/>
  <c i="12" r="B70"/>
  <c i="12" r="B81"/>
  <c i="12" r="B114"/>
  <c i="3" r="I65"/>
  <c i="3" r="B66"/>
  <c i="3" r="I66"/>
  <c i="3" r="I81"/>
  <c i="3" r="B82"/>
  <c i="3" r="I82"/>
  <c i="3" r="I97"/>
  <c i="3" r="B98"/>
  <c i="3" r="I98"/>
  <c i="3" r="I113"/>
  <c i="3" r="B114"/>
  <c i="3" r="I114"/>
  <c i="13" r="D89"/>
  <c i="12" r="B65"/>
  <c i="12" r="B98"/>
  <c i="3" r="I73"/>
  <c i="3" r="B74"/>
  <c i="3" r="I74"/>
  <c i="3" r="I89"/>
  <c i="3" r="B90"/>
  <c i="3" r="I90"/>
  <c i="3" r="I105"/>
  <c i="3" r="B106"/>
  <c i="3" r="I106"/>
  <c i="3" r="C113"/>
  <c i="12" r="B86"/>
  <c i="12" r="J67"/>
  <c i="3" r="B68"/>
  <c i="3" r="B70"/>
  <c i="3" r="B72"/>
  <c i="3" r="B84"/>
  <c i="3" r="B86"/>
  <c i="3" r="B88"/>
  <c i="3" r="B100"/>
  <c i="3" r="B102"/>
  <c i="3" r="B104"/>
  <c i="3" r="I69"/>
  <c i="3" r="I70"/>
  <c i="3" r="I77"/>
  <c i="3" r="I78"/>
  <c i="3" r="I85"/>
  <c i="3" r="I86"/>
  <c i="3" r="I93"/>
  <c i="3" r="I94"/>
  <c i="3" r="I101"/>
  <c i="3" r="I102"/>
  <c i="3" r="I109"/>
  <c i="3" r="I110"/>
  <c i="3" r="I67"/>
  <c i="3" r="I68"/>
  <c i="3" r="I71"/>
  <c i="3" r="I72"/>
  <c i="3" r="I75"/>
  <c i="3" r="I76"/>
  <c i="3" r="I79"/>
  <c i="3" r="I80"/>
  <c i="3" r="I83"/>
  <c i="3" r="I84"/>
  <c i="3" r="I87"/>
  <c i="3" r="I88"/>
  <c i="3" r="I91"/>
  <c i="3" r="I92"/>
  <c i="3" r="I95"/>
  <c i="3" r="I96"/>
  <c i="3" r="I99"/>
  <c i="3" r="I100"/>
  <c i="3" r="I103"/>
  <c i="3" r="I104"/>
  <c i="3" r="I107"/>
  <c i="3" r="I108"/>
  <c i="3" r="I111"/>
  <c i="3" r="I112"/>
  <c i="3" r="M59"/>
  <c i="3" r="M101" s="1"/>
  <c i="12" r="J74"/>
  <c i="12" r="J71"/>
  <c i="12" r="J78"/>
  <c i="12" r="J66"/>
  <c i="12" r="J75"/>
  <c i="12" r="I70"/>
  <c i="12" r="I72"/>
  <c i="12" r="I79"/>
  <c i="12" r="I88"/>
  <c i="12" r="I99"/>
  <c i="12" r="I110"/>
  <c i="12" r="I71"/>
  <c i="12" r="I78"/>
  <c i="12" r="I80"/>
  <c i="12" r="I86"/>
  <c i="12" r="I91"/>
  <c i="12" r="I96"/>
  <c i="12" r="I102"/>
  <c i="12" r="I107"/>
  <c i="12" r="I112"/>
  <c i="12" r="I83"/>
  <c i="12" r="I94"/>
  <c i="12" r="I104"/>
  <c i="12" r="I115"/>
  <c i="12" r="I67"/>
  <c i="12" r="J70"/>
  <c i="12" r="I74"/>
  <c i="12" r="I76"/>
  <c i="12" r="J79"/>
  <c i="12" r="I84"/>
  <c i="12" r="I90"/>
  <c i="12" r="I95"/>
  <c i="12" r="I100"/>
  <c i="12" r="I106"/>
  <c i="12" r="I111"/>
  <c i="12" r="I66"/>
  <c i="12" r="I68"/>
  <c i="12" r="I75"/>
  <c i="12" r="I82"/>
  <c i="12" r="I87"/>
  <c i="12" r="I92"/>
  <c i="12" r="I98"/>
  <c i="12" r="I103"/>
  <c i="12" r="I108"/>
  <c i="12" r="I114"/>
  <c i="12" r="J65"/>
  <c i="12" r="L67"/>
  <c i="12" r="J69"/>
  <c i="12" r="L71"/>
  <c i="12" r="J73"/>
  <c i="12" r="K76"/>
  <c i="12" r="K80"/>
  <c i="12" r="L83"/>
  <c i="12" r="K84"/>
  <c i="12" r="L87"/>
  <c i="12" r="J89"/>
  <c i="12" r="K92"/>
  <c i="12" r="L95"/>
  <c i="12" r="J97"/>
  <c i="12" r="K100"/>
  <c i="12" r="J101"/>
  <c i="12" r="J105"/>
  <c i="12" r="M59"/>
  <c i="12" r="M107" s="1"/>
  <c i="12" r="I65"/>
  <c i="12" r="L66"/>
  <c i="12" r="K67"/>
  <c i="12" r="J68"/>
  <c i="12" r="I69"/>
  <c i="12" r="L70"/>
  <c i="12" r="K71"/>
  <c i="12" r="J72"/>
  <c i="12" r="I73"/>
  <c i="12" r="L74"/>
  <c i="12" r="K75"/>
  <c i="12" r="J76"/>
  <c i="12" r="I77"/>
  <c i="12" r="L78"/>
  <c i="12" r="K79"/>
  <c i="12" r="J80"/>
  <c i="12" r="I81"/>
  <c i="12" r="L82"/>
  <c i="12" r="K83"/>
  <c i="12" r="J84"/>
  <c i="12" r="I85"/>
  <c i="12" r="L86"/>
  <c i="12" r="K87"/>
  <c i="12" r="J88"/>
  <c i="12" r="I89"/>
  <c i="12" r="L90"/>
  <c i="12" r="K91"/>
  <c i="12" r="J92"/>
  <c i="12" r="I93"/>
  <c i="12" r="L94"/>
  <c i="12" r="K95"/>
  <c i="12" r="J96"/>
  <c i="12" r="I97"/>
  <c i="12" r="L98"/>
  <c i="12" r="K99"/>
  <c i="12" r="J100"/>
  <c i="12" r="I101"/>
  <c i="12" r="L102"/>
  <c i="12" r="K103"/>
  <c i="12" r="J104"/>
  <c i="12" r="I105"/>
  <c i="12" r="L106"/>
  <c i="12" r="K107"/>
  <c i="12" r="J108"/>
  <c i="12" r="I109"/>
  <c i="12" r="L110"/>
  <c i="12" r="K111"/>
  <c i="12" r="J112"/>
  <c i="12" r="L114"/>
  <c i="12" r="K115"/>
  <c i="12" r="L65"/>
  <c i="12" r="K66"/>
  <c i="12" r="L69"/>
  <c i="12" r="K70"/>
  <c i="12" r="L73"/>
  <c i="12" r="K74"/>
  <c i="12" r="L77"/>
  <c i="12" r="K78"/>
  <c i="12" r="L81"/>
  <c i="12" r="K82"/>
  <c i="12" r="J83"/>
  <c i="12" r="L85"/>
  <c i="12" r="K86"/>
  <c i="12" r="J87"/>
  <c i="12" r="L89"/>
  <c i="12" r="K90"/>
  <c i="12" r="J91"/>
  <c i="12" r="L93"/>
  <c i="12" r="K94"/>
  <c i="12" r="J95"/>
  <c i="12" r="L97"/>
  <c i="12" r="K98"/>
  <c i="12" r="J99"/>
  <c i="12" r="L101"/>
  <c i="12" r="K102"/>
  <c i="12" r="J103"/>
  <c i="12" r="L105"/>
  <c i="12" r="K106"/>
  <c i="12" r="J107"/>
  <c i="12" r="L109"/>
  <c i="12" r="K110"/>
  <c i="12" r="J111"/>
  <c i="12" r="L113"/>
  <c i="12" r="K114"/>
  <c i="12" r="J115"/>
  <c i="12" r="K65"/>
  <c i="12" r="L68"/>
  <c i="12" r="K69"/>
  <c i="12" r="L72"/>
  <c i="12" r="K73"/>
  <c i="12" r="L76"/>
  <c i="12" r="K77"/>
  <c i="12" r="L80"/>
  <c i="12" r="K81"/>
  <c i="12" r="J82"/>
  <c i="12" r="L84"/>
  <c i="12" r="K85"/>
  <c i="12" r="J86"/>
  <c i="12" r="L88"/>
  <c i="12" r="K89"/>
  <c i="12" r="J90"/>
  <c i="12" r="L92"/>
  <c i="12" r="K93"/>
  <c i="12" r="J94"/>
  <c i="12" r="L96"/>
  <c i="12" r="K97"/>
  <c i="12" r="J98"/>
  <c i="12" r="L100"/>
  <c i="12" r="K101"/>
  <c i="12" r="J102"/>
  <c i="12" r="L104"/>
  <c i="12" r="K105"/>
  <c i="12" r="J106"/>
  <c i="12" r="L108"/>
  <c i="12" r="K109"/>
  <c i="12" r="J110"/>
  <c i="12" r="L112"/>
  <c i="12" r="K113"/>
  <c i="12" r="J114"/>
  <c i="12" r="K68"/>
  <c i="12" r="K72"/>
  <c i="12" r="L75"/>
  <c i="12" r="J77"/>
  <c i="12" r="L79"/>
  <c i="12" r="J81"/>
  <c i="12" r="J85"/>
  <c i="12" r="K88"/>
  <c i="12" r="L91"/>
  <c i="12" r="J93"/>
  <c i="12" r="K96"/>
  <c i="12" r="L99"/>
  <c i="12" r="L103"/>
  <c i="12" r="K104"/>
  <c i="12" r="L107"/>
  <c i="12" r="K108"/>
  <c i="12" r="J109"/>
  <c i="12" r="L111"/>
  <c i="3" r="F59"/>
  <c i="3" r="F80" s="1"/>
  <c i="3" r="B67"/>
  <c i="3" r="B69"/>
  <c i="3" r="B71"/>
  <c i="3" r="B75"/>
  <c i="3" r="B79"/>
  <c i="3" r="B83"/>
  <c i="3" r="B85"/>
  <c i="3" r="B87"/>
  <c i="3" r="B89"/>
  <c i="3" r="B91"/>
  <c i="3" r="B93"/>
  <c i="3" r="B95"/>
  <c i="3" r="B97"/>
  <c i="3" r="B99"/>
  <c i="3" r="B101"/>
  <c i="3" r="B103"/>
  <c i="3" r="B105"/>
  <c i="3" r="B107"/>
  <c i="3" r="B109"/>
  <c i="3" r="B111"/>
  <c i="3" r="B115"/>
  <c i="3" r="B65"/>
  <c i="3" r="B73"/>
  <c i="3" r="B77"/>
  <c i="3" r="B81"/>
  <c i="3" r="E65"/>
  <c i="3" r="E67"/>
  <c i="3" r="E69"/>
  <c i="3" r="E71"/>
  <c i="3" r="E73"/>
  <c i="3" r="E75"/>
  <c i="3" r="E77"/>
  <c i="3" r="E79"/>
  <c i="3" r="E81"/>
  <c i="3" r="E83"/>
  <c i="3" r="E85"/>
  <c i="3" r="E87"/>
  <c i="3" r="E89"/>
  <c i="3" r="E91"/>
  <c i="3" r="E93"/>
  <c i="3" r="E95"/>
  <c i="3" r="E97"/>
  <c i="3" r="E99"/>
  <c i="3" r="E101"/>
  <c i="3" r="E103"/>
  <c i="3" r="E105"/>
  <c i="3" r="E107"/>
  <c i="3" r="E109"/>
  <c i="3" r="E111"/>
  <c i="3" r="E113"/>
  <c i="12" r="B109"/>
  <c i="12" r="B78"/>
  <c i="12" r="B93"/>
  <c i="12" r="B73"/>
  <c i="12" r="B89"/>
  <c i="12" r="B105"/>
  <c i="12" r="C65"/>
  <c i="12" r="D68"/>
  <c i="12" r="C70"/>
  <c i="12" r="C73"/>
  <c i="12" r="D76"/>
  <c i="12" r="C78"/>
  <c i="12" r="C81"/>
  <c i="12" r="D84"/>
  <c i="12" r="C86"/>
  <c i="12" r="C89"/>
  <c i="12" r="C96"/>
  <c i="12" r="C98"/>
  <c i="12" r="C105"/>
  <c i="12" r="C112"/>
  <c i="12" r="C68"/>
  <c i="12" r="C110"/>
  <c i="12" r="C66"/>
  <c i="12" r="D72"/>
  <c i="12" r="C74"/>
  <c i="12" r="C77"/>
  <c i="12" r="D80"/>
  <c i="12" r="C82"/>
  <c i="12" r="C85"/>
  <c i="12" r="D88"/>
  <c i="12" r="C90"/>
  <c i="12" r="B94"/>
  <c i="12" r="C97"/>
  <c i="12" r="B101"/>
  <c i="12" r="C104"/>
  <c i="12" r="C106"/>
  <c i="12" r="B110"/>
  <c i="12" r="C113"/>
  <c i="12" r="C76"/>
  <c i="12" r="C84"/>
  <c i="12" r="C92"/>
  <c i="12" r="C94"/>
  <c i="12" r="C101"/>
  <c i="12" r="C108"/>
  <c i="12" r="C69"/>
  <c i="12" r="B66"/>
  <c i="12" r="B69"/>
  <c i="12" r="C72"/>
  <c i="12" r="B74"/>
  <c i="12" r="B77"/>
  <c i="12" r="C80"/>
  <c i="12" r="B82"/>
  <c i="12" r="B85"/>
  <c i="12" r="C88"/>
  <c i="12" r="B90"/>
  <c i="12" r="C93"/>
  <c i="12" r="B97"/>
  <c i="12" r="C100"/>
  <c i="12" r="C102"/>
  <c i="12" r="B106"/>
  <c i="12" r="C109"/>
  <c i="12" r="B113"/>
  <c i="12" r="E66"/>
  <c i="12" r="D71"/>
  <c i="12" r="D75"/>
  <c i="12" r="D79"/>
  <c i="12" r="D83"/>
  <c i="12" r="E86"/>
  <c i="12" r="D91"/>
  <c i="12" r="E94"/>
  <c i="12" r="D103"/>
  <c i="12" r="E106"/>
  <c i="12" r="E114"/>
  <c i="12" r="E65"/>
  <c i="12" r="D66"/>
  <c i="12" r="C67"/>
  <c i="12" r="B68"/>
  <c i="12" r="E69"/>
  <c i="12" r="D70"/>
  <c i="12" r="C71"/>
  <c i="12" r="B72"/>
  <c i="12" r="E73"/>
  <c i="12" r="D74"/>
  <c i="12" r="C75"/>
  <c i="12" r="B76"/>
  <c i="12" r="E77"/>
  <c i="12" r="D78"/>
  <c i="12" r="C79"/>
  <c i="12" r="B80"/>
  <c i="12" r="E81"/>
  <c i="12" r="D82"/>
  <c i="12" r="C83"/>
  <c i="12" r="B84"/>
  <c i="12" r="E85"/>
  <c i="12" r="D86"/>
  <c i="12" r="C87"/>
  <c i="12" r="B88"/>
  <c i="12" r="E89"/>
  <c i="12" r="D90"/>
  <c i="12" r="C91"/>
  <c i="12" r="B92"/>
  <c i="12" r="E93"/>
  <c i="12" r="D94"/>
  <c i="12" r="C95"/>
  <c i="12" r="B96"/>
  <c i="12" r="E97"/>
  <c i="12" r="D98"/>
  <c i="12" r="C99"/>
  <c i="12" r="B100"/>
  <c i="12" r="E101"/>
  <c i="12" r="D102"/>
  <c i="12" r="C103"/>
  <c i="12" r="B104"/>
  <c i="12" r="E105"/>
  <c i="12" r="D106"/>
  <c i="12" r="C107"/>
  <c i="12" r="B108"/>
  <c i="12" r="E109"/>
  <c i="12" r="D110"/>
  <c i="12" r="C111"/>
  <c i="12" r="B112"/>
  <c i="12" r="E113"/>
  <c i="12" r="D114"/>
  <c i="12" r="C115"/>
  <c i="12" r="D67"/>
  <c i="12" r="E74"/>
  <c i="12" r="E82"/>
  <c i="12" r="F59"/>
  <c i="12" r="F84" s="1"/>
  <c i="12" r="D65"/>
  <c i="12" r="B67"/>
  <c i="12" r="E68"/>
  <c i="12" r="D69"/>
  <c i="12" r="B71"/>
  <c i="12" r="E72"/>
  <c i="12" r="D73"/>
  <c i="12" r="B75"/>
  <c i="12" r="E76"/>
  <c i="12" r="D77"/>
  <c i="12" r="B79"/>
  <c i="12" r="E80"/>
  <c i="12" r="D81"/>
  <c i="12" r="B83"/>
  <c i="12" r="E84"/>
  <c i="12" r="D85"/>
  <c i="12" r="B87"/>
  <c i="12" r="E88"/>
  <c i="12" r="D89"/>
  <c i="12" r="B91"/>
  <c i="12" r="E92"/>
  <c i="12" r="D93"/>
  <c i="12" r="B95"/>
  <c i="12" r="E96"/>
  <c i="12" r="D97"/>
  <c i="12" r="B99"/>
  <c i="12" r="E100"/>
  <c i="12" r="D101"/>
  <c i="12" r="B103"/>
  <c i="12" r="E104"/>
  <c i="12" r="D105"/>
  <c i="12" r="B107"/>
  <c i="12" r="E108"/>
  <c i="12" r="D109"/>
  <c i="12" r="B111"/>
  <c i="12" r="E112"/>
  <c i="12" r="D113"/>
  <c i="12" r="E67"/>
  <c i="12" r="E71"/>
  <c i="12" r="E75"/>
  <c i="12" r="E79"/>
  <c i="12" r="E83"/>
  <c i="12" r="E87"/>
  <c i="12" r="E91"/>
  <c i="12" r="D92"/>
  <c i="12" r="E95"/>
  <c i="12" r="D96"/>
  <c i="12" r="E99"/>
  <c i="12" r="D100"/>
  <c i="12" r="E103"/>
  <c i="12" r="D104"/>
  <c i="12" r="E107"/>
  <c i="12" r="D108"/>
  <c i="12" r="E111"/>
  <c i="12" r="D112"/>
  <c i="12" r="E115"/>
  <c i="12" r="E70"/>
  <c i="12" r="E78"/>
  <c i="12" r="D87"/>
  <c i="12" r="E90"/>
  <c i="12" r="D95"/>
  <c i="12" r="E98"/>
  <c i="12" r="D99"/>
  <c i="12" r="E102"/>
  <c i="12" r="D107"/>
  <c i="12" r="D111"/>
  <c i="13" r="L85"/>
  <c i="13" r="L77"/>
  <c i="13" r="L69"/>
  <c i="13" r="J67"/>
  <c i="13" r="J72"/>
  <c i="13" r="J75"/>
  <c i="13" r="J80"/>
  <c i="13" r="J83"/>
  <c i="13" r="J88"/>
  <c i="13" r="J91"/>
  <c i="13" r="I95"/>
  <c i="13" r="I97"/>
  <c i="13" r="J100"/>
  <c i="13" r="I104"/>
  <c i="13" r="J107"/>
  <c i="13" r="I111"/>
  <c i="13" r="I113"/>
  <c i="13" r="I67"/>
  <c i="13" r="I69"/>
  <c i="13" r="I72"/>
  <c i="13" r="I75"/>
  <c i="13" r="I77"/>
  <c i="13" r="I80"/>
  <c i="13" r="I83"/>
  <c i="13" r="I85"/>
  <c i="13" r="I88"/>
  <c i="13" r="I91"/>
  <c i="13" r="I93"/>
  <c i="13" r="J96"/>
  <c i="13" r="I100"/>
  <c i="13" r="J103"/>
  <c i="13" r="I107"/>
  <c i="13" r="I109"/>
  <c i="13" r="J112"/>
  <c i="13" r="M57"/>
  <c i="13" r="M108" s="1"/>
  <c i="13" r="L65"/>
  <c i="13" r="J68"/>
  <c i="13" r="J71"/>
  <c i="13" r="L73"/>
  <c i="13" r="J76"/>
  <c i="13" r="J79"/>
  <c i="13" r="L81"/>
  <c i="13" r="J84"/>
  <c i="13" r="J87"/>
  <c i="13" r="L89"/>
  <c i="13" r="J92"/>
  <c i="13" r="I96"/>
  <c i="13" r="J99"/>
  <c i="13" r="I103"/>
  <c i="13" r="I105"/>
  <c i="13" r="J108"/>
  <c i="13" r="I112"/>
  <c i="13" r="I65"/>
  <c i="13" r="I68"/>
  <c i="13" r="I71"/>
  <c i="13" r="I73"/>
  <c i="13" r="I76"/>
  <c i="13" r="I79"/>
  <c i="13" r="I81"/>
  <c i="13" r="I84"/>
  <c i="13" r="I87"/>
  <c i="13" r="I89"/>
  <c i="13" r="I92"/>
  <c i="13" r="J95"/>
  <c i="13" r="I99"/>
  <c i="13" r="I101"/>
  <c i="13" r="J104"/>
  <c i="13" r="I108"/>
  <c i="13" r="J111"/>
  <c i="13" r="L66"/>
  <c i="13" r="K67"/>
  <c i="13" r="L70"/>
  <c i="13" r="K71"/>
  <c i="13" r="L74"/>
  <c i="13" r="K75"/>
  <c i="13" r="L78"/>
  <c i="13" r="K79"/>
  <c i="13" r="L82"/>
  <c i="13" r="K83"/>
  <c i="13" r="L86"/>
  <c i="13" r="K87"/>
  <c i="13" r="L90"/>
  <c i="13" r="K91"/>
  <c i="13" r="L94"/>
  <c i="13" r="K95"/>
  <c i="13" r="L98"/>
  <c i="13" r="K99"/>
  <c i="13" r="L102"/>
  <c i="13" r="K103"/>
  <c i="13" r="L106"/>
  <c i="13" r="K107"/>
  <c i="13" r="L110"/>
  <c i="13" r="K111"/>
  <c i="13" r="K66"/>
  <c i="13" r="K70"/>
  <c i="13" r="K74"/>
  <c i="13" r="K78"/>
  <c i="13" r="K82"/>
  <c i="13" r="K86"/>
  <c i="13" r="K90"/>
  <c i="13" r="L93"/>
  <c i="13" r="K94"/>
  <c i="13" r="L97"/>
  <c i="13" r="K98"/>
  <c i="13" r="L101"/>
  <c i="13" r="K102"/>
  <c i="13" r="L105"/>
  <c i="13" r="K106"/>
  <c i="13" r="L109"/>
  <c i="13" r="K110"/>
  <c i="13" r="L113"/>
  <c i="13" r="K65"/>
  <c i="13" r="J66"/>
  <c i="13" r="L68"/>
  <c i="13" r="K69"/>
  <c i="13" r="J70"/>
  <c i="13" r="L72"/>
  <c i="13" r="K73"/>
  <c i="13" r="J74"/>
  <c i="13" r="L76"/>
  <c i="13" r="K77"/>
  <c i="13" r="J78"/>
  <c i="13" r="L80"/>
  <c i="13" r="K81"/>
  <c i="13" r="J82"/>
  <c i="13" r="L84"/>
  <c i="13" r="K85"/>
  <c i="13" r="J86"/>
  <c i="13" r="L88"/>
  <c i="13" r="K89"/>
  <c i="13" r="J90"/>
  <c i="13" r="L92"/>
  <c i="13" r="K93"/>
  <c i="13" r="J94"/>
  <c i="13" r="L96"/>
  <c i="13" r="K97"/>
  <c i="13" r="J98"/>
  <c i="13" r="L100"/>
  <c i="13" r="K101"/>
  <c i="13" r="J102"/>
  <c i="13" r="L104"/>
  <c i="13" r="K105"/>
  <c i="13" r="J106"/>
  <c i="13" r="L108"/>
  <c i="13" r="K109"/>
  <c i="13" r="J110"/>
  <c i="13" r="L112"/>
  <c i="13" r="K113"/>
  <c i="13" r="J65"/>
  <c i="13" r="I66"/>
  <c i="13" r="L67"/>
  <c i="13" r="K68"/>
  <c i="13" r="J69"/>
  <c i="13" r="I70"/>
  <c i="13" r="L71"/>
  <c i="13" r="K72"/>
  <c i="13" r="J73"/>
  <c i="13" r="I74"/>
  <c i="13" r="L75"/>
  <c i="13" r="K76"/>
  <c i="13" r="J77"/>
  <c i="13" r="I78"/>
  <c i="13" r="L79"/>
  <c i="13" r="K80"/>
  <c i="13" r="J81"/>
  <c i="13" r="I82"/>
  <c i="13" r="L83"/>
  <c i="13" r="K84"/>
  <c i="13" r="J85"/>
  <c i="13" r="I86"/>
  <c i="13" r="L87"/>
  <c i="13" r="K88"/>
  <c i="13" r="J89"/>
  <c i="13" r="I90"/>
  <c i="13" r="L91"/>
  <c i="13" r="K92"/>
  <c i="13" r="J93"/>
  <c i="13" r="I94"/>
  <c i="13" r="L95"/>
  <c i="13" r="K96"/>
  <c i="13" r="J97"/>
  <c i="13" r="I98"/>
  <c i="13" r="L99"/>
  <c i="13" r="K100"/>
  <c i="13" r="J101"/>
  <c i="13" r="I102"/>
  <c i="13" r="L103"/>
  <c i="13" r="K104"/>
  <c i="13" r="J105"/>
  <c i="13" r="I106"/>
  <c i="13" r="L107"/>
  <c i="13" r="K108"/>
  <c i="13" r="J109"/>
  <c i="13" r="D70"/>
  <c i="13" r="D85"/>
  <c i="13" r="D110"/>
  <c i="13" r="D66"/>
  <c i="13" r="D81"/>
  <c i="13" r="D102"/>
  <c i="13" r="F57"/>
  <c i="13" r="F104" s="1"/>
  <c i="13" r="D77"/>
  <c i="13" r="D94"/>
  <c i="13" r="E65"/>
  <c i="13" r="D69"/>
  <c i="13" r="E72"/>
  <c i="13" r="E76"/>
  <c i="13" r="E80"/>
  <c i="13" r="E84"/>
  <c i="13" r="E88"/>
  <c i="13" r="E92"/>
  <c i="13" r="D98"/>
  <c i="13" r="D106"/>
  <c i="13" r="D65"/>
  <c i="13" r="E68"/>
  <c i="13" r="B72"/>
  <c i="13" r="D74"/>
  <c i="13" r="D78"/>
  <c i="13" r="D82"/>
  <c i="13" r="D86"/>
  <c i="13" r="D90"/>
  <c i="13" r="E97"/>
  <c i="13" r="E105"/>
  <c i="13" r="E113"/>
  <c i="13" r="B68"/>
  <c i="13" r="E73"/>
  <c i="13" r="E77"/>
  <c i="13" r="E81"/>
  <c i="13" r="E85"/>
  <c i="13" r="E89"/>
  <c i="13" r="E69"/>
  <c i="13" r="E93"/>
  <c i="13" r="E101"/>
  <c i="13" r="E109"/>
  <c i="13" r="C65"/>
  <c i="13" r="B66"/>
  <c i="13" r="E67"/>
  <c i="13" r="D68"/>
  <c i="13" r="C69"/>
  <c i="13" r="B70"/>
  <c i="13" r="E71"/>
  <c i="13" r="D72"/>
  <c i="13" r="C73"/>
  <c i="13" r="B74"/>
  <c i="13" r="E75"/>
  <c i="13" r="D76"/>
  <c i="13" r="C77"/>
  <c i="13" r="B78"/>
  <c i="13" r="E79"/>
  <c i="13" r="D80"/>
  <c i="13" r="C81"/>
  <c i="13" r="B82"/>
  <c i="13" r="E83"/>
  <c i="13" r="D84"/>
  <c i="13" r="C85"/>
  <c i="13" r="B86"/>
  <c i="13" r="E87"/>
  <c i="13" r="D88"/>
  <c i="13" r="C89"/>
  <c i="13" r="B90"/>
  <c i="13" r="E91"/>
  <c i="13" r="D92"/>
  <c i="13" r="C93"/>
  <c i="13" r="B94"/>
  <c i="13" r="E95"/>
  <c i="13" r="D96"/>
  <c i="13" r="C97"/>
  <c i="13" r="B98"/>
  <c i="13" r="E99"/>
  <c i="13" r="D100"/>
  <c i="13" r="C101"/>
  <c i="13" r="B102"/>
  <c i="13" r="E103"/>
  <c i="13" r="D104"/>
  <c i="13" r="C105"/>
  <c i="13" r="B106"/>
  <c i="13" r="E107"/>
  <c i="13" r="D108"/>
  <c i="13" r="C109"/>
  <c i="13" r="B110"/>
  <c i="13" r="E111"/>
  <c i="13" r="D112"/>
  <c i="13" r="C113"/>
  <c i="13" r="B65"/>
  <c i="13" r="E66"/>
  <c i="13" r="D67"/>
  <c i="13" r="C68"/>
  <c i="13" r="B69"/>
  <c i="13" r="E70"/>
  <c i="13" r="D71"/>
  <c i="13" r="C72"/>
  <c i="13" r="B73"/>
  <c i="13" r="E74"/>
  <c i="13" r="D75"/>
  <c i="13" r="C76"/>
  <c i="13" r="B77"/>
  <c i="13" r="E78"/>
  <c i="13" r="D79"/>
  <c i="13" r="C80"/>
  <c i="13" r="B81"/>
  <c i="13" r="E82"/>
  <c i="13" r="D83"/>
  <c i="13" r="C84"/>
  <c i="13" r="B85"/>
  <c i="13" r="E86"/>
  <c i="13" r="D87"/>
  <c i="13" r="C88"/>
  <c i="13" r="B89"/>
  <c i="13" r="E90"/>
  <c i="13" r="D91"/>
  <c i="13" r="C92"/>
  <c i="13" r="B93"/>
  <c i="13" r="E94"/>
  <c i="13" r="D95"/>
  <c i="13" r="C96"/>
  <c i="13" r="B97"/>
  <c i="13" r="E98"/>
  <c i="13" r="D99"/>
  <c i="13" r="C100"/>
  <c i="13" r="B101"/>
  <c i="13" r="E102"/>
  <c i="13" r="D103"/>
  <c i="13" r="C104"/>
  <c i="13" r="B105"/>
  <c i="13" r="E106"/>
  <c i="13" r="D107"/>
  <c i="13" r="C108"/>
  <c i="13" r="B109"/>
  <c i="13" r="E110"/>
  <c i="13" r="D111"/>
  <c i="13" r="C112"/>
  <c i="13" r="B113"/>
  <c i="13" r="C67"/>
  <c i="13" r="C71"/>
  <c i="13" r="C75"/>
  <c i="13" r="B76"/>
  <c i="13" r="C79"/>
  <c i="13" r="B80"/>
  <c i="13" r="C83"/>
  <c i="13" r="B84"/>
  <c i="13" r="C87"/>
  <c i="13" r="B88"/>
  <c i="13" r="C91"/>
  <c i="13" r="B92"/>
  <c i="13" r="C95"/>
  <c i="13" r="B96"/>
  <c i="13" r="C99"/>
  <c i="13" r="B100"/>
  <c i="13" r="C103"/>
  <c i="13" r="B104"/>
  <c i="13" r="C107"/>
  <c i="13" r="B108"/>
  <c i="13" r="C111"/>
  <c i="13" r="B112"/>
  <c i="13" r="C66"/>
  <c i="13" r="B67"/>
  <c i="13" r="C70"/>
  <c i="13" r="B71"/>
  <c i="13" r="C74"/>
  <c i="13" r="B75"/>
  <c i="13" r="C78"/>
  <c i="13" r="B79"/>
  <c i="13" r="C82"/>
  <c i="13" r="B83"/>
  <c i="13" r="C86"/>
  <c i="13" r="B87"/>
  <c i="13" r="C90"/>
  <c i="13" r="B91"/>
  <c i="13" r="D93"/>
  <c i="13" r="C94"/>
  <c i="13" r="B95"/>
  <c i="13" r="E96"/>
  <c i="13" r="D97"/>
  <c i="13" r="C98"/>
  <c i="13" r="B99"/>
  <c i="13" r="E100"/>
  <c i="13" r="D101"/>
  <c i="13" r="C102"/>
  <c i="13" r="B103"/>
  <c i="13" r="E104"/>
  <c i="13" r="D105"/>
  <c i="13" r="C106"/>
  <c i="13" r="B107"/>
  <c i="13" r="E108"/>
  <c i="13" r="D109"/>
  <c i="3" l="1" r="F110"/>
  <c i="3" r="F93"/>
  <c i="13" r="M73"/>
  <c i="13" r="M103"/>
  <c i="13" r="M72"/>
  <c i="3" r="F75"/>
  <c i="3" r="F94"/>
  <c i="3" r="F111"/>
  <c i="3" r="F78"/>
  <c i="3" r="F109"/>
  <c i="13" r="F71"/>
  <c i="13" r="M87"/>
  <c i="3" r="F77"/>
  <c i="3" r="F95"/>
  <c i="13" r="F65"/>
  <c i="13" r="F95"/>
  <c i="13" r="F102"/>
  <c i="13" r="F108"/>
  <c i="13" r="M102"/>
  <c i="3" r="F66"/>
  <c i="3" r="F98"/>
  <c i="3" r="F81"/>
  <c i="3" r="F113"/>
  <c i="3" r="F91"/>
  <c i="3" r="F88"/>
  <c i="3" r="F76"/>
  <c i="3" r="F82"/>
  <c i="3" r="F114"/>
  <c i="3" r="F97"/>
  <c i="3" r="F107"/>
  <c i="3" r="F104"/>
  <c i="13" r="F67"/>
  <c i="13" r="F70"/>
  <c i="3" r="F74"/>
  <c i="3" r="F90"/>
  <c i="3" r="F106"/>
  <c i="3" r="F73"/>
  <c i="3" r="F89"/>
  <c i="3" r="F105"/>
  <c i="3" r="F115"/>
  <c i="3" r="F99"/>
  <c i="3" r="F83"/>
  <c i="3" r="F67"/>
  <c i="3" r="F92"/>
  <c i="3" r="F108"/>
  <c i="3" r="F72"/>
  <c i="3" r="F79"/>
  <c i="3" r="F112"/>
  <c i="3" r="F84"/>
  <c i="3" r="F96"/>
  <c i="13" r="F99"/>
  <c i="13" r="F85"/>
  <c i="3" r="F70"/>
  <c i="3" r="F86"/>
  <c i="3" r="F102"/>
  <c i="3" r="F65"/>
  <c i="3" r="F85"/>
  <c i="3" r="F101"/>
  <c i="3" r="F69"/>
  <c i="3" r="F103"/>
  <c i="3" r="F87"/>
  <c i="3" r="F71"/>
  <c i="3" r="F100"/>
  <c i="3" r="F68"/>
  <c i="13" r="F82"/>
  <c i="13" r="F110"/>
  <c i="13" r="F89"/>
  <c i="13" r="F112"/>
  <c i="13" r="M88"/>
  <c i="13" r="F87"/>
  <c i="13" r="F66"/>
  <c i="13" r="F94"/>
  <c i="13" r="F77"/>
  <c i="13" r="F109"/>
  <c i="13" r="F84"/>
  <c i="13" r="M71"/>
  <c i="13" r="M86"/>
  <c i="13" r="M105"/>
  <c i="13" r="F79"/>
  <c i="13" r="F111"/>
  <c i="13" r="F86"/>
  <c i="13" r="F105"/>
  <c i="13" r="F76"/>
  <c i="13" r="M70"/>
  <c i="13" r="M89"/>
  <c i="3" r="M91"/>
  <c i="3" r="M72"/>
  <c i="3" r="M71"/>
  <c i="3" r="M94"/>
  <c i="3" r="M109"/>
  <c i="3" r="M78"/>
  <c i="3" r="M93"/>
  <c i="3" r="M104"/>
  <c i="3" r="M115"/>
  <c i="3" r="M77"/>
  <c i="3" r="M88"/>
  <c i="3" r="M87"/>
  <c i="3" r="M110"/>
  <c i="3" r="M76"/>
  <c i="3" r="M92"/>
  <c i="3" r="M108"/>
  <c i="3" r="M103"/>
  <c i="3" r="M75"/>
  <c i="3" r="M95"/>
  <c i="3" r="M66"/>
  <c i="3" r="M82"/>
  <c i="3" r="M98"/>
  <c i="3" r="M114"/>
  <c i="3" r="M81"/>
  <c i="3" r="M97"/>
  <c i="3" r="M113"/>
  <c i="3" r="M68"/>
  <c i="3" r="M84"/>
  <c i="3" r="M100"/>
  <c i="3" r="M65"/>
  <c i="3" r="M67"/>
  <c i="3" r="M83"/>
  <c i="3" r="M107"/>
  <c i="3" r="M74"/>
  <c i="3" r="M90"/>
  <c i="3" r="M106"/>
  <c i="3" r="M73"/>
  <c i="3" r="M89"/>
  <c i="3" r="M105"/>
  <c i="3" r="M80"/>
  <c i="3" r="M96"/>
  <c i="3" r="M112"/>
  <c i="3" r="M111"/>
  <c i="3" r="M79"/>
  <c i="3" r="M99"/>
  <c i="3" r="M70"/>
  <c i="3" r="M86"/>
  <c i="3" r="M102"/>
  <c i="3" r="M69"/>
  <c i="3" r="M85"/>
  <c i="12" r="M108"/>
  <c i="12" r="M85"/>
  <c i="12" r="M70"/>
  <c i="12" r="M102"/>
  <c i="12" r="M76"/>
  <c i="12" r="M83"/>
  <c i="12" r="M86"/>
  <c i="12" r="M101"/>
  <c i="12" r="M115"/>
  <c i="12" r="M69"/>
  <c i="12" r="M92"/>
  <c i="12" r="M66"/>
  <c i="12" r="M82"/>
  <c i="12" r="M98"/>
  <c i="12" r="M114"/>
  <c i="12" r="M81"/>
  <c i="12" r="M97"/>
  <c i="12" r="M113"/>
  <c i="12" r="M88"/>
  <c i="12" r="M104"/>
  <c i="12" r="M79"/>
  <c i="12" r="M75"/>
  <c i="12" r="M95"/>
  <c i="12" r="M111"/>
  <c i="12" r="M78"/>
  <c i="12" r="M94"/>
  <c i="12" r="M110"/>
  <c i="12" r="M77"/>
  <c i="12" r="M93"/>
  <c i="12" r="M109"/>
  <c i="12" r="M84"/>
  <c i="12" r="M100"/>
  <c i="12" r="M65"/>
  <c i="12" r="M71"/>
  <c i="12" r="M91"/>
  <c i="12" r="M72"/>
  <c i="12" r="M68"/>
  <c i="12" r="M74"/>
  <c i="12" r="M90"/>
  <c i="12" r="M106"/>
  <c i="12" r="M73"/>
  <c i="12" r="M89"/>
  <c i="12" r="M105"/>
  <c i="12" r="M80"/>
  <c i="12" r="M96"/>
  <c i="12" r="M112"/>
  <c i="12" r="M67"/>
  <c i="12" r="M87"/>
  <c i="12" r="M103"/>
  <c i="12" r="M99"/>
  <c i="13" r="F83"/>
  <c i="13" r="F103"/>
  <c i="13" r="F78"/>
  <c i="13" r="F98"/>
  <c i="13" r="F69"/>
  <c i="13" r="F101"/>
  <c i="13" r="F92"/>
  <c i="13" r="F68"/>
  <c i="13" r="F96"/>
  <c i="13" r="F75"/>
  <c i="13" r="F91"/>
  <c i="13" r="F107"/>
  <c i="13" r="F74"/>
  <c i="13" r="F90"/>
  <c i="13" r="F106"/>
  <c i="13" r="F73"/>
  <c i="13" r="F93"/>
  <c i="13" r="F80"/>
  <c i="13" r="F100"/>
  <c i="12" r="F83"/>
  <c i="12" r="F103"/>
  <c i="12" r="F96"/>
  <c i="12" r="F80"/>
  <c i="12" r="F65"/>
  <c i="12" r="F79"/>
  <c i="12" r="F76"/>
  <c i="12" r="F99"/>
  <c i="12" r="F72"/>
  <c i="12" r="F108"/>
  <c i="12" r="F71"/>
  <c i="12" r="F95"/>
  <c i="12" r="F115"/>
  <c i="12" r="F112"/>
  <c i="12" r="F100"/>
  <c i="12" r="F67"/>
  <c i="12" r="F87"/>
  <c i="12" r="F111"/>
  <c i="12" r="F104"/>
  <c i="12" r="F113"/>
  <c i="12" r="F109"/>
  <c i="12" r="F105"/>
  <c i="12" r="F93"/>
  <c i="12" r="F85"/>
  <c i="12" r="F81"/>
  <c i="12" r="F114"/>
  <c i="12" r="F110"/>
  <c i="12" r="F106"/>
  <c i="12" r="F102"/>
  <c i="12" r="F98"/>
  <c i="12" r="F94"/>
  <c i="12" r="F90"/>
  <c i="12" r="F86"/>
  <c i="12" r="F82"/>
  <c i="12" r="F78"/>
  <c i="12" r="F74"/>
  <c i="12" r="F70"/>
  <c i="12" r="F69"/>
  <c i="12" r="F101"/>
  <c i="12" r="F97"/>
  <c i="12" r="F89"/>
  <c i="12" r="F77"/>
  <c i="12" r="F73"/>
  <c i="12" r="F66"/>
  <c i="12" r="F75"/>
  <c i="12" r="F91"/>
  <c i="12" r="F107"/>
  <c i="12" r="F88"/>
  <c i="12" r="F68"/>
  <c i="12" r="F92"/>
  <c i="13" r="M83"/>
  <c i="13" r="M99"/>
  <c i="13" r="M82"/>
  <c i="13" r="M98"/>
  <c i="13" r="M69"/>
  <c i="13" r="M85"/>
  <c i="13" r="M101"/>
  <c i="13" r="M68"/>
  <c i="13" r="M84"/>
  <c i="13" r="M100"/>
  <c i="13" r="M65"/>
  <c i="13" r="M79"/>
  <c i="13" r="M95"/>
  <c i="13" r="M111"/>
  <c i="13" r="M78"/>
  <c i="13" r="M94"/>
  <c i="13" r="M110"/>
  <c i="13" r="M81"/>
  <c i="13" r="M97"/>
  <c i="13" r="M113"/>
  <c i="13" r="M80"/>
  <c i="13" r="M96"/>
  <c i="13" r="M104"/>
  <c i="13" r="M112"/>
  <c i="13" r="M67"/>
  <c i="13" r="M66"/>
  <c i="13" r="M75"/>
  <c i="13" r="M91"/>
  <c i="13" r="M107"/>
  <c i="13" r="M74"/>
  <c i="13" r="M90"/>
  <c i="13" r="M106"/>
  <c i="13" r="M77"/>
  <c i="13" r="M93"/>
  <c i="13" r="M109"/>
  <c i="13" r="M76"/>
  <c i="13" r="M92"/>
  <c i="13" r="F81"/>
  <c i="13" r="F97"/>
  <c i="13" r="F113"/>
  <c i="13" r="F72"/>
  <c i="13" r="F88"/>
</calcChain>
</file>

<file path=xl/sharedStrings.xml><?xml version="1.0" encoding="utf-8"?>
<sst xmlns="http://schemas.openxmlformats.org/spreadsheetml/2006/main" count="1034" uniqueCount="236">
  <si>
    <t>Total</t>
  </si>
  <si>
    <t>Work</t>
  </si>
  <si>
    <t>School</t>
  </si>
  <si>
    <t>Workbased</t>
  </si>
  <si>
    <t>Timeperiod</t>
  </si>
  <si>
    <t>Before 3:00am</t>
  </si>
  <si>
    <t>After 27:00</t>
  </si>
  <si>
    <t>Half-hour time periods</t>
  </si>
  <si>
    <t>Distance values reflect start time of time period</t>
  </si>
  <si>
    <t>Tour arrival time at primary destination</t>
  </si>
  <si>
    <t>Tour departure time from primary destination</t>
  </si>
  <si>
    <t>Table X. Estimated Tour Departure from PD Times: DaySim</t>
  </si>
  <si>
    <t>Table X. Estimated Tour Arrival at PD Times: DaySim</t>
  </si>
  <si>
    <t>&gt; 24 hours</t>
  </si>
  <si>
    <t>Duration</t>
  </si>
  <si>
    <t>Table X. Estimated Tour Durations: DaySim</t>
  </si>
  <si>
    <t>Other</t>
  </si>
  <si>
    <t>FT Worker</t>
  </si>
  <si>
    <t>PT Worker</t>
  </si>
  <si>
    <t>Retired</t>
  </si>
  <si>
    <t>Nonworker</t>
  </si>
  <si>
    <t>Univ Stud</t>
  </si>
  <si>
    <t>Stud 5-15</t>
  </si>
  <si>
    <t>Child&lt;5</t>
  </si>
  <si>
    <t>Stud 16+</t>
  </si>
  <si>
    <t>Work Tour arrival time at primary destination</t>
  </si>
  <si>
    <t>Table X. Estimated Work Tour Arrival at PD Times: DaySim</t>
  </si>
  <si>
    <t>Table X. Estimated School Tour Arrival at PD Times: DaySim</t>
  </si>
  <si>
    <t>Table X. Estimated Other Tour Arrival at PD Times: DaySim</t>
  </si>
  <si>
    <t>Other Tour arrival time at primary destination</t>
  </si>
  <si>
    <t>Workbased Tour arrival time at primary destination</t>
  </si>
  <si>
    <t>Table X. Estimated Workbased Tour Arrival at PD Times: DaySim</t>
  </si>
  <si>
    <t>School Tour arrival time at primary destination</t>
  </si>
  <si>
    <t>Steps for tour time of day distributions</t>
  </si>
  <si>
    <t>After 27:30</t>
  </si>
  <si>
    <t>DaySim</t>
  </si>
  <si>
    <t>These frequency distributions have been generated using the tour file</t>
  </si>
  <si>
    <t>Duration refers to the time spent at the primary destination</t>
  </si>
  <si>
    <t>Work Tour Departure time at primary destination</t>
  </si>
  <si>
    <t>Table X. Estimated Work Tour Departure at PD Times: DaySim</t>
  </si>
  <si>
    <t>School Tour Departure time at primary destination</t>
  </si>
  <si>
    <t>Table X. Estimated School Tour Departure at PD Times: DaySim</t>
  </si>
  <si>
    <t>Other Tour Departure time at primary destination</t>
  </si>
  <si>
    <t>Table X. Estimated Other Tour Departure at PD Times: DaySim</t>
  </si>
  <si>
    <t>Workbased Tour Departure time at primary destination</t>
  </si>
  <si>
    <t>Table X. Estimated Workbased Tour Departure at PD Times: DaySim</t>
  </si>
  <si>
    <t>Observed Sources: Survey (2009)</t>
  </si>
  <si>
    <t>Table X. Observed Tour Arrival at PD Times: Survey</t>
  </si>
  <si>
    <t>Survey</t>
  </si>
  <si>
    <t>Table X. Observed Tour Departure from PD Times: Survey</t>
  </si>
  <si>
    <t>Table X. Observed Tour Durations: Survey</t>
  </si>
  <si>
    <t>Table X. Observed Work Tour Arrival at PD Times: Survey</t>
  </si>
  <si>
    <t>Table X. Observed School Tour Arrival at PD Times: Survey</t>
  </si>
  <si>
    <t>Table X. Observed Other Tour Arrival at PD Times: Survey</t>
  </si>
  <si>
    <t>Table X. Observed Workbased Tour Arrival at PD Times: Survey</t>
  </si>
  <si>
    <t>Table X. Observed Work Tour Departure at PD Times: Survey</t>
  </si>
  <si>
    <t>Table X. Observed School Tour Departure at PD Times: Survey</t>
  </si>
  <si>
    <t>Table X. Observed Other Tour Departure at PD Times: Survey</t>
  </si>
  <si>
    <t>Table X. Observed Workbased Tour Departure at PD Times: Survey</t>
  </si>
  <si>
    <t>Observed Sources: Survey</t>
  </si>
  <si>
    <t xml:space="preserve">Observed Sources: Survey </t>
  </si>
  <si>
    <t>School Tour Duration</t>
  </si>
  <si>
    <t>0-3 hrs</t>
  </si>
  <si>
    <t>3-5 hrs</t>
  </si>
  <si>
    <t>5-7 hrs</t>
  </si>
  <si>
    <t>7-9 hrs</t>
  </si>
  <si>
    <t>9-10 hrs</t>
  </si>
  <si>
    <t>10-11 hrs</t>
  </si>
  <si>
    <t>11-12 hrs</t>
  </si>
  <si>
    <t>12-14 hrs</t>
  </si>
  <si>
    <t>18-24 hrs</t>
  </si>
  <si>
    <t>School Departure Time</t>
  </si>
  <si>
    <t>Depart</t>
  </si>
  <si>
    <t>3-7 am</t>
  </si>
  <si>
    <t>7-10 am</t>
  </si>
  <si>
    <t>10 am - 1 pm</t>
  </si>
  <si>
    <t>1-3 pm</t>
  </si>
  <si>
    <t>5-6 pm</t>
  </si>
  <si>
    <t>6-7 pm</t>
  </si>
  <si>
    <t>7-9 pm</t>
  </si>
  <si>
    <t>9-12 pm</t>
  </si>
  <si>
    <t>12-3 am</t>
  </si>
  <si>
    <t>TOTAL</t>
  </si>
  <si>
    <t>Share</t>
  </si>
  <si>
    <t>Ratio</t>
  </si>
  <si>
    <t>Adjustment</t>
  </si>
  <si>
    <t>Damp</t>
  </si>
  <si>
    <t>Count</t>
  </si>
  <si>
    <t>Index</t>
  </si>
  <si>
    <t>Old Coeff</t>
  </si>
  <si>
    <t>14-18 hrs</t>
  </si>
  <si>
    <t>New Coeff</t>
  </si>
  <si>
    <t>Instructions:</t>
  </si>
  <si>
    <t>By: nagendra.dhakar@rsginc.com</t>
  </si>
  <si>
    <t>Select all(ctrl+A)</t>
  </si>
  <si>
    <t>Paste in cell A8</t>
  </si>
  <si>
    <t>Go to "Data" --&gt;Text to Columns - Select "Delimited" ---&gt; Select "Space" --&gt; Finish</t>
  </si>
  <si>
    <t>tod</t>
  </si>
  <si>
    <t>school</t>
  </si>
  <si>
    <t>tours</t>
  </si>
  <si>
    <t>Created</t>
  </si>
  <si>
    <t>by</t>
  </si>
  <si>
    <t>ALOGIT</t>
  </si>
  <si>
    <t>version</t>
  </si>
  <si>
    <t>on</t>
  </si>
  <si>
    <t>END</t>
  </si>
  <si>
    <t>arr3-5</t>
  </si>
  <si>
    <t>T</t>
  </si>
  <si>
    <t>arr=6</t>
  </si>
  <si>
    <t>F</t>
  </si>
  <si>
    <t>arr=7</t>
  </si>
  <si>
    <t>arr=8</t>
  </si>
  <si>
    <t>arr=9</t>
  </si>
  <si>
    <t>arr10-12</t>
  </si>
  <si>
    <t>arr13-15</t>
  </si>
  <si>
    <t>arr16-18</t>
  </si>
  <si>
    <t>arr19-21</t>
  </si>
  <si>
    <t>arr22-26</t>
  </si>
  <si>
    <t>dep3-6</t>
  </si>
  <si>
    <t>dep7-9</t>
  </si>
  <si>
    <t>dep10-12</t>
  </si>
  <si>
    <t>dep13-14</t>
  </si>
  <si>
    <t>dep=16</t>
  </si>
  <si>
    <t>dep=17</t>
  </si>
  <si>
    <t>dep=18</t>
  </si>
  <si>
    <t>dep19-20</t>
  </si>
  <si>
    <t>dep21-23</t>
  </si>
  <si>
    <t>dep24-26</t>
  </si>
  <si>
    <t>dur0-2</t>
  </si>
  <si>
    <t>dur3-4</t>
  </si>
  <si>
    <t>dur5-6</t>
  </si>
  <si>
    <t>dur7-8</t>
  </si>
  <si>
    <t>dur=9</t>
  </si>
  <si>
    <t>dur=10</t>
  </si>
  <si>
    <t>dur=11</t>
  </si>
  <si>
    <t>dur12-13</t>
  </si>
  <si>
    <t>dur14-17</t>
  </si>
  <si>
    <t>dur18-23</t>
  </si>
  <si>
    <t>ptwk-arr</t>
  </si>
  <si>
    <t>ptwk-dur</t>
  </si>
  <si>
    <t>nwad-arr</t>
  </si>
  <si>
    <t>nwad-dur</t>
  </si>
  <si>
    <t>univ-arr</t>
  </si>
  <si>
    <t>univ-dur</t>
  </si>
  <si>
    <t>dkid-arr</t>
  </si>
  <si>
    <t>dkid-dur</t>
  </si>
  <si>
    <t>ns*ot-arr</t>
  </si>
  <si>
    <t>ns*ot-dur</t>
  </si>
  <si>
    <t>rs*mt-arr</t>
  </si>
  <si>
    <t>rs*mt-dur</t>
  </si>
  <si>
    <t>iescs-arr</t>
  </si>
  <si>
    <t>iescs-dur</t>
  </si>
  <si>
    <t>ctim-out</t>
  </si>
  <si>
    <t>ctim-ret</t>
  </si>
  <si>
    <t>ttim-out</t>
  </si>
  <si>
    <t>ttim-ret</t>
  </si>
  <si>
    <t>arrpused</t>
  </si>
  <si>
    <t>deppused</t>
  </si>
  <si>
    <t>cempbef1</t>
  </si>
  <si>
    <t>cempaft1</t>
  </si>
  <si>
    <t>cempbef2</t>
  </si>
  <si>
    <t>cempaft2</t>
  </si>
  <si>
    <t>toursdtwin</t>
  </si>
  <si>
    <t>toursdbwin</t>
  </si>
  <si>
    <t>toursdawin</t>
  </si>
  <si>
    <t>dep15</t>
  </si>
  <si>
    <t>ftwk-arr</t>
  </si>
  <si>
    <t>ftwk-dur</t>
  </si>
  <si>
    <t>pres-arr</t>
  </si>
  <si>
    <t>pres-dur</t>
  </si>
  <si>
    <t>Old</t>
  </si>
  <si>
    <t>New</t>
  </si>
  <si>
    <t>SchoolTourTimeModel.F12</t>
  </si>
  <si>
    <t>3-5 pm</t>
  </si>
  <si>
    <t>WorkBased Departure Time</t>
  </si>
  <si>
    <t>WorkBased Tour Duration</t>
  </si>
  <si>
    <t>workbased</t>
  </si>
  <si>
    <t>subtour</t>
  </si>
  <si>
    <t>dur0-0</t>
  </si>
  <si>
    <t>dur1-1</t>
  </si>
  <si>
    <t>dur2-2</t>
  </si>
  <si>
    <t>dur9-11</t>
  </si>
  <si>
    <t>arravail</t>
  </si>
  <si>
    <t>depavail</t>
  </si>
  <si>
    <t>esco-arr</t>
  </si>
  <si>
    <t>esco-dur</t>
  </si>
  <si>
    <t>shop-arr</t>
  </si>
  <si>
    <t>shop-dur</t>
  </si>
  <si>
    <t>meal-arr</t>
  </si>
  <si>
    <t>meal-dur</t>
  </si>
  <si>
    <t>srec-arr</t>
  </si>
  <si>
    <t>srec-dur</t>
  </si>
  <si>
    <t>pbus-arr</t>
  </si>
  <si>
    <t>pbus-dur</t>
  </si>
  <si>
    <t>WorkbasedSubTourTimeModel.F12</t>
  </si>
  <si>
    <t>Description</t>
  </si>
  <si>
    <t>Open "WorkTourTime_SACOG-v1.5.F12" in Notepad+</t>
  </si>
  <si>
    <t>Open "SchoolTourTime_SACOG-v1.5.F12" in Notepad+</t>
  </si>
  <si>
    <t>work</t>
  </si>
  <si>
    <t>Apr</t>
  </si>
  <si>
    <t>linc-arr</t>
  </si>
  <si>
    <t>linc-dur</t>
  </si>
  <si>
    <t>hinc-arr</t>
  </si>
  <si>
    <t>hinc-dur</t>
  </si>
  <si>
    <t>lprs-arr</t>
  </si>
  <si>
    <t>lprs-dur</t>
  </si>
  <si>
    <t>ns*mt-arr</t>
  </si>
  <si>
    <t>ns*mt-dur</t>
  </si>
  <si>
    <t>nsubt-arr</t>
  </si>
  <si>
    <t>nsubt-dur</t>
  </si>
  <si>
    <t>ftwk-x&lt;9</t>
  </si>
  <si>
    <t>hinc-d36</t>
  </si>
  <si>
    <t>hinc-a2226</t>
  </si>
  <si>
    <t>hprs-x&lt;8</t>
  </si>
  <si>
    <t>lprs-x&lt;8</t>
  </si>
  <si>
    <t>hprd-x&lt;8</t>
  </si>
  <si>
    <t>ttim-mis</t>
  </si>
  <si>
    <t>toursdmwin</t>
  </si>
  <si>
    <t>016:21:25</t>
  </si>
  <si>
    <t>Work Departure Time</t>
  </si>
  <si>
    <t>Work Tour Duration</t>
  </si>
  <si>
    <t>015:24:18</t>
  </si>
  <si>
    <t>Open "WorkbasedSubtourTimeCoefficients_SACOG-v1.5.F12" in Notepad+</t>
  </si>
  <si>
    <t>School Arrival Time</t>
  </si>
  <si>
    <t>3-6 am</t>
  </si>
  <si>
    <t>6-7 am</t>
  </si>
  <si>
    <t>7-8 am</t>
  </si>
  <si>
    <t>8-9 am</t>
  </si>
  <si>
    <t>9-10 am</t>
  </si>
  <si>
    <t>1-4 pm</t>
  </si>
  <si>
    <t>4-7 pm</t>
  </si>
  <si>
    <t>9 pm-3 am</t>
  </si>
  <si>
    <t>10 am-1 pm</t>
  </si>
  <si>
    <t>Work Arrival Time</t>
  </si>
  <si>
    <t>SchoolWorkTimeModel.F12</t>
  </si>
  <si>
    <t>WorkBased Arrival 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</si>
</sst>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43" formatCode="_(* #,##0.00_);_(* \(#,##0.00\);_(* &quot;-&quot;??_);_(@_)"/>
    <numFmt numFmtId="164" formatCode="mm/dd/yyyy\ hh:mm:ss"/>
    <numFmt numFmtId="165" formatCode="_(* #,##0_);_(* \(#,##0\);_(* &quot;-&quot;??_);_(@_)"/>
    <numFmt numFmtId="166" formatCode="0.0%"/>
    <numFmt numFmtId="167" formatCode="0.00000000"/>
    <numFmt numFmtId="168" formatCode="0.000000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name val="Calibri"/>
      <family val="2"/>
      <scheme val="minor"/>
    </font>
    <font>
      <b/>
      <sz val="1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0">
    <xf borderId="0" fillId="0" fontId="0" numFmtId="0"/>
    <xf borderId="0" fillId="0" fontId="2" numFmtId="0">
      <alignment wrapText="1"/>
    </xf>
    <xf borderId="0" fillId="2" fontId="3" numFmtId="0">
      <alignment wrapText="1"/>
    </xf>
    <xf borderId="0" fillId="0" fontId="3" numFmtId="164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164">
      <alignment wrapText="1"/>
    </xf>
    <xf applyAlignment="0" applyBorder="0" applyFill="0" applyFont="0" applyProtection="0" borderId="0" fillId="0" fontId="3" numFmtId="43"/>
    <xf applyAlignment="0" applyBorder="0" applyFill="0" applyFont="0" applyProtection="0" borderId="0" fillId="0" fontId="3" numFmtId="9"/>
  </cellStyleXfs>
  <cellXfs count="96">
    <xf borderId="0" fillId="0" fontId="0" numFmtId="0" xfId="0"/>
    <xf applyBorder="1" borderId="1" fillId="0" fontId="0" numFmtId="0" xfId="0"/>
    <xf applyBorder="1" borderId="2" fillId="0" fontId="0" numFmtId="0" xfId="0"/>
    <xf applyBorder="1" applyFont="1" borderId="1" fillId="0" fontId="1" numFmtId="0" xfId="0"/>
    <xf applyAlignment="1" applyBorder="1" borderId="2" fillId="0" fontId="0" numFmtId="0" xfId="0">
      <alignment horizontal="center" vertical="top"/>
    </xf>
    <xf applyBorder="1" borderId="0" fillId="0" fontId="0" numFmtId="0" xfId="0"/>
    <xf applyNumberFormat="1" borderId="0" fillId="0" fontId="0" numFmtId="2" xfId="0"/>
    <xf applyBorder="1" applyNumberFormat="1" borderId="1" fillId="0" fontId="0" numFmtId="2" xfId="0"/>
    <xf applyFont="1" borderId="0" fillId="0" fontId="1" numFmtId="0" xfId="0"/>
    <xf applyAlignment="1" borderId="0" fillId="0" fontId="2" numFmtId="0" xfId="1"/>
    <xf applyAlignment="1" applyBorder="1" borderId="1" fillId="0" fontId="2" numFmtId="0" xfId="1"/>
    <xf applyBorder="1" applyFont="1" borderId="0" fillId="0" fontId="1" numFmtId="0" xfId="0"/>
    <xf applyNumberFormat="1" borderId="0" fillId="0" fontId="0" numFmtId="20" xfId="0"/>
    <xf applyBorder="1" applyNumberFormat="1" borderId="1" fillId="0" fontId="0" numFmtId="20" xfId="0"/>
    <xf applyAlignment="1" applyBorder="1" borderId="0" fillId="0" fontId="0" numFmtId="0" xfId="0">
      <alignment horizontal="center" vertical="top"/>
    </xf>
    <xf applyBorder="1" applyFill="1" applyNumberFormat="1" borderId="0" fillId="0" fontId="0" numFmtId="20" xfId="0"/>
    <xf applyBorder="1" applyNumberFormat="1" borderId="0" fillId="0" fontId="0" numFmtId="2" xfId="0"/>
    <xf applyAlignment="1" applyNumberFormat="1" borderId="0" fillId="0" fontId="2" numFmtId="10" xfId="1"/>
    <xf applyNumberFormat="1" borderId="0" fillId="0" fontId="0" numFmtId="10" xfId="0"/>
    <xf applyAlignment="1" applyBorder="1" applyNumberFormat="1" borderId="1" fillId="0" fontId="2" numFmtId="10" xfId="1"/>
    <xf applyBorder="1" applyNumberFormat="1" borderId="1" fillId="0" fontId="0" numFmtId="10" xfId="0"/>
    <xf applyBorder="1" applyNumberFormat="1" borderId="3" fillId="0" fontId="0" numFmtId="20" xfId="0"/>
    <xf applyBorder="1" applyNumberFormat="1" borderId="3" fillId="0" fontId="0" numFmtId="2" xfId="0"/>
    <xf applyBorder="1" borderId="3" fillId="0" fontId="0" numFmtId="0" xfId="0"/>
    <xf applyAlignment="1" applyBorder="1" borderId="3" fillId="0" fontId="2" numFmtId="0" xfId="1"/>
    <xf applyBorder="1" applyNumberFormat="1" borderId="4" fillId="0" fontId="0" numFmtId="20" xfId="0"/>
    <xf applyBorder="1" applyNumberFormat="1" borderId="4" fillId="0" fontId="0" numFmtId="2" xfId="0"/>
    <xf applyAlignment="1" applyBorder="1" borderId="3" fillId="0" fontId="0" numFmtId="0" xfId="0">
      <alignment horizontal="center" vertical="top"/>
    </xf>
    <xf applyBorder="1" applyNumberFormat="1" borderId="0" fillId="0" fontId="0" numFmtId="10" xfId="0"/>
    <xf applyFont="1" applyNumberFormat="1" borderId="0" fillId="0" fontId="0" numFmtId="165" xfId="8"/>
    <xf applyFont="1" applyNumberFormat="1" borderId="0" fillId="0" fontId="0" numFmtId="166" xfId="9"/>
    <xf applyNumberFormat="1" borderId="0" fillId="0" fontId="0" numFmtId="167" xfId="0"/>
    <xf applyBorder="1" applyFont="1" borderId="3" fillId="0" fontId="1" numFmtId="0" xfId="0"/>
    <xf applyAlignment="1" applyBorder="1" applyFont="1" borderId="3" fillId="0" fontId="1" numFmtId="0" xfId="0">
      <alignment horizontal="right"/>
    </xf>
    <xf applyBorder="1" applyFont="1" applyNumberFormat="1" borderId="3" fillId="0" fontId="0" numFmtId="165" xfId="8"/>
    <xf applyBorder="1" applyFont="1" applyNumberFormat="1" borderId="3" fillId="0" fontId="0" numFmtId="166" xfId="9"/>
    <xf applyBorder="1" applyNumberFormat="1" borderId="3" fillId="0" fontId="0" numFmtId="167" xfId="0"/>
    <xf applyBorder="1" applyFont="1" borderId="1" fillId="0" fontId="4" numFmtId="0" xfId="0"/>
    <xf applyBorder="1" applyFill="1" borderId="1" fillId="3" fontId="0" numFmtId="0" xfId="0"/>
    <xf applyBorder="1" applyFont="1" borderId="4" fillId="0" fontId="1" numFmtId="0" xfId="0"/>
    <xf applyBorder="1" applyFont="1" applyNumberFormat="1" borderId="4" fillId="0" fontId="1" numFmtId="165" xfId="0"/>
    <xf applyBorder="1" applyFont="1" applyNumberFormat="1" borderId="4" fillId="0" fontId="1" numFmtId="166" xfId="9"/>
    <xf applyBorder="1" applyFont="1" applyNumberFormat="1" borderId="4" fillId="0" fontId="1" numFmtId="2" xfId="0"/>
    <xf applyBorder="1" borderId="4" fillId="0" fontId="0" numFmtId="0" xfId="0"/>
    <xf applyBorder="1" applyFont="1" applyNumberFormat="1" borderId="1" fillId="0" fontId="1" numFmtId="165" xfId="0"/>
    <xf applyBorder="1" applyFont="1" applyNumberFormat="1" borderId="1" fillId="0" fontId="1" numFmtId="166" xfId="9"/>
    <xf applyBorder="1" applyFont="1" applyNumberFormat="1" borderId="1" fillId="0" fontId="1" numFmtId="2" xfId="0"/>
    <xf applyBorder="1" applyFill="1" applyFont="1" borderId="5" fillId="4" fontId="4" numFmtId="0" xfId="0"/>
    <xf applyBorder="1" applyFill="1" applyFont="1" borderId="6" fillId="4" fontId="5" numFmtId="0" xfId="0"/>
    <xf applyBorder="1" applyFill="1" borderId="7" fillId="4" fontId="0" numFmtId="0" xfId="0"/>
    <xf applyBorder="1" applyFill="1" applyFont="1" borderId="8" fillId="4" fontId="5" numFmtId="0" xfId="0"/>
    <xf applyBorder="1" applyFill="1" applyFont="1" borderId="0" fillId="4" fontId="5" numFmtId="0" xfId="0"/>
    <xf applyBorder="1" applyFill="1" borderId="9" fillId="4" fontId="0" numFmtId="0" xfId="0"/>
    <xf applyBorder="1" applyFill="1" applyFont="1" borderId="10" fillId="4" fontId="5" numFmtId="0" xfId="0"/>
    <xf applyBorder="1" applyFill="1" applyFont="1" borderId="3" fillId="4" fontId="5" numFmtId="0" xfId="0"/>
    <xf applyBorder="1" applyFill="1" applyFont="1" borderId="11" fillId="4" fontId="5" numFmtId="0" xfId="0"/>
    <xf applyNumberFormat="1" borderId="0" fillId="0" fontId="0" numFmtId="21" xfId="0"/>
    <xf applyNumberFormat="1" borderId="0" fillId="0" fontId="0" numFmtId="11" xfId="0"/>
    <xf applyFont="1" borderId="0" fillId="0" fontId="6" numFmtId="0" xfId="0"/>
    <xf applyFont="1" borderId="0" fillId="0" fontId="5" numFmtId="0" xfId="0"/>
    <xf applyAlignment="1" applyFont="1" borderId="0" fillId="0" fontId="7" numFmtId="0" xfId="0">
      <alignment horizontal="right"/>
    </xf>
    <xf applyBorder="1" borderId="6" fillId="0" fontId="0" numFmtId="0" xfId="0"/>
    <xf applyBorder="1" applyNumberFormat="1" borderId="6" fillId="0" fontId="0" numFmtId="167" xfId="0"/>
    <xf applyBorder="1" applyNumberFormat="1" borderId="0" fillId="0" fontId="0" numFmtId="167" xfId="0"/>
    <xf applyNumberFormat="1" borderId="0" fillId="0" fontId="0" numFmtId="168" xfId="0"/>
    <xf applyAlignment="1" applyBorder="1" applyFont="1" borderId="0" fillId="0" fontId="1" numFmtId="0" xfId="0">
      <alignment horizontal="right"/>
    </xf>
    <xf applyFill="1" borderId="0" fillId="5" fontId="0" numFmtId="0" xfId="0"/>
    <xf applyFill="1" applyNumberFormat="1" borderId="0" fillId="5" fontId="0" numFmtId="168" xfId="0"/>
    <xf applyAlignment="1" applyBorder="1" applyFill="1" applyFont="1" borderId="3" fillId="6" fontId="1" numFmtId="0" xfId="0">
      <alignment horizontal="right"/>
    </xf>
    <xf applyBorder="1" applyFill="1" applyFont="1" borderId="3" fillId="6" fontId="1" numFmtId="0" xfId="0"/>
    <xf applyAlignment="1" applyBorder="1" applyFill="1" applyFont="1" borderId="3" fillId="6" fontId="1" numFmtId="0" xfId="0">
      <alignment horizontal="left"/>
    </xf>
    <xf applyFill="1" borderId="0" fillId="6" fontId="0" numFmtId="0" xfId="0"/>
    <xf applyBorder="1" applyFill="1" borderId="6" fillId="6" fontId="0" numFmtId="0" xfId="0"/>
    <xf applyFill="1" applyNumberFormat="1" borderId="0" fillId="6" fontId="0" numFmtId="167" xfId="0"/>
    <xf applyBorder="1" applyFill="1" borderId="0" fillId="6" fontId="0" numFmtId="0" xfId="0"/>
    <xf applyBorder="1" applyFill="1" borderId="3" fillId="6" fontId="0" numFmtId="0" xfId="0"/>
    <xf applyBorder="1" applyFill="1" applyNumberFormat="1" borderId="3" fillId="6" fontId="0" numFmtId="167" xfId="0"/>
    <xf applyBorder="1" applyFill="1" borderId="0" fillId="0" fontId="0" numFmtId="0" xfId="0"/>
    <xf applyBorder="1" applyFill="1" applyFont="1" borderId="0" fillId="0" fontId="4" numFmtId="0" xfId="0"/>
    <xf applyBorder="1" applyFill="1" applyFont="1" borderId="0" fillId="0" fontId="1" numFmtId="0" xfId="0"/>
    <xf applyAlignment="1" applyBorder="1" applyFill="1" applyFont="1" borderId="0" fillId="0" fontId="1" numFmtId="0" xfId="0">
      <alignment horizontal="right"/>
    </xf>
    <xf applyBorder="1" applyFill="1" applyFont="1" applyNumberFormat="1" borderId="0" fillId="0" fontId="0" numFmtId="165" xfId="8"/>
    <xf applyBorder="1" applyFill="1" applyFont="1" applyNumberFormat="1" borderId="0" fillId="0" fontId="0" numFmtId="166" xfId="9"/>
    <xf applyBorder="1" applyFill="1" applyNumberFormat="1" borderId="0" fillId="0" fontId="0" numFmtId="2" xfId="0"/>
    <xf applyBorder="1" applyFill="1" applyNumberFormat="1" borderId="0" fillId="0" fontId="0" numFmtId="167" xfId="0"/>
    <xf applyBorder="1" applyFill="1" applyFont="1" applyNumberFormat="1" borderId="0" fillId="0" fontId="1" numFmtId="165" xfId="0"/>
    <xf applyBorder="1" applyFill="1" applyFont="1" applyNumberFormat="1" borderId="0" fillId="0" fontId="1" numFmtId="166" xfId="9"/>
    <xf applyBorder="1" applyFill="1" applyFont="1" applyNumberFormat="1" borderId="0" fillId="0" fontId="1" numFmtId="2" xfId="0"/>
    <xf applyNumberFormat="1" borderId="0" fillId="0" fontId="0" numFmtId="46" xfId="0"/>
    <xf applyFill="1" borderId="0" fillId="0" fontId="0" numFmtId="0" xfId="0"/>
    <xf applyAlignment="1" applyBorder="1" applyFill="1" applyFont="1" borderId="2" fillId="6" fontId="1" numFmtId="0" xfId="0">
      <alignment horizontal="left"/>
    </xf>
    <xf applyFill="1" applyNumberFormat="1" borderId="0" fillId="0" fontId="0" numFmtId="168" xfId="0"/>
    <xf applyAlignment="1" applyBorder="1" applyFill="1" applyFont="1" borderId="2" fillId="6" fontId="1" numFmtId="0" xfId="0">
      <alignment horizontal="right"/>
    </xf>
    <xf applyAlignment="1" applyBorder="1" applyFill="1" applyFont="1" borderId="0" fillId="0" fontId="1" numFmtId="0" xfId="0">
      <alignment horizontal="center"/>
    </xf>
    <xf applyAlignment="1" applyBorder="1" applyFont="1" borderId="0" fillId="0" fontId="1" numFmtId="0" xfId="0">
      <alignment horizontal="center"/>
    </xf>
    <xf applyAlignment="1" applyFont="1" borderId="0" fillId="0" fontId="1" numFmtId="0" xfId="0">
      <alignment horizontal="center"/>
    </xf>
  </cellXfs>
  <cellStyles count="10">
    <cellStyle builtinId="3" name="Comma" xfId="8"/>
    <cellStyle builtinId="0" name="Normal" xfId="0"/>
    <cellStyle builtinId="5" name="Percent" xfId="9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0"/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10" Target="worksheets/sheet10.xml" Type="http://schemas.openxmlformats.org/officeDocument/2006/relationships/worksheet"/>
<Relationship Id="rId11" Target="worksheets/sheet11.xml" Type="http://schemas.openxmlformats.org/officeDocument/2006/relationships/worksheet"/>
<Relationship Id="rId12" Target="worksheets/sheet12.xml" Type="http://schemas.openxmlformats.org/officeDocument/2006/relationships/worksheet"/>
<Relationship Id="rId13" Target="worksheets/sheet13.xml" Type="http://schemas.openxmlformats.org/officeDocument/2006/relationships/worksheet"/>
<Relationship Id="rId14" Target="worksheets/sheet14.xml" Type="http://schemas.openxmlformats.org/officeDocument/2006/relationships/worksheet"/>
<Relationship Id="rId15" Target="worksheets/sheet15.xml" Type="http://schemas.openxmlformats.org/officeDocument/2006/relationships/worksheet"/>
<Relationship Id="rId16" Target="worksheets/sheet16.xml" Type="http://schemas.openxmlformats.org/officeDocument/2006/relationships/worksheet"/>
<Relationship Id="rId17" Target="worksheets/sheet17.xml" Type="http://schemas.openxmlformats.org/officeDocument/2006/relationships/worksheet"/>
<Relationship Id="rId18" Target="worksheets/sheet18.xml" Type="http://schemas.openxmlformats.org/officeDocument/2006/relationships/worksheet"/>
<Relationship Id="rId19" Target="theme/theme1.xml" Type="http://schemas.openxmlformats.org/officeDocument/2006/relationships/theme"/>
<Relationship Id="rId2" Target="worksheets/sheet2.xml" Type="http://schemas.openxmlformats.org/officeDocument/2006/relationships/worksheet"/>
<Relationship Id="rId20" Target="styles.xml" Type="http://schemas.openxmlformats.org/officeDocument/2006/relationships/styles"/>
<Relationship Id="rId21" Target="sharedStrings.xml" Type="http://schemas.openxmlformats.org/officeDocument/2006/relationships/sharedStrings"/>
<Relationship Id="rId22" Target="calcChain.xml" Type="http://schemas.openxmlformats.org/officeDocument/2006/relationships/calcChain"/>
<Relationship Id="rId23" Target="vbaProject.bin" Type="http://schemas.microsoft.com/office/2006/relationships/vbaProjec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worksheets/sheet5.xml" Type="http://schemas.openxmlformats.org/officeDocument/2006/relationships/worksheet"/>
<Relationship Id="rId6" Target="worksheets/sheet6.xml" Type="http://schemas.openxmlformats.org/officeDocument/2006/relationships/worksheet"/>
<Relationship Id="rId7" Target="worksheets/sheet7.xml" Type="http://schemas.openxmlformats.org/officeDocument/2006/relationships/worksheet"/>
<Relationship Id="rId8" Target="worksheets/sheet8.xml" Type="http://schemas.openxmlformats.org/officeDocument/2006/relationships/worksheet"/>
<Relationship Id="rId9" Target="worksheets/sheet9.xml" Type="http://schemas.openxmlformats.org/officeDocument/2006/relationships/worksheet"/>
</Relationships>

</file>

<file path=xl/charts/_rels/chart8.xml.rels><?xml version="1.0" encoding="UTF-8" standalone="no"?>
<Relationships xmlns="http://schemas.openxmlformats.org/package/2006/relationships">
<Relationship Id="rId1" Target="style1.xml" Type="http://schemas.microsoft.com/office/2011/relationships/chartStyle"/>
<Relationship Id="rId2" Target="colors1.xml" Type="http://schemas.microsoft.com/office/2011/relationships/chartColorStyle"/>
</Relationships>
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 Arrival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65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Arrival_Time!$B$64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Arrival_Time!$B$65:$B$115</c:f>
              <c:numCache>
                <c:formatCode>0.00%</c:formatCode>
                <c:ptCount val="51"/>
                <c:pt idx="0">
                  <c:v>7.4186582538384431E-5</c:v>
                </c:pt>
                <c:pt idx="1">
                  <c:v>1.7199737353974854E-3</c:v>
                </c:pt>
                <c:pt idx="2">
                  <c:v>4.1126677324294413E-3</c:v>
                </c:pt>
                <c:pt idx="3">
                  <c:v>8.1676171320027094E-3</c:v>
                </c:pt>
                <c:pt idx="4">
                  <c:v>1.4943803265293001E-2</c:v>
                </c:pt>
                <c:pt idx="5">
                  <c:v>2.5355478463347143E-2</c:v>
                </c:pt>
                <c:pt idx="6">
                  <c:v>3.9697581723319268E-2</c:v>
                </c:pt>
                <c:pt idx="7">
                  <c:v>5.7141088003343929E-2</c:v>
                </c:pt>
                <c:pt idx="8">
                  <c:v>7.5403232435352255E-2</c:v>
                </c:pt>
                <c:pt idx="9">
                  <c:v>9.0902920323304631E-2</c:v>
                </c:pt>
                <c:pt idx="10">
                  <c:v>9.9719875222210111E-2</c:v>
                </c:pt>
                <c:pt idx="11">
                  <c:v>9.924753301952717E-2</c:v>
                </c:pt>
                <c:pt idx="12">
                  <c:v>8.9666003345626369E-2</c:v>
                </c:pt>
                <c:pt idx="13">
                  <c:v>7.4081575653805409E-2</c:v>
                </c:pt>
                <c:pt idx="14">
                  <c:v>5.7010670034489681E-2</c:v>
                </c:pt>
                <c:pt idx="15">
                  <c:v>4.2213842765356044E-2</c:v>
                </c:pt>
                <c:pt idx="16">
                  <c:v>3.1365689509781997E-2</c:v>
                </c:pt>
                <c:pt idx="17">
                  <c:v>2.4213119453480581E-2</c:v>
                </c:pt>
                <c:pt idx="18">
                  <c:v>1.9654600920610579E-2</c:v>
                </c:pt>
                <c:pt idx="19">
                  <c:v>1.6710608489924176E-2</c:v>
                </c:pt>
                <c:pt idx="20">
                  <c:v>1.4825320013169647E-2</c:v>
                </c:pt>
                <c:pt idx="21">
                  <c:v>1.3660777339692943E-2</c:v>
                </c:pt>
                <c:pt idx="22">
                  <c:v>1.2857700726587968E-2</c:v>
                </c:pt>
                <c:pt idx="23">
                  <c:v>1.2043220963789925E-2</c:v>
                </c:pt>
                <c:pt idx="24">
                  <c:v>1.1006823383842663E-2</c:v>
                </c:pt>
                <c:pt idx="25">
                  <c:v>9.8018056532471823E-3</c:v>
                </c:pt>
                <c:pt idx="26">
                  <c:v>8.6453410396402329E-3</c:v>
                </c:pt>
                <c:pt idx="27">
                  <c:v>7.7080279827597816E-3</c:v>
                </c:pt>
                <c:pt idx="28">
                  <c:v>6.9804896595547887E-3</c:v>
                </c:pt>
                <c:pt idx="29">
                  <c:v>6.3131681974448184E-3</c:v>
                </c:pt>
                <c:pt idx="30">
                  <c:v>5.5621483558983701E-3</c:v>
                </c:pt>
                <c:pt idx="31">
                  <c:v>4.6981284960211011E-3</c:v>
                </c:pt>
                <c:pt idx="32">
                  <c:v>3.7984320633551016E-3</c:v>
                </c:pt>
                <c:pt idx="33">
                  <c:v>2.9613224895657739E-3</c:v>
                </c:pt>
                <c:pt idx="34">
                  <c:v>2.2391158189920624E-3</c:v>
                </c:pt>
                <c:pt idx="35">
                  <c:v>1.639670622154467E-3</c:v>
                </c:pt>
                <c:pt idx="36">
                  <c:v>1.1625964347731406E-3</c:v>
                </c:pt>
                <c:pt idx="37">
                  <c:v>8.1286275526088435E-4</c:v>
                </c:pt>
                <c:pt idx="38">
                  <c:v>5.8265238938434054E-4</c:v>
                </c:pt>
                <c:pt idx="39">
                  <c:v>4.3779211954844964E-4</c:v>
                </c:pt>
                <c:pt idx="40">
                  <c:v>3.329264678399849E-4</c:v>
                </c:pt>
                <c:pt idx="41">
                  <c:v>2.386725290243451E-4</c:v>
                </c:pt>
                <c:pt idx="42">
                  <c:v>1.5163342743168716E-4</c:v>
                </c:pt>
                <c:pt idx="43">
                  <c:v>8.2056163067997082E-5</c:v>
                </c:pt>
                <c:pt idx="44">
                  <c:v>3.686422772666001E-5</c:v>
                </c:pt>
                <c:pt idx="45">
                  <c:v>1.3458769632547135E-5</c:v>
                </c:pt>
                <c:pt idx="46">
                  <c:v>3.8989935496793836E-6</c:v>
                </c:pt>
                <c:pt idx="47">
                  <c:v>8.6798099129066292E-7</c:v>
                </c:pt>
                <c:pt idx="48">
                  <c:v>1.4152958664720523E-7</c:v>
                </c:pt>
                <c:pt idx="49">
                  <c:v>1.5595325355349488E-8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49-49E3-9087-40B569334599}"/>
            </c:ext>
          </c:extLst>
        </c:ser>
        <c:ser>
          <c:idx val="1"/>
          <c:order val="1"/>
          <c:tx>
            <c:strRef>
              <c:f>Arrival_Time!$I$64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Arrival_Time!$I$65:$I$115</c:f>
              <c:numCache>
                <c:formatCode>0.00%</c:formatCode>
                <c:ptCount val="51"/>
                <c:pt idx="0">
                  <c:v>2.2230693469679937E-3</c:v>
                </c:pt>
                <c:pt idx="1">
                  <c:v>3.33566566925232E-3</c:v>
                </c:pt>
                <c:pt idx="2">
                  <c:v>4.792358514364309E-3</c:v>
                </c:pt>
                <c:pt idx="3">
                  <c:v>7.2415622825972529E-3</c:v>
                </c:pt>
                <c:pt idx="4">
                  <c:v>1.1778243949912828E-2</c:v>
                </c:pt>
                <c:pt idx="5">
                  <c:v>1.9744920483457527E-2</c:v>
                </c:pt>
                <c:pt idx="6">
                  <c:v>3.2105117489345164E-2</c:v>
                </c:pt>
                <c:pt idx="7">
                  <c:v>4.857879700704068E-2</c:v>
                </c:pt>
                <c:pt idx="8">
                  <c:v>6.7045920718569199E-2</c:v>
                </c:pt>
                <c:pt idx="9">
                  <c:v>8.3777637823670828E-2</c:v>
                </c:pt>
                <c:pt idx="10">
                  <c:v>9.4653556049643303E-2</c:v>
                </c:pt>
                <c:pt idx="11">
                  <c:v>9.6857478090045343E-2</c:v>
                </c:pt>
                <c:pt idx="12">
                  <c:v>9.0119407809538532E-2</c:v>
                </c:pt>
                <c:pt idx="13">
                  <c:v>7.6778409445247511E-2</c:v>
                </c:pt>
                <c:pt idx="14">
                  <c:v>6.0661517874064277E-2</c:v>
                </c:pt>
                <c:pt idx="15">
                  <c:v>4.5469097025690117E-2</c:v>
                </c:pt>
                <c:pt idx="16">
                  <c:v>3.3542120213015177E-2</c:v>
                </c:pt>
                <c:pt idx="17">
                  <c:v>2.5511309580846745E-2</c:v>
                </c:pt>
                <c:pt idx="18">
                  <c:v>2.0740269865895104E-2</c:v>
                </c:pt>
                <c:pt idx="19">
                  <c:v>1.8090419621270778E-2</c:v>
                </c:pt>
                <c:pt idx="20">
                  <c:v>1.6535594714924357E-2</c:v>
                </c:pt>
                <c:pt idx="21">
                  <c:v>1.5419667540448476E-2</c:v>
                </c:pt>
                <c:pt idx="22">
                  <c:v>1.4424233081301125E-2</c:v>
                </c:pt>
                <c:pt idx="23">
                  <c:v>1.3424690405777632E-2</c:v>
                </c:pt>
                <c:pt idx="24">
                  <c:v>1.2371681728348564E-2</c:v>
                </c:pt>
                <c:pt idx="25">
                  <c:v>1.1244247083842312E-2</c:v>
                </c:pt>
                <c:pt idx="26">
                  <c:v>1.005421934853698E-2</c:v>
                </c:pt>
                <c:pt idx="27">
                  <c:v>8.8560127686377887E-3</c:v>
                </c:pt>
                <c:pt idx="28">
                  <c:v>7.7298375807822676E-3</c:v>
                </c:pt>
                <c:pt idx="29">
                  <c:v>6.7432527595172216E-3</c:v>
                </c:pt>
                <c:pt idx="30">
                  <c:v>5.9207368563230882E-3</c:v>
                </c:pt>
                <c:pt idx="31">
                  <c:v>5.2415098131682316E-3</c:v>
                </c:pt>
                <c:pt idx="32">
                  <c:v>4.6600156820734411E-3</c:v>
                </c:pt>
                <c:pt idx="33">
                  <c:v>4.1314297774144521E-3</c:v>
                </c:pt>
                <c:pt idx="34">
                  <c:v>3.6299053600782247E-3</c:v>
                </c:pt>
                <c:pt idx="35">
                  <c:v>3.1545561682250122E-3</c:v>
                </c:pt>
                <c:pt idx="36">
                  <c:v>2.7216499874745306E-3</c:v>
                </c:pt>
                <c:pt idx="37">
                  <c:v>2.3467436418972277E-3</c:v>
                </c:pt>
                <c:pt idx="38">
                  <c:v>2.0276970198918132E-3</c:v>
                </c:pt>
                <c:pt idx="39">
                  <c:v>1.7409652737004238E-3</c:v>
                </c:pt>
                <c:pt idx="40">
                  <c:v>1.4550448797091746E-3</c:v>
                </c:pt>
                <c:pt idx="41">
                  <c:v>1.1519219630012918E-3</c:v>
                </c:pt>
                <c:pt idx="42">
                  <c:v>8.404819762137932E-4</c:v>
                </c:pt>
                <c:pt idx="43">
                  <c:v>5.5156801008329325E-4</c:v>
                </c:pt>
                <c:pt idx="44">
                  <c:v>3.18651432988212E-4</c:v>
                </c:pt>
                <c:pt idx="45">
                  <c:v>1.5883293693716045E-4</c:v>
                </c:pt>
                <c:pt idx="46">
                  <c:v>6.6899848388062315E-5</c:v>
                </c:pt>
                <c:pt idx="47">
                  <c:v>2.3247835970354473E-5</c:v>
                </c:pt>
                <c:pt idx="48">
                  <c:v>6.4657699403880629E-6</c:v>
                </c:pt>
                <c:pt idx="49">
                  <c:v>1.3598939701210582E-6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649-49E3-9087-40B5693345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9394176"/>
        <c:axId val="81255168"/>
      </c:lineChart>
      <c:catAx>
        <c:axId val="893941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of Day</a:t>
                </a:r>
              </a:p>
            </c:rich>
          </c:tx>
          <c:layout/>
          <c:overlay val="0"/>
        </c:title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81255168"/>
        <c:crosses val="autoZero"/>
        <c:auto val="1"/>
        <c:lblAlgn val="ctr"/>
        <c:lblOffset val="100"/>
        <c:tickLblSkip val="2"/>
        <c:noMultiLvlLbl val="0"/>
      </c:catAx>
      <c:valAx>
        <c:axId val="8125516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Tour Share (%)</a:t>
                </a:r>
              </a:p>
            </c:rich>
          </c:tx>
          <c:layout/>
          <c:overlay val="0"/>
        </c:title>
        <c:numFmt formatCode="0.0%" sourceLinked="0"/>
        <c:majorTickMark val="none"/>
        <c:minorTickMark val="none"/>
        <c:tickLblPos val="nextTo"/>
        <c:crossAx val="8939417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footer="0.30000000000000032" header="0.30000000000000032" l="0.70000000000000062" r="0.70000000000000062" t="0.75000000000000189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School Arrival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7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Arrival_Time!$C$64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Arrival_Time!$C$65:$C$115</c:f>
              <c:numCache>
                <c:formatCode>0.00%</c:formatCode>
                <c:ptCount val="51"/>
                <c:pt idx="0">
                  <c:v>0</c:v>
                </c:pt>
                <c:pt idx="1">
                  <c:v>8.2313887607487357E-5</c:v>
                </c:pt>
                <c:pt idx="2">
                  <c:v>3.5686955766372992E-4</c:v>
                </c:pt>
                <c:pt idx="3">
                  <c:v>1.2890970592743238E-3</c:v>
                </c:pt>
                <c:pt idx="4">
                  <c:v>3.9232418673418624E-3</c:v>
                </c:pt>
                <c:pt idx="5">
                  <c:v>1.0028767744157941E-2</c:v>
                </c:pt>
                <c:pt idx="6">
                  <c:v>2.1644021816189827E-2</c:v>
                </c:pt>
                <c:pt idx="7">
                  <c:v>3.9726806716158261E-2</c:v>
                </c:pt>
                <c:pt idx="8">
                  <c:v>6.245174405691771E-2</c:v>
                </c:pt>
                <c:pt idx="9">
                  <c:v>8.4621519191443409E-2</c:v>
                </c:pt>
                <c:pt idx="10">
                  <c:v>9.9423983146452427E-2</c:v>
                </c:pt>
                <c:pt idx="11">
                  <c:v>0.10195596563690636</c:v>
                </c:pt>
                <c:pt idx="12">
                  <c:v>9.2077176812513747E-2</c:v>
                </c:pt>
                <c:pt idx="13">
                  <c:v>7.4356822560310953E-2</c:v>
                </c:pt>
                <c:pt idx="14">
                  <c:v>5.5211712390681865E-2</c:v>
                </c:pt>
                <c:pt idx="15">
                  <c:v>3.9527468564766313E-2</c:v>
                </c:pt>
                <c:pt idx="16">
                  <c:v>2.9054000329247053E-2</c:v>
                </c:pt>
                <c:pt idx="17">
                  <c:v>2.3035610924974668E-2</c:v>
                </c:pt>
                <c:pt idx="18">
                  <c:v>1.9858675835268996E-2</c:v>
                </c:pt>
                <c:pt idx="19">
                  <c:v>1.82814132623191E-2</c:v>
                </c:pt>
                <c:pt idx="20">
                  <c:v>1.7705574614725786E-2</c:v>
                </c:pt>
                <c:pt idx="21">
                  <c:v>1.7844742532168136E-2</c:v>
                </c:pt>
                <c:pt idx="22">
                  <c:v>1.8375054810547544E-2</c:v>
                </c:pt>
                <c:pt idx="23">
                  <c:v>1.8858841014026125E-2</c:v>
                </c:pt>
                <c:pt idx="24">
                  <c:v>1.8888634325641192E-2</c:v>
                </c:pt>
                <c:pt idx="25">
                  <c:v>1.8275024257446686E-2</c:v>
                </c:pt>
                <c:pt idx="26">
                  <c:v>1.7136166140968939E-2</c:v>
                </c:pt>
                <c:pt idx="27">
                  <c:v>1.5813463437958884E-2</c:v>
                </c:pt>
                <c:pt idx="28">
                  <c:v>1.4632780524850385E-2</c:v>
                </c:pt>
                <c:pt idx="29">
                  <c:v>1.3660802976935522E-2</c:v>
                </c:pt>
                <c:pt idx="30">
                  <c:v>1.2655898971288364E-2</c:v>
                </c:pt>
                <c:pt idx="31">
                  <c:v>1.1272517689716044E-2</c:v>
                </c:pt>
                <c:pt idx="32">
                  <c:v>9.352123135055285E-3</c:v>
                </c:pt>
                <c:pt idx="33">
                  <c:v>7.0596265084508936E-3</c:v>
                </c:pt>
                <c:pt idx="34">
                  <c:v>4.7779546018959637E-3</c:v>
                </c:pt>
                <c:pt idx="35">
                  <c:v>2.8795497463843158E-3</c:v>
                </c:pt>
                <c:pt idx="36">
                  <c:v>1.5548872050310364E-3</c:v>
                </c:pt>
                <c:pt idx="37">
                  <c:v>7.8441582297083417E-4</c:v>
                </c:pt>
                <c:pt idx="38">
                  <c:v>4.1881866945039654E-4</c:v>
                </c:pt>
                <c:pt idx="39">
                  <c:v>2.8233201227794764E-4</c:v>
                </c:pt>
                <c:pt idx="40">
                  <c:v>2.3896403361524938E-4</c:v>
                </c:pt>
                <c:pt idx="41">
                  <c:v>2.1128061325958788E-4</c:v>
                </c:pt>
                <c:pt idx="42">
                  <c:v>1.7082883367831734E-4</c:v>
                </c:pt>
                <c:pt idx="43">
                  <c:v>1.1939827107899024E-4</c:v>
                </c:pt>
                <c:pt idx="44">
                  <c:v>7.0267445805058027E-5</c:v>
                </c:pt>
                <c:pt idx="45">
                  <c:v>3.4146988503402655E-5</c:v>
                </c:pt>
                <c:pt idx="46">
                  <c:v>1.3416370253449262E-5</c:v>
                </c:pt>
                <c:pt idx="47">
                  <c:v>4.1471436101937606E-6</c:v>
                </c:pt>
                <c:pt idx="48">
                  <c:v>9.6969483108726557E-7</c:v>
                </c:pt>
                <c:pt idx="49">
                  <c:v>1.602473783281468E-7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DB-43B1-94F2-040BC2EB1D35}"/>
            </c:ext>
          </c:extLst>
        </c:ser>
        <c:ser>
          <c:idx val="1"/>
          <c:order val="1"/>
          <c:tx>
            <c:strRef>
              <c:f>Arrival_Time!$J$64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Arrival_Time!$J$65:$J$115</c:f>
              <c:numCache>
                <c:formatCode>0.00%</c:formatCode>
                <c:ptCount val="51"/>
                <c:pt idx="0">
                  <c:v>3.8409875967751586E-5</c:v>
                </c:pt>
                <c:pt idx="1">
                  <c:v>1.2116556577585357E-4</c:v>
                </c:pt>
                <c:pt idx="2">
                  <c:v>4.1267154822264499E-4</c:v>
                </c:pt>
                <c:pt idx="3">
                  <c:v>1.3402676846812317E-3</c:v>
                </c:pt>
                <c:pt idx="4">
                  <c:v>3.7613436598213958E-3</c:v>
                </c:pt>
                <c:pt idx="5">
                  <c:v>9.0251791800900448E-3</c:v>
                </c:pt>
                <c:pt idx="6">
                  <c:v>1.8613282381120169E-2</c:v>
                </c:pt>
                <c:pt idx="7">
                  <c:v>3.3213107957419712E-2</c:v>
                </c:pt>
                <c:pt idx="8">
                  <c:v>5.1577471648933927E-2</c:v>
                </c:pt>
                <c:pt idx="9">
                  <c:v>7.0055217499310624E-2</c:v>
                </c:pt>
                <c:pt idx="10">
                  <c:v>8.3594626542572992E-2</c:v>
                </c:pt>
                <c:pt idx="11">
                  <c:v>8.8049176207835783E-2</c:v>
                </c:pt>
                <c:pt idx="12">
                  <c:v>8.2417398144973036E-2</c:v>
                </c:pt>
                <c:pt idx="13">
                  <c:v>6.9397393253599629E-2</c:v>
                </c:pt>
                <c:pt idx="14">
                  <c:v>5.3804731820202817E-2</c:v>
                </c:pt>
                <c:pt idx="15">
                  <c:v>4.0040165403155498E-2</c:v>
                </c:pt>
                <c:pt idx="16">
                  <c:v>3.036633738951984E-2</c:v>
                </c:pt>
                <c:pt idx="17">
                  <c:v>2.4813850319468114E-2</c:v>
                </c:pt>
                <c:pt idx="18">
                  <c:v>2.2184408150082633E-2</c:v>
                </c:pt>
                <c:pt idx="19">
                  <c:v>2.1120326844190695E-2</c:v>
                </c:pt>
                <c:pt idx="20">
                  <c:v>2.0661069205789272E-2</c:v>
                </c:pt>
                <c:pt idx="21">
                  <c:v>2.0325663962918815E-2</c:v>
                </c:pt>
                <c:pt idx="22">
                  <c:v>1.9992756087636711E-2</c:v>
                </c:pt>
                <c:pt idx="23">
                  <c:v>1.9757013017808793E-2</c:v>
                </c:pt>
                <c:pt idx="24">
                  <c:v>1.9793599216253444E-2</c:v>
                </c:pt>
                <c:pt idx="25">
                  <c:v>2.0209131708213347E-2</c:v>
                </c:pt>
                <c:pt idx="26">
                  <c:v>2.0904763633429038E-2</c:v>
                </c:pt>
                <c:pt idx="27">
                  <c:v>2.1541188379696957E-2</c:v>
                </c:pt>
                <c:pt idx="28">
                  <c:v>2.1665407739699209E-2</c:v>
                </c:pt>
                <c:pt idx="29">
                  <c:v>2.0930958240914909E-2</c:v>
                </c:pt>
                <c:pt idx="30">
                  <c:v>1.9257617339977096E-2</c:v>
                </c:pt>
                <c:pt idx="31">
                  <c:v>1.6838249958448306E-2</c:v>
                </c:pt>
                <c:pt idx="32">
                  <c:v>1.4028563745643841E-2</c:v>
                </c:pt>
                <c:pt idx="33">
                  <c:v>1.1207898397622427E-2</c:v>
                </c:pt>
                <c:pt idx="34">
                  <c:v>8.6666349463280987E-3</c:v>
                </c:pt>
                <c:pt idx="35">
                  <c:v>6.544600307877067E-3</c:v>
                </c:pt>
                <c:pt idx="36">
                  <c:v>4.8380526205016377E-3</c:v>
                </c:pt>
                <c:pt idx="37">
                  <c:v>3.4679493927856002E-3</c:v>
                </c:pt>
                <c:pt idx="38">
                  <c:v>2.3608141854307052E-3</c:v>
                </c:pt>
                <c:pt idx="39">
                  <c:v>1.4872763790207042E-3</c:v>
                </c:pt>
                <c:pt idx="40">
                  <c:v>8.4599301655944334E-4</c:v>
                </c:pt>
                <c:pt idx="41">
                  <c:v>4.2621380279735663E-4</c:v>
                </c:pt>
                <c:pt idx="42">
                  <c:v>1.8831002726115174E-4</c:v>
                </c:pt>
                <c:pt idx="43">
                  <c:v>7.3497978039426388E-5</c:v>
                </c:pt>
                <c:pt idx="44">
                  <c:v>2.6292493372115963E-5</c:v>
                </c:pt>
                <c:pt idx="45">
                  <c:v>9.1910625517153373E-6</c:v>
                </c:pt>
                <c:pt idx="46">
                  <c:v>3.2551155214884689E-6</c:v>
                </c:pt>
                <c:pt idx="47">
                  <c:v>1.1076242704809956E-6</c:v>
                </c:pt>
                <c:pt idx="48">
                  <c:v>3.2561778063424659E-7</c:v>
                </c:pt>
                <c:pt idx="49">
                  <c:v>7.3718905816173617E-8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8DB-43B1-94F2-040BC2EB1D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4939264"/>
        <c:axId val="124978880"/>
      </c:lineChart>
      <c:catAx>
        <c:axId val="1249392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of Day</a:t>
                </a:r>
              </a:p>
            </c:rich>
          </c:tx>
          <c:layout/>
          <c:overlay val="0"/>
        </c:title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4978880"/>
        <c:crosses val="autoZero"/>
        <c:auto val="1"/>
        <c:lblAlgn val="ctr"/>
        <c:lblOffset val="100"/>
        <c:tickLblSkip val="2"/>
        <c:noMultiLvlLbl val="0"/>
      </c:catAx>
      <c:valAx>
        <c:axId val="12497888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Tour Share (%)</a:t>
                </a:r>
              </a:p>
            </c:rich>
          </c:tx>
          <c:layout/>
          <c:overlay val="0"/>
        </c:title>
        <c:numFmt formatCode="0.0%" sourceLinked="0"/>
        <c:majorTickMark val="none"/>
        <c:minorTickMark val="none"/>
        <c:tickLblPos val="nextTo"/>
        <c:crossAx val="12493926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11" footer="0.30000000000000032" header="0.30000000000000032" l="0.70000000000000062" r="0.70000000000000062" t="0.75000000000000211"/>
    <c:pageSetup/>
  </c:printSettings>
</c:chartSpace>
</file>

<file path=xl/charts/chart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Other Arrival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7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Arrival_Time!$D$64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Arrival_Time!$D$65:$D$115</c:f>
              <c:numCache>
                <c:formatCode>0.00%</c:formatCode>
                <c:ptCount val="51"/>
                <c:pt idx="0">
                  <c:v>1.0714980313627227E-3</c:v>
                </c:pt>
                <c:pt idx="1">
                  <c:v>1.221017828576541E-3</c:v>
                </c:pt>
                <c:pt idx="2">
                  <c:v>1.5370364256635527E-3</c:v>
                </c:pt>
                <c:pt idx="3">
                  <c:v>2.1445061915783517E-3</c:v>
                </c:pt>
                <c:pt idx="4">
                  <c:v>3.1218967513836821E-3</c:v>
                </c:pt>
                <c:pt idx="5">
                  <c:v>4.5606833382188438E-3</c:v>
                </c:pt>
                <c:pt idx="6">
                  <c:v>6.6567522637232023E-3</c:v>
                </c:pt>
                <c:pt idx="7">
                  <c:v>9.7163370640645681E-3</c:v>
                </c:pt>
                <c:pt idx="8">
                  <c:v>1.3971210408165045E-2</c:v>
                </c:pt>
                <c:pt idx="9">
                  <c:v>1.9272025074089545E-2</c:v>
                </c:pt>
                <c:pt idx="10">
                  <c:v>2.492671268519325E-2</c:v>
                </c:pt>
                <c:pt idx="11">
                  <c:v>2.9921765564799328E-2</c:v>
                </c:pt>
                <c:pt idx="12">
                  <c:v>3.3444588428965014E-2</c:v>
                </c:pt>
                <c:pt idx="13">
                  <c:v>3.5305953449514219E-2</c:v>
                </c:pt>
                <c:pt idx="14">
                  <c:v>3.5917730574256547E-2</c:v>
                </c:pt>
                <c:pt idx="15">
                  <c:v>3.5893379253251069E-2</c:v>
                </c:pt>
                <c:pt idx="16">
                  <c:v>3.5658301498794634E-2</c:v>
                </c:pt>
                <c:pt idx="17">
                  <c:v>3.5356825512166422E-2</c:v>
                </c:pt>
                <c:pt idx="18">
                  <c:v>3.5010859125798439E-2</c:v>
                </c:pt>
                <c:pt idx="19">
                  <c:v>3.4707556700332244E-2</c:v>
                </c:pt>
                <c:pt idx="20">
                  <c:v>3.4655276874567667E-2</c:v>
                </c:pt>
                <c:pt idx="21">
                  <c:v>3.5077377482969893E-2</c:v>
                </c:pt>
                <c:pt idx="22">
                  <c:v>3.6019942571104573E-2</c:v>
                </c:pt>
                <c:pt idx="23">
                  <c:v>3.7237714671666866E-2</c:v>
                </c:pt>
                <c:pt idx="24">
                  <c:v>3.8308856011499477E-2</c:v>
                </c:pt>
                <c:pt idx="25">
                  <c:v>3.8930260002831278E-2</c:v>
                </c:pt>
                <c:pt idx="26">
                  <c:v>3.9123770729152713E-2</c:v>
                </c:pt>
                <c:pt idx="27">
                  <c:v>3.9132313024319965E-2</c:v>
                </c:pt>
                <c:pt idx="28">
                  <c:v>3.9101395426308923E-2</c:v>
                </c:pt>
                <c:pt idx="29">
                  <c:v>3.8862151997699164E-2</c:v>
                </c:pt>
                <c:pt idx="30">
                  <c:v>3.8005051237575541E-2</c:v>
                </c:pt>
                <c:pt idx="31">
                  <c:v>3.6141464161845896E-2</c:v>
                </c:pt>
                <c:pt idx="32">
                  <c:v>3.3123808319829619E-2</c:v>
                </c:pt>
                <c:pt idx="33">
                  <c:v>2.9098631285357526E-2</c:v>
                </c:pt>
                <c:pt idx="34">
                  <c:v>2.4422165693563348E-2</c:v>
                </c:pt>
                <c:pt idx="35">
                  <c:v>1.9531657469652155E-2</c:v>
                </c:pt>
                <c:pt idx="36">
                  <c:v>1.4840849230652304E-2</c:v>
                </c:pt>
                <c:pt idx="37">
                  <c:v>1.0678242835568775E-2</c:v>
                </c:pt>
                <c:pt idx="38">
                  <c:v>7.2559956566007758E-3</c:v>
                </c:pt>
                <c:pt idx="39">
                  <c:v>4.6559314606331691E-3</c:v>
                </c:pt>
                <c:pt idx="40">
                  <c:v>2.8339432549747061E-3</c:v>
                </c:pt>
                <c:pt idx="41">
                  <c:v>1.651403051873331E-3</c:v>
                </c:pt>
                <c:pt idx="42">
                  <c:v>9.2974716276845862E-4</c:v>
                </c:pt>
                <c:pt idx="43">
                  <c:v>5.0545968671647425E-4</c:v>
                </c:pt>
                <c:pt idx="44">
                  <c:v>2.6065679267805444E-4</c:v>
                </c:pt>
                <c:pt idx="45">
                  <c:v>1.2334115856090088E-4</c:v>
                </c:pt>
                <c:pt idx="46">
                  <c:v>5.145454430151365E-5</c:v>
                </c:pt>
                <c:pt idx="47">
                  <c:v>1.8166101360316487E-5</c:v>
                </c:pt>
                <c:pt idx="48">
                  <c:v>5.2031410108413296E-6</c:v>
                </c:pt>
                <c:pt idx="49">
                  <c:v>1.1327924585735886E-6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77-49B9-9209-4A69A586172C}"/>
            </c:ext>
          </c:extLst>
        </c:ser>
        <c:ser>
          <c:idx val="1"/>
          <c:order val="1"/>
          <c:tx>
            <c:strRef>
              <c:f>Arrival_Time!$K$64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Arrival_Time!$K$65:$K$115</c:f>
              <c:numCache>
                <c:formatCode>0.00%</c:formatCode>
                <c:ptCount val="51"/>
                <c:pt idx="0">
                  <c:v>1.7637228223549813E-3</c:v>
                </c:pt>
                <c:pt idx="1">
                  <c:v>1.9403278494209291E-3</c:v>
                </c:pt>
                <c:pt idx="2">
                  <c:v>2.1291019325782295E-3</c:v>
                </c:pt>
                <c:pt idx="3">
                  <c:v>2.4109928753791193E-3</c:v>
                </c:pt>
                <c:pt idx="4">
                  <c:v>2.977465732176551E-3</c:v>
                </c:pt>
                <c:pt idx="5">
                  <c:v>4.1214216874558996E-3</c:v>
                </c:pt>
                <c:pt idx="6">
                  <c:v>6.1639074677332E-3</c:v>
                </c:pt>
                <c:pt idx="7">
                  <c:v>9.3237808481280351E-3</c:v>
                </c:pt>
                <c:pt idx="8">
                  <c:v>1.3568897583877217E-2</c:v>
                </c:pt>
                <c:pt idx="9">
                  <c:v>1.8524463349682985E-2</c:v>
                </c:pt>
                <c:pt idx="10">
                  <c:v>2.3528542464980491E-2</c:v>
                </c:pt>
                <c:pt idx="11">
                  <c:v>2.7864678099728875E-2</c:v>
                </c:pt>
                <c:pt idx="12">
                  <c:v>3.1063538012566266E-2</c:v>
                </c:pt>
                <c:pt idx="13">
                  <c:v>3.306817135160918E-2</c:v>
                </c:pt>
                <c:pt idx="14">
                  <c:v>3.4144919939657035E-2</c:v>
                </c:pt>
                <c:pt idx="15">
                  <c:v>3.4644264241404515E-2</c:v>
                </c:pt>
                <c:pt idx="16">
                  <c:v>3.4829387796654648E-2</c:v>
                </c:pt>
                <c:pt idx="17">
                  <c:v>3.4867344847361259E-2</c:v>
                </c:pt>
                <c:pt idx="18">
                  <c:v>3.4888502919369423E-2</c:v>
                </c:pt>
                <c:pt idx="19">
                  <c:v>3.4992795220953082E-2</c:v>
                </c:pt>
                <c:pt idx="20">
                  <c:v>3.5203663330067428E-2</c:v>
                </c:pt>
                <c:pt idx="21">
                  <c:v>3.5455911931848751E-2</c:v>
                </c:pt>
                <c:pt idx="22">
                  <c:v>3.5661023117790666E-2</c:v>
                </c:pt>
                <c:pt idx="23">
                  <c:v>3.5801287079184452E-2</c:v>
                </c:pt>
                <c:pt idx="24">
                  <c:v>3.596868713514214E-2</c:v>
                </c:pt>
                <c:pt idx="25">
                  <c:v>3.6309263043171246E-2</c:v>
                </c:pt>
                <c:pt idx="26">
                  <c:v>3.6910481205704095E-2</c:v>
                </c:pt>
                <c:pt idx="27">
                  <c:v>3.7709609394372144E-2</c:v>
                </c:pt>
                <c:pt idx="28">
                  <c:v>3.8470923441091126E-2</c:v>
                </c:pt>
                <c:pt idx="29">
                  <c:v>3.8823607650860917E-2</c:v>
                </c:pt>
                <c:pt idx="30">
                  <c:v>3.8346301459586035E-2</c:v>
                </c:pt>
                <c:pt idx="31">
                  <c:v>3.6709964145663777E-2</c:v>
                </c:pt>
                <c:pt idx="32">
                  <c:v>3.3849346179845988E-2</c:v>
                </c:pt>
                <c:pt idx="33">
                  <c:v>3.0039402812142603E-2</c:v>
                </c:pt>
                <c:pt idx="34">
                  <c:v>2.5770405268418266E-2</c:v>
                </c:pt>
                <c:pt idx="35">
                  <c:v>2.1494619335168878E-2</c:v>
                </c:pt>
                <c:pt idx="36">
                  <c:v>1.7455000586606904E-2</c:v>
                </c:pt>
                <c:pt idx="37">
                  <c:v>1.3717102792626773E-2</c:v>
                </c:pt>
                <c:pt idx="38">
                  <c:v>1.0315883980974879E-2</c:v>
                </c:pt>
                <c:pt idx="39">
                  <c:v>7.345325085589916E-3</c:v>
                </c:pt>
                <c:pt idx="40">
                  <c:v>4.9235946079685582E-3</c:v>
                </c:pt>
                <c:pt idx="41">
                  <c:v>3.1061013828229088E-3</c:v>
                </c:pt>
                <c:pt idx="42">
                  <c:v>1.8464548562753115E-3</c:v>
                </c:pt>
                <c:pt idx="43">
                  <c:v>1.0297602338229118E-3</c:v>
                </c:pt>
                <c:pt idx="44">
                  <c:v>5.3045478476347694E-4</c:v>
                </c:pt>
                <c:pt idx="45">
                  <c:v>2.4579074907352176E-4</c:v>
                </c:pt>
                <c:pt idx="46">
                  <c:v>9.9128143611527771E-5</c:v>
                </c:pt>
                <c:pt idx="47">
                  <c:v>3.3579234392290657E-5</c:v>
                </c:pt>
                <c:pt idx="48">
                  <c:v>9.1895439849348052E-6</c:v>
                </c:pt>
                <c:pt idx="49">
                  <c:v>1.9104443556660263E-6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177-49B9-9209-4A69A58617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4939776"/>
        <c:axId val="124981184"/>
      </c:lineChart>
      <c:catAx>
        <c:axId val="1249397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of Day</a:t>
                </a:r>
              </a:p>
            </c:rich>
          </c:tx>
          <c:layout/>
          <c:overlay val="0"/>
        </c:title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4981184"/>
        <c:crosses val="autoZero"/>
        <c:auto val="1"/>
        <c:lblAlgn val="ctr"/>
        <c:lblOffset val="100"/>
        <c:tickLblSkip val="2"/>
        <c:noMultiLvlLbl val="0"/>
      </c:catAx>
      <c:valAx>
        <c:axId val="12498118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Tour Share (%)</a:t>
                </a:r>
              </a:p>
            </c:rich>
          </c:tx>
          <c:layout/>
          <c:overlay val="0"/>
        </c:title>
        <c:numFmt formatCode="0.0%" sourceLinked="0"/>
        <c:majorTickMark val="none"/>
        <c:minorTickMark val="none"/>
        <c:tickLblPos val="nextTo"/>
        <c:crossAx val="12493977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11" footer="0.30000000000000032" header="0.30000000000000032" l="0.70000000000000062" r="0.70000000000000062" t="0.75000000000000211"/>
    <c:pageSetup/>
  </c:printSettings>
</c:chartSpace>
</file>

<file path=xl/charts/chart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Work-based Arrival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7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Arrival_Time!$E$64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Arrival_Time!$E$65:$E$115</c:f>
              <c:numCache>
                <c:formatCode>0.00%</c:formatCode>
                <c:ptCount val="51"/>
                <c:pt idx="0">
                  <c:v>0</c:v>
                </c:pt>
                <c:pt idx="1">
                  <c:v>5.4717144675559976E-5</c:v>
                </c:pt>
                <c:pt idx="2">
                  <c:v>1.7433901192025257E-4</c:v>
                </c:pt>
                <c:pt idx="3">
                  <c:v>4.3801700273343318E-4</c:v>
                </c:pt>
                <c:pt idx="4">
                  <c:v>9.4015305677083141E-4</c:v>
                </c:pt>
                <c:pt idx="5">
                  <c:v>1.7861291651038033E-3</c:v>
                </c:pt>
                <c:pt idx="6">
                  <c:v>3.1054974727758133E-3</c:v>
                </c:pt>
                <c:pt idx="7">
                  <c:v>5.0814516283653422E-3</c:v>
                </c:pt>
                <c:pt idx="8">
                  <c:v>7.9460021839180481E-3</c:v>
                </c:pt>
                <c:pt idx="9">
                  <c:v>1.1886622366824253E-2</c:v>
                </c:pt>
                <c:pt idx="10">
                  <c:v>1.6899239239341786E-2</c:v>
                </c:pt>
                <c:pt idx="11">
                  <c:v>2.2735133617597242E-2</c:v>
                </c:pt>
                <c:pt idx="12">
                  <c:v>2.9078513064808926E-2</c:v>
                </c:pt>
                <c:pt idx="13">
                  <c:v>3.5892389813588048E-2</c:v>
                </c:pt>
                <c:pt idx="14">
                  <c:v>4.3619867162272577E-2</c:v>
                </c:pt>
                <c:pt idx="15">
                  <c:v>5.2894961627125238E-2</c:v>
                </c:pt>
                <c:pt idx="16">
                  <c:v>6.375532509493774E-2</c:v>
                </c:pt>
                <c:pt idx="17">
                  <c:v>7.4875973429312778E-2</c:v>
                </c:pt>
                <c:pt idx="18">
                  <c:v>8.3585886773746232E-2</c:v>
                </c:pt>
                <c:pt idx="19">
                  <c:v>8.7000386513338163E-2</c:v>
                </c:pt>
                <c:pt idx="20">
                  <c:v>8.367429949586469E-2</c:v>
                </c:pt>
                <c:pt idx="21">
                  <c:v>7.455795825922322E-2</c:v>
                </c:pt>
                <c:pt idx="22">
                  <c:v>6.2453934934675201E-2</c:v>
                </c:pt>
                <c:pt idx="23">
                  <c:v>5.0381266834053973E-2</c:v>
                </c:pt>
                <c:pt idx="24">
                  <c:v>4.0117652536869337E-2</c:v>
                </c:pt>
                <c:pt idx="25">
                  <c:v>3.1890475730866161E-2</c:v>
                </c:pt>
                <c:pt idx="26">
                  <c:v>2.5112801877650772E-2</c:v>
                </c:pt>
                <c:pt idx="27">
                  <c:v>1.9293821710205168E-2</c:v>
                </c:pt>
                <c:pt idx="28">
                  <c:v>1.4395071705034965E-2</c:v>
                </c:pt>
                <c:pt idx="29">
                  <c:v>1.0597828245896612E-2</c:v>
                </c:pt>
                <c:pt idx="30">
                  <c:v>7.935984558614835E-3</c:v>
                </c:pt>
                <c:pt idx="31">
                  <c:v>6.1796008582522535E-3</c:v>
                </c:pt>
                <c:pt idx="32">
                  <c:v>4.9880422980363619E-3</c:v>
                </c:pt>
                <c:pt idx="33">
                  <c:v>4.1155628739295742E-3</c:v>
                </c:pt>
                <c:pt idx="34">
                  <c:v>3.4852412821885664E-3</c:v>
                </c:pt>
                <c:pt idx="35">
                  <c:v>3.1091785656921188E-3</c:v>
                </c:pt>
                <c:pt idx="36">
                  <c:v>2.9586955615252923E-3</c:v>
                </c:pt>
                <c:pt idx="37">
                  <c:v>2.9059995439107622E-3</c:v>
                </c:pt>
                <c:pt idx="38">
                  <c:v>2.7777104377139099E-3</c:v>
                </c:pt>
                <c:pt idx="39">
                  <c:v>2.4586968736188771E-3</c:v>
                </c:pt>
                <c:pt idx="40">
                  <c:v>1.953718317522838E-3</c:v>
                </c:pt>
                <c:pt idx="41">
                  <c:v>1.3671343563368555E-3</c:v>
                </c:pt>
                <c:pt idx="42">
                  <c:v>8.299403617671163E-4</c:v>
                </c:pt>
                <c:pt idx="43">
                  <c:v>4.3047926442886433E-4</c:v>
                </c:pt>
                <c:pt idx="44">
                  <c:v>1.8740069445454837E-4</c:v>
                </c:pt>
                <c:pt idx="45">
                  <c:v>6.6960858256267538E-5</c:v>
                </c:pt>
                <c:pt idx="46">
                  <c:v>1.9070334129587109E-5</c:v>
                </c:pt>
                <c:pt idx="47">
                  <c:v>4.1532873439328925E-6</c:v>
                </c:pt>
                <c:pt idx="48">
                  <c:v>6.484364516421524E-7</c:v>
                </c:pt>
                <c:pt idx="49">
                  <c:v>6.4536329310356398E-8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CD-4D64-B3BB-08F13F363029}"/>
            </c:ext>
          </c:extLst>
        </c:ser>
        <c:ser>
          <c:idx val="1"/>
          <c:order val="1"/>
          <c:tx>
            <c:strRef>
              <c:f>Arrival_Time!$L$64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Arrival_Time!$L$65:$L$115</c:f>
              <c:numCache>
                <c:formatCode>0.00%</c:formatCode>
                <c:ptCount val="51"/>
                <c:pt idx="0">
                  <c:v>4.1905792111553326E-4</c:v>
                </c:pt>
                <c:pt idx="1">
                  <c:v>4.7830723080580716E-4</c:v>
                </c:pt>
                <c:pt idx="2">
                  <c:v>5.9451860320175074E-4</c:v>
                </c:pt>
                <c:pt idx="3">
                  <c:v>8.229013655914445E-4</c:v>
                </c:pt>
                <c:pt idx="4">
                  <c:v>1.2406316134736257E-3</c:v>
                </c:pt>
                <c:pt idx="5">
                  <c:v>1.9915643615754752E-3</c:v>
                </c:pt>
                <c:pt idx="6">
                  <c:v>3.3075378342388379E-3</c:v>
                </c:pt>
                <c:pt idx="7">
                  <c:v>5.4577692981771959E-3</c:v>
                </c:pt>
                <c:pt idx="8">
                  <c:v>8.6427116212171255E-3</c:v>
                </c:pt>
                <c:pt idx="9">
                  <c:v>1.2932010099261796E-2</c:v>
                </c:pt>
                <c:pt idx="10">
                  <c:v>1.8330342014916918E-2</c:v>
                </c:pt>
                <c:pt idx="11">
                  <c:v>2.4909072681917555E-2</c:v>
                </c:pt>
                <c:pt idx="12">
                  <c:v>3.2820752932395787E-2</c:v>
                </c:pt>
                <c:pt idx="13">
                  <c:v>4.2098274863603069E-2</c:v>
                </c:pt>
                <c:pt idx="14">
                  <c:v>5.2372623487185833E-2</c:v>
                </c:pt>
                <c:pt idx="15">
                  <c:v>6.2745679388314643E-2</c:v>
                </c:pt>
                <c:pt idx="16">
                  <c:v>7.1897520630577749E-2</c:v>
                </c:pt>
                <c:pt idx="17">
                  <c:v>7.8327959266685093E-2</c:v>
                </c:pt>
                <c:pt idx="18">
                  <c:v>8.0689472133525966E-2</c:v>
                </c:pt>
                <c:pt idx="19">
                  <c:v>7.8279630863300101E-2</c:v>
                </c:pt>
                <c:pt idx="20">
                  <c:v>7.1555364835145199E-2</c:v>
                </c:pt>
                <c:pt idx="21">
                  <c:v>6.2189092855926192E-2</c:v>
                </c:pt>
                <c:pt idx="22">
                  <c:v>5.2351733441931905E-2</c:v>
                </c:pt>
                <c:pt idx="23">
                  <c:v>4.3637606498096691E-2</c:v>
                </c:pt>
                <c:pt idx="24">
                  <c:v>3.6486302735002855E-2</c:v>
                </c:pt>
                <c:pt idx="25">
                  <c:v>3.0490430821707028E-2</c:v>
                </c:pt>
                <c:pt idx="26">
                  <c:v>2.51419220608298E-2</c:v>
                </c:pt>
                <c:pt idx="27">
                  <c:v>2.0306613329689721E-2</c:v>
                </c:pt>
                <c:pt idx="28">
                  <c:v>1.6166367486476887E-2</c:v>
                </c:pt>
                <c:pt idx="29">
                  <c:v>1.2894316909452879E-2</c:v>
                </c:pt>
                <c:pt idx="30">
                  <c:v>1.0437614251887413E-2</c:v>
                </c:pt>
                <c:pt idx="31">
                  <c:v>8.5508977631341757E-3</c:v>
                </c:pt>
                <c:pt idx="32">
                  <c:v>6.9765292178028213E-3</c:v>
                </c:pt>
                <c:pt idx="33">
                  <c:v>5.5893276960636189E-3</c:v>
                </c:pt>
                <c:pt idx="34">
                  <c:v>4.4026911291892949E-3</c:v>
                </c:pt>
                <c:pt idx="35">
                  <c:v>3.467557334525243E-3</c:v>
                </c:pt>
                <c:pt idx="36">
                  <c:v>2.7754226705180652E-3</c:v>
                </c:pt>
                <c:pt idx="37">
                  <c:v>2.2471232884798951E-3</c:v>
                </c:pt>
                <c:pt idx="38">
                  <c:v>1.7938741315165899E-3</c:v>
                </c:pt>
                <c:pt idx="39">
                  <c:v>1.3752699137942728E-3</c:v>
                </c:pt>
                <c:pt idx="40">
                  <c:v>1.0020948364616871E-3</c:v>
                </c:pt>
                <c:pt idx="41">
                  <c:v>6.9809136940023183E-4</c:v>
                </c:pt>
                <c:pt idx="42">
                  <c:v>4.6857401549018376E-4</c:v>
                </c:pt>
                <c:pt idx="43">
                  <c:v>3.0039653973902813E-4</c:v>
                </c:pt>
                <c:pt idx="44">
                  <c:v>1.7839340867076587E-4</c:v>
                </c:pt>
                <c:pt idx="45">
                  <c:v>9.416558109148933E-5</c:v>
                </c:pt>
                <c:pt idx="46">
                  <c:v>4.2445925348424104E-5</c:v>
                </c:pt>
                <c:pt idx="47">
                  <c:v>1.5762256413215678E-5</c:v>
                </c:pt>
                <c:pt idx="48">
                  <c:v>4.6515987680791826E-6</c:v>
                </c:pt>
                <c:pt idx="49">
                  <c:v>1.0278863650409237E-6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CD-4D64-B3BB-08F13F3630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610880"/>
        <c:axId val="124984064"/>
      </c:lineChart>
      <c:catAx>
        <c:axId val="1516108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of Day</a:t>
                </a:r>
              </a:p>
            </c:rich>
          </c:tx>
          <c:layout/>
          <c:overlay val="0"/>
        </c:title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4984064"/>
        <c:crosses val="autoZero"/>
        <c:auto val="1"/>
        <c:lblAlgn val="ctr"/>
        <c:lblOffset val="100"/>
        <c:tickLblSkip val="2"/>
        <c:noMultiLvlLbl val="0"/>
      </c:catAx>
      <c:valAx>
        <c:axId val="12498406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Tour Share (%)</a:t>
                </a:r>
              </a:p>
            </c:rich>
          </c:tx>
          <c:layout/>
          <c:overlay val="0"/>
        </c:title>
        <c:numFmt formatCode="0.0%" sourceLinked="0"/>
        <c:majorTickMark val="none"/>
        <c:minorTickMark val="none"/>
        <c:tickLblPos val="nextTo"/>
        <c:crossAx val="15161088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11" footer="0.30000000000000032" header="0.30000000000000032" l="0.70000000000000062" r="0.70000000000000062" t="0.75000000000000211"/>
    <c:pageSetup/>
  </c:printSettings>
</c:chartSpace>
</file>

<file path=xl/charts/chart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 Departure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7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Departure_Time!$B$64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Departure_Time!$A$65:$A$115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Departure_Time!$B$65:$B$115</c:f>
              <c:numCache>
                <c:formatCode>0.00%</c:formatCode>
                <c:ptCount val="51"/>
                <c:pt idx="0">
                  <c:v>4.0475094342041825E-3</c:v>
                </c:pt>
                <c:pt idx="1">
                  <c:v>2.709592268337929E-3</c:v>
                </c:pt>
                <c:pt idx="2">
                  <c:v>1.619876369360263E-3</c:v>
                </c:pt>
                <c:pt idx="3">
                  <c:v>9.2610335708767156E-4</c:v>
                </c:pt>
                <c:pt idx="4">
                  <c:v>6.4500915456025423E-4</c:v>
                </c:pt>
                <c:pt idx="5">
                  <c:v>7.0913244176381088E-4</c:v>
                </c:pt>
                <c:pt idx="6">
                  <c:v>1.0413888347217263E-3</c:v>
                </c:pt>
                <c:pt idx="7">
                  <c:v>1.6020787520489989E-3</c:v>
                </c:pt>
                <c:pt idx="8">
                  <c:v>2.3835136187707199E-3</c:v>
                </c:pt>
                <c:pt idx="9">
                  <c:v>3.3654214517280664E-3</c:v>
                </c:pt>
                <c:pt idx="10">
                  <c:v>4.4757166387895692E-3</c:v>
                </c:pt>
                <c:pt idx="11">
                  <c:v>5.6062575527250288E-3</c:v>
                </c:pt>
                <c:pt idx="12">
                  <c:v>6.6930163009919592E-3</c:v>
                </c:pt>
                <c:pt idx="13">
                  <c:v>7.8063624754227783E-3</c:v>
                </c:pt>
                <c:pt idx="14">
                  <c:v>9.1661601961440502E-3</c:v>
                </c:pt>
                <c:pt idx="15">
                  <c:v>1.1034538511383593E-2</c:v>
                </c:pt>
                <c:pt idx="16">
                  <c:v>1.3532336698697441E-2</c:v>
                </c:pt>
                <c:pt idx="17">
                  <c:v>1.6515979065887303E-2</c:v>
                </c:pt>
                <c:pt idx="18">
                  <c:v>1.9659014658439694E-2</c:v>
                </c:pt>
                <c:pt idx="19">
                  <c:v>2.2753761357379124E-2</c:v>
                </c:pt>
                <c:pt idx="20">
                  <c:v>2.604170713357374E-2</c:v>
                </c:pt>
                <c:pt idx="21">
                  <c:v>3.0277794765090044E-2</c:v>
                </c:pt>
                <c:pt idx="22">
                  <c:v>3.6386482541287624E-2</c:v>
                </c:pt>
                <c:pt idx="23">
                  <c:v>4.489517849416174E-2</c:v>
                </c:pt>
                <c:pt idx="24">
                  <c:v>5.5519164500910476E-2</c:v>
                </c:pt>
                <c:pt idx="25">
                  <c:v>6.7097532834130419E-2</c:v>
                </c:pt>
                <c:pt idx="26">
                  <c:v>7.775068944026263E-2</c:v>
                </c:pt>
                <c:pt idx="27">
                  <c:v>8.5114141144118152E-2</c:v>
                </c:pt>
                <c:pt idx="28">
                  <c:v>8.6833635383993829E-2</c:v>
                </c:pt>
                <c:pt idx="29">
                  <c:v>8.1543216182406675E-2</c:v>
                </c:pt>
                <c:pt idx="30">
                  <c:v>6.9903897394704401E-2</c:v>
                </c:pt>
                <c:pt idx="31">
                  <c:v>5.4714540612114337E-2</c:v>
                </c:pt>
                <c:pt idx="32">
                  <c:v>3.9650533965812876E-2</c:v>
                </c:pt>
                <c:pt idx="33">
                  <c:v>2.7475188088895874E-2</c:v>
                </c:pt>
                <c:pt idx="34">
                  <c:v>1.9084284825528104E-2</c:v>
                </c:pt>
                <c:pt idx="35">
                  <c:v>1.3871985830872955E-2</c:v>
                </c:pt>
                <c:pt idx="36">
                  <c:v>1.0731199853169018E-2</c:v>
                </c:pt>
                <c:pt idx="37">
                  <c:v>8.7621305245101245E-3</c:v>
                </c:pt>
                <c:pt idx="38">
                  <c:v>7.3990127274846289E-3</c:v>
                </c:pt>
                <c:pt idx="39">
                  <c:v>6.2661941409400592E-3</c:v>
                </c:pt>
                <c:pt idx="40">
                  <c:v>5.1109901838565673E-3</c:v>
                </c:pt>
                <c:pt idx="41">
                  <c:v>3.8536791692405227E-3</c:v>
                </c:pt>
                <c:pt idx="42">
                  <c:v>2.5996710059883197E-3</c:v>
                </c:pt>
                <c:pt idx="43">
                  <c:v>1.533941650475767E-3</c:v>
                </c:pt>
                <c:pt idx="44">
                  <c:v>7.7983747843434381E-4</c:v>
                </c:pt>
                <c:pt idx="45">
                  <c:v>3.3792672736989587E-4</c:v>
                </c:pt>
                <c:pt idx="46">
                  <c:v>1.2363326251748979E-4</c:v>
                </c:pt>
                <c:pt idx="47">
                  <c:v>3.7750660284780779E-5</c:v>
                </c:pt>
                <c:pt idx="48">
                  <c:v>9.4438071279570424E-6</c:v>
                </c:pt>
                <c:pt idx="49">
                  <c:v>1.8465322922250466E-6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F9F-4878-A716-6161FC8A6E57}"/>
            </c:ext>
          </c:extLst>
        </c:ser>
        <c:ser>
          <c:idx val="1"/>
          <c:order val="1"/>
          <c:tx>
            <c:strRef>
              <c:f>Departure_Time!$I$64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Departure_Time!$A$65:$A$115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Departure_Time!$I$65:$I$115</c:f>
              <c:numCache>
                <c:formatCode>0.00%</c:formatCode>
                <c:ptCount val="51"/>
                <c:pt idx="0">
                  <c:v>9.738005967387834E-3</c:v>
                </c:pt>
                <c:pt idx="1">
                  <c:v>6.5289765729358018E-3</c:v>
                </c:pt>
                <c:pt idx="2">
                  <c:v>3.8770471676559054E-3</c:v>
                </c:pt>
                <c:pt idx="3">
                  <c:v>2.0926879848539429E-3</c:v>
                </c:pt>
                <c:pt idx="4">
                  <c:v>1.1722310785879065E-3</c:v>
                </c:pt>
                <c:pt idx="5">
                  <c:v>9.1922786071523715E-4</c:v>
                </c:pt>
                <c:pt idx="6">
                  <c:v>1.1174400843311076E-3</c:v>
                </c:pt>
                <c:pt idx="7">
                  <c:v>1.6286470122602859E-3</c:v>
                </c:pt>
                <c:pt idx="8">
                  <c:v>2.39605409151376E-3</c:v>
                </c:pt>
                <c:pt idx="9">
                  <c:v>3.4075711482929334E-3</c:v>
                </c:pt>
                <c:pt idx="10">
                  <c:v>4.6690179624187906E-3</c:v>
                </c:pt>
                <c:pt idx="11">
                  <c:v>6.1978076751975E-3</c:v>
                </c:pt>
                <c:pt idx="12">
                  <c:v>8.0181502735040006E-3</c:v>
                </c:pt>
                <c:pt idx="13">
                  <c:v>1.0136756855085154E-2</c:v>
                </c:pt>
                <c:pt idx="14">
                  <c:v>1.25031815398635E-2</c:v>
                </c:pt>
                <c:pt idx="15">
                  <c:v>1.4989314666666446E-2</c:v>
                </c:pt>
                <c:pt idx="16">
                  <c:v>1.7421209595369927E-2</c:v>
                </c:pt>
                <c:pt idx="17">
                  <c:v>1.9656382402676083E-2</c:v>
                </c:pt>
                <c:pt idx="18">
                  <c:v>2.1665198372244607E-2</c:v>
                </c:pt>
                <c:pt idx="19">
                  <c:v>2.3586866234677307E-2</c:v>
                </c:pt>
                <c:pt idx="20">
                  <c:v>2.5764327469693097E-2</c:v>
                </c:pt>
                <c:pt idx="21">
                  <c:v>2.8755204717979582E-2</c:v>
                </c:pt>
                <c:pt idx="22">
                  <c:v>3.3260354005082038E-2</c:v>
                </c:pt>
                <c:pt idx="23">
                  <c:v>3.9890093726284666E-2</c:v>
                </c:pt>
                <c:pt idx="24">
                  <c:v>4.8779305021675046E-2</c:v>
                </c:pt>
                <c:pt idx="25">
                  <c:v>5.9216589700980697E-2</c:v>
                </c:pt>
                <c:pt idx="26">
                  <c:v>6.952449286200213E-2</c:v>
                </c:pt>
                <c:pt idx="27">
                  <c:v>7.7351984924180953E-2</c:v>
                </c:pt>
                <c:pt idx="28">
                  <c:v>8.0380935202995094E-2</c:v>
                </c:pt>
                <c:pt idx="29">
                  <c:v>7.7252347536851576E-2</c:v>
                </c:pt>
                <c:pt idx="30">
                  <c:v>6.8295846246955422E-2</c:v>
                </c:pt>
                <c:pt idx="31">
                  <c:v>5.5564413666168079E-2</c:v>
                </c:pt>
                <c:pt idx="32">
                  <c:v>4.1996360011641448E-2</c:v>
                </c:pt>
                <c:pt idx="33">
                  <c:v>3.0148691862933071E-2</c:v>
                </c:pt>
                <c:pt idx="34">
                  <c:v>2.1300627157043905E-2</c:v>
                </c:pt>
                <c:pt idx="35">
                  <c:v>1.5407866508342374E-2</c:v>
                </c:pt>
                <c:pt idx="36">
                  <c:v>1.1705116165332966E-2</c:v>
                </c:pt>
                <c:pt idx="37">
                  <c:v>9.368740346076548E-3</c:v>
                </c:pt>
                <c:pt idx="38">
                  <c:v>7.825691469492713E-3</c:v>
                </c:pt>
                <c:pt idx="39">
                  <c:v>6.7183117278566858E-3</c:v>
                </c:pt>
                <c:pt idx="40">
                  <c:v>5.7787439718583206E-3</c:v>
                </c:pt>
                <c:pt idx="41">
                  <c:v>4.8022024244979656E-3</c:v>
                </c:pt>
                <c:pt idx="42">
                  <c:v>3.7088385368122105E-3</c:v>
                </c:pt>
                <c:pt idx="43">
                  <c:v>2.5747872452824799E-3</c:v>
                </c:pt>
                <c:pt idx="44">
                  <c:v>1.5648741157869325E-3</c:v>
                </c:pt>
                <c:pt idx="45">
                  <c:v>8.1455960634225881E-4</c:v>
                </c:pt>
                <c:pt idx="46">
                  <c:v>3.5564106358313135E-4</c:v>
                </c:pt>
                <c:pt idx="47">
                  <c:v>1.2726344535402787E-4</c:v>
                </c:pt>
                <c:pt idx="48">
                  <c:v>3.6246237665133062E-5</c:v>
                </c:pt>
                <c:pt idx="49">
                  <c:v>7.7684770114215996E-6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F9F-4878-A716-6161FC8A6E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4078080"/>
        <c:axId val="58171968"/>
      </c:lineChart>
      <c:catAx>
        <c:axId val="840780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of Day</a:t>
                </a:r>
              </a:p>
            </c:rich>
          </c:tx>
          <c:layout/>
          <c:overlay val="0"/>
        </c:title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58171968"/>
        <c:crosses val="autoZero"/>
        <c:auto val="1"/>
        <c:lblAlgn val="ctr"/>
        <c:lblOffset val="100"/>
        <c:tickLblSkip val="2"/>
        <c:noMultiLvlLbl val="0"/>
      </c:catAx>
      <c:valAx>
        <c:axId val="5817196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Tour Share (%)</a:t>
                </a:r>
              </a:p>
            </c:rich>
          </c:tx>
          <c:layout/>
          <c:overlay val="0"/>
        </c:title>
        <c:numFmt formatCode="0.0%" sourceLinked="0"/>
        <c:majorTickMark val="none"/>
        <c:minorTickMark val="none"/>
        <c:tickLblPos val="nextTo"/>
        <c:crossAx val="8407808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11" footer="0.30000000000000032" header="0.30000000000000032" l="0.70000000000000062" r="0.70000000000000062" t="0.75000000000000211"/>
    <c:pageSetup/>
  </c:printSettings>
</c:chartSpace>
</file>

<file path=xl/charts/chart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Other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3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Departure_Time!$D$64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Departure_Time!$A$65:$A$115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Departure_Time!$D$65:$D$115</c:f>
              <c:numCache>
                <c:formatCode>0.00%</c:formatCode>
                <c:ptCount val="51"/>
                <c:pt idx="0">
                  <c:v>4.8436112182328565E-3</c:v>
                </c:pt>
                <c:pt idx="1">
                  <c:v>3.3817522244527025E-3</c:v>
                </c:pt>
                <c:pt idx="2">
                  <c:v>2.2158859323662024E-3</c:v>
                </c:pt>
                <c:pt idx="3">
                  <c:v>1.567422593450836E-3</c:v>
                </c:pt>
                <c:pt idx="4">
                  <c:v>1.5633185030234176E-3</c:v>
                </c:pt>
                <c:pt idx="5">
                  <c:v>2.2762444124171922E-3</c:v>
                </c:pt>
                <c:pt idx="6">
                  <c:v>3.7770797792598702E-3</c:v>
                </c:pt>
                <c:pt idx="7">
                  <c:v>6.1318860263296767E-3</c:v>
                </c:pt>
                <c:pt idx="8">
                  <c:v>9.3052039890804388E-3</c:v>
                </c:pt>
                <c:pt idx="9">
                  <c:v>1.302213602680732E-2</c:v>
                </c:pt>
                <c:pt idx="10">
                  <c:v>1.6741619029336768E-2</c:v>
                </c:pt>
                <c:pt idx="11">
                  <c:v>1.9863038536885327E-2</c:v>
                </c:pt>
                <c:pt idx="12">
                  <c:v>2.2074511305863735E-2</c:v>
                </c:pt>
                <c:pt idx="13">
                  <c:v>2.355618758628833E-2</c:v>
                </c:pt>
                <c:pt idx="14">
                  <c:v>2.4836374941043723E-2</c:v>
                </c:pt>
                <c:pt idx="15">
                  <c:v>2.6409052505805251E-2</c:v>
                </c:pt>
                <c:pt idx="16">
                  <c:v>2.842322941291767E-2</c:v>
                </c:pt>
                <c:pt idx="17">
                  <c:v>3.0656700262948214E-2</c:v>
                </c:pt>
                <c:pt idx="18">
                  <c:v>3.2739454032265039E-2</c:v>
                </c:pt>
                <c:pt idx="19">
                  <c:v>3.4434162529733893E-2</c:v>
                </c:pt>
                <c:pt idx="20">
                  <c:v>3.5783240985428816E-2</c:v>
                </c:pt>
                <c:pt idx="21">
                  <c:v>3.7035307811921103E-2</c:v>
                </c:pt>
                <c:pt idx="22">
                  <c:v>3.8408010076246051E-2</c:v>
                </c:pt>
                <c:pt idx="23">
                  <c:v>3.9866147991847435E-2</c:v>
                </c:pt>
                <c:pt idx="24">
                  <c:v>4.1098578420871126E-2</c:v>
                </c:pt>
                <c:pt idx="25">
                  <c:v>4.1722969320957967E-2</c:v>
                </c:pt>
                <c:pt idx="26">
                  <c:v>4.1551441325391715E-2</c:v>
                </c:pt>
                <c:pt idx="27">
                  <c:v>4.0705086773138846E-2</c:v>
                </c:pt>
                <c:pt idx="28">
                  <c:v>3.9512571817227199E-2</c:v>
                </c:pt>
                <c:pt idx="29">
                  <c:v>3.830208250312065E-2</c:v>
                </c:pt>
                <c:pt idx="30">
                  <c:v>3.7237619873231431E-2</c:v>
                </c:pt>
                <c:pt idx="31">
                  <c:v>3.6273713100805585E-2</c:v>
                </c:pt>
                <c:pt idx="32">
                  <c:v>3.5208965382037133E-2</c:v>
                </c:pt>
                <c:pt idx="33">
                  <c:v>3.3772352221018612E-2</c:v>
                </c:pt>
                <c:pt idx="34">
                  <c:v>3.16972688855542E-2</c:v>
                </c:pt>
                <c:pt idx="35">
                  <c:v>2.8797451801178823E-2</c:v>
                </c:pt>
                <c:pt idx="36">
                  <c:v>2.5065566374475573E-2</c:v>
                </c:pt>
                <c:pt idx="37">
                  <c:v>2.0739965028786091E-2</c:v>
                </c:pt>
                <c:pt idx="38">
                  <c:v>1.624942561092951E-2</c:v>
                </c:pt>
                <c:pt idx="39">
                  <c:v>1.204414053934616E-2</c:v>
                </c:pt>
                <c:pt idx="40">
                  <c:v>8.4384485644670715E-3</c:v>
                </c:pt>
                <c:pt idx="41">
                  <c:v>5.5661623570505787E-3</c:v>
                </c:pt>
                <c:pt idx="42">
                  <c:v>3.427019096360273E-3</c:v>
                </c:pt>
                <c:pt idx="43">
                  <c:v>1.9450710610425758E-3</c:v>
                </c:pt>
                <c:pt idx="44">
                  <c:v>1.0024201479083795E-3</c:v>
                </c:pt>
                <c:pt idx="45">
                  <c:v>4.6082939096606887E-4</c:v>
                </c:pt>
                <c:pt idx="46">
                  <c:v>1.8491287014271479E-4</c:v>
                </c:pt>
                <c:pt idx="47">
                  <c:v>6.3003181264449298E-5</c:v>
                </c:pt>
                <c:pt idx="48">
                  <c:v>1.7584920931824519E-5</c:v>
                </c:pt>
                <c:pt idx="49">
                  <c:v>3.7717178435902141E-6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D63-43D5-8BFA-D356129B1028}"/>
            </c:ext>
          </c:extLst>
        </c:ser>
        <c:ser>
          <c:idx val="1"/>
          <c:order val="1"/>
          <c:tx>
            <c:strRef>
              <c:f>Departure_Time!$K$64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Departure_Time!$A$65:$A$115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Departure_Time!$K$65:$K$115</c:f>
              <c:numCache>
                <c:formatCode>0.00%</c:formatCode>
                <c:ptCount val="51"/>
                <c:pt idx="0">
                  <c:v>3.9834788731231419E-3</c:v>
                </c:pt>
                <c:pt idx="1">
                  <c:v>3.1363132219060764E-3</c:v>
                </c:pt>
                <c:pt idx="2">
                  <c:v>2.4745243503984291E-3</c:v>
                </c:pt>
                <c:pt idx="3">
                  <c:v>2.1220195301440057E-3</c:v>
                </c:pt>
                <c:pt idx="4">
                  <c:v>2.1464227309036608E-3</c:v>
                </c:pt>
                <c:pt idx="5">
                  <c:v>2.6212684729950459E-3</c:v>
                </c:pt>
                <c:pt idx="6">
                  <c:v>3.6700920546058518E-3</c:v>
                </c:pt>
                <c:pt idx="7">
                  <c:v>5.4311995495905912E-3</c:v>
                </c:pt>
                <c:pt idx="8">
                  <c:v>7.9566491149950687E-3</c:v>
                </c:pt>
                <c:pt idx="9">
                  <c:v>1.112489964184271E-2</c:v>
                </c:pt>
                <c:pt idx="10">
                  <c:v>1.4648969038971137E-2</c:v>
                </c:pt>
                <c:pt idx="11">
                  <c:v>1.8192104083361076E-2</c:v>
                </c:pt>
                <c:pt idx="12">
                  <c:v>2.1507297360461204E-2</c:v>
                </c:pt>
                <c:pt idx="13">
                  <c:v>2.4484482887379873E-2</c:v>
                </c:pt>
                <c:pt idx="14">
                  <c:v>2.7075871635410313E-2</c:v>
                </c:pt>
                <c:pt idx="15">
                  <c:v>2.9203547653758301E-2</c:v>
                </c:pt>
                <c:pt idx="16">
                  <c:v>3.0776153677245892E-2</c:v>
                </c:pt>
                <c:pt idx="17">
                  <c:v>3.1806511738523148E-2</c:v>
                </c:pt>
                <c:pt idx="18">
                  <c:v>3.2486306387892135E-2</c:v>
                </c:pt>
                <c:pt idx="19">
                  <c:v>3.3109559803632095E-2</c:v>
                </c:pt>
                <c:pt idx="20">
                  <c:v>3.390181293326508E-2</c:v>
                </c:pt>
                <c:pt idx="21">
                  <c:v>3.4906820459883595E-2</c:v>
                </c:pt>
                <c:pt idx="22">
                  <c:v>3.6006892901893739E-2</c:v>
                </c:pt>
                <c:pt idx="23">
                  <c:v>3.7017910400081407E-2</c:v>
                </c:pt>
                <c:pt idx="24">
                  <c:v>3.7767761022861585E-2</c:v>
                </c:pt>
                <c:pt idx="25">
                  <c:v>3.8142542211908853E-2</c:v>
                </c:pt>
                <c:pt idx="26">
                  <c:v>3.8132481439881703E-2</c:v>
                </c:pt>
                <c:pt idx="27">
                  <c:v>3.7863061931212173E-2</c:v>
                </c:pt>
                <c:pt idx="28">
                  <c:v>3.7552172064677071E-2</c:v>
                </c:pt>
                <c:pt idx="29">
                  <c:v>3.7385290266092469E-2</c:v>
                </c:pt>
                <c:pt idx="30">
                  <c:v>3.7387881773728378E-2</c:v>
                </c:pt>
                <c:pt idx="31">
                  <c:v>3.7380947736776776E-2</c:v>
                </c:pt>
                <c:pt idx="32">
                  <c:v>3.7031875732313847E-2</c:v>
                </c:pt>
                <c:pt idx="33">
                  <c:v>3.5957780674730266E-2</c:v>
                </c:pt>
                <c:pt idx="34">
                  <c:v>3.3850976510375802E-2</c:v>
                </c:pt>
                <c:pt idx="35">
                  <c:v>3.0616389599861051E-2</c:v>
                </c:pt>
                <c:pt idx="36">
                  <c:v>2.6472900030212049E-2</c:v>
                </c:pt>
                <c:pt idx="37">
                  <c:v>2.1922087365035883E-2</c:v>
                </c:pt>
                <c:pt idx="38">
                  <c:v>1.7543080249526999E-2</c:v>
                </c:pt>
                <c:pt idx="39">
                  <c:v>1.3727654003329003E-2</c:v>
                </c:pt>
                <c:pt idx="40">
                  <c:v>1.0554092648536609E-2</c:v>
                </c:pt>
                <c:pt idx="41">
                  <c:v>7.8862987100506588E-3</c:v>
                </c:pt>
                <c:pt idx="42">
                  <c:v>5.5834974153050288E-3</c:v>
                </c:pt>
                <c:pt idx="43">
                  <c:v>3.6297693515377222E-3</c:v>
                </c:pt>
                <c:pt idx="44">
                  <c:v>2.1025707786278091E-3</c:v>
                </c:pt>
                <c:pt idx="45">
                  <c:v>1.0567640042934417E-3</c:v>
                </c:pt>
                <c:pt idx="46">
                  <c:v>4.4960026987311748E-4</c:v>
                </c:pt>
                <c:pt idx="47">
                  <c:v>1.5777566527831874E-4</c:v>
                </c:pt>
                <c:pt idx="48">
                  <c:v>4.4263640851728021E-5</c:v>
                </c:pt>
                <c:pt idx="49">
                  <c:v>9.3764008580891774E-6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D63-43D5-8BFA-D356129B10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281984"/>
        <c:axId val="58176576"/>
      </c:lineChart>
      <c:catAx>
        <c:axId val="582819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of Day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58176576"/>
        <c:crosses val="autoZero"/>
        <c:auto val="1"/>
        <c:lblAlgn val="ctr"/>
        <c:lblOffset val="100"/>
        <c:tickLblSkip val="2"/>
        <c:noMultiLvlLbl val="0"/>
      </c:catAx>
      <c:valAx>
        <c:axId val="5817657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Tour Share (%)</a:t>
                </a:r>
              </a:p>
            </c:rich>
          </c:tx>
          <c:overlay val="0"/>
        </c:title>
        <c:numFmt formatCode="0.0%" sourceLinked="0"/>
        <c:majorTickMark val="none"/>
        <c:minorTickMark val="none"/>
        <c:tickLblPos val="nextTo"/>
        <c:crossAx val="5828198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footer="0.30000000000000032" header="0.30000000000000032" l="0.70000000000000062" r="0.70000000000000062" t="0.75000000000000233"/>
    <c:pageSetup/>
  </c:printSettings>
</c:chartSpace>
</file>

<file path=xl/charts/chart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Work-based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3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Departure_Time!$E$64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Departure_Time!$A$65:$A$115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Departure_Time!$E$65:$E$115</c:f>
              <c:numCache>
                <c:formatCode>0.00%</c:formatCode>
                <c:ptCount val="51"/>
                <c:pt idx="0">
                  <c:v>0</c:v>
                </c:pt>
                <c:pt idx="1">
                  <c:v>2.6201661451333256E-5</c:v>
                </c:pt>
                <c:pt idx="2">
                  <c:v>8.2101876395059489E-5</c:v>
                </c:pt>
                <c:pt idx="3">
                  <c:v>2.0218664356295554E-4</c:v>
                </c:pt>
                <c:pt idx="4">
                  <c:v>4.2107911216489709E-4</c:v>
                </c:pt>
                <c:pt idx="5">
                  <c:v>7.6235318374902718E-4</c:v>
                </c:pt>
                <c:pt idx="6">
                  <c:v>1.2405139979111467E-3</c:v>
                </c:pt>
                <c:pt idx="7">
                  <c:v>1.8949543959750014E-3</c:v>
                </c:pt>
                <c:pt idx="8">
                  <c:v>2.8410687287176214E-3</c:v>
                </c:pt>
                <c:pt idx="9">
                  <c:v>4.287624595332217E-3</c:v>
                </c:pt>
                <c:pt idx="10">
                  <c:v>6.4886832420695227E-3</c:v>
                </c:pt>
                <c:pt idx="11">
                  <c:v>9.6743077849327421E-3</c:v>
                </c:pt>
                <c:pt idx="12">
                  <c:v>1.4049936345113194E-2</c:v>
                </c:pt>
                <c:pt idx="13">
                  <c:v>1.9888195185808848E-2</c:v>
                </c:pt>
                <c:pt idx="14">
                  <c:v>2.7598968362428977E-2</c:v>
                </c:pt>
                <c:pt idx="15">
                  <c:v>3.7600955204525582E-2</c:v>
                </c:pt>
                <c:pt idx="16">
                  <c:v>4.9933412423920957E-2</c:v>
                </c:pt>
                <c:pt idx="17">
                  <c:v>6.3771828434818406E-2</c:v>
                </c:pt>
                <c:pt idx="18">
                  <c:v>7.7175935156925252E-2</c:v>
                </c:pt>
                <c:pt idx="19">
                  <c:v>8.7394091433760618E-2</c:v>
                </c:pt>
                <c:pt idx="20">
                  <c:v>9.1825743219209333E-2</c:v>
                </c:pt>
                <c:pt idx="21">
                  <c:v>8.9284582194079837E-2</c:v>
                </c:pt>
                <c:pt idx="22">
                  <c:v>8.0752398741862783E-2</c:v>
                </c:pt>
                <c:pt idx="23">
                  <c:v>6.8927103827095659E-2</c:v>
                </c:pt>
                <c:pt idx="24">
                  <c:v>5.675082705694745E-2</c:v>
                </c:pt>
                <c:pt idx="25">
                  <c:v>4.6005732830290337E-2</c:v>
                </c:pt>
                <c:pt idx="26">
                  <c:v>3.6981233053702232E-2</c:v>
                </c:pt>
                <c:pt idx="27">
                  <c:v>2.9190280626110655E-2</c:v>
                </c:pt>
                <c:pt idx="28">
                  <c:v>2.2260154240198372E-2</c:v>
                </c:pt>
                <c:pt idx="29">
                  <c:v>1.6255434097567568E-2</c:v>
                </c:pt>
                <c:pt idx="30">
                  <c:v>1.1434299415903812E-2</c:v>
                </c:pt>
                <c:pt idx="31">
                  <c:v>7.906161221986386E-3</c:v>
                </c:pt>
                <c:pt idx="32">
                  <c:v>5.5308227113639377E-3</c:v>
                </c:pt>
                <c:pt idx="33">
                  <c:v>4.0436723388253999E-3</c:v>
                </c:pt>
                <c:pt idx="34">
                  <c:v>3.2136056169662459E-3</c:v>
                </c:pt>
                <c:pt idx="35">
                  <c:v>2.8946278078185532E-3</c:v>
                </c:pt>
                <c:pt idx="36">
                  <c:v>2.9662247121423359E-3</c:v>
                </c:pt>
                <c:pt idx="37">
                  <c:v>3.2491171534228549E-3</c:v>
                </c:pt>
                <c:pt idx="38">
                  <c:v>3.4912741232337985E-3</c:v>
                </c:pt>
                <c:pt idx="39">
                  <c:v>3.4531787962040757E-3</c:v>
                </c:pt>
                <c:pt idx="40">
                  <c:v>3.0304262398257592E-3</c:v>
                </c:pt>
                <c:pt idx="41">
                  <c:v>2.3099092246779062E-3</c:v>
                </c:pt>
                <c:pt idx="42">
                  <c:v>1.5065282158763225E-3</c:v>
                </c:pt>
                <c:pt idx="43">
                  <c:v>8.2916813632671188E-4</c:v>
                </c:pt>
                <c:pt idx="44">
                  <c:v>3.7914624039611617E-4</c:v>
                </c:pt>
                <c:pt idx="45">
                  <c:v>1.4121039286432225E-4</c:v>
                </c:pt>
                <c:pt idx="46">
                  <c:v>4.1694188614889303E-5</c:v>
                </c:pt>
                <c:pt idx="47">
                  <c:v>9.3811357186285578E-6</c:v>
                </c:pt>
                <c:pt idx="48">
                  <c:v>1.5099276793092448E-6</c:v>
                </c:pt>
                <c:pt idx="49">
                  <c:v>1.5474352484266259E-7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D7E-4897-815B-9836D1FFA155}"/>
            </c:ext>
          </c:extLst>
        </c:ser>
        <c:ser>
          <c:idx val="1"/>
          <c:order val="1"/>
          <c:tx>
            <c:strRef>
              <c:f>Departure_Time!$L$64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Departure_Time!$A$65:$A$115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Departure_Time!$L$65:$L$115</c:f>
              <c:numCache>
                <c:formatCode>0.00%</c:formatCode>
                <c:ptCount val="51"/>
                <c:pt idx="0">
                  <c:v>4.1898025008849522E-4</c:v>
                </c:pt>
                <c:pt idx="1">
                  <c:v>4.0185576853056076E-4</c:v>
                </c:pt>
                <c:pt idx="2">
                  <c:v>4.4422579309253871E-4</c:v>
                </c:pt>
                <c:pt idx="3">
                  <c:v>5.9462268755546682E-4</c:v>
                </c:pt>
                <c:pt idx="4">
                  <c:v>8.9209902739573633E-4</c:v>
                </c:pt>
                <c:pt idx="5">
                  <c:v>1.3842015153827671E-3</c:v>
                </c:pt>
                <c:pt idx="6">
                  <c:v>2.1527253379170033E-3</c:v>
                </c:pt>
                <c:pt idx="7">
                  <c:v>3.3281147464634224E-3</c:v>
                </c:pt>
                <c:pt idx="8">
                  <c:v>5.076556444340706E-3</c:v>
                </c:pt>
                <c:pt idx="9">
                  <c:v>7.5684249821357779E-3</c:v>
                </c:pt>
                <c:pt idx="10">
                  <c:v>1.0963525839116832E-2</c:v>
                </c:pt>
                <c:pt idx="11">
                  <c:v>1.5433960377261477E-2</c:v>
                </c:pt>
                <c:pt idx="12">
                  <c:v>2.1182774285478167E-2</c:v>
                </c:pt>
                <c:pt idx="13">
                  <c:v>2.8379835938186514E-2</c:v>
                </c:pt>
                <c:pt idx="14">
                  <c:v>3.6999710289316784E-2</c:v>
                </c:pt>
                <c:pt idx="15">
                  <c:v>4.6656440968119148E-2</c:v>
                </c:pt>
                <c:pt idx="16">
                  <c:v>5.6550910248635566E-2</c:v>
                </c:pt>
                <c:pt idx="17">
                  <c:v>6.5560766965010911E-2</c:v>
                </c:pt>
                <c:pt idx="18">
                  <c:v>7.2445947407719924E-2</c:v>
                </c:pt>
                <c:pt idx="19">
                  <c:v>7.6161769790050932E-2</c:v>
                </c:pt>
                <c:pt idx="20">
                  <c:v>7.6224921167250104E-2</c:v>
                </c:pt>
                <c:pt idx="21">
                  <c:v>7.2924925543100719E-2</c:v>
                </c:pt>
                <c:pt idx="22">
                  <c:v>6.7161093796627616E-2</c:v>
                </c:pt>
                <c:pt idx="23">
                  <c:v>5.9975282057078867E-2</c:v>
                </c:pt>
                <c:pt idx="24">
                  <c:v>5.2149974508059055E-2</c:v>
                </c:pt>
                <c:pt idx="25">
                  <c:v>4.4151757611822884E-2</c:v>
                </c:pt>
                <c:pt idx="26">
                  <c:v>3.6324241742076512E-2</c:v>
                </c:pt>
                <c:pt idx="27">
                  <c:v>2.9038940413555831E-2</c:v>
                </c:pt>
                <c:pt idx="28">
                  <c:v>2.2668149633624596E-2</c:v>
                </c:pt>
                <c:pt idx="29">
                  <c:v>1.7470036482426697E-2</c:v>
                </c:pt>
                <c:pt idx="30">
                  <c:v>1.351413342802156E-2</c:v>
                </c:pt>
                <c:pt idx="31">
                  <c:v>1.0681737444240946E-2</c:v>
                </c:pt>
                <c:pt idx="32">
                  <c:v>8.7168646519892919E-3</c:v>
                </c:pt>
                <c:pt idx="33">
                  <c:v>7.3086304771542076E-3</c:v>
                </c:pt>
                <c:pt idx="34">
                  <c:v>6.1866315195552718E-3</c:v>
                </c:pt>
                <c:pt idx="35">
                  <c:v>5.1896069568696229E-3</c:v>
                </c:pt>
                <c:pt idx="36">
                  <c:v>4.270932854910715E-3</c:v>
                </c:pt>
                <c:pt idx="37">
                  <c:v>3.4486560109725571E-3</c:v>
                </c:pt>
                <c:pt idx="38">
                  <c:v>2.7463347674442575E-3</c:v>
                </c:pt>
                <c:pt idx="39">
                  <c:v>2.163321420215295E-3</c:v>
                </c:pt>
                <c:pt idx="40">
                  <c:v>1.6775546318565885E-3</c:v>
                </c:pt>
                <c:pt idx="41">
                  <c:v>1.2623467021426478E-3</c:v>
                </c:pt>
                <c:pt idx="42">
                  <c:v>9.0129232350590798E-4</c:v>
                </c:pt>
                <c:pt idx="43">
                  <c:v>5.9414916963366473E-4</c:v>
                </c:pt>
                <c:pt idx="44">
                  <c:v>3.5141891758597448E-4</c:v>
                </c:pt>
                <c:pt idx="45">
                  <c:v>1.8134236682978909E-4</c:v>
                </c:pt>
                <c:pt idx="46">
                  <c:v>7.9447841707082519E-5</c:v>
                </c:pt>
                <c:pt idx="47">
                  <c:v>2.8727375477087418E-5</c:v>
                </c:pt>
                <c:pt idx="48">
                  <c:v>8.2955939294375791E-6</c:v>
                </c:pt>
                <c:pt idx="49">
                  <c:v>1.8039285364782267E-6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D7E-4897-815B-9836D1FFA1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678976"/>
        <c:axId val="58178880"/>
      </c:lineChart>
      <c:catAx>
        <c:axId val="556789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of Day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58178880"/>
        <c:crosses val="autoZero"/>
        <c:auto val="1"/>
        <c:lblAlgn val="ctr"/>
        <c:lblOffset val="100"/>
        <c:tickLblSkip val="2"/>
        <c:noMultiLvlLbl val="0"/>
      </c:catAx>
      <c:valAx>
        <c:axId val="5817888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Tour</a:t>
                </a:r>
                <a:r>
                  <a:rPr baseline="0" lang="en-US"/>
                  <a:t> Share (%)</a:t>
                </a:r>
                <a:endParaRPr lang="en-US"/>
              </a:p>
            </c:rich>
          </c:tx>
          <c:overlay val="0"/>
        </c:title>
        <c:numFmt formatCode="0.0%" sourceLinked="0"/>
        <c:majorTickMark val="none"/>
        <c:minorTickMark val="none"/>
        <c:tickLblPos val="nextTo"/>
        <c:crossAx val="5567897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footer="0.30000000000000032" header="0.30000000000000032" l="0.70000000000000062" r="0.70000000000000062" t="0.75000000000000233"/>
    <c:pageSetup/>
  </c:printSettings>
</c:chartSpace>
</file>

<file path=xl/charts/chart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anchor="ctr" anchorCtr="1" rot="0" spcFirstLastPara="1" vert="horz" vertOverflow="ellipsis" wrap="square"/>
          <a:lstStyle/>
          <a:p>
            <a:pPr>
              <a:defRPr b="0" baseline="0" i="0" kern="1200" spc="0" strike="noStrike" sz="14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School Departure Time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anchor="ctr" anchorCtr="1" rot="0" spcFirstLastPara="1" vert="horz" vertOverflow="ellipsis" wrap="square"/>
        <a:lstStyle/>
        <a:p>
          <a:pPr>
            <a:defRPr b="0" baseline="0" i="0" kern="1200" spc="0" strike="noStrike" sz="1400" u="none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Departure_Time!$C$64</c:f>
              <c:strCache>
                <c:ptCount val="1"/>
                <c:pt idx="0">
                  <c:v>Survey</c:v>
                </c:pt>
              </c:strCache>
            </c:strRef>
          </c:tx>
          <c:spPr>
            <a:ln cap="rnd" w="28575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Departure_Time!$A$65:$A$115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Departure_Time!$C$65:$C$115</c:f>
              <c:numCache>
                <c:formatCode>0.00%</c:formatCode>
                <c:ptCount val="51"/>
                <c:pt idx="0">
                  <c:v>1.2799224505894866E-5</c:v>
                </c:pt>
                <c:pt idx="1">
                  <c:v>2.1590375580872875E-5</c:v>
                </c:pt>
                <c:pt idx="2">
                  <c:v>4.84572763274139E-5</c:v>
                </c:pt>
                <c:pt idx="3">
                  <c:v>1.5267340785405614E-4</c:v>
                </c:pt>
                <c:pt idx="4">
                  <c:v>4.8740422298774696E-4</c:v>
                </c:pt>
                <c:pt idx="5">
                  <c:v>1.3390518663510959E-3</c:v>
                </c:pt>
                <c:pt idx="6">
                  <c:v>3.0798285969431366E-3</c:v>
                </c:pt>
                <c:pt idx="7">
                  <c:v>5.9705140756259418E-3</c:v>
                </c:pt>
                <c:pt idx="8">
                  <c:v>9.877545047045258E-3</c:v>
                </c:pt>
                <c:pt idx="9">
                  <c:v>1.4129261968229665E-2</c:v>
                </c:pt>
                <c:pt idx="10">
                  <c:v>1.7724473868366879E-2</c:v>
                </c:pt>
                <c:pt idx="11">
                  <c:v>1.9843642605141959E-2</c:v>
                </c:pt>
                <c:pt idx="12">
                  <c:v>2.0320866148391369E-2</c:v>
                </c:pt>
                <c:pt idx="13">
                  <c:v>1.972598535098978E-2</c:v>
                </c:pt>
                <c:pt idx="14">
                  <c:v>1.9010253010661195E-2</c:v>
                </c:pt>
                <c:pt idx="15">
                  <c:v>1.8992772342856481E-2</c:v>
                </c:pt>
                <c:pt idx="16">
                  <c:v>2.0038252809445461E-2</c:v>
                </c:pt>
                <c:pt idx="17">
                  <c:v>2.2115171308041422E-2</c:v>
                </c:pt>
                <c:pt idx="18">
                  <c:v>2.5192550782665947E-2</c:v>
                </c:pt>
                <c:pt idx="19">
                  <c:v>2.9702673852329133E-2</c:v>
                </c:pt>
                <c:pt idx="20">
                  <c:v>3.6608792776397343E-2</c:v>
                </c:pt>
                <c:pt idx="21">
                  <c:v>4.670544732543952E-2</c:v>
                </c:pt>
                <c:pt idx="22">
                  <c:v>5.9384473970842074E-2</c:v>
                </c:pt>
                <c:pt idx="23">
                  <c:v>7.1903144040769015E-2</c:v>
                </c:pt>
                <c:pt idx="24">
                  <c:v>8.0239210530826624E-2</c:v>
                </c:pt>
                <c:pt idx="25">
                  <c:v>8.13578345819089E-2</c:v>
                </c:pt>
                <c:pt idx="26">
                  <c:v>7.5149634357462303E-2</c:v>
                </c:pt>
                <c:pt idx="27">
                  <c:v>6.4302093386938208E-2</c:v>
                </c:pt>
                <c:pt idx="28">
                  <c:v>5.2281097373796881E-2</c:v>
                </c:pt>
                <c:pt idx="29">
                  <c:v>4.1352877201902769E-2</c:v>
                </c:pt>
                <c:pt idx="30">
                  <c:v>3.2179849408366448E-2</c:v>
                </c:pt>
                <c:pt idx="31">
                  <c:v>2.4680208533060202E-2</c:v>
                </c:pt>
                <c:pt idx="32">
                  <c:v>1.8828794471597396E-2</c:v>
                </c:pt>
                <c:pt idx="33">
                  <c:v>1.47012210395878E-2</c:v>
                </c:pt>
                <c:pt idx="34">
                  <c:v>1.2109904575597505E-2</c:v>
                </c:pt>
                <c:pt idx="35">
                  <c:v>1.0456829210304287E-2</c:v>
                </c:pt>
                <c:pt idx="36">
                  <c:v>9.0031384544988699E-3</c:v>
                </c:pt>
                <c:pt idx="37">
                  <c:v>7.29237180273405E-3</c:v>
                </c:pt>
                <c:pt idx="38">
                  <c:v>5.350434129526546E-3</c:v>
                </c:pt>
                <c:pt idx="39">
                  <c:v>3.5192567128739367E-3</c:v>
                </c:pt>
                <c:pt idx="40">
                  <c:v>2.1148115048804446E-3</c:v>
                </c:pt>
                <c:pt idx="41">
                  <c:v>1.215629051117039E-3</c:v>
                </c:pt>
                <c:pt idx="42">
                  <c:v>6.9973029538171071E-4</c:v>
                </c:pt>
                <c:pt idx="43">
                  <c:v>4.0188990625841006E-4</c:v>
                </c:pt>
                <c:pt idx="44">
                  <c:v>2.1699365874305835E-4</c:v>
                </c:pt>
                <c:pt idx="45">
                  <c:v>1.0255716033934597E-4</c:v>
                </c:pt>
                <c:pt idx="46">
                  <c:v>4.0135252105689272E-5</c:v>
                </c:pt>
                <c:pt idx="47">
                  <c:v>1.2453420399200251E-5</c:v>
                </c:pt>
                <c:pt idx="48">
                  <c:v>2.9296732715337483E-6</c:v>
                </c:pt>
                <c:pt idx="49">
                  <c:v>4.8805273232730813E-7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C53-4B19-A9EF-CF34F577804B}"/>
            </c:ext>
          </c:extLst>
        </c:ser>
        <c:ser>
          <c:idx val="1"/>
          <c:order val="1"/>
          <c:tx>
            <c:strRef>
              <c:f>Departure_Time!$J$64</c:f>
              <c:strCache>
                <c:ptCount val="1"/>
                <c:pt idx="0">
                  <c:v>DaySim</c:v>
                </c:pt>
              </c:strCache>
            </c:strRef>
          </c:tx>
          <c:spPr>
            <a:ln cap="rnd" w="28575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Departure_Time!$A$65:$A$115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Departure_Time!$J$65:$J$115</c:f>
              <c:numCache>
                <c:formatCode>0.00%</c:formatCode>
                <c:ptCount val="51"/>
                <c:pt idx="0">
                  <c:v>3.8408615311691317E-5</c:v>
                </c:pt>
                <c:pt idx="1">
                  <c:v>2.7375958727578058E-5</c:v>
                </c:pt>
                <c:pt idx="2">
                  <c:v>2.6677859023867629E-5</c:v>
                </c:pt>
                <c:pt idx="3">
                  <c:v>6.3371563302250196E-5</c:v>
                </c:pt>
                <c:pt idx="4">
                  <c:v>2.0810568829976315E-4</c:v>
                </c:pt>
                <c:pt idx="5">
                  <c:v>6.0500322644936133E-4</c:v>
                </c:pt>
                <c:pt idx="6">
                  <c:v>1.4711639824908636E-3</c:v>
                </c:pt>
                <c:pt idx="7">
                  <c:v>3.0263028832760927E-3</c:v>
                </c:pt>
                <c:pt idx="8">
                  <c:v>5.3594930792903563E-3</c:v>
                </c:pt>
                <c:pt idx="9">
                  <c:v>8.3198892755651285E-3</c:v>
                </c:pt>
                <c:pt idx="10">
                  <c:v>1.1544240061326575E-2</c:v>
                </c:pt>
                <c:pt idx="11">
                  <c:v>1.4636875154297695E-2</c:v>
                </c:pt>
                <c:pt idx="12">
                  <c:v>1.7363253978525093E-2</c:v>
                </c:pt>
                <c:pt idx="13">
                  <c:v>1.9682524798667275E-2</c:v>
                </c:pt>
                <c:pt idx="14">
                  <c:v>2.1612699143845487E-2</c:v>
                </c:pt>
                <c:pt idx="15">
                  <c:v>2.3129573364192479E-2</c:v>
                </c:pt>
                <c:pt idx="16">
                  <c:v>2.428009311261577E-2</c:v>
                </c:pt>
                <c:pt idx="17">
                  <c:v>2.5416408179471765E-2</c:v>
                </c:pt>
                <c:pt idx="18">
                  <c:v>2.7240022395076589E-2</c:v>
                </c:pt>
                <c:pt idx="19">
                  <c:v>3.0486049646409146E-2</c:v>
                </c:pt>
                <c:pt idx="20">
                  <c:v>3.546226836050706E-2</c:v>
                </c:pt>
                <c:pt idx="21">
                  <c:v>4.1836305589098968E-2</c:v>
                </c:pt>
                <c:pt idx="22">
                  <c:v>4.8796489467681094E-2</c:v>
                </c:pt>
                <c:pt idx="23">
                  <c:v>5.5334360002806796E-2</c:v>
                </c:pt>
                <c:pt idx="24">
                  <c:v>6.0415215862649613E-2</c:v>
                </c:pt>
                <c:pt idx="25">
                  <c:v>6.3135973562129188E-2</c:v>
                </c:pt>
                <c:pt idx="26">
                  <c:v>6.3025349392302019E-2</c:v>
                </c:pt>
                <c:pt idx="27">
                  <c:v>6.0289169837600125E-2</c:v>
                </c:pt>
                <c:pt idx="28">
                  <c:v>5.5666066608986181E-2</c:v>
                </c:pt>
                <c:pt idx="29">
                  <c:v>4.9975256183193296E-2</c:v>
                </c:pt>
                <c:pt idx="30">
                  <c:v>4.3813443352400026E-2</c:v>
                </c:pt>
                <c:pt idx="31">
                  <c:v>3.7608687738005388E-2</c:v>
                </c:pt>
                <c:pt idx="32">
                  <c:v>3.1756176976183818E-2</c:v>
                </c:pt>
                <c:pt idx="33">
                  <c:v>2.6553545940629274E-2</c:v>
                </c:pt>
                <c:pt idx="34">
                  <c:v>2.2045002142599801E-2</c:v>
                </c:pt>
                <c:pt idx="35">
                  <c:v>1.8046541732495872E-2</c:v>
                </c:pt>
                <c:pt idx="36">
                  <c:v>1.4372546149162025E-2</c:v>
                </c:pt>
                <c:pt idx="37">
                  <c:v>1.1024154930430848E-2</c:v>
                </c:pt>
                <c:pt idx="38">
                  <c:v>8.1590074397819654E-3</c:v>
                </c:pt>
                <c:pt idx="39">
                  <c:v>5.9109085684854222E-3</c:v>
                </c:pt>
                <c:pt idx="40">
                  <c:v>4.2582529393034004E-3</c:v>
                </c:pt>
                <c:pt idx="41">
                  <c:v>3.0479312270912527E-3</c:v>
                </c:pt>
                <c:pt idx="42">
                  <c:v>2.1141815829889082E-3</c:v>
                </c:pt>
                <c:pt idx="43">
                  <c:v>1.3674974859876953E-3</c:v>
                </c:pt>
                <c:pt idx="44">
                  <c:v>7.9419297133587197E-4</c:v>
                </c:pt>
                <c:pt idx="45">
                  <c:v>4.012270035406067E-4</c:v>
                </c:pt>
                <c:pt idx="46">
                  <c:v>1.7159731001508013E-4</c:v>
                </c:pt>
                <c:pt idx="47">
                  <c:v>6.0481007094065968E-5</c:v>
                </c:pt>
                <c:pt idx="48">
                  <c:v>1.7022995618924609E-5</c:v>
                </c:pt>
                <c:pt idx="49">
                  <c:v>3.6136737305915212E-6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C53-4B19-A9EF-CF34F57780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39691184"/>
        <c:axId val="517367264"/>
      </c:lineChart>
      <c:catAx>
        <c:axId val="439691184"/>
        <c:scaling>
          <c:orientation val="minMax"/>
        </c:scaling>
        <c:delete val="0"/>
        <c:axPos val="b"/>
        <c:title>
          <c:tx>
            <c:rich>
              <a:bodyPr anchor="ctr" anchorCtr="1" rot="0" spcFirstLastPara="1" vert="horz" vertOverflow="ellipsis" wrap="square"/>
              <a:lstStyle/>
              <a:p>
                <a:pPr>
                  <a:defRPr b="0" baseline="0" i="0" kern="1200" strike="noStrike" sz="1000" u="none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of Day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anchor="ctr" anchorCtr="1" rot="0" spcFirstLastPara="1" vert="horz" vertOverflow="ellipsis" wrap="square"/>
            <a:lstStyle/>
            <a:p>
              <a:pPr>
                <a:defRPr b="0" baseline="0" i="0" kern="1200" strike="noStrike" sz="1000" u="none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9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367264"/>
        <c:crosses val="autoZero"/>
        <c:auto val="1"/>
        <c:lblAlgn val="ctr"/>
        <c:lblOffset val="100"/>
        <c:noMultiLvlLbl val="0"/>
      </c:catAx>
      <c:valAx>
        <c:axId val="517367264"/>
        <c:scaling>
          <c:orientation val="minMax"/>
        </c:scaling>
        <c:delete val="0"/>
        <c:axPos val="l"/>
        <c:majorGridlines>
          <c:spPr>
            <a:ln algn="ctr" cap="flat" cmpd="sng" w="9525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anchor="ctr" anchorCtr="1" rot="-5400000" spcFirstLastPara="1" vert="horz" vertOverflow="ellipsis" wrap="square"/>
              <a:lstStyle/>
              <a:p>
                <a:pPr>
                  <a:defRPr b="0" baseline="0" i="0" kern="1200" strike="noStrike" sz="1000" u="none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Tour Share (%)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anchor="ctr" anchorCtr="1" rot="-5400000" spcFirstLastPara="1" vert="horz" vertOverflow="ellipsis" wrap="square"/>
            <a:lstStyle/>
            <a:p>
              <a:pPr>
                <a:defRPr b="0" baseline="0" i="0" kern="1200" strike="noStrike" sz="1000" u="none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9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96911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anchor="ctr" anchorCtr="1" rot="0" spcFirstLastPara="1" vert="horz" vertOverflow="ellipsis" wrap="square"/>
        <a:lstStyle/>
        <a:p>
          <a:pPr>
            <a:defRPr b="0" baseline="0" i="0" kern="1200" strike="noStrike" sz="900" u="none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algn="ctr" cap="flat" cmpd="sng" w="9525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footer="0.3" header="0.3" l="0.7" r="0.7" t="0.75"/>
    <c:pageSetup/>
  </c:printSettings>
</c:chartSpace>
</file>

<file path=xl/charts/chart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 Durations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3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Duration!$B$64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Duration!$A$65:$A$89</c:f>
              <c:numCache>
                <c:formatCode>h:mm</c:formatCode>
                <c:ptCount val="25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  <c:pt idx="19">
                  <c:v>0.39583333333333331</c:v>
                </c:pt>
                <c:pt idx="20">
                  <c:v>0.41666666666666669</c:v>
                </c:pt>
                <c:pt idx="21">
                  <c:v>0.4375</c:v>
                </c:pt>
                <c:pt idx="22">
                  <c:v>0.45833333333333331</c:v>
                </c:pt>
                <c:pt idx="23">
                  <c:v>0.47916666666666669</c:v>
                </c:pt>
                <c:pt idx="24">
                  <c:v>0.5</c:v>
                </c:pt>
              </c:numCache>
            </c:numRef>
          </c:cat>
          <c:val>
            <c:numRef>
              <c:f>Duration!$B$65:$B$89</c:f>
              <c:numCache>
                <c:formatCode>0.00%</c:formatCode>
                <c:ptCount val="25"/>
                <c:pt idx="0">
                  <c:v>5.5121517320689983E-2</c:v>
                </c:pt>
                <c:pt idx="1">
                  <c:v>4.2280087087113144E-2</c:v>
                </c:pt>
                <c:pt idx="2">
                  <c:v>3.1939132801994903E-2</c:v>
                </c:pt>
                <c:pt idx="3">
                  <c:v>2.546042841741878E-2</c:v>
                </c:pt>
                <c:pt idx="4">
                  <c:v>2.274667943620862E-2</c:v>
                </c:pt>
                <c:pt idx="5">
                  <c:v>2.2764923530181193E-2</c:v>
                </c:pt>
                <c:pt idx="6">
                  <c:v>2.4295482400827198E-2</c:v>
                </c:pt>
                <c:pt idx="7">
                  <c:v>2.6388919747064345E-2</c:v>
                </c:pt>
                <c:pt idx="8">
                  <c:v>2.8482613043965207E-2</c:v>
                </c:pt>
                <c:pt idx="9">
                  <c:v>3.0376884216044196E-2</c:v>
                </c:pt>
                <c:pt idx="10">
                  <c:v>3.2233283833094234E-2</c:v>
                </c:pt>
                <c:pt idx="11">
                  <c:v>3.4641358229023742E-2</c:v>
                </c:pt>
                <c:pt idx="12">
                  <c:v>3.8631318386474947E-2</c:v>
                </c:pt>
                <c:pt idx="13">
                  <c:v>4.5321251964770194E-2</c:v>
                </c:pt>
                <c:pt idx="14">
                  <c:v>5.5008922792173835E-2</c:v>
                </c:pt>
                <c:pt idx="15">
                  <c:v>6.615514025603951E-2</c:v>
                </c:pt>
                <c:pt idx="16">
                  <c:v>7.5294660043812439E-2</c:v>
                </c:pt>
                <c:pt idx="17">
                  <c:v>7.8506193647651698E-2</c:v>
                </c:pt>
                <c:pt idx="18">
                  <c:v>7.3684619195684989E-2</c:v>
                </c:pt>
                <c:pt idx="19">
                  <c:v>6.1876588623570386E-2</c:v>
                </c:pt>
                <c:pt idx="20">
                  <c:v>4.6601987001611195E-2</c:v>
                </c:pt>
                <c:pt idx="21">
                  <c:v>3.1802531527731888E-2</c:v>
                </c:pt>
                <c:pt idx="22">
                  <c:v>2.0042358674926302E-2</c:v>
                </c:pt>
                <c:pt idx="23">
                  <c:v>1.2001944164825437E-2</c:v>
                </c:pt>
                <c:pt idx="24">
                  <c:v>7.069602647705015E-3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B3E-4879-8C6F-BEFDD555C2DB}"/>
            </c:ext>
          </c:extLst>
        </c:ser>
        <c:ser>
          <c:idx val="1"/>
          <c:order val="1"/>
          <c:tx>
            <c:strRef>
              <c:f>Duration!$I$64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Duration!$A$65:$A$89</c:f>
              <c:numCache>
                <c:formatCode>h:mm</c:formatCode>
                <c:ptCount val="25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  <c:pt idx="19">
                  <c:v>0.39583333333333331</c:v>
                </c:pt>
                <c:pt idx="20">
                  <c:v>0.41666666666666669</c:v>
                </c:pt>
                <c:pt idx="21">
                  <c:v>0.4375</c:v>
                </c:pt>
                <c:pt idx="22">
                  <c:v>0.45833333333333331</c:v>
                </c:pt>
                <c:pt idx="23">
                  <c:v>0.47916666666666669</c:v>
                </c:pt>
                <c:pt idx="24">
                  <c:v>0.5</c:v>
                </c:pt>
              </c:numCache>
            </c:numRef>
          </c:cat>
          <c:val>
            <c:numRef>
              <c:f>Duration!$I$65:$I$89</c:f>
              <c:numCache>
                <c:formatCode>0.00%</c:formatCode>
                <c:ptCount val="25"/>
                <c:pt idx="0">
                  <c:v>3.8866063296910246E-2</c:v>
                </c:pt>
                <c:pt idx="1">
                  <c:v>3.5034329415150611E-2</c:v>
                </c:pt>
                <c:pt idx="2">
                  <c:v>3.2177493078123343E-2</c:v>
                </c:pt>
                <c:pt idx="3">
                  <c:v>3.0847210712030771E-2</c:v>
                </c:pt>
                <c:pt idx="4">
                  <c:v>3.0990042759984737E-2</c:v>
                </c:pt>
                <c:pt idx="5">
                  <c:v>3.2059362523325294E-2</c:v>
                </c:pt>
                <c:pt idx="6">
                  <c:v>3.330684626908495E-2</c:v>
                </c:pt>
                <c:pt idx="7">
                  <c:v>3.4121722523853371E-2</c:v>
                </c:pt>
                <c:pt idx="8">
                  <c:v>3.4326868605263884E-2</c:v>
                </c:pt>
                <c:pt idx="9">
                  <c:v>3.4331281067311294E-2</c:v>
                </c:pt>
                <c:pt idx="10">
                  <c:v>3.5029017309636881E-2</c:v>
                </c:pt>
                <c:pt idx="11">
                  <c:v>3.7429879510263657E-2</c:v>
                </c:pt>
                <c:pt idx="12">
                  <c:v>4.2170782689135107E-2</c:v>
                </c:pt>
                <c:pt idx="13">
                  <c:v>4.9131703602981469E-2</c:v>
                </c:pt>
                <c:pt idx="14">
                  <c:v>5.7295765898375928E-2</c:v>
                </c:pt>
                <c:pt idx="15">
                  <c:v>6.487008616052424E-2</c:v>
                </c:pt>
                <c:pt idx="16">
                  <c:v>6.9667482445627357E-2</c:v>
                </c:pt>
                <c:pt idx="17">
                  <c:v>6.9770616297308283E-2</c:v>
                </c:pt>
                <c:pt idx="18">
                  <c:v>6.4348229685697256E-2</c:v>
                </c:pt>
                <c:pt idx="19">
                  <c:v>5.4197024244559987E-2</c:v>
                </c:pt>
                <c:pt idx="20">
                  <c:v>4.1536938256314104E-2</c:v>
                </c:pt>
                <c:pt idx="21">
                  <c:v>2.9051320310358217E-2</c:v>
                </c:pt>
                <c:pt idx="22">
                  <c:v>1.8767640243199355E-2</c:v>
                </c:pt>
                <c:pt idx="23">
                  <c:v>1.1477737704482101E-2</c:v>
                </c:pt>
                <c:pt idx="24">
                  <c:v>6.9007754399423964E-3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B3E-4879-8C6F-BEFDD555C2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282496"/>
        <c:axId val="154928832"/>
      </c:lineChart>
      <c:catAx>
        <c:axId val="58282496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54928832"/>
        <c:crosses val="autoZero"/>
        <c:auto val="1"/>
        <c:lblAlgn val="ctr"/>
        <c:lblOffset val="100"/>
        <c:tickLblSkip val="2"/>
        <c:noMultiLvlLbl val="0"/>
      </c:catAx>
      <c:valAx>
        <c:axId val="154928832"/>
        <c:scaling>
          <c:orientation val="minMax"/>
        </c:scaling>
        <c:delete val="0"/>
        <c:axPos val="l"/>
        <c:majorGridlines/>
        <c:numFmt formatCode="0.0%" sourceLinked="0"/>
        <c:majorTickMark val="none"/>
        <c:minorTickMark val="none"/>
        <c:tickLblPos val="nextTo"/>
        <c:crossAx val="58282496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78467118945771919"/>
          <c:y val="0.20307117492666357"/>
          <c:w val="0.19192618223760091"/>
          <c:h val="0.1418267716535429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footer="0.30000000000000032" header="0.30000000000000032" l="0.70000000000000062" r="0.70000000000000062" t="0.75000000000000233"/>
    <c:pageSetup/>
  </c:printSettings>
</c:chartSpace>
</file>

<file path=xl/charts/chart1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School Durations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7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Duration!$C$64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Duration!$A$65:$A$89</c:f>
              <c:numCache>
                <c:formatCode>h:mm</c:formatCode>
                <c:ptCount val="25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  <c:pt idx="19">
                  <c:v>0.39583333333333331</c:v>
                </c:pt>
                <c:pt idx="20">
                  <c:v>0.41666666666666669</c:v>
                </c:pt>
                <c:pt idx="21">
                  <c:v>0.4375</c:v>
                </c:pt>
                <c:pt idx="22">
                  <c:v>0.45833333333333331</c:v>
                </c:pt>
                <c:pt idx="23">
                  <c:v>0.47916666666666669</c:v>
                </c:pt>
                <c:pt idx="24">
                  <c:v>0.5</c:v>
                </c:pt>
              </c:numCache>
            </c:numRef>
          </c:cat>
          <c:val>
            <c:numRef>
              <c:f>Duration!$C$65:$C$89</c:f>
              <c:numCache>
                <c:formatCode>0.00%</c:formatCode>
                <c:ptCount val="25"/>
                <c:pt idx="0">
                  <c:v>0.19793796761072643</c:v>
                </c:pt>
                <c:pt idx="1">
                  <c:v>0.14030837695888757</c:v>
                </c:pt>
                <c:pt idx="2">
                  <c:v>9.180291914867425E-2</c:v>
                </c:pt>
                <c:pt idx="3">
                  <c:v>5.7428231331991382E-2</c:v>
                </c:pt>
                <c:pt idx="4">
                  <c:v>3.6871804111431129E-2</c:v>
                </c:pt>
                <c:pt idx="5">
                  <c:v>2.6436050903955229E-2</c:v>
                </c:pt>
                <c:pt idx="6">
                  <c:v>2.1973754458258037E-2</c:v>
                </c:pt>
                <c:pt idx="7">
                  <c:v>2.0753290535816749E-2</c:v>
                </c:pt>
                <c:pt idx="8">
                  <c:v>2.1723945305456686E-2</c:v>
                </c:pt>
                <c:pt idx="9">
                  <c:v>2.4779574990669708E-2</c:v>
                </c:pt>
                <c:pt idx="10">
                  <c:v>2.9777325760341925E-2</c:v>
                </c:pt>
                <c:pt idx="11">
                  <c:v>3.5835225959447645E-2</c:v>
                </c:pt>
                <c:pt idx="12">
                  <c:v>4.1248567480725619E-2</c:v>
                </c:pt>
                <c:pt idx="13">
                  <c:v>4.4117161838774982E-2</c:v>
                </c:pt>
                <c:pt idx="14">
                  <c:v>4.3316652557576413E-2</c:v>
                </c:pt>
                <c:pt idx="15">
                  <c:v>3.9096920988297743E-2</c:v>
                </c:pt>
                <c:pt idx="16">
                  <c:v>3.2829526454763308E-2</c:v>
                </c:pt>
                <c:pt idx="17">
                  <c:v>2.6137565385568447E-2</c:v>
                </c:pt>
                <c:pt idx="18">
                  <c:v>2.0109921614716839E-2</c:v>
                </c:pt>
                <c:pt idx="19">
                  <c:v>1.5092791381306939E-2</c:v>
                </c:pt>
                <c:pt idx="20">
                  <c:v>1.0988341623947991E-2</c:v>
                </c:pt>
                <c:pt idx="21">
                  <c:v>7.6503665389131845E-3</c:v>
                </c:pt>
                <c:pt idx="22">
                  <c:v>5.0528874974421507E-3</c:v>
                </c:pt>
                <c:pt idx="23">
                  <c:v>3.2104379715815882E-3</c:v>
                </c:pt>
                <c:pt idx="24">
                  <c:v>2.0420052602423736E-3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F9F-4B05-B6A1-149E7ED95843}"/>
            </c:ext>
          </c:extLst>
        </c:ser>
        <c:ser>
          <c:idx val="1"/>
          <c:order val="1"/>
          <c:tx>
            <c:strRef>
              <c:f>Duration!$J$64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Duration!$A$65:$A$89</c:f>
              <c:numCache>
                <c:formatCode>h:mm</c:formatCode>
                <c:ptCount val="25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  <c:pt idx="19">
                  <c:v>0.39583333333333331</c:v>
                </c:pt>
                <c:pt idx="20">
                  <c:v>0.41666666666666669</c:v>
                </c:pt>
                <c:pt idx="21">
                  <c:v>0.4375</c:v>
                </c:pt>
                <c:pt idx="22">
                  <c:v>0.45833333333333331</c:v>
                </c:pt>
                <c:pt idx="23">
                  <c:v>0.47916666666666669</c:v>
                </c:pt>
                <c:pt idx="24">
                  <c:v>0.5</c:v>
                </c:pt>
              </c:numCache>
            </c:numRef>
          </c:cat>
          <c:val>
            <c:numRef>
              <c:f>Duration!$J$65:$J$89</c:f>
              <c:numCache>
                <c:formatCode>0.00%</c:formatCode>
                <c:ptCount val="25"/>
                <c:pt idx="0">
                  <c:v>0.15241861534959997</c:v>
                </c:pt>
                <c:pt idx="1">
                  <c:v>0.11889911838420075</c:v>
                </c:pt>
                <c:pt idx="2">
                  <c:v>8.9593083873427334E-2</c:v>
                </c:pt>
                <c:pt idx="3">
                  <c:v>6.6958023438772912E-2</c:v>
                </c:pt>
                <c:pt idx="4">
                  <c:v>5.1162700404067896E-2</c:v>
                </c:pt>
                <c:pt idx="5">
                  <c:v>4.0881562326918003E-2</c:v>
                </c:pt>
                <c:pt idx="6">
                  <c:v>3.4504733780071864E-2</c:v>
                </c:pt>
                <c:pt idx="7">
                  <c:v>3.0859735902876179E-2</c:v>
                </c:pt>
                <c:pt idx="8">
                  <c:v>2.9264202660645781E-2</c:v>
                </c:pt>
                <c:pt idx="9">
                  <c:v>2.9284290614446623E-2</c:v>
                </c:pt>
                <c:pt idx="10">
                  <c:v>3.0547612468919263E-2</c:v>
                </c:pt>
                <c:pt idx="11">
                  <c:v>3.2639644803740722E-2</c:v>
                </c:pt>
                <c:pt idx="12">
                  <c:v>3.4984363325632144E-2</c:v>
                </c:pt>
                <c:pt idx="13">
                  <c:v>3.6781280783606568E-2</c:v>
                </c:pt>
                <c:pt idx="14">
                  <c:v>3.7188488105000923E-2</c:v>
                </c:pt>
                <c:pt idx="15">
                  <c:v>3.5718929474205685E-2</c:v>
                </c:pt>
                <c:pt idx="16">
                  <c:v>3.2508489282700316E-2</c:v>
                </c:pt>
                <c:pt idx="17">
                  <c:v>2.8180184482637521E-2</c:v>
                </c:pt>
                <c:pt idx="18">
                  <c:v>2.3436934257273917E-2</c:v>
                </c:pt>
                <c:pt idx="19">
                  <c:v>1.8760078728006918E-2</c:v>
                </c:pt>
                <c:pt idx="20">
                  <c:v>1.4403258941356455E-2</c:v>
                </c:pt>
                <c:pt idx="21">
                  <c:v>1.0539911497251401E-2</c:v>
                </c:pt>
                <c:pt idx="22">
                  <c:v>7.3365586473691019E-3</c:v>
                </c:pt>
                <c:pt idx="23">
                  <c:v>4.8970785705381922E-3</c:v>
                </c:pt>
                <c:pt idx="24">
                  <c:v>3.1897041889159686E-3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F9F-4B05-B6A1-149E7ED958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283520"/>
        <c:axId val="154931136"/>
      </c:lineChart>
      <c:catAx>
        <c:axId val="58283520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54931136"/>
        <c:crosses val="autoZero"/>
        <c:auto val="1"/>
        <c:lblAlgn val="ctr"/>
        <c:lblOffset val="100"/>
        <c:tickLblSkip val="2"/>
        <c:noMultiLvlLbl val="0"/>
      </c:catAx>
      <c:valAx>
        <c:axId val="154931136"/>
        <c:scaling>
          <c:orientation val="minMax"/>
        </c:scaling>
        <c:delete val="0"/>
        <c:axPos val="l"/>
        <c:majorGridlines/>
        <c:numFmt formatCode="0.0%" sourceLinked="0"/>
        <c:majorTickMark val="none"/>
        <c:minorTickMark val="none"/>
        <c:tickLblPos val="nextTo"/>
        <c:crossAx val="58283520"/>
        <c:crosses val="autoZero"/>
        <c:crossBetween val="between"/>
        <c:majorUnit val="0.1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131496971183101"/>
          <c:h val="0.1418267716535429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55" footer="0.30000000000000032" header="0.30000000000000032" l="0.70000000000000062" r="0.70000000000000062" t="0.75000000000000255"/>
    <c:pageSetup/>
  </c:printSettings>
</c:chartSpace>
</file>

<file path=xl/charts/chart1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Other Durations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7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Duration!$D$64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Duration!$A$65:$A$89</c:f>
              <c:numCache>
                <c:formatCode>h:mm</c:formatCode>
                <c:ptCount val="25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  <c:pt idx="19">
                  <c:v>0.39583333333333331</c:v>
                </c:pt>
                <c:pt idx="20">
                  <c:v>0.41666666666666669</c:v>
                </c:pt>
                <c:pt idx="21">
                  <c:v>0.4375</c:v>
                </c:pt>
                <c:pt idx="22">
                  <c:v>0.45833333333333331</c:v>
                </c:pt>
                <c:pt idx="23">
                  <c:v>0.47916666666666669</c:v>
                </c:pt>
                <c:pt idx="24">
                  <c:v>0.5</c:v>
                </c:pt>
              </c:numCache>
            </c:numRef>
          </c:cat>
          <c:val>
            <c:numRef>
              <c:f>Duration!$D$65:$D$89</c:f>
              <c:numCache>
                <c:formatCode>0.00%</c:formatCode>
                <c:ptCount val="25"/>
                <c:pt idx="0">
                  <c:v>0.31778332181217739</c:v>
                </c:pt>
                <c:pt idx="1">
                  <c:v>0.23316804027444205</c:v>
                </c:pt>
                <c:pt idx="2">
                  <c:v>0.15914012832189647</c:v>
                </c:pt>
                <c:pt idx="3">
                  <c:v>0.10215949106673161</c:v>
                </c:pt>
                <c:pt idx="4">
                  <c:v>6.3062895089520857E-2</c:v>
                </c:pt>
                <c:pt idx="5">
                  <c:v>3.8572643661097965E-2</c:v>
                </c:pt>
                <c:pt idx="6">
                  <c:v>2.404894455247529E-2</c:v>
                </c:pt>
                <c:pt idx="7">
                  <c:v>1.5543133268886469E-2</c:v>
                </c:pt>
                <c:pt idx="8">
                  <c:v>1.0473065328554703E-2</c:v>
                </c:pt>
                <c:pt idx="9">
                  <c:v>7.3768096321124143E-3</c:v>
                </c:pt>
                <c:pt idx="10">
                  <c:v>5.4449589441340068E-3</c:v>
                </c:pt>
                <c:pt idx="11">
                  <c:v>4.2018091088931557E-3</c:v>
                </c:pt>
                <c:pt idx="12">
                  <c:v>3.3609172251237896E-3</c:v>
                </c:pt>
                <c:pt idx="13">
                  <c:v>2.7582246028693253E-3</c:v>
                </c:pt>
                <c:pt idx="14">
                  <c:v>2.3021245919190953E-3</c:v>
                </c:pt>
                <c:pt idx="15">
                  <c:v>1.9366364332670575E-3</c:v>
                </c:pt>
                <c:pt idx="16">
                  <c:v>1.6256920049975362E-3</c:v>
                </c:pt>
                <c:pt idx="17">
                  <c:v>1.3510380077420712E-3</c:v>
                </c:pt>
                <c:pt idx="18">
                  <c:v>1.1097089900625049E-3</c:v>
                </c:pt>
                <c:pt idx="19">
                  <c:v>9.0632140730777353E-4</c:v>
                </c:pt>
                <c:pt idx="20">
                  <c:v>7.4472475540687149E-4</c:v>
                </c:pt>
                <c:pt idx="21">
                  <c:v>6.2315576068672869E-4</c:v>
                </c:pt>
                <c:pt idx="22">
                  <c:v>5.3287749767295055E-4</c:v>
                </c:pt>
                <c:pt idx="23">
                  <c:v>4.5988103081020452E-4</c:v>
                </c:pt>
                <c:pt idx="24">
                  <c:v>3.9007892684437038E-4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62-47DA-AA63-D5C8C9F347CD}"/>
            </c:ext>
          </c:extLst>
        </c:ser>
        <c:ser>
          <c:idx val="1"/>
          <c:order val="1"/>
          <c:tx>
            <c:strRef>
              <c:f>Duration!$K$64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Duration!$A$65:$A$89</c:f>
              <c:numCache>
                <c:formatCode>h:mm</c:formatCode>
                <c:ptCount val="25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  <c:pt idx="19">
                  <c:v>0.39583333333333331</c:v>
                </c:pt>
                <c:pt idx="20">
                  <c:v>0.41666666666666669</c:v>
                </c:pt>
                <c:pt idx="21">
                  <c:v>0.4375</c:v>
                </c:pt>
                <c:pt idx="22">
                  <c:v>0.45833333333333331</c:v>
                </c:pt>
                <c:pt idx="23">
                  <c:v>0.47916666666666669</c:v>
                </c:pt>
                <c:pt idx="24">
                  <c:v>0.5</c:v>
                </c:pt>
              </c:numCache>
            </c:numRef>
          </c:cat>
          <c:val>
            <c:numRef>
              <c:f>Duration!$K$65:$K$89</c:f>
              <c:numCache>
                <c:formatCode>0.00%</c:formatCode>
                <c:ptCount val="25"/>
                <c:pt idx="0">
                  <c:v>0.31479247130817484</c:v>
                </c:pt>
                <c:pt idx="1">
                  <c:v>0.23224085015748208</c:v>
                </c:pt>
                <c:pt idx="2">
                  <c:v>0.15993070477180638</c:v>
                </c:pt>
                <c:pt idx="3">
                  <c:v>0.10403646524435667</c:v>
                </c:pt>
                <c:pt idx="4">
                  <c:v>6.5276779246532343E-2</c:v>
                </c:pt>
                <c:pt idx="5">
                  <c:v>4.0497622498177122E-2</c:v>
                </c:pt>
                <c:pt idx="6">
                  <c:v>2.5356952710966562E-2</c:v>
                </c:pt>
                <c:pt idx="7">
                  <c:v>1.6201166470849841E-2</c:v>
                </c:pt>
                <c:pt idx="8">
                  <c:v>1.0608971217675891E-2</c:v>
                </c:pt>
                <c:pt idx="9">
                  <c:v>7.1481280560430627E-3</c:v>
                </c:pt>
                <c:pt idx="10">
                  <c:v>4.9862354425828388E-3</c:v>
                </c:pt>
                <c:pt idx="11">
                  <c:v>3.6246344078212193E-3</c:v>
                </c:pt>
                <c:pt idx="12">
                  <c:v>2.7557727628560748E-3</c:v>
                </c:pt>
                <c:pt idx="13">
                  <c:v>2.187053132088332E-3</c:v>
                </c:pt>
                <c:pt idx="14">
                  <c:v>1.798302858112152E-3</c:v>
                </c:pt>
                <c:pt idx="15">
                  <c:v>1.5172299707641107E-3</c:v>
                </c:pt>
                <c:pt idx="16">
                  <c:v>1.3020159311293183E-3</c:v>
                </c:pt>
                <c:pt idx="17">
                  <c:v>1.1267129153437062E-3</c:v>
                </c:pt>
                <c:pt idx="18">
                  <c:v>9.7219484827130184E-4</c:v>
                </c:pt>
                <c:pt idx="19">
                  <c:v>8.2488892298050753E-4</c:v>
                </c:pt>
                <c:pt idx="20">
                  <c:v>6.7932108755632806E-4</c:v>
                </c:pt>
                <c:pt idx="21">
                  <c:v>5.3832946418180502E-4</c:v>
                </c:pt>
                <c:pt idx="22">
                  <c:v>4.093684515538507E-4</c:v>
                </c:pt>
                <c:pt idx="23">
                  <c:v>2.9991983144100068E-4</c:v>
                </c:pt>
                <c:pt idx="24">
                  <c:v>2.1468550072051309E-4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762-47DA-AA63-D5C8C9F347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284032"/>
        <c:axId val="154933440"/>
      </c:lineChart>
      <c:catAx>
        <c:axId val="58284032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54933440"/>
        <c:crosses val="autoZero"/>
        <c:auto val="1"/>
        <c:lblAlgn val="ctr"/>
        <c:lblOffset val="100"/>
        <c:tickLblSkip val="2"/>
        <c:noMultiLvlLbl val="0"/>
      </c:catAx>
      <c:valAx>
        <c:axId val="154933440"/>
        <c:scaling>
          <c:orientation val="minMax"/>
        </c:scaling>
        <c:delete val="0"/>
        <c:axPos val="l"/>
        <c:majorGridlines/>
        <c:numFmt formatCode="0.0%" sourceLinked="0"/>
        <c:majorTickMark val="none"/>
        <c:minorTickMark val="none"/>
        <c:tickLblPos val="nextTo"/>
        <c:crossAx val="58284032"/>
        <c:crosses val="autoZero"/>
        <c:crossBetween val="between"/>
        <c:majorUnit val="0.1"/>
      </c:valAx>
    </c:plotArea>
    <c:legend>
      <c:legendPos val="r"/>
      <c:layout>
        <c:manualLayout>
          <c:xMode val="edge"/>
          <c:yMode val="edge"/>
          <c:x val="0.76160313870800822"/>
          <c:y val="0.21483595800524941"/>
          <c:w val="0.17689743799326146"/>
          <c:h val="9.8689516751582565E-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55" footer="0.30000000000000032" header="0.30000000000000032" l="0.70000000000000062" r="0.70000000000000062" t="0.75000000000000255"/>
    <c:pageSetup/>
  </c:printSettings>
</c:chartSpace>
</file>

<file path=xl/charts/chart1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Work-based Durations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7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Duration!$E$64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Duration!$A$65:$A$85</c:f>
              <c:numCache>
                <c:formatCode>h:mm</c:formatCode>
                <c:ptCount val="21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  <c:pt idx="19">
                  <c:v>0.39583333333333331</c:v>
                </c:pt>
                <c:pt idx="20">
                  <c:v>0.41666666666666669</c:v>
                </c:pt>
              </c:numCache>
            </c:numRef>
          </c:cat>
          <c:val>
            <c:numRef>
              <c:f>Duration!$E$65:$E$85</c:f>
              <c:numCache>
                <c:formatCode>0.00%</c:formatCode>
                <c:ptCount val="21"/>
                <c:pt idx="0">
                  <c:v>0.34803010126203854</c:v>
                </c:pt>
                <c:pt idx="1">
                  <c:v>0.24832174671874546</c:v>
                </c:pt>
                <c:pt idx="2">
                  <c:v>0.1622430087543332</c:v>
                </c:pt>
                <c:pt idx="3">
                  <c:v>9.7933989006359121E-2</c:v>
                </c:pt>
                <c:pt idx="4">
                  <c:v>5.6037414411237038E-2</c:v>
                </c:pt>
                <c:pt idx="5">
                  <c:v>3.1754413955459568E-2</c:v>
                </c:pt>
                <c:pt idx="6">
                  <c:v>1.866376577151024E-2</c:v>
                </c:pt>
                <c:pt idx="7">
                  <c:v>1.1589050619662209E-2</c:v>
                </c:pt>
                <c:pt idx="8">
                  <c:v>7.4670609207357378E-3</c:v>
                </c:pt>
                <c:pt idx="9">
                  <c:v>4.8578279131299253E-3</c:v>
                </c:pt>
                <c:pt idx="10">
                  <c:v>3.1638117857845614E-3</c:v>
                </c:pt>
                <c:pt idx="11">
                  <c:v>2.1140660346159338E-3</c:v>
                </c:pt>
                <c:pt idx="12">
                  <c:v>1.5303764985387751E-3</c:v>
                </c:pt>
                <c:pt idx="13">
                  <c:v>1.2434026408417568E-3</c:v>
                </c:pt>
                <c:pt idx="14">
                  <c:v>1.0915377849446991E-3</c:v>
                </c:pt>
                <c:pt idx="15">
                  <c:v>9.6270866921219342E-4</c:v>
                </c:pt>
                <c:pt idx="16">
                  <c:v>8.1880823084955396E-4</c:v>
                </c:pt>
                <c:pt idx="17">
                  <c:v>6.6971197666509019E-4</c:v>
                </c:pt>
                <c:pt idx="18">
                  <c:v>5.2859422236558912E-4</c:v>
                </c:pt>
                <c:pt idx="19">
                  <c:v>3.9552534486001937E-4</c:v>
                </c:pt>
                <c:pt idx="20">
                  <c:v>2.7044176845608794E-4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13F-48C5-B64D-A846D9E7C45D}"/>
            </c:ext>
          </c:extLst>
        </c:ser>
        <c:ser>
          <c:idx val="1"/>
          <c:order val="1"/>
          <c:tx>
            <c:strRef>
              <c:f>Duration!$L$64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Duration!$A$65:$A$85</c:f>
              <c:numCache>
                <c:formatCode>h:mm</c:formatCode>
                <c:ptCount val="21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  <c:pt idx="19">
                  <c:v>0.39583333333333331</c:v>
                </c:pt>
                <c:pt idx="20">
                  <c:v>0.41666666666666669</c:v>
                </c:pt>
              </c:numCache>
            </c:numRef>
          </c:cat>
          <c:val>
            <c:numRef>
              <c:f>Duration!$L$65:$L$85</c:f>
              <c:numCache>
                <c:formatCode>0.00%</c:formatCode>
                <c:ptCount val="21"/>
                <c:pt idx="0">
                  <c:v>0.34418997708159227</c:v>
                </c:pt>
                <c:pt idx="1">
                  <c:v>0.24780183432060987</c:v>
                </c:pt>
                <c:pt idx="2">
                  <c:v>0.16412208163271266</c:v>
                </c:pt>
                <c:pt idx="3">
                  <c:v>0.10080481771778917</c:v>
                </c:pt>
                <c:pt idx="4">
                  <c:v>5.8655293414594731E-2</c:v>
                </c:pt>
                <c:pt idx="5">
                  <c:v>3.3514413915183727E-2</c:v>
                </c:pt>
                <c:pt idx="6">
                  <c:v>1.9615655158113716E-2</c:v>
                </c:pt>
                <c:pt idx="7">
                  <c:v>1.2069160783451022E-2</c:v>
                </c:pt>
                <c:pt idx="8">
                  <c:v>7.7188046552497721E-3</c:v>
                </c:pt>
                <c:pt idx="9">
                  <c:v>4.9174185935932108E-3</c:v>
                </c:pt>
                <c:pt idx="10">
                  <c:v>2.9679551102392305E-3</c:v>
                </c:pt>
                <c:pt idx="11">
                  <c:v>1.6274579518362232E-3</c:v>
                </c:pt>
                <c:pt idx="12">
                  <c:v>7.8755192084556066E-4</c:v>
                </c:pt>
                <c:pt idx="13">
                  <c:v>3.3401253373671966E-4</c:v>
                </c:pt>
                <c:pt idx="14">
                  <c:v>1.3395376644477255E-4</c:v>
                </c:pt>
                <c:pt idx="15">
                  <c:v>7.091189198385238E-5</c:v>
                </c:pt>
                <c:pt idx="16">
                  <c:v>6.7613903282579639E-5</c:v>
                </c:pt>
                <c:pt idx="17">
                  <c:v>8.2691632609965604E-5</c:v>
                </c:pt>
                <c:pt idx="18">
                  <c:v>9.6622501342558069E-5</c:v>
                </c:pt>
                <c:pt idx="19">
                  <c:v>1.0116904123080469E-4</c:v>
                </c:pt>
                <c:pt idx="20">
                  <c:v>9.4623387679456414E-5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13F-48C5-B64D-A846D9E7C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284544"/>
        <c:axId val="154985024"/>
      </c:lineChart>
      <c:catAx>
        <c:axId val="58284544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54985024"/>
        <c:crosses val="autoZero"/>
        <c:auto val="1"/>
        <c:lblAlgn val="ctr"/>
        <c:lblOffset val="100"/>
        <c:tickLblSkip val="2"/>
        <c:noMultiLvlLbl val="0"/>
      </c:catAx>
      <c:valAx>
        <c:axId val="154985024"/>
        <c:scaling>
          <c:orientation val="minMax"/>
        </c:scaling>
        <c:delete val="0"/>
        <c:axPos val="l"/>
        <c:majorGridlines/>
        <c:numFmt formatCode="0.0%" sourceLinked="0"/>
        <c:majorTickMark val="none"/>
        <c:minorTickMark val="none"/>
        <c:tickLblPos val="nextTo"/>
        <c:crossAx val="5828454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3"/>
          <c:h val="0.1418267716535429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55" footer="0.30000000000000032" header="0.30000000000000032" l="0.70000000000000062" r="0.70000000000000062" t="0.75000000000000255"/>
    <c:pageSetup/>
  </c:printSettings>
</c:chartSpace>
</file>

<file path=xl/charts/chart1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501012632936453"/>
          <c:y val="5.1400554097404488E-2"/>
          <c:w val="0.8198327112225158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Arrival_Time_Work!$J$7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Arrival_Time_Work!$J$8:$J$58</c:f>
              <c:numCache>
                <c:formatCode>0.00</c:formatCode>
                <c:ptCount val="51"/>
                <c:pt idx="0">
                  <c:v>51.785126183268503</c:v>
                </c:pt>
                <c:pt idx="1">
                  <c:v>1200.6087067480396</c:v>
                </c:pt>
                <c:pt idx="2">
                  <c:v>2870.8023767440864</c:v>
                </c:pt>
                <c:pt idx="3">
                  <c:v>5701.3151074662874</c:v>
                </c:pt>
                <c:pt idx="4">
                  <c:v>10431.357144005608</c:v>
                </c:pt>
                <c:pt idx="5">
                  <c:v>17699.112248258756</c:v>
                </c:pt>
                <c:pt idx="6">
                  <c:v>27710.459336080774</c:v>
                </c:pt>
                <c:pt idx="7">
                  <c:v>39886.706615328825</c:v>
                </c:pt>
                <c:pt idx="8">
                  <c:v>52634.39523273227</c:v>
                </c:pt>
                <c:pt idx="9">
                  <c:v>63453.7815100769</c:v>
                </c:pt>
                <c:pt idx="10">
                  <c:v>69608.359688088647</c:v>
                </c:pt>
                <c:pt idx="11">
                  <c:v>69278.646420127261</c:v>
                </c:pt>
                <c:pt idx="12">
                  <c:v>62590.365248326969</c:v>
                </c:pt>
                <c:pt idx="13">
                  <c:v>51711.827284977546</c:v>
                </c:pt>
                <c:pt idx="14">
                  <c:v>39795.669789765547</c:v>
                </c:pt>
                <c:pt idx="15">
                  <c:v>29466.907619764654</c:v>
                </c:pt>
                <c:pt idx="16">
                  <c:v>21894.47381875119</c:v>
                </c:pt>
                <c:pt idx="17">
                  <c:v>16901.701133628616</c:v>
                </c:pt>
                <c:pt idx="18">
                  <c:v>13719.677520244066</c:v>
                </c:pt>
                <c:pt idx="19">
                  <c:v>11664.656055590376</c:v>
                </c:pt>
                <c:pt idx="20">
                  <c:v>10348.651215900112</c:v>
                </c:pt>
                <c:pt idx="21">
                  <c:v>9535.7550394171267</c:v>
                </c:pt>
                <c:pt idx="22">
                  <c:v>8975.1762619413566</c:v>
                </c:pt>
                <c:pt idx="23">
                  <c:v>8406.6376415190934</c:v>
                </c:pt>
                <c:pt idx="24">
                  <c:v>7683.191735032784</c:v>
                </c:pt>
                <c:pt idx="25">
                  <c:v>6842.0423910840209</c:v>
                </c:pt>
                <c:pt idx="26">
                  <c:v>6034.785015248779</c:v>
                </c:pt>
                <c:pt idx="27">
                  <c:v>5380.5039678819612</c:v>
                </c:pt>
                <c:pt idx="28">
                  <c:v>4872.6538610133675</c:v>
                </c:pt>
                <c:pt idx="29">
                  <c:v>4406.837470262546</c:v>
                </c:pt>
                <c:pt idx="30">
                  <c:v>3882.5963483521464</c:v>
                </c:pt>
                <c:pt idx="31">
                  <c:v>3279.4768092435224</c:v>
                </c:pt>
                <c:pt idx="32">
                  <c:v>2651.4536317620823</c:v>
                </c:pt>
                <c:pt idx="33">
                  <c:v>2067.1185212254418</c:v>
                </c:pt>
                <c:pt idx="34">
                  <c:v>1562.9901157053844</c:v>
                </c:pt>
                <c:pt idx="35">
                  <c:v>1144.5540037288335</c:v>
                </c:pt>
                <c:pt idx="36">
                  <c:v>811.53762600932271</c:v>
                </c:pt>
                <c:pt idx="37">
                  <c:v>567.40988613519846</c:v>
                </c:pt>
                <c:pt idx="38">
                  <c:v>406.71407784068606</c:v>
                </c:pt>
                <c:pt idx="39">
                  <c:v>305.59596327444928</c:v>
                </c:pt>
                <c:pt idx="40">
                  <c:v>232.3956510319521</c:v>
                </c:pt>
                <c:pt idx="41">
                  <c:v>166.60272800153007</c:v>
                </c:pt>
                <c:pt idx="42">
                  <c:v>105.84604256556186</c:v>
                </c:pt>
                <c:pt idx="43">
                  <c:v>57.27840012568965</c:v>
                </c:pt>
                <c:pt idx="44">
                  <c:v>25.732667810733833</c:v>
                </c:pt>
                <c:pt idx="45">
                  <c:v>9.3947457861720984</c:v>
                </c:pt>
                <c:pt idx="46">
                  <c:v>2.7216494688029051</c:v>
                </c:pt>
                <c:pt idx="47">
                  <c:v>0.60588456322824857</c:v>
                </c:pt>
                <c:pt idx="48">
                  <c:v>9.879316788044841E-2</c:v>
                </c:pt>
                <c:pt idx="49">
                  <c:v>1.0886144957250746E-2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B0-47DC-BFC9-D48A12E3E533}"/>
            </c:ext>
          </c:extLst>
        </c:ser>
        <c:ser>
          <c:idx val="1"/>
          <c:order val="1"/>
          <c:tx>
            <c:strRef>
              <c:f>Arrival_Time_Work!$U$7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Arrival_Time_Work!$U$8:$U$58</c:f>
              <c:numCache>
                <c:formatCode>General</c:formatCode>
                <c:ptCount val="51"/>
                <c:pt idx="0">
                  <c:v>1590</c:v>
                </c:pt>
                <c:pt idx="1">
                  <c:v>2385.7593202590942</c:v>
                </c:pt>
                <c:pt idx="2">
                  <c:v>3427.6258850097656</c:v>
                </c:pt>
                <c:pt idx="3">
                  <c:v>5179.3634080886841</c:v>
                </c:pt>
                <c:pt idx="4">
                  <c:v>8424.1222190856934</c:v>
                </c:pt>
                <c:pt idx="5">
                  <c:v>14122.107172012329</c:v>
                </c:pt>
                <c:pt idx="6">
                  <c:v>22962.45813369751</c:v>
                </c:pt>
                <c:pt idx="7">
                  <c:v>34744.884295463562</c:v>
                </c:pt>
                <c:pt idx="8">
                  <c:v>47953.076267242432</c:v>
                </c:pt>
                <c:pt idx="9">
                  <c:v>59920.057969093323</c:v>
                </c:pt>
                <c:pt idx="10">
                  <c:v>67698.8121509552</c:v>
                </c:pt>
                <c:pt idx="11">
                  <c:v>69275.117473602295</c:v>
                </c:pt>
                <c:pt idx="12">
                  <c:v>64455.865316390991</c:v>
                </c:pt>
                <c:pt idx="13">
                  <c:v>54914.018397331238</c:v>
                </c:pt>
                <c:pt idx="14">
                  <c:v>43386.776733398438</c:v>
                </c:pt>
                <c:pt idx="15">
                  <c:v>32520.741815567017</c:v>
                </c:pt>
                <c:pt idx="16">
                  <c:v>23990.241785049438</c:v>
                </c:pt>
                <c:pt idx="17">
                  <c:v>18246.386370658875</c:v>
                </c:pt>
                <c:pt idx="18">
                  <c:v>14834.008274078369</c:v>
                </c:pt>
                <c:pt idx="19">
                  <c:v>12938.762903213501</c:v>
                </c:pt>
                <c:pt idx="20">
                  <c:v>11826.709604263306</c:v>
                </c:pt>
                <c:pt idx="21">
                  <c:v>11028.567967414856</c:v>
                </c:pt>
                <c:pt idx="22">
                  <c:v>10316.606016159058</c:v>
                </c:pt>
                <c:pt idx="23">
                  <c:v>9601.705756187439</c:v>
                </c:pt>
                <c:pt idx="24">
                  <c:v>8848.565149307251</c:v>
                </c:pt>
                <c:pt idx="25">
                  <c:v>8042.1930551528931</c:v>
                </c:pt>
                <c:pt idx="26">
                  <c:v>7191.0526704788208</c:v>
                </c:pt>
                <c:pt idx="27">
                  <c:v>6334.0625524520874</c:v>
                </c:pt>
                <c:pt idx="28">
                  <c:v>5528.5912561416626</c:v>
                </c:pt>
                <c:pt idx="29">
                  <c:v>4822.9588079452515</c:v>
                </c:pt>
                <c:pt idx="30">
                  <c:v>4234.6729373931885</c:v>
                </c:pt>
                <c:pt idx="31">
                  <c:v>3748.8711786270142</c:v>
                </c:pt>
                <c:pt idx="32">
                  <c:v>3332.9706716537476</c:v>
                </c:pt>
                <c:pt idx="33">
                  <c:v>2954.9115753173828</c:v>
                </c:pt>
                <c:pt idx="34">
                  <c:v>2596.207594871521</c:v>
                </c:pt>
                <c:pt idx="35">
                  <c:v>2256.2248516082764</c:v>
                </c:pt>
                <c:pt idx="36">
                  <c:v>1946.5985107421875</c:v>
                </c:pt>
                <c:pt idx="37">
                  <c:v>1678.4552383422852</c:v>
                </c:pt>
                <c:pt idx="38">
                  <c:v>1450.264368057251</c:v>
                </c:pt>
                <c:pt idx="39">
                  <c:v>1245.185980796814</c:v>
                </c:pt>
                <c:pt idx="40">
                  <c:v>1040.687894821167</c:v>
                </c:pt>
                <c:pt idx="41">
                  <c:v>823.88609409332275</c:v>
                </c:pt>
                <c:pt idx="42">
                  <c:v>601.13569736480713</c:v>
                </c:pt>
                <c:pt idx="43">
                  <c:v>394.49652671813965</c:v>
                </c:pt>
                <c:pt idx="44">
                  <c:v>227.9082202911377</c:v>
                </c:pt>
                <c:pt idx="45">
                  <c:v>113.60166072845459</c:v>
                </c:pt>
                <c:pt idx="46">
                  <c:v>47.848601341247559</c:v>
                </c:pt>
                <c:pt idx="47">
                  <c:v>16.627488136291504</c:v>
                </c:pt>
                <c:pt idx="48">
                  <c:v>4.6244955062866211</c:v>
                </c:pt>
                <c:pt idx="49">
                  <c:v>0.97263336181640625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5B0-47DC-BFC9-D48A12E3E5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147456"/>
        <c:axId val="154987328"/>
      </c:lineChart>
      <c:catAx>
        <c:axId val="128147456"/>
        <c:scaling>
          <c:orientation val="minMax"/>
        </c:scaling>
        <c:delete val="0"/>
        <c:axPos val="b"/>
        <c:majorTickMark val="out"/>
        <c:minorTickMark val="none"/>
        <c:tickLblPos val="nextTo"/>
        <c:crossAx val="154987328"/>
        <c:crosses val="autoZero"/>
        <c:auto val="1"/>
        <c:lblAlgn val="ctr"/>
        <c:lblOffset val="100"/>
        <c:tickLblSkip val="10"/>
        <c:noMultiLvlLbl val="0"/>
      </c:catAx>
      <c:valAx>
        <c:axId val="154987328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12814745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7126377952755898"/>
          <c:y val="6.9060586176727903E-2"/>
          <c:w val="0.13920424306823298"/>
          <c:h val="0.1674343832021006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11" footer="0.30000000000000032" header="0.30000000000000032" l="0.70000000000000062" r="0.70000000000000062" t="0.75000000000000211"/>
    <c:pageSetup/>
  </c:printSettings>
</c:chartSpace>
</file>

<file path=xl/charts/chart1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501012632936453"/>
          <c:y val="5.1400554097404488E-2"/>
          <c:w val="0.8198327112225158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Arrival_Time_School!$J$7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Arrival_Time_School!$J$8:$J$58</c:f>
              <c:numCache>
                <c:formatCode>0.00</c:formatCode>
                <c:ptCount val="51"/>
                <c:pt idx="0">
                  <c:v>0</c:v>
                </c:pt>
                <c:pt idx="1">
                  <c:v>42.974043692305472</c:v>
                </c:pt>
                <c:pt idx="2">
                  <c:v>186.31276458020028</c:v>
                </c:pt>
                <c:pt idx="3">
                  <c:v>673.00567327156898</c:v>
                </c:pt>
                <c:pt idx="4">
                  <c:v>2048.2274901968735</c:v>
                </c:pt>
                <c:pt idx="5">
                  <c:v>5235.7714566044269</c:v>
                </c:pt>
                <c:pt idx="6">
                  <c:v>11299.808164103149</c:v>
                </c:pt>
                <c:pt idx="7">
                  <c:v>20740.382664427445</c:v>
                </c:pt>
                <c:pt idx="8">
                  <c:v>32604.510074415924</c:v>
                </c:pt>
                <c:pt idx="9">
                  <c:v>44178.801035167904</c:v>
                </c:pt>
                <c:pt idx="10">
                  <c:v>51906.801148461935</c:v>
                </c:pt>
                <c:pt idx="11">
                  <c:v>53228.686547579237</c:v>
                </c:pt>
                <c:pt idx="12">
                  <c:v>48071.215373445404</c:v>
                </c:pt>
                <c:pt idx="13">
                  <c:v>38819.856945222826</c:v>
                </c:pt>
                <c:pt idx="14">
                  <c:v>28824.668711046834</c:v>
                </c:pt>
                <c:pt idx="15">
                  <c:v>20636.313148620953</c:v>
                </c:pt>
                <c:pt idx="16">
                  <c:v>15168.374570511107</c:v>
                </c:pt>
                <c:pt idx="17">
                  <c:v>12026.322400046207</c:v>
                </c:pt>
                <c:pt idx="18">
                  <c:v>10367.72320954689</c:v>
                </c:pt>
                <c:pt idx="19">
                  <c:v>9544.2734528375331</c:v>
                </c:pt>
                <c:pt idx="20">
                  <c:v>9243.6423452485578</c:v>
                </c:pt>
                <c:pt idx="21">
                  <c:v>9316.2984709469729</c:v>
                </c:pt>
                <c:pt idx="22">
                  <c:v>9593.161387813625</c:v>
                </c:pt>
                <c:pt idx="23">
                  <c:v>9845.7341923586027</c:v>
                </c:pt>
                <c:pt idx="24">
                  <c:v>9861.2885430556526</c:v>
                </c:pt>
                <c:pt idx="25">
                  <c:v>9540.9379115027987</c:v>
                </c:pt>
                <c:pt idx="26">
                  <c:v>8946.3682722916419</c:v>
                </c:pt>
                <c:pt idx="27">
                  <c:v>8255.817924066876</c:v>
                </c:pt>
                <c:pt idx="28">
                  <c:v>7639.4125935759866</c:v>
                </c:pt>
                <c:pt idx="29">
                  <c:v>7131.9671694063491</c:v>
                </c:pt>
                <c:pt idx="30">
                  <c:v>6607.331656488047</c:v>
                </c:pt>
                <c:pt idx="31">
                  <c:v>5885.1025240129702</c:v>
                </c:pt>
                <c:pt idx="32">
                  <c:v>4882.5120511636442</c:v>
                </c:pt>
                <c:pt idx="33">
                  <c:v>3685.6562949886834</c:v>
                </c:pt>
                <c:pt idx="34">
                  <c:v>2494.4518572714383</c:v>
                </c:pt>
                <c:pt idx="35">
                  <c:v>1503.3416621672325</c:v>
                </c:pt>
                <c:pt idx="36">
                  <c:v>811.76813084372588</c:v>
                </c:pt>
                <c:pt idx="37">
                  <c:v>409.52408917955353</c:v>
                </c:pt>
                <c:pt idx="38">
                  <c:v>218.65486278499426</c:v>
                </c:pt>
                <c:pt idx="39">
                  <c:v>147.39855672015935</c:v>
                </c:pt>
                <c:pt idx="40">
                  <c:v>124.75720829078152</c:v>
                </c:pt>
                <c:pt idx="41">
                  <c:v>110.30437960664048</c:v>
                </c:pt>
                <c:pt idx="42">
                  <c:v>89.185506550292374</c:v>
                </c:pt>
                <c:pt idx="43">
                  <c:v>62.334882572932166</c:v>
                </c:pt>
                <c:pt idx="44">
                  <c:v>36.684894541399338</c:v>
                </c:pt>
                <c:pt idx="45">
                  <c:v>17.82729765970134</c:v>
                </c:pt>
                <c:pt idx="46">
                  <c:v>7.0043548934679656</c:v>
                </c:pt>
                <c:pt idx="47">
                  <c:v>2.1651210492276771</c:v>
                </c:pt>
                <c:pt idx="48">
                  <c:v>0.50625367420450251</c:v>
                </c:pt>
                <c:pt idx="49">
                  <c:v>8.3661190571987842E-2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4B-494D-9611-FB3A708B1416}"/>
            </c:ext>
          </c:extLst>
        </c:ser>
        <c:ser>
          <c:idx val="1"/>
          <c:order val="1"/>
          <c:tx>
            <c:strRef>
              <c:f>Arrival_Time_School!$U$7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Arrival_Time_School!$U$8:$U$58</c:f>
              <c:numCache>
                <c:formatCode>General</c:formatCode>
                <c:ptCount val="51"/>
                <c:pt idx="0">
                  <c:v>20</c:v>
                </c:pt>
                <c:pt idx="1">
                  <c:v>63.090839385986328</c:v>
                </c:pt>
                <c:pt idx="2">
                  <c:v>214.87783432006836</c:v>
                </c:pt>
                <c:pt idx="3">
                  <c:v>697.87660121917725</c:v>
                </c:pt>
                <c:pt idx="4">
                  <c:v>1958.5294485092163</c:v>
                </c:pt>
                <c:pt idx="5">
                  <c:v>4699.4055318832397</c:v>
                </c:pt>
                <c:pt idx="6">
                  <c:v>9691.9252729415894</c:v>
                </c:pt>
                <c:pt idx="7">
                  <c:v>17294.045929908752</c:v>
                </c:pt>
                <c:pt idx="8">
                  <c:v>26856.359386444092</c:v>
                </c:pt>
                <c:pt idx="9">
                  <c:v>36477.710866928101</c:v>
                </c:pt>
                <c:pt idx="10">
                  <c:v>43527.673254013062</c:v>
                </c:pt>
                <c:pt idx="11">
                  <c:v>45847.154664993286</c:v>
                </c:pt>
                <c:pt idx="12">
                  <c:v>42914.691114425659</c:v>
                </c:pt>
                <c:pt idx="13">
                  <c:v>36135.182166099548</c:v>
                </c:pt>
                <c:pt idx="14">
                  <c:v>28016.092457771301</c:v>
                </c:pt>
                <c:pt idx="15">
                  <c:v>20848.89075756073</c:v>
                </c:pt>
                <c:pt idx="16">
                  <c:v>15811.734156608582</c:v>
                </c:pt>
                <c:pt idx="17">
                  <c:v>12920.557379722595</c:v>
                </c:pt>
                <c:pt idx="18">
                  <c:v>11551.408376693726</c:v>
                </c:pt>
                <c:pt idx="19">
                  <c:v>10997.341861724854</c:v>
                </c:pt>
                <c:pt idx="20">
                  <c:v>10758.206677436829</c:v>
                </c:pt>
                <c:pt idx="21">
                  <c:v>10583.561363220215</c:v>
                </c:pt>
                <c:pt idx="22">
                  <c:v>10410.216426849365</c:v>
                </c:pt>
                <c:pt idx="23">
                  <c:v>10287.465147972107</c:v>
                </c:pt>
                <c:pt idx="24">
                  <c:v>10306.515560150146</c:v>
                </c:pt>
                <c:pt idx="25">
                  <c:v>10522.883086204529</c:v>
                </c:pt>
                <c:pt idx="26">
                  <c:v>10885.098223686218</c:v>
                </c:pt>
                <c:pt idx="27">
                  <c:v>11216.484217643738</c:v>
                </c:pt>
                <c:pt idx="28">
                  <c:v>11281.165165901184</c:v>
                </c:pt>
                <c:pt idx="29">
                  <c:v>10898.737740516663</c:v>
                </c:pt>
                <c:pt idx="30">
                  <c:v>10027.430109977722</c:v>
                </c:pt>
                <c:pt idx="31">
                  <c:v>8767.6669263839722</c:v>
                </c:pt>
                <c:pt idx="32">
                  <c:v>7304.6649551391602</c:v>
                </c:pt>
                <c:pt idx="33">
                  <c:v>5835.9461545944214</c:v>
                </c:pt>
                <c:pt idx="34">
                  <c:v>4512.7117586135864</c:v>
                </c:pt>
                <c:pt idx="35">
                  <c:v>3407.7695608139038</c:v>
                </c:pt>
                <c:pt idx="36">
                  <c:v>2519.1711759567261</c:v>
                </c:pt>
                <c:pt idx="37">
                  <c:v>1805.7592248916626</c:v>
                </c:pt>
                <c:pt idx="38">
                  <c:v>1229.2745685577393</c:v>
                </c:pt>
                <c:pt idx="39">
                  <c:v>774.42394256591797</c:v>
                </c:pt>
                <c:pt idx="40">
                  <c:v>440.50806999206543</c:v>
                </c:pt>
                <c:pt idx="41">
                  <c:v>221.92927837371826</c:v>
                </c:pt>
                <c:pt idx="42">
                  <c:v>98.052921295166016</c:v>
                </c:pt>
                <c:pt idx="43">
                  <c:v>38.270354270935059</c:v>
                </c:pt>
                <c:pt idx="44">
                  <c:v>13.690485954284668</c:v>
                </c:pt>
                <c:pt idx="45">
                  <c:v>4.7857809066772461</c:v>
                </c:pt>
                <c:pt idx="46">
                  <c:v>1.6949367523193359</c:v>
                </c:pt>
                <c:pt idx="47">
                  <c:v>0.57673931121826172</c:v>
                </c:pt>
                <c:pt idx="48">
                  <c:v>0.16954898834228516</c:v>
                </c:pt>
                <c:pt idx="49">
                  <c:v>3.8385391235351563E-2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44B-494D-9611-FB3A708B14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151040"/>
        <c:axId val="154989056"/>
      </c:lineChart>
      <c:catAx>
        <c:axId val="128151040"/>
        <c:scaling>
          <c:orientation val="minMax"/>
        </c:scaling>
        <c:delete val="0"/>
        <c:axPos val="b"/>
        <c:majorTickMark val="out"/>
        <c:minorTickMark val="none"/>
        <c:tickLblPos val="nextTo"/>
        <c:crossAx val="154989056"/>
        <c:crosses val="autoZero"/>
        <c:auto val="1"/>
        <c:lblAlgn val="ctr"/>
        <c:lblOffset val="100"/>
        <c:tickLblSkip val="10"/>
        <c:noMultiLvlLbl val="0"/>
      </c:catAx>
      <c:valAx>
        <c:axId val="154989056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12815104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7126377952755898"/>
          <c:y val="6.9060586176727903E-2"/>
          <c:w val="0.13920424306823304"/>
          <c:h val="0.16743438320210074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footer="0.30000000000000032" header="0.30000000000000032" l="0.70000000000000062" r="0.70000000000000062" t="0.75000000000000233"/>
    <c:pageSetup/>
  </c:printSettings>
</c:chartSpace>
</file>

<file path=xl/charts/chart1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501012632936453"/>
          <c:y val="5.1400554097404488E-2"/>
          <c:w val="0.8198327112225158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Arrival_Time_Other!$J$7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Arrival_Time_Other!$J$8:$J$58</c:f>
              <c:numCache>
                <c:formatCode>0.00</c:formatCode>
                <c:ptCount val="51"/>
                <c:pt idx="0">
                  <c:v>1835.0248544454512</c:v>
                </c:pt>
                <c:pt idx="1">
                  <c:v>2091.0892951519404</c:v>
                </c:pt>
                <c:pt idx="2">
                  <c:v>2632.2960572251604</c:v>
                </c:pt>
                <c:pt idx="3">
                  <c:v>3672.6359236084172</c:v>
                </c:pt>
                <c:pt idx="4">
                  <c:v>5346.4943136813599</c:v>
                </c:pt>
                <c:pt idx="5">
                  <c:v>7810.5297760027088</c:v>
                </c:pt>
                <c:pt idx="6">
                  <c:v>11400.213062718152</c:v>
                </c:pt>
                <c:pt idx="7">
                  <c:v>16639.993247633251</c:v>
                </c:pt>
                <c:pt idx="8">
                  <c:v>23926.799298981667</c:v>
                </c:pt>
                <c:pt idx="9">
                  <c:v>33004.862324827409</c:v>
                </c:pt>
                <c:pt idx="10">
                  <c:v>42688.960668249783</c:v>
                </c:pt>
                <c:pt idx="11">
                  <c:v>51243.382529099261</c:v>
                </c:pt>
                <c:pt idx="12">
                  <c:v>57276.494419497525</c:v>
                </c:pt>
                <c:pt idx="13">
                  <c:v>60464.228765177228</c:v>
                </c:pt>
                <c:pt idx="14">
                  <c:v>61511.945323140098</c:v>
                </c:pt>
                <c:pt idx="15">
                  <c:v>61470.241766086612</c:v>
                </c:pt>
                <c:pt idx="16">
                  <c:v>61067.652578306079</c:v>
                </c:pt>
                <c:pt idx="17">
                  <c:v>60551.351183167113</c:v>
                </c:pt>
                <c:pt idx="18">
                  <c:v>59958.856470899154</c:v>
                </c:pt>
                <c:pt idx="19">
                  <c:v>59439.427155255689</c:v>
                </c:pt>
                <c:pt idx="20">
                  <c:v>59349.893831949375</c:v>
                </c:pt>
                <c:pt idx="21">
                  <c:v>60072.774401790026</c:v>
                </c:pt>
                <c:pt idx="22">
                  <c:v>61686.991426024761</c:v>
                </c:pt>
                <c:pt idx="23">
                  <c:v>63772.522156062638</c:v>
                </c:pt>
                <c:pt idx="24">
                  <c:v>65606.936148141613</c:v>
                </c:pt>
                <c:pt idx="25">
                  <c:v>66671.139474110649</c:v>
                </c:pt>
                <c:pt idx="26">
                  <c:v>67002.541849110814</c:v>
                </c:pt>
                <c:pt idx="27">
                  <c:v>67017.171203049948</c:v>
                </c:pt>
                <c:pt idx="28">
                  <c:v>66964.222378946317</c:v>
                </c:pt>
                <c:pt idx="29">
                  <c:v>66554.499145761001</c:v>
                </c:pt>
                <c:pt idx="30">
                  <c:v>65086.646521159651</c:v>
                </c:pt>
                <c:pt idx="31">
                  <c:v>61895.106730799002</c:v>
                </c:pt>
                <c:pt idx="32">
                  <c:v>56727.133192649017</c:v>
                </c:pt>
                <c:pt idx="33">
                  <c:v>49833.700180545871</c:v>
                </c:pt>
                <c:pt idx="34">
                  <c:v>41824.884167148746</c:v>
                </c:pt>
                <c:pt idx="35">
                  <c:v>33449.503271363428</c:v>
                </c:pt>
                <c:pt idx="36">
                  <c:v>25416.124343867908</c:v>
                </c:pt>
                <c:pt idx="37">
                  <c:v>18287.332716936697</c:v>
                </c:pt>
                <c:pt idx="38">
                  <c:v>12426.464616716879</c:v>
                </c:pt>
                <c:pt idx="39">
                  <c:v>7973.6496948953854</c:v>
                </c:pt>
                <c:pt idx="40">
                  <c:v>4853.3512491412203</c:v>
                </c:pt>
                <c:pt idx="41">
                  <c:v>2828.15792114955</c:v>
                </c:pt>
                <c:pt idx="42">
                  <c:v>1592.265316493812</c:v>
                </c:pt>
                <c:pt idx="43">
                  <c:v>865.63956339267804</c:v>
                </c:pt>
                <c:pt idx="44">
                  <c:v>446.3953073585696</c:v>
                </c:pt>
                <c:pt idx="45">
                  <c:v>211.2314581180336</c:v>
                </c:pt>
                <c:pt idx="46">
                  <c:v>88.119963736525989</c:v>
                </c:pt>
                <c:pt idx="47">
                  <c:v>31.110880775170976</c:v>
                </c:pt>
                <c:pt idx="48">
                  <c:v>8.9107891910312986</c:v>
                </c:pt>
                <c:pt idx="49">
                  <c:v>1.9399963934298852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43-4D5B-8A27-15CDBA3EC109}"/>
            </c:ext>
          </c:extLst>
        </c:ser>
        <c:ser>
          <c:idx val="1"/>
          <c:order val="1"/>
          <c:tx>
            <c:strRef>
              <c:f>Arrival_Time_Other!$U$7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Arrival_Time_Other!$U$8:$U$58</c:f>
              <c:numCache>
                <c:formatCode>General</c:formatCode>
                <c:ptCount val="51"/>
                <c:pt idx="0">
                  <c:v>3085</c:v>
                </c:pt>
                <c:pt idx="1">
                  <c:v>3393.9071035385132</c:v>
                </c:pt>
                <c:pt idx="2">
                  <c:v>3724.0996026992798</c:v>
                </c:pt>
                <c:pt idx="3">
                  <c:v>4217.1666240692139</c:v>
                </c:pt>
                <c:pt idx="4">
                  <c:v>5208.0075550079346</c:v>
                </c:pt>
                <c:pt idx="5">
                  <c:v>7208.9478826522827</c:v>
                </c:pt>
                <c:pt idx="6">
                  <c:v>10781.543617248535</c:v>
                </c:pt>
                <c:pt idx="7">
                  <c:v>16308.607878684998</c:v>
                </c:pt>
                <c:pt idx="8">
                  <c:v>23733.915848731995</c:v>
                </c:pt>
                <c:pt idx="9">
                  <c:v>32401.899385452271</c:v>
                </c:pt>
                <c:pt idx="10">
                  <c:v>41154.73961353302</c:v>
                </c:pt>
                <c:pt idx="11">
                  <c:v>48739.2524766922</c:v>
                </c:pt>
                <c:pt idx="12">
                  <c:v>54334.509682655334</c:v>
                </c:pt>
                <c:pt idx="13">
                  <c:v>57840.896158218384</c:v>
                </c:pt>
                <c:pt idx="14">
                  <c:v>59724.281320571899</c:v>
                </c:pt>
                <c:pt idx="15">
                  <c:v>60597.704939842224</c:v>
                </c:pt>
                <c:pt idx="16">
                  <c:v>60921.512150764465</c:v>
                </c:pt>
                <c:pt idx="17">
                  <c:v>60987.904386520386</c:v>
                </c:pt>
                <c:pt idx="18">
                  <c:v>61024.912838935852</c:v>
                </c:pt>
                <c:pt idx="19">
                  <c:v>61207.334785461426</c:v>
                </c:pt>
                <c:pt idx="20">
                  <c:v>61576.172852516174</c:v>
                </c:pt>
                <c:pt idx="21">
                  <c:v>62017.391238212585</c:v>
                </c:pt>
                <c:pt idx="22">
                  <c:v>62376.159634590149</c:v>
                </c:pt>
                <c:pt idx="23">
                  <c:v>62621.501088142395</c:v>
                </c:pt>
                <c:pt idx="24">
                  <c:v>62914.307398796082</c:v>
                </c:pt>
                <c:pt idx="25">
                  <c:v>63510.022702217102</c:v>
                </c:pt>
                <c:pt idx="26">
                  <c:v>64561.638073921204</c:v>
                </c:pt>
                <c:pt idx="27">
                  <c:v>65959.42599773407</c:v>
                </c:pt>
                <c:pt idx="28">
                  <c:v>67291.071653366089</c:v>
                </c:pt>
                <c:pt idx="29">
                  <c:v>67907.966084480286</c:v>
                </c:pt>
                <c:pt idx="30">
                  <c:v>67073.090229034424</c:v>
                </c:pt>
                <c:pt idx="31">
                  <c:v>64210.905451774597</c:v>
                </c:pt>
                <c:pt idx="32">
                  <c:v>59207.281122207642</c:v>
                </c:pt>
                <c:pt idx="33">
                  <c:v>52543.152756690979</c:v>
                </c:pt>
                <c:pt idx="34">
                  <c:v>45076.073884963989</c:v>
                </c:pt>
                <c:pt idx="35">
                  <c:v>37597.121162414551</c:v>
                </c:pt>
                <c:pt idx="36">
                  <c:v>30531.258158683777</c:v>
                </c:pt>
                <c:pt idx="37">
                  <c:v>23993.147664070129</c:v>
                </c:pt>
                <c:pt idx="38">
                  <c:v>18043.936200141907</c:v>
                </c:pt>
                <c:pt idx="39">
                  <c:v>12848.009676933289</c:v>
                </c:pt>
                <c:pt idx="40">
                  <c:v>8612.0614719390869</c:v>
                </c:pt>
                <c:pt idx="41">
                  <c:v>5433.0094528198242</c:v>
                </c:pt>
                <c:pt idx="42">
                  <c:v>3229.709997177124</c:v>
                </c:pt>
                <c:pt idx="43">
                  <c:v>1801.1959028244019</c:v>
                </c:pt>
                <c:pt idx="44">
                  <c:v>927.84024238586426</c:v>
                </c:pt>
                <c:pt idx="45">
                  <c:v>429.92269039154053</c:v>
                </c:pt>
                <c:pt idx="46">
                  <c:v>173.38910579681396</c:v>
                </c:pt>
                <c:pt idx="47">
                  <c:v>58.734817504882813</c:v>
                </c:pt>
                <c:pt idx="48">
                  <c:v>16.073808670043945</c:v>
                </c:pt>
                <c:pt idx="49">
                  <c:v>3.3416366577148438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43-4D5B-8A27-15CDBA3EC1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8527104"/>
        <c:axId val="154990784"/>
      </c:lineChart>
      <c:catAx>
        <c:axId val="148527104"/>
        <c:scaling>
          <c:orientation val="minMax"/>
        </c:scaling>
        <c:delete val="0"/>
        <c:axPos val="b"/>
        <c:majorTickMark val="out"/>
        <c:minorTickMark val="none"/>
        <c:tickLblPos val="nextTo"/>
        <c:crossAx val="154990784"/>
        <c:crosses val="autoZero"/>
        <c:auto val="1"/>
        <c:lblAlgn val="ctr"/>
        <c:lblOffset val="100"/>
        <c:tickLblSkip val="10"/>
        <c:noMultiLvlLbl val="0"/>
      </c:catAx>
      <c:valAx>
        <c:axId val="154990784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14852710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7126377952755898"/>
          <c:y val="6.9060586176727903E-2"/>
          <c:w val="0.13920424306823309"/>
          <c:h val="0.1674343832021008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55" footer="0.30000000000000032" header="0.30000000000000032" l="0.70000000000000062" r="0.70000000000000062" t="0.75000000000000255"/>
    <c:pageSetup/>
  </c:printSettings>
</c:chartSpace>
</file>

<file path=xl/charts/chart1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501012632936453"/>
          <c:y val="5.1400554097404488E-2"/>
          <c:w val="0.8198327112225158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Arrival_Time_Workbased!$J$7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Arrival_Time_Workbased!$J$8:$J$58</c:f>
              <c:numCache>
                <c:formatCode>0.00</c:formatCode>
                <c:ptCount val="51"/>
                <c:pt idx="0">
                  <c:v>0</c:v>
                </c:pt>
                <c:pt idx="1">
                  <c:v>9.2755969790815556</c:v>
                </c:pt>
                <c:pt idx="2">
                  <c:v>29.553779201966535</c:v>
                </c:pt>
                <c:pt idx="3">
                  <c:v>74.252214939777673</c:v>
                </c:pt>
                <c:pt idx="4">
                  <c:v>159.37382889704978</c:v>
                </c:pt>
                <c:pt idx="5">
                  <c:v>302.78287338129905</c:v>
                </c:pt>
                <c:pt idx="6">
                  <c:v>526.44090161910401</c:v>
                </c:pt>
                <c:pt idx="7">
                  <c:v>861.40272217945869</c:v>
                </c:pt>
                <c:pt idx="8">
                  <c:v>1346.9985374775301</c:v>
                </c:pt>
                <c:pt idx="9">
                  <c:v>2015.0086261070048</c:v>
                </c:pt>
                <c:pt idx="10">
                  <c:v>2864.7425476357062</c:v>
                </c:pt>
                <c:pt idx="11">
                  <c:v>3854.0376686832728</c:v>
                </c:pt>
                <c:pt idx="12">
                  <c:v>4929.3611634782355</c:v>
                </c:pt>
                <c:pt idx="13">
                  <c:v>6084.4429017810007</c:v>
                </c:pt>
                <c:pt idx="14">
                  <c:v>7394.39732239964</c:v>
                </c:pt>
                <c:pt idx="15">
                  <c:v>8966.7022865749841</c:v>
                </c:pt>
                <c:pt idx="16">
                  <c:v>10807.740505419841</c:v>
                </c:pt>
                <c:pt idx="17">
                  <c:v>12692.90196089014</c:v>
                </c:pt>
                <c:pt idx="18">
                  <c:v>14169.397972966854</c:v>
                </c:pt>
                <c:pt idx="19">
                  <c:v>14748.220637369885</c:v>
                </c:pt>
                <c:pt idx="20">
                  <c:v>14184.38561135802</c:v>
                </c:pt>
                <c:pt idx="21">
                  <c:v>12638.992339536991</c:v>
                </c:pt>
                <c:pt idx="22">
                  <c:v>10587.130115190004</c:v>
                </c:pt>
                <c:pt idx="23">
                  <c:v>8540.5831978104834</c:v>
                </c:pt>
                <c:pt idx="24">
                  <c:v>6800.7053161353697</c:v>
                </c:pt>
                <c:pt idx="25">
                  <c:v>5406.0423310578872</c:v>
                </c:pt>
                <c:pt idx="26">
                  <c:v>4257.0976722887135</c:v>
                </c:pt>
                <c:pt idx="27">
                  <c:v>3270.669831754808</c:v>
                </c:pt>
                <c:pt idx="28">
                  <c:v>2440.2385104814175</c:v>
                </c:pt>
                <c:pt idx="29">
                  <c:v>1796.5335041755411</c:v>
                </c:pt>
                <c:pt idx="30">
                  <c:v>1345.3003594101069</c:v>
                </c:pt>
                <c:pt idx="31">
                  <c:v>1047.5599081897412</c:v>
                </c:pt>
                <c:pt idx="32">
                  <c:v>845.56806363952717</c:v>
                </c:pt>
                <c:pt idx="33">
                  <c:v>697.66620292400512</c:v>
                </c:pt>
                <c:pt idx="34">
                  <c:v>590.81470168303804</c:v>
                </c:pt>
                <c:pt idx="35">
                  <c:v>527.06491689871427</c:v>
                </c:pt>
                <c:pt idx="36">
                  <c:v>501.55518485532434</c:v>
                </c:pt>
                <c:pt idx="37">
                  <c:v>492.62220736365924</c:v>
                </c:pt>
                <c:pt idx="38">
                  <c:v>470.87476325003934</c:v>
                </c:pt>
                <c:pt idx="39">
                  <c:v>416.79589511919522</c:v>
                </c:pt>
                <c:pt idx="40">
                  <c:v>331.19242298630923</c:v>
                </c:pt>
                <c:pt idx="41">
                  <c:v>231.75528220318211</c:v>
                </c:pt>
                <c:pt idx="42">
                  <c:v>140.69068037213211</c:v>
                </c:pt>
                <c:pt idx="43">
                  <c:v>72.974424896793295</c:v>
                </c:pt>
                <c:pt idx="44">
                  <c:v>31.767982881182849</c:v>
                </c:pt>
                <c:pt idx="45">
                  <c:v>11.351139359359985</c:v>
                </c:pt>
                <c:pt idx="46">
                  <c:v>3.2327844351403714</c:v>
                </c:pt>
                <c:pt idx="47">
                  <c:v>0.70406121827202861</c:v>
                </c:pt>
                <c:pt idx="48">
                  <c:v>0.10992231461713711</c:v>
                </c:pt>
                <c:pt idx="49">
                  <c:v>1.0940135578008907E-2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F1-4EB4-A51A-1C155ACD991F}"/>
            </c:ext>
          </c:extLst>
        </c:ser>
        <c:ser>
          <c:idx val="1"/>
          <c:order val="1"/>
          <c:tx>
            <c:strRef>
              <c:f>Arrival_Time_Workbased!$U$7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Arrival_Time_Workbased!$U$8:$U$58</c:f>
              <c:numCache>
                <c:formatCode>General</c:formatCode>
                <c:ptCount val="51"/>
                <c:pt idx="0">
                  <c:v>75</c:v>
                </c:pt>
                <c:pt idx="1">
                  <c:v>85.604019165039063</c:v>
                </c:pt>
                <c:pt idx="2">
                  <c:v>106.40270233154297</c:v>
                </c:pt>
                <c:pt idx="3">
                  <c:v>147.27702140808105</c:v>
                </c:pt>
                <c:pt idx="4">
                  <c:v>222.03940391540527</c:v>
                </c:pt>
                <c:pt idx="5">
                  <c:v>356.43599510192871</c:v>
                </c:pt>
                <c:pt idx="6">
                  <c:v>591.959547996521</c:v>
                </c:pt>
                <c:pt idx="7">
                  <c:v>976.79265022277832</c:v>
                </c:pt>
                <c:pt idx="8">
                  <c:v>1546.8109273910522</c:v>
                </c:pt>
                <c:pt idx="9">
                  <c:v>2314.4789981842041</c:v>
                </c:pt>
                <c:pt idx="10">
                  <c:v>3280.6339693069458</c:v>
                </c:pt>
                <c:pt idx="11">
                  <c:v>4458.0482959747314</c:v>
                </c:pt>
                <c:pt idx="12">
                  <c:v>5874.0244388580322</c:v>
                </c:pt>
                <c:pt idx="13">
                  <c:v>7534.4491910934448</c:v>
                </c:pt>
                <c:pt idx="14">
                  <c:v>9373.2788801193237</c:v>
                </c:pt>
                <c:pt idx="15">
                  <c:v>11229.774494171143</c:v>
                </c:pt>
                <c:pt idx="16">
                  <c:v>12867.705812454224</c:v>
                </c:pt>
                <c:pt idx="17">
                  <c:v>14018.579888343811</c:v>
                </c:pt>
                <c:pt idx="18">
                  <c:v>14441.226630210876</c:v>
                </c:pt>
                <c:pt idx="19">
                  <c:v>14009.930415153503</c:v>
                </c:pt>
                <c:pt idx="20">
                  <c:v>12806.469206809998</c:v>
                </c:pt>
                <c:pt idx="21">
                  <c:v>11130.160603523254</c:v>
                </c:pt>
                <c:pt idx="22">
                  <c:v>9369.5401287078857</c:v>
                </c:pt>
                <c:pt idx="23">
                  <c:v>7809.9477958679199</c:v>
                </c:pt>
                <c:pt idx="24">
                  <c:v>6530.0584173202515</c:v>
                </c:pt>
                <c:pt idx="25">
                  <c:v>5456.9599962234497</c:v>
                </c:pt>
                <c:pt idx="26">
                  <c:v>4499.7220182418823</c:v>
                </c:pt>
                <c:pt idx="27">
                  <c:v>3634.3329238891602</c:v>
                </c:pt>
                <c:pt idx="28">
                  <c:v>2893.3412313461304</c:v>
                </c:pt>
                <c:pt idx="29">
                  <c:v>2307.7329397201538</c:v>
                </c:pt>
                <c:pt idx="30">
                  <c:v>1868.0498075485229</c:v>
                </c:pt>
                <c:pt idx="31">
                  <c:v>1530.378737449646</c:v>
                </c:pt>
                <c:pt idx="32">
                  <c:v>1248.6094760894775</c:v>
                </c:pt>
                <c:pt idx="33">
                  <c:v>1000.3380346298218</c:v>
                </c:pt>
                <c:pt idx="34">
                  <c:v>787.96227931976318</c:v>
                </c:pt>
                <c:pt idx="35">
                  <c:v>620.59869766235352</c:v>
                </c:pt>
                <c:pt idx="36">
                  <c:v>496.72536849975586</c:v>
                </c:pt>
                <c:pt idx="37">
                  <c:v>402.17411041259766</c:v>
                </c:pt>
                <c:pt idx="38">
                  <c:v>321.05480670928955</c:v>
                </c:pt>
                <c:pt idx="39">
                  <c:v>246.13600730895996</c:v>
                </c:pt>
                <c:pt idx="40">
                  <c:v>179.34779167175293</c:v>
                </c:pt>
                <c:pt idx="41">
                  <c:v>124.93941783905029</c:v>
                </c:pt>
                <c:pt idx="42">
                  <c:v>83.862037658691406</c:v>
                </c:pt>
                <c:pt idx="43">
                  <c:v>53.762831687927246</c:v>
                </c:pt>
                <c:pt idx="44">
                  <c:v>31.927580833435059</c:v>
                </c:pt>
                <c:pt idx="45">
                  <c:v>16.853084564208984</c:v>
                </c:pt>
                <c:pt idx="46">
                  <c:v>7.5966691970825195</c:v>
                </c:pt>
                <c:pt idx="47">
                  <c:v>2.8210163116455078</c:v>
                </c:pt>
                <c:pt idx="48">
                  <c:v>0.83250999450683594</c:v>
                </c:pt>
                <c:pt idx="49">
                  <c:v>0.18396377563476563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9F1-4EB4-A51A-1C155ACD99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0908928"/>
        <c:axId val="155754496"/>
      </c:lineChart>
      <c:catAx>
        <c:axId val="150908928"/>
        <c:scaling>
          <c:orientation val="minMax"/>
        </c:scaling>
        <c:delete val="0"/>
        <c:axPos val="b"/>
        <c:majorTickMark val="out"/>
        <c:minorTickMark val="none"/>
        <c:tickLblPos val="nextTo"/>
        <c:crossAx val="155754496"/>
        <c:crosses val="autoZero"/>
        <c:auto val="1"/>
        <c:lblAlgn val="ctr"/>
        <c:lblOffset val="100"/>
        <c:tickLblSkip val="10"/>
        <c:noMultiLvlLbl val="0"/>
      </c:catAx>
      <c:valAx>
        <c:axId val="155754496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15090892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7126377952755898"/>
          <c:y val="6.9060586176727903E-2"/>
          <c:w val="0.13920424306823317"/>
          <c:h val="0.16743438320210094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78" footer="0.30000000000000032" header="0.30000000000000032" l="0.70000000000000062" r="0.70000000000000062" t="0.75000000000000278"/>
    <c:pageSetup/>
  </c:printSettings>
</c:chartSpace>
</file>

<file path=xl/charts/chart1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501012632936453"/>
          <c:y val="5.1400554097404488E-2"/>
          <c:w val="0.8198327112225158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Arrival_Time_Work!$J$7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Arrival_Time_Work!$J$8:$J$58</c:f>
              <c:numCache>
                <c:formatCode>0.00</c:formatCode>
                <c:ptCount val="51"/>
                <c:pt idx="0">
                  <c:v>51.785126183268503</c:v>
                </c:pt>
                <c:pt idx="1">
                  <c:v>1200.6087067480396</c:v>
                </c:pt>
                <c:pt idx="2">
                  <c:v>2870.8023767440864</c:v>
                </c:pt>
                <c:pt idx="3">
                  <c:v>5701.3151074662874</c:v>
                </c:pt>
                <c:pt idx="4">
                  <c:v>10431.357144005608</c:v>
                </c:pt>
                <c:pt idx="5">
                  <c:v>17699.112248258756</c:v>
                </c:pt>
                <c:pt idx="6">
                  <c:v>27710.459336080774</c:v>
                </c:pt>
                <c:pt idx="7">
                  <c:v>39886.706615328825</c:v>
                </c:pt>
                <c:pt idx="8">
                  <c:v>52634.39523273227</c:v>
                </c:pt>
                <c:pt idx="9">
                  <c:v>63453.7815100769</c:v>
                </c:pt>
                <c:pt idx="10">
                  <c:v>69608.359688088647</c:v>
                </c:pt>
                <c:pt idx="11">
                  <c:v>69278.646420127261</c:v>
                </c:pt>
                <c:pt idx="12">
                  <c:v>62590.365248326969</c:v>
                </c:pt>
                <c:pt idx="13">
                  <c:v>51711.827284977546</c:v>
                </c:pt>
                <c:pt idx="14">
                  <c:v>39795.669789765547</c:v>
                </c:pt>
                <c:pt idx="15">
                  <c:v>29466.907619764654</c:v>
                </c:pt>
                <c:pt idx="16">
                  <c:v>21894.47381875119</c:v>
                </c:pt>
                <c:pt idx="17">
                  <c:v>16901.701133628616</c:v>
                </c:pt>
                <c:pt idx="18">
                  <c:v>13719.677520244066</c:v>
                </c:pt>
                <c:pt idx="19">
                  <c:v>11664.656055590376</c:v>
                </c:pt>
                <c:pt idx="20">
                  <c:v>10348.651215900112</c:v>
                </c:pt>
                <c:pt idx="21">
                  <c:v>9535.7550394171267</c:v>
                </c:pt>
                <c:pt idx="22">
                  <c:v>8975.1762619413566</c:v>
                </c:pt>
                <c:pt idx="23">
                  <c:v>8406.6376415190934</c:v>
                </c:pt>
                <c:pt idx="24">
                  <c:v>7683.191735032784</c:v>
                </c:pt>
                <c:pt idx="25">
                  <c:v>6842.0423910840209</c:v>
                </c:pt>
                <c:pt idx="26">
                  <c:v>6034.785015248779</c:v>
                </c:pt>
                <c:pt idx="27">
                  <c:v>5380.5039678819612</c:v>
                </c:pt>
                <c:pt idx="28">
                  <c:v>4872.6538610133675</c:v>
                </c:pt>
                <c:pt idx="29">
                  <c:v>4406.837470262546</c:v>
                </c:pt>
                <c:pt idx="30">
                  <c:v>3882.5963483521464</c:v>
                </c:pt>
                <c:pt idx="31">
                  <c:v>3279.4768092435224</c:v>
                </c:pt>
                <c:pt idx="32">
                  <c:v>2651.4536317620823</c:v>
                </c:pt>
                <c:pt idx="33">
                  <c:v>2067.1185212254418</c:v>
                </c:pt>
                <c:pt idx="34">
                  <c:v>1562.9901157053844</c:v>
                </c:pt>
                <c:pt idx="35">
                  <c:v>1144.5540037288335</c:v>
                </c:pt>
                <c:pt idx="36">
                  <c:v>811.53762600932271</c:v>
                </c:pt>
                <c:pt idx="37">
                  <c:v>567.40988613519846</c:v>
                </c:pt>
                <c:pt idx="38">
                  <c:v>406.71407784068606</c:v>
                </c:pt>
                <c:pt idx="39">
                  <c:v>305.59596327444928</c:v>
                </c:pt>
                <c:pt idx="40">
                  <c:v>232.3956510319521</c:v>
                </c:pt>
                <c:pt idx="41">
                  <c:v>166.60272800153007</c:v>
                </c:pt>
                <c:pt idx="42">
                  <c:v>105.84604256556186</c:v>
                </c:pt>
                <c:pt idx="43">
                  <c:v>57.27840012568965</c:v>
                </c:pt>
                <c:pt idx="44">
                  <c:v>25.732667810733833</c:v>
                </c:pt>
                <c:pt idx="45">
                  <c:v>9.3947457861720984</c:v>
                </c:pt>
                <c:pt idx="46">
                  <c:v>2.7216494688029051</c:v>
                </c:pt>
                <c:pt idx="47">
                  <c:v>0.60588456322824857</c:v>
                </c:pt>
                <c:pt idx="48">
                  <c:v>9.879316788044841E-2</c:v>
                </c:pt>
                <c:pt idx="49">
                  <c:v>1.0886144957250746E-2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A1-471D-8BD9-2BD56B078CE8}"/>
            </c:ext>
          </c:extLst>
        </c:ser>
        <c:ser>
          <c:idx val="1"/>
          <c:order val="1"/>
          <c:tx>
            <c:strRef>
              <c:f>Arrival_Time_Work!$U$7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Arrival_Time_Work!$U$8:$U$58</c:f>
              <c:numCache>
                <c:formatCode>General</c:formatCode>
                <c:ptCount val="51"/>
                <c:pt idx="0">
                  <c:v>1590</c:v>
                </c:pt>
                <c:pt idx="1">
                  <c:v>2385.7593202590942</c:v>
                </c:pt>
                <c:pt idx="2">
                  <c:v>3427.6258850097656</c:v>
                </c:pt>
                <c:pt idx="3">
                  <c:v>5179.3634080886841</c:v>
                </c:pt>
                <c:pt idx="4">
                  <c:v>8424.1222190856934</c:v>
                </c:pt>
                <c:pt idx="5">
                  <c:v>14122.107172012329</c:v>
                </c:pt>
                <c:pt idx="6">
                  <c:v>22962.45813369751</c:v>
                </c:pt>
                <c:pt idx="7">
                  <c:v>34744.884295463562</c:v>
                </c:pt>
                <c:pt idx="8">
                  <c:v>47953.076267242432</c:v>
                </c:pt>
                <c:pt idx="9">
                  <c:v>59920.057969093323</c:v>
                </c:pt>
                <c:pt idx="10">
                  <c:v>67698.8121509552</c:v>
                </c:pt>
                <c:pt idx="11">
                  <c:v>69275.117473602295</c:v>
                </c:pt>
                <c:pt idx="12">
                  <c:v>64455.865316390991</c:v>
                </c:pt>
                <c:pt idx="13">
                  <c:v>54914.018397331238</c:v>
                </c:pt>
                <c:pt idx="14">
                  <c:v>43386.776733398438</c:v>
                </c:pt>
                <c:pt idx="15">
                  <c:v>32520.741815567017</c:v>
                </c:pt>
                <c:pt idx="16">
                  <c:v>23990.241785049438</c:v>
                </c:pt>
                <c:pt idx="17">
                  <c:v>18246.386370658875</c:v>
                </c:pt>
                <c:pt idx="18">
                  <c:v>14834.008274078369</c:v>
                </c:pt>
                <c:pt idx="19">
                  <c:v>12938.762903213501</c:v>
                </c:pt>
                <c:pt idx="20">
                  <c:v>11826.709604263306</c:v>
                </c:pt>
                <c:pt idx="21">
                  <c:v>11028.567967414856</c:v>
                </c:pt>
                <c:pt idx="22">
                  <c:v>10316.606016159058</c:v>
                </c:pt>
                <c:pt idx="23">
                  <c:v>9601.705756187439</c:v>
                </c:pt>
                <c:pt idx="24">
                  <c:v>8848.565149307251</c:v>
                </c:pt>
                <c:pt idx="25">
                  <c:v>8042.1930551528931</c:v>
                </c:pt>
                <c:pt idx="26">
                  <c:v>7191.0526704788208</c:v>
                </c:pt>
                <c:pt idx="27">
                  <c:v>6334.0625524520874</c:v>
                </c:pt>
                <c:pt idx="28">
                  <c:v>5528.5912561416626</c:v>
                </c:pt>
                <c:pt idx="29">
                  <c:v>4822.9588079452515</c:v>
                </c:pt>
                <c:pt idx="30">
                  <c:v>4234.6729373931885</c:v>
                </c:pt>
                <c:pt idx="31">
                  <c:v>3748.8711786270142</c:v>
                </c:pt>
                <c:pt idx="32">
                  <c:v>3332.9706716537476</c:v>
                </c:pt>
                <c:pt idx="33">
                  <c:v>2954.9115753173828</c:v>
                </c:pt>
                <c:pt idx="34">
                  <c:v>2596.207594871521</c:v>
                </c:pt>
                <c:pt idx="35">
                  <c:v>2256.2248516082764</c:v>
                </c:pt>
                <c:pt idx="36">
                  <c:v>1946.5985107421875</c:v>
                </c:pt>
                <c:pt idx="37">
                  <c:v>1678.4552383422852</c:v>
                </c:pt>
                <c:pt idx="38">
                  <c:v>1450.264368057251</c:v>
                </c:pt>
                <c:pt idx="39">
                  <c:v>1245.185980796814</c:v>
                </c:pt>
                <c:pt idx="40">
                  <c:v>1040.687894821167</c:v>
                </c:pt>
                <c:pt idx="41">
                  <c:v>823.88609409332275</c:v>
                </c:pt>
                <c:pt idx="42">
                  <c:v>601.13569736480713</c:v>
                </c:pt>
                <c:pt idx="43">
                  <c:v>394.49652671813965</c:v>
                </c:pt>
                <c:pt idx="44">
                  <c:v>227.9082202911377</c:v>
                </c:pt>
                <c:pt idx="45">
                  <c:v>113.60166072845459</c:v>
                </c:pt>
                <c:pt idx="46">
                  <c:v>47.848601341247559</c:v>
                </c:pt>
                <c:pt idx="47">
                  <c:v>16.627488136291504</c:v>
                </c:pt>
                <c:pt idx="48">
                  <c:v>4.6244955062866211</c:v>
                </c:pt>
                <c:pt idx="49">
                  <c:v>0.97263336181640625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FA1-471D-8BD9-2BD56B078C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0910976"/>
        <c:axId val="155756224"/>
      </c:lineChart>
      <c:catAx>
        <c:axId val="150910976"/>
        <c:scaling>
          <c:orientation val="minMax"/>
        </c:scaling>
        <c:delete val="0"/>
        <c:axPos val="b"/>
        <c:majorTickMark val="out"/>
        <c:minorTickMark val="none"/>
        <c:tickLblPos val="nextTo"/>
        <c:crossAx val="155756224"/>
        <c:crosses val="autoZero"/>
        <c:auto val="1"/>
        <c:lblAlgn val="ctr"/>
        <c:lblOffset val="100"/>
        <c:tickLblSkip val="10"/>
        <c:noMultiLvlLbl val="0"/>
      </c:catAx>
      <c:valAx>
        <c:axId val="155756224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15091097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7126377952755898"/>
          <c:y val="6.9060586176727903E-2"/>
          <c:w val="0.13920424306823298"/>
          <c:h val="0.1674343832021006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11" footer="0.30000000000000032" header="0.30000000000000032" l="0.70000000000000062" r="0.70000000000000062" t="0.75000000000000211"/>
    <c:pageSetup/>
  </c:printSettings>
</c:chartSpace>
</file>

<file path=xl/charts/chart1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501012632936453"/>
          <c:y val="5.1400554097404488E-2"/>
          <c:w val="0.8198327112225158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Depart_Time_School!$J$7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cat>
            <c:strRef>
              <c:f>Depart_Time_School!$A$8:$A$57</c:f>
              <c:strCache>
                <c:ptCount val="50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</c:strCache>
            </c:strRef>
          </c:cat>
          <c:val>
            <c:numRef>
              <c:f>Depart_Time_School!$J$8:$J$58</c:f>
              <c:numCache>
                <c:formatCode>0.00</c:formatCode>
                <c:ptCount val="51"/>
                <c:pt idx="0">
                  <c:v>6.6823958168861397</c:v>
                </c:pt>
                <c:pt idx="1">
                  <c:v>11.272201327523979</c:v>
                </c:pt>
                <c:pt idx="2">
                  <c:v>25.299243753312609</c:v>
                </c:pt>
                <c:pt idx="3">
                  <c:v>79.709840351953957</c:v>
                </c:pt>
                <c:pt idx="4">
                  <c:v>254.47072510728202</c:v>
                </c:pt>
                <c:pt idx="5">
                  <c:v>699.11068332124159</c:v>
                </c:pt>
                <c:pt idx="6">
                  <c:v>1607.9594293748364</c:v>
                </c:pt>
                <c:pt idx="7">
                  <c:v>3117.1684085428242</c:v>
                </c:pt>
                <c:pt idx="8">
                  <c:v>5157.00507269638</c:v>
                </c:pt>
                <c:pt idx="9">
                  <c:v>7376.8001357192461</c:v>
                </c:pt>
                <c:pt idx="10">
                  <c:v>9253.8379946325949</c:v>
                </c:pt>
                <c:pt idx="11">
                  <c:v>10360.242862785317</c:v>
                </c:pt>
                <c:pt idx="12">
                  <c:v>10609.398318075651</c:v>
                </c:pt>
                <c:pt idx="13">
                  <c:v>10298.814739338408</c:v>
                </c:pt>
                <c:pt idx="14">
                  <c:v>9925.1353187751483</c:v>
                </c:pt>
                <c:pt idx="15">
                  <c:v>9916.0087704158468</c:v>
                </c:pt>
                <c:pt idx="16">
                  <c:v>10461.847644743955</c:v>
                </c:pt>
                <c:pt idx="17">
                  <c:v>11546.193925304859</c:v>
                </c:pt>
                <c:pt idx="18">
                  <c:v>13152.874683090691</c:v>
                </c:pt>
                <c:pt idx="19">
                  <c:v>15507.581995278104</c:v>
                </c:pt>
                <c:pt idx="20">
                  <c:v>19113.223898649427</c:v>
                </c:pt>
                <c:pt idx="21">
                  <c:v>24384.62468484469</c:v>
                </c:pt>
                <c:pt idx="22">
                  <c:v>31004.265943454066</c:v>
                </c:pt>
                <c:pt idx="23">
                  <c:v>37540.186027497373</c:v>
                </c:pt>
                <c:pt idx="24">
                  <c:v>41892.394695826464</c:v>
                </c:pt>
                <c:pt idx="25">
                  <c:v>42476.421382457178</c:v>
                </c:pt>
                <c:pt idx="26">
                  <c:v>39235.158508200489</c:v>
                </c:pt>
                <c:pt idx="27">
                  <c:v>33571.724573469051</c:v>
                </c:pt>
                <c:pt idx="28">
                  <c:v>27295.637031132093</c:v>
                </c:pt>
                <c:pt idx="29">
                  <c:v>21590.080985213652</c:v>
                </c:pt>
                <c:pt idx="30">
                  <c:v>16800.9000057351</c:v>
                </c:pt>
                <c:pt idx="31">
                  <c:v>12885.383968789791</c:v>
                </c:pt>
                <c:pt idx="32">
                  <c:v>9830.3969397569726</c:v>
                </c:pt>
                <c:pt idx="33">
                  <c:v>7675.4164233008396</c:v>
                </c:pt>
                <c:pt idx="34">
                  <c:v>6322.5061519620012</c:v>
                </c:pt>
                <c:pt idx="35">
                  <c:v>5459.4457453767973</c:v>
                </c:pt>
                <c:pt idx="36">
                  <c:v>4700.4828081171072</c:v>
                </c:pt>
                <c:pt idx="37">
                  <c:v>3807.3021382916536</c:v>
                </c:pt>
                <c:pt idx="38">
                  <c:v>2793.428510391871</c:v>
                </c:pt>
                <c:pt idx="39">
                  <c:v>1837.3821262238303</c:v>
                </c:pt>
                <c:pt idx="40">
                  <c:v>1104.1299843757777</c:v>
                </c:pt>
                <c:pt idx="41">
                  <c:v>634.6723961540373</c:v>
                </c:pt>
                <c:pt idx="42">
                  <c:v>365.32485203722354</c:v>
                </c:pt>
                <c:pt idx="43">
                  <c:v>209.82423014715286</c:v>
                </c:pt>
                <c:pt idx="44">
                  <c:v>113.29104484475575</c:v>
                </c:pt>
                <c:pt idx="45">
                  <c:v>53.544458019915915</c:v>
                </c:pt>
                <c:pt idx="46">
                  <c:v>20.95436646628125</c:v>
                </c:pt>
                <c:pt idx="47">
                  <c:v>6.5018536352114715</c:v>
                </c:pt>
                <c:pt idx="48">
                  <c:v>1.5295642642664542</c:v>
                </c:pt>
                <c:pt idx="49">
                  <c:v>0.25480930781562494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7CD-4A6F-AE7A-24E237105656}"/>
            </c:ext>
          </c:extLst>
        </c:ser>
        <c:ser>
          <c:idx val="1"/>
          <c:order val="1"/>
          <c:tx>
            <c:strRef>
              <c:f>Depart_Time_School!$U$7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cat>
            <c:strRef>
              <c:f>Depart_Time_School!$A$8:$A$57</c:f>
              <c:strCache>
                <c:ptCount val="50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</c:strCache>
            </c:strRef>
          </c:cat>
          <c:val>
            <c:numRef>
              <c:f>Depart_Time_School!$U$8:$U$58</c:f>
              <c:numCache>
                <c:formatCode>General</c:formatCode>
                <c:ptCount val="51"/>
                <c:pt idx="0">
                  <c:v>20</c:v>
                </c:pt>
                <c:pt idx="1">
                  <c:v>14.25511360168457</c:v>
                </c:pt>
                <c:pt idx="2">
                  <c:v>13.8916015625</c:v>
                </c:pt>
                <c:pt idx="3">
                  <c:v>32.998619079589844</c:v>
                </c:pt>
                <c:pt idx="4">
                  <c:v>108.36406707763672</c:v>
                </c:pt>
                <c:pt idx="5">
                  <c:v>315.03516674041748</c:v>
                </c:pt>
                <c:pt idx="6">
                  <c:v>766.05937004089355</c:v>
                </c:pt>
                <c:pt idx="7">
                  <c:v>1575.8458662033081</c:v>
                </c:pt>
                <c:pt idx="8">
                  <c:v>2790.776515007019</c:v>
                </c:pt>
                <c:pt idx="9">
                  <c:v>4332.3036813735962</c:v>
                </c:pt>
                <c:pt idx="10">
                  <c:v>6011.2763595581055</c:v>
                </c:pt>
                <c:pt idx="11">
                  <c:v>7621.6625022888184</c:v>
                </c:pt>
                <c:pt idx="12">
                  <c:v>9041.3329601287842</c:v>
                </c:pt>
                <c:pt idx="13">
                  <c:v>10249.015560150146</c:v>
                </c:pt>
                <c:pt idx="14">
                  <c:v>11254.089202880859</c:v>
                </c:pt>
                <c:pt idx="15">
                  <c:v>12043.9506483078</c:v>
                </c:pt>
                <c:pt idx="16">
                  <c:v>12643.045272827148</c:v>
                </c:pt>
                <c:pt idx="17">
                  <c:v>13234.743285179138</c:v>
                </c:pt>
                <c:pt idx="18">
                  <c:v>14184.329309463501</c:v>
                </c:pt>
                <c:pt idx="19">
                  <c:v>15874.589281082153</c:v>
                </c:pt>
                <c:pt idx="20">
                  <c:v>18465.788507461548</c:v>
                </c:pt>
                <c:pt idx="21">
                  <c:v>21784.854907989502</c:v>
                </c:pt>
                <c:pt idx="22">
                  <c:v>25409.137544631958</c:v>
                </c:pt>
                <c:pt idx="23">
                  <c:v>28813.514652252197</c:v>
                </c:pt>
                <c:pt idx="24">
                  <c:v>31459.200167655945</c:v>
                </c:pt>
                <c:pt idx="25">
                  <c:v>32875.943613052368</c:v>
                </c:pt>
                <c:pt idx="26">
                  <c:v>32818.339781761169</c:v>
                </c:pt>
                <c:pt idx="27">
                  <c:v>31393.565921783447</c:v>
                </c:pt>
                <c:pt idx="28">
                  <c:v>28986.239757537842</c:v>
                </c:pt>
                <c:pt idx="29">
                  <c:v>26022.940831184387</c:v>
                </c:pt>
                <c:pt idx="30">
                  <c:v>22814.383177757263</c:v>
                </c:pt>
                <c:pt idx="31">
                  <c:v>19583.464508056641</c:v>
                </c:pt>
                <c:pt idx="32">
                  <c:v>16535.965547561646</c:v>
                </c:pt>
                <c:pt idx="33">
                  <c:v>13826.869688034058</c:v>
                </c:pt>
                <c:pt idx="34">
                  <c:v>11479.196510314941</c:v>
                </c:pt>
                <c:pt idx="35">
                  <c:v>9397.1321725845337</c:v>
                </c:pt>
                <c:pt idx="36">
                  <c:v>7484.0220260620117</c:v>
                </c:pt>
                <c:pt idx="37">
                  <c:v>5740.4594469070435</c:v>
                </c:pt>
                <c:pt idx="38">
                  <c:v>4248.5298538208008</c:v>
                </c:pt>
                <c:pt idx="39">
                  <c:v>3077.9076623916626</c:v>
                </c:pt>
                <c:pt idx="40">
                  <c:v>2217.3425960540771</c:v>
                </c:pt>
                <c:pt idx="41">
                  <c:v>1587.1081018447876</c:v>
                </c:pt>
                <c:pt idx="42">
                  <c:v>1100.8892488479614</c:v>
                </c:pt>
                <c:pt idx="43">
                  <c:v>712.07851409912109</c:v>
                </c:pt>
                <c:pt idx="44">
                  <c:v>413.54938983917236</c:v>
                </c:pt>
                <c:pt idx="45">
                  <c:v>208.92552375793457</c:v>
                </c:pt>
                <c:pt idx="46">
                  <c:v>89.353551864624023</c:v>
                </c:pt>
                <c:pt idx="47">
                  <c:v>31.49345874786377</c:v>
                </c:pt>
                <c:pt idx="48">
                  <c:v>8.8641548156738281</c:v>
                </c:pt>
                <c:pt idx="49">
                  <c:v>1.8816995620727539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7CD-4A6F-AE7A-24E237105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8526080"/>
        <c:axId val="155757952"/>
      </c:lineChart>
      <c:catAx>
        <c:axId val="1485260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55757952"/>
        <c:crosses val="autoZero"/>
        <c:auto val="1"/>
        <c:lblAlgn val="ctr"/>
        <c:lblOffset val="100"/>
        <c:tickLblSkip val="10"/>
        <c:noMultiLvlLbl val="0"/>
      </c:catAx>
      <c:valAx>
        <c:axId val="155757952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14852608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7126377952755898"/>
          <c:y val="6.9060586176727903E-2"/>
          <c:w val="0.13920424306823304"/>
          <c:h val="0.16743438320210074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footer="0.30000000000000032" header="0.30000000000000032" l="0.70000000000000062" r="0.70000000000000062" t="0.75000000000000233"/>
    <c:pageSetup/>
  </c:printSettings>
</c:chartSpace>
</file>

<file path=xl/charts/chart1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501012632936453"/>
          <c:y val="5.1400554097404488E-2"/>
          <c:w val="0.8198327112225158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Arrival_Time_Other!$J$7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Arrival_Time_Other!$J$8:$J$58</c:f>
              <c:numCache>
                <c:formatCode>0.00</c:formatCode>
                <c:ptCount val="51"/>
                <c:pt idx="0">
                  <c:v>1835.0248544454512</c:v>
                </c:pt>
                <c:pt idx="1">
                  <c:v>2091.0892951519404</c:v>
                </c:pt>
                <c:pt idx="2">
                  <c:v>2632.2960572251604</c:v>
                </c:pt>
                <c:pt idx="3">
                  <c:v>3672.6359236084172</c:v>
                </c:pt>
                <c:pt idx="4">
                  <c:v>5346.4943136813599</c:v>
                </c:pt>
                <c:pt idx="5">
                  <c:v>7810.5297760027088</c:v>
                </c:pt>
                <c:pt idx="6">
                  <c:v>11400.213062718152</c:v>
                </c:pt>
                <c:pt idx="7">
                  <c:v>16639.993247633251</c:v>
                </c:pt>
                <c:pt idx="8">
                  <c:v>23926.799298981667</c:v>
                </c:pt>
                <c:pt idx="9">
                  <c:v>33004.862324827409</c:v>
                </c:pt>
                <c:pt idx="10">
                  <c:v>42688.960668249783</c:v>
                </c:pt>
                <c:pt idx="11">
                  <c:v>51243.382529099261</c:v>
                </c:pt>
                <c:pt idx="12">
                  <c:v>57276.494419497525</c:v>
                </c:pt>
                <c:pt idx="13">
                  <c:v>60464.228765177228</c:v>
                </c:pt>
                <c:pt idx="14">
                  <c:v>61511.945323140098</c:v>
                </c:pt>
                <c:pt idx="15">
                  <c:v>61470.241766086612</c:v>
                </c:pt>
                <c:pt idx="16">
                  <c:v>61067.652578306079</c:v>
                </c:pt>
                <c:pt idx="17">
                  <c:v>60551.351183167113</c:v>
                </c:pt>
                <c:pt idx="18">
                  <c:v>59958.856470899154</c:v>
                </c:pt>
                <c:pt idx="19">
                  <c:v>59439.427155255689</c:v>
                </c:pt>
                <c:pt idx="20">
                  <c:v>59349.893831949375</c:v>
                </c:pt>
                <c:pt idx="21">
                  <c:v>60072.774401790026</c:v>
                </c:pt>
                <c:pt idx="22">
                  <c:v>61686.991426024761</c:v>
                </c:pt>
                <c:pt idx="23">
                  <c:v>63772.522156062638</c:v>
                </c:pt>
                <c:pt idx="24">
                  <c:v>65606.936148141613</c:v>
                </c:pt>
                <c:pt idx="25">
                  <c:v>66671.139474110649</c:v>
                </c:pt>
                <c:pt idx="26">
                  <c:v>67002.541849110814</c:v>
                </c:pt>
                <c:pt idx="27">
                  <c:v>67017.171203049948</c:v>
                </c:pt>
                <c:pt idx="28">
                  <c:v>66964.222378946317</c:v>
                </c:pt>
                <c:pt idx="29">
                  <c:v>66554.499145761001</c:v>
                </c:pt>
                <c:pt idx="30">
                  <c:v>65086.646521159651</c:v>
                </c:pt>
                <c:pt idx="31">
                  <c:v>61895.106730799002</c:v>
                </c:pt>
                <c:pt idx="32">
                  <c:v>56727.133192649017</c:v>
                </c:pt>
                <c:pt idx="33">
                  <c:v>49833.700180545871</c:v>
                </c:pt>
                <c:pt idx="34">
                  <c:v>41824.884167148746</c:v>
                </c:pt>
                <c:pt idx="35">
                  <c:v>33449.503271363428</c:v>
                </c:pt>
                <c:pt idx="36">
                  <c:v>25416.124343867908</c:v>
                </c:pt>
                <c:pt idx="37">
                  <c:v>18287.332716936697</c:v>
                </c:pt>
                <c:pt idx="38">
                  <c:v>12426.464616716879</c:v>
                </c:pt>
                <c:pt idx="39">
                  <c:v>7973.6496948953854</c:v>
                </c:pt>
                <c:pt idx="40">
                  <c:v>4853.3512491412203</c:v>
                </c:pt>
                <c:pt idx="41">
                  <c:v>2828.15792114955</c:v>
                </c:pt>
                <c:pt idx="42">
                  <c:v>1592.265316493812</c:v>
                </c:pt>
                <c:pt idx="43">
                  <c:v>865.63956339267804</c:v>
                </c:pt>
                <c:pt idx="44">
                  <c:v>446.3953073585696</c:v>
                </c:pt>
                <c:pt idx="45">
                  <c:v>211.2314581180336</c:v>
                </c:pt>
                <c:pt idx="46">
                  <c:v>88.119963736525989</c:v>
                </c:pt>
                <c:pt idx="47">
                  <c:v>31.110880775170976</c:v>
                </c:pt>
                <c:pt idx="48">
                  <c:v>8.9107891910312986</c:v>
                </c:pt>
                <c:pt idx="49">
                  <c:v>1.9399963934298852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86B-480E-A3DA-5A95241D72CE}"/>
            </c:ext>
          </c:extLst>
        </c:ser>
        <c:ser>
          <c:idx val="1"/>
          <c:order val="1"/>
          <c:tx>
            <c:strRef>
              <c:f>Arrival_Time_Other!$U$7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Arrival_Time_Other!$U$8:$U$58</c:f>
              <c:numCache>
                <c:formatCode>General</c:formatCode>
                <c:ptCount val="51"/>
                <c:pt idx="0">
                  <c:v>3085</c:v>
                </c:pt>
                <c:pt idx="1">
                  <c:v>3393.9071035385132</c:v>
                </c:pt>
                <c:pt idx="2">
                  <c:v>3724.0996026992798</c:v>
                </c:pt>
                <c:pt idx="3">
                  <c:v>4217.1666240692139</c:v>
                </c:pt>
                <c:pt idx="4">
                  <c:v>5208.0075550079346</c:v>
                </c:pt>
                <c:pt idx="5">
                  <c:v>7208.9478826522827</c:v>
                </c:pt>
                <c:pt idx="6">
                  <c:v>10781.543617248535</c:v>
                </c:pt>
                <c:pt idx="7">
                  <c:v>16308.607878684998</c:v>
                </c:pt>
                <c:pt idx="8">
                  <c:v>23733.915848731995</c:v>
                </c:pt>
                <c:pt idx="9">
                  <c:v>32401.899385452271</c:v>
                </c:pt>
                <c:pt idx="10">
                  <c:v>41154.73961353302</c:v>
                </c:pt>
                <c:pt idx="11">
                  <c:v>48739.2524766922</c:v>
                </c:pt>
                <c:pt idx="12">
                  <c:v>54334.509682655334</c:v>
                </c:pt>
                <c:pt idx="13">
                  <c:v>57840.896158218384</c:v>
                </c:pt>
                <c:pt idx="14">
                  <c:v>59724.281320571899</c:v>
                </c:pt>
                <c:pt idx="15">
                  <c:v>60597.704939842224</c:v>
                </c:pt>
                <c:pt idx="16">
                  <c:v>60921.512150764465</c:v>
                </c:pt>
                <c:pt idx="17">
                  <c:v>60987.904386520386</c:v>
                </c:pt>
                <c:pt idx="18">
                  <c:v>61024.912838935852</c:v>
                </c:pt>
                <c:pt idx="19">
                  <c:v>61207.334785461426</c:v>
                </c:pt>
                <c:pt idx="20">
                  <c:v>61576.172852516174</c:v>
                </c:pt>
                <c:pt idx="21">
                  <c:v>62017.391238212585</c:v>
                </c:pt>
                <c:pt idx="22">
                  <c:v>62376.159634590149</c:v>
                </c:pt>
                <c:pt idx="23">
                  <c:v>62621.501088142395</c:v>
                </c:pt>
                <c:pt idx="24">
                  <c:v>62914.307398796082</c:v>
                </c:pt>
                <c:pt idx="25">
                  <c:v>63510.022702217102</c:v>
                </c:pt>
                <c:pt idx="26">
                  <c:v>64561.638073921204</c:v>
                </c:pt>
                <c:pt idx="27">
                  <c:v>65959.42599773407</c:v>
                </c:pt>
                <c:pt idx="28">
                  <c:v>67291.071653366089</c:v>
                </c:pt>
                <c:pt idx="29">
                  <c:v>67907.966084480286</c:v>
                </c:pt>
                <c:pt idx="30">
                  <c:v>67073.090229034424</c:v>
                </c:pt>
                <c:pt idx="31">
                  <c:v>64210.905451774597</c:v>
                </c:pt>
                <c:pt idx="32">
                  <c:v>59207.281122207642</c:v>
                </c:pt>
                <c:pt idx="33">
                  <c:v>52543.152756690979</c:v>
                </c:pt>
                <c:pt idx="34">
                  <c:v>45076.073884963989</c:v>
                </c:pt>
                <c:pt idx="35">
                  <c:v>37597.121162414551</c:v>
                </c:pt>
                <c:pt idx="36">
                  <c:v>30531.258158683777</c:v>
                </c:pt>
                <c:pt idx="37">
                  <c:v>23993.147664070129</c:v>
                </c:pt>
                <c:pt idx="38">
                  <c:v>18043.936200141907</c:v>
                </c:pt>
                <c:pt idx="39">
                  <c:v>12848.009676933289</c:v>
                </c:pt>
                <c:pt idx="40">
                  <c:v>8612.0614719390869</c:v>
                </c:pt>
                <c:pt idx="41">
                  <c:v>5433.0094528198242</c:v>
                </c:pt>
                <c:pt idx="42">
                  <c:v>3229.709997177124</c:v>
                </c:pt>
                <c:pt idx="43">
                  <c:v>1801.1959028244019</c:v>
                </c:pt>
                <c:pt idx="44">
                  <c:v>927.84024238586426</c:v>
                </c:pt>
                <c:pt idx="45">
                  <c:v>429.92269039154053</c:v>
                </c:pt>
                <c:pt idx="46">
                  <c:v>173.38910579681396</c:v>
                </c:pt>
                <c:pt idx="47">
                  <c:v>58.734817504882813</c:v>
                </c:pt>
                <c:pt idx="48">
                  <c:v>16.073808670043945</c:v>
                </c:pt>
                <c:pt idx="49">
                  <c:v>3.3416366577148438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86B-480E-A3DA-5A95241D72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4658304"/>
        <c:axId val="155759680"/>
      </c:lineChart>
      <c:catAx>
        <c:axId val="154658304"/>
        <c:scaling>
          <c:orientation val="minMax"/>
        </c:scaling>
        <c:delete val="0"/>
        <c:axPos val="b"/>
        <c:majorTickMark val="out"/>
        <c:minorTickMark val="none"/>
        <c:tickLblPos val="nextTo"/>
        <c:crossAx val="155759680"/>
        <c:crosses val="autoZero"/>
        <c:auto val="1"/>
        <c:lblAlgn val="ctr"/>
        <c:lblOffset val="100"/>
        <c:tickLblSkip val="10"/>
        <c:noMultiLvlLbl val="0"/>
      </c:catAx>
      <c:valAx>
        <c:axId val="155759680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15465830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7126377952755898"/>
          <c:y val="6.9060586176727903E-2"/>
          <c:w val="0.13920424306823309"/>
          <c:h val="0.1674343832021008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55" footer="0.30000000000000032" header="0.30000000000000032" l="0.70000000000000062" r="0.70000000000000062" t="0.75000000000000255"/>
    <c:pageSetup/>
  </c:printSettings>
</c:chartSpace>
</file>

<file path=xl/charts/chart2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501012632936453"/>
          <c:y val="5.1400554097404488E-2"/>
          <c:w val="0.8198327112225158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Arrival_Time_Workbased!$J$7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Arrival_Time_Workbased!$J$8:$J$58</c:f>
              <c:numCache>
                <c:formatCode>0.00</c:formatCode>
                <c:ptCount val="51"/>
                <c:pt idx="0">
                  <c:v>0</c:v>
                </c:pt>
                <c:pt idx="1">
                  <c:v>9.2755969790815556</c:v>
                </c:pt>
                <c:pt idx="2">
                  <c:v>29.553779201966535</c:v>
                </c:pt>
                <c:pt idx="3">
                  <c:v>74.252214939777673</c:v>
                </c:pt>
                <c:pt idx="4">
                  <c:v>159.37382889704978</c:v>
                </c:pt>
                <c:pt idx="5">
                  <c:v>302.78287338129905</c:v>
                </c:pt>
                <c:pt idx="6">
                  <c:v>526.44090161910401</c:v>
                </c:pt>
                <c:pt idx="7">
                  <c:v>861.40272217945869</c:v>
                </c:pt>
                <c:pt idx="8">
                  <c:v>1346.9985374775301</c:v>
                </c:pt>
                <c:pt idx="9">
                  <c:v>2015.0086261070048</c:v>
                </c:pt>
                <c:pt idx="10">
                  <c:v>2864.7425476357062</c:v>
                </c:pt>
                <c:pt idx="11">
                  <c:v>3854.0376686832728</c:v>
                </c:pt>
                <c:pt idx="12">
                  <c:v>4929.3611634782355</c:v>
                </c:pt>
                <c:pt idx="13">
                  <c:v>6084.4429017810007</c:v>
                </c:pt>
                <c:pt idx="14">
                  <c:v>7394.39732239964</c:v>
                </c:pt>
                <c:pt idx="15">
                  <c:v>8966.7022865749841</c:v>
                </c:pt>
                <c:pt idx="16">
                  <c:v>10807.740505419841</c:v>
                </c:pt>
                <c:pt idx="17">
                  <c:v>12692.90196089014</c:v>
                </c:pt>
                <c:pt idx="18">
                  <c:v>14169.397972966854</c:v>
                </c:pt>
                <c:pt idx="19">
                  <c:v>14748.220637369885</c:v>
                </c:pt>
                <c:pt idx="20">
                  <c:v>14184.38561135802</c:v>
                </c:pt>
                <c:pt idx="21">
                  <c:v>12638.992339536991</c:v>
                </c:pt>
                <c:pt idx="22">
                  <c:v>10587.130115190004</c:v>
                </c:pt>
                <c:pt idx="23">
                  <c:v>8540.5831978104834</c:v>
                </c:pt>
                <c:pt idx="24">
                  <c:v>6800.7053161353697</c:v>
                </c:pt>
                <c:pt idx="25">
                  <c:v>5406.0423310578872</c:v>
                </c:pt>
                <c:pt idx="26">
                  <c:v>4257.0976722887135</c:v>
                </c:pt>
                <c:pt idx="27">
                  <c:v>3270.669831754808</c:v>
                </c:pt>
                <c:pt idx="28">
                  <c:v>2440.2385104814175</c:v>
                </c:pt>
                <c:pt idx="29">
                  <c:v>1796.5335041755411</c:v>
                </c:pt>
                <c:pt idx="30">
                  <c:v>1345.3003594101069</c:v>
                </c:pt>
                <c:pt idx="31">
                  <c:v>1047.5599081897412</c:v>
                </c:pt>
                <c:pt idx="32">
                  <c:v>845.56806363952717</c:v>
                </c:pt>
                <c:pt idx="33">
                  <c:v>697.66620292400512</c:v>
                </c:pt>
                <c:pt idx="34">
                  <c:v>590.81470168303804</c:v>
                </c:pt>
                <c:pt idx="35">
                  <c:v>527.06491689871427</c:v>
                </c:pt>
                <c:pt idx="36">
                  <c:v>501.55518485532434</c:v>
                </c:pt>
                <c:pt idx="37">
                  <c:v>492.62220736365924</c:v>
                </c:pt>
                <c:pt idx="38">
                  <c:v>470.87476325003934</c:v>
                </c:pt>
                <c:pt idx="39">
                  <c:v>416.79589511919522</c:v>
                </c:pt>
                <c:pt idx="40">
                  <c:v>331.19242298630923</c:v>
                </c:pt>
                <c:pt idx="41">
                  <c:v>231.75528220318211</c:v>
                </c:pt>
                <c:pt idx="42">
                  <c:v>140.69068037213211</c:v>
                </c:pt>
                <c:pt idx="43">
                  <c:v>72.974424896793295</c:v>
                </c:pt>
                <c:pt idx="44">
                  <c:v>31.767982881182849</c:v>
                </c:pt>
                <c:pt idx="45">
                  <c:v>11.351139359359985</c:v>
                </c:pt>
                <c:pt idx="46">
                  <c:v>3.2327844351403714</c:v>
                </c:pt>
                <c:pt idx="47">
                  <c:v>0.70406121827202861</c:v>
                </c:pt>
                <c:pt idx="48">
                  <c:v>0.10992231461713711</c:v>
                </c:pt>
                <c:pt idx="49">
                  <c:v>1.0940135578008907E-2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F5-4CE3-B6D1-B35DECCB7013}"/>
            </c:ext>
          </c:extLst>
        </c:ser>
        <c:ser>
          <c:idx val="1"/>
          <c:order val="1"/>
          <c:tx>
            <c:strRef>
              <c:f>Arrival_Time_Workbased!$U$7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Arrival_Time_Workbased!$U$8:$U$58</c:f>
              <c:numCache>
                <c:formatCode>General</c:formatCode>
                <c:ptCount val="51"/>
                <c:pt idx="0">
                  <c:v>75</c:v>
                </c:pt>
                <c:pt idx="1">
                  <c:v>85.604019165039063</c:v>
                </c:pt>
                <c:pt idx="2">
                  <c:v>106.40270233154297</c:v>
                </c:pt>
                <c:pt idx="3">
                  <c:v>147.27702140808105</c:v>
                </c:pt>
                <c:pt idx="4">
                  <c:v>222.03940391540527</c:v>
                </c:pt>
                <c:pt idx="5">
                  <c:v>356.43599510192871</c:v>
                </c:pt>
                <c:pt idx="6">
                  <c:v>591.959547996521</c:v>
                </c:pt>
                <c:pt idx="7">
                  <c:v>976.79265022277832</c:v>
                </c:pt>
                <c:pt idx="8">
                  <c:v>1546.8109273910522</c:v>
                </c:pt>
                <c:pt idx="9">
                  <c:v>2314.4789981842041</c:v>
                </c:pt>
                <c:pt idx="10">
                  <c:v>3280.6339693069458</c:v>
                </c:pt>
                <c:pt idx="11">
                  <c:v>4458.0482959747314</c:v>
                </c:pt>
                <c:pt idx="12">
                  <c:v>5874.0244388580322</c:v>
                </c:pt>
                <c:pt idx="13">
                  <c:v>7534.4491910934448</c:v>
                </c:pt>
                <c:pt idx="14">
                  <c:v>9373.2788801193237</c:v>
                </c:pt>
                <c:pt idx="15">
                  <c:v>11229.774494171143</c:v>
                </c:pt>
                <c:pt idx="16">
                  <c:v>12867.705812454224</c:v>
                </c:pt>
                <c:pt idx="17">
                  <c:v>14018.579888343811</c:v>
                </c:pt>
                <c:pt idx="18">
                  <c:v>14441.226630210876</c:v>
                </c:pt>
                <c:pt idx="19">
                  <c:v>14009.930415153503</c:v>
                </c:pt>
                <c:pt idx="20">
                  <c:v>12806.469206809998</c:v>
                </c:pt>
                <c:pt idx="21">
                  <c:v>11130.160603523254</c:v>
                </c:pt>
                <c:pt idx="22">
                  <c:v>9369.5401287078857</c:v>
                </c:pt>
                <c:pt idx="23">
                  <c:v>7809.9477958679199</c:v>
                </c:pt>
                <c:pt idx="24">
                  <c:v>6530.0584173202515</c:v>
                </c:pt>
                <c:pt idx="25">
                  <c:v>5456.9599962234497</c:v>
                </c:pt>
                <c:pt idx="26">
                  <c:v>4499.7220182418823</c:v>
                </c:pt>
                <c:pt idx="27">
                  <c:v>3634.3329238891602</c:v>
                </c:pt>
                <c:pt idx="28">
                  <c:v>2893.3412313461304</c:v>
                </c:pt>
                <c:pt idx="29">
                  <c:v>2307.7329397201538</c:v>
                </c:pt>
                <c:pt idx="30">
                  <c:v>1868.0498075485229</c:v>
                </c:pt>
                <c:pt idx="31">
                  <c:v>1530.378737449646</c:v>
                </c:pt>
                <c:pt idx="32">
                  <c:v>1248.6094760894775</c:v>
                </c:pt>
                <c:pt idx="33">
                  <c:v>1000.3380346298218</c:v>
                </c:pt>
                <c:pt idx="34">
                  <c:v>787.96227931976318</c:v>
                </c:pt>
                <c:pt idx="35">
                  <c:v>620.59869766235352</c:v>
                </c:pt>
                <c:pt idx="36">
                  <c:v>496.72536849975586</c:v>
                </c:pt>
                <c:pt idx="37">
                  <c:v>402.17411041259766</c:v>
                </c:pt>
                <c:pt idx="38">
                  <c:v>321.05480670928955</c:v>
                </c:pt>
                <c:pt idx="39">
                  <c:v>246.13600730895996</c:v>
                </c:pt>
                <c:pt idx="40">
                  <c:v>179.34779167175293</c:v>
                </c:pt>
                <c:pt idx="41">
                  <c:v>124.93941783905029</c:v>
                </c:pt>
                <c:pt idx="42">
                  <c:v>83.862037658691406</c:v>
                </c:pt>
                <c:pt idx="43">
                  <c:v>53.762831687927246</c:v>
                </c:pt>
                <c:pt idx="44">
                  <c:v>31.927580833435059</c:v>
                </c:pt>
                <c:pt idx="45">
                  <c:v>16.853084564208984</c:v>
                </c:pt>
                <c:pt idx="46">
                  <c:v>7.5966691970825195</c:v>
                </c:pt>
                <c:pt idx="47">
                  <c:v>2.8210163116455078</c:v>
                </c:pt>
                <c:pt idx="48">
                  <c:v>0.83250999450683594</c:v>
                </c:pt>
                <c:pt idx="49">
                  <c:v>0.18396377563476563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5F5-4CE3-B6D1-B35DECCB70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4656768"/>
        <c:axId val="155761984"/>
      </c:lineChart>
      <c:catAx>
        <c:axId val="154656768"/>
        <c:scaling>
          <c:orientation val="minMax"/>
        </c:scaling>
        <c:delete val="0"/>
        <c:axPos val="b"/>
        <c:majorTickMark val="out"/>
        <c:minorTickMark val="none"/>
        <c:tickLblPos val="nextTo"/>
        <c:crossAx val="155761984"/>
        <c:crosses val="autoZero"/>
        <c:auto val="1"/>
        <c:lblAlgn val="ctr"/>
        <c:lblOffset val="100"/>
        <c:tickLblSkip val="10"/>
        <c:noMultiLvlLbl val="0"/>
      </c:catAx>
      <c:valAx>
        <c:axId val="155761984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15465676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7126377952755898"/>
          <c:y val="6.9060586176727903E-2"/>
          <c:w val="0.13920424306823317"/>
          <c:h val="0.16743438320210094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78" footer="0.30000000000000032" header="0.30000000000000032" l="0.70000000000000062" r="0.70000000000000062" t="0.75000000000000278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Relationship Id="rId2" Target="../charts/chart2.xml" Type="http://schemas.openxmlformats.org/officeDocument/2006/relationships/chart"/>
<Relationship Id="rId3" Target="../charts/chart3.xml" Type="http://schemas.openxmlformats.org/officeDocument/2006/relationships/chart"/>
<Relationship Id="rId4" Target="../charts/chart4.xml" Type="http://schemas.openxmlformats.org/officeDocument/2006/relationships/chart"/>
</Relationships>

</file>

<file path=xl/drawings/_rels/drawing2.xml.rels><?xml version="1.0" encoding="UTF-8" standalone="no"?>
<Relationships xmlns="http://schemas.openxmlformats.org/package/2006/relationships">
<Relationship Id="rId1" Target="../charts/chart5.xml" Type="http://schemas.openxmlformats.org/officeDocument/2006/relationships/chart"/>
<Relationship Id="rId2" Target="../charts/chart6.xml" Type="http://schemas.openxmlformats.org/officeDocument/2006/relationships/chart"/>
<Relationship Id="rId3" Target="../charts/chart7.xml" Type="http://schemas.openxmlformats.org/officeDocument/2006/relationships/chart"/>
<Relationship Id="rId4" Target="../charts/chart8.xml" Type="http://schemas.openxmlformats.org/officeDocument/2006/relationships/chart"/>
</Relationships>

</file>

<file path=xl/drawings/_rels/drawing3.xml.rels><?xml version="1.0" encoding="UTF-8" standalone="no"?>
<Relationships xmlns="http://schemas.openxmlformats.org/package/2006/relationships">
<Relationship Id="rId1" Target="../charts/chart9.xml" Type="http://schemas.openxmlformats.org/officeDocument/2006/relationships/chart"/>
<Relationship Id="rId2" Target="../charts/chart10.xml" Type="http://schemas.openxmlformats.org/officeDocument/2006/relationships/chart"/>
<Relationship Id="rId3" Target="../charts/chart11.xml" Type="http://schemas.openxmlformats.org/officeDocument/2006/relationships/chart"/>
<Relationship Id="rId4" Target="../charts/chart12.xml" Type="http://schemas.openxmlformats.org/officeDocument/2006/relationships/chart"/>
</Relationships>

</file>

<file path=xl/drawings/_rels/drawing4.xml.rels><?xml version="1.0" encoding="UTF-8" standalone="no"?>
<Relationships xmlns="http://schemas.openxmlformats.org/package/2006/relationships">
<Relationship Id="rId1" Target="../charts/chart13.xml" Type="http://schemas.openxmlformats.org/officeDocument/2006/relationships/chart"/>
</Relationships>

</file>

<file path=xl/drawings/_rels/drawing5.xml.rels><?xml version="1.0" encoding="UTF-8" standalone="no"?>
<Relationships xmlns="http://schemas.openxmlformats.org/package/2006/relationships">
<Relationship Id="rId1" Target="../charts/chart14.xml" Type="http://schemas.openxmlformats.org/officeDocument/2006/relationships/chart"/>
</Relationships>

</file>

<file path=xl/drawings/_rels/drawing6.xml.rels><?xml version="1.0" encoding="UTF-8" standalone="no"?>
<Relationships xmlns="http://schemas.openxmlformats.org/package/2006/relationships">
<Relationship Id="rId1" Target="../charts/chart15.xml" Type="http://schemas.openxmlformats.org/officeDocument/2006/relationships/chart"/>
</Relationships>

</file>

<file path=xl/drawings/_rels/drawing7.xml.rels><?xml version="1.0" encoding="UTF-8" standalone="no"?>
<Relationships xmlns="http://schemas.openxmlformats.org/package/2006/relationships">
<Relationship Id="rId1" Target="../charts/chart16.xml" Type="http://schemas.openxmlformats.org/officeDocument/2006/relationships/chart"/>
</Relationships>

</file>

<file path=xl/drawings/_rels/drawing8.xml.rels><?xml version="1.0" encoding="UTF-8" standalone="no"?>
<Relationships xmlns="http://schemas.openxmlformats.org/package/2006/relationships">
<Relationship Id="rId1" Target="../charts/chart17.xml" Type="http://schemas.openxmlformats.org/officeDocument/2006/relationships/chart"/>
</Relationships>

</file>

<file path=xl/drawings/_rels/drawing9.xml.rels><?xml version="1.0" encoding="UTF-8" standalone="no"?>
<Relationships xmlns="http://schemas.openxmlformats.org/package/2006/relationships">
<Relationship Id="rId1" Target="../charts/chart18.xml" Type="http://schemas.openxmlformats.org/officeDocument/2006/relationships/chart"/>
</Relationships>

</file>

<file path=xl/drawings/_rels/drawing10.xml.rels><?xml version="1.0" encoding="UTF-8" standalone="no"?>
<Relationships xmlns="http://schemas.openxmlformats.org/package/2006/relationships">
<Relationship Id="rId1" Target="../charts/chart19.xml" Type="http://schemas.openxmlformats.org/officeDocument/2006/relationships/chart"/>
</Relationships>

</file>

<file path=xl/drawings/_rels/drawing11.xml.rels><?xml version="1.0" encoding="UTF-8" standalone="no"?>
<Relationships xmlns="http://schemas.openxmlformats.org/package/2006/relationships">
<Relationship Id="rId1" Target="../charts/chart20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14</xdr:col>
      <xdr:colOff>19050</xdr:colOff>
      <xdr:row>5</xdr:row>
      <xdr:rowOff>180975</xdr:rowOff>
    </xdr:from>
    <xdr:to>
      <xdr:col>23</xdr:col>
      <xdr:colOff>38100</xdr:colOff>
      <xdr:row>22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0</xdr:colOff>
      <xdr:row>25</xdr:row>
      <xdr:rowOff>0</xdr:rowOff>
    </xdr:from>
    <xdr:to>
      <xdr:col>23</xdr:col>
      <xdr:colOff>19050</xdr:colOff>
      <xdr:row>42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0</xdr:colOff>
      <xdr:row>44</xdr:row>
      <xdr:rowOff>0</xdr:rowOff>
    </xdr:from>
    <xdr:to>
      <xdr:col>23</xdr:col>
      <xdr:colOff>19050</xdr:colOff>
      <xdr:row>60</xdr:row>
      <xdr:rowOff>180975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0</xdr:colOff>
      <xdr:row>63</xdr:row>
      <xdr:rowOff>0</xdr:rowOff>
    </xdr:from>
    <xdr:to>
      <xdr:col>23</xdr:col>
      <xdr:colOff>19050</xdr:colOff>
      <xdr:row>80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a="http://schemas.openxmlformats.org/drawingml/2006/main" xmlns:xdr="http://schemas.openxmlformats.org/drawingml/2006/spreadsheetDrawing">
  <xdr:twoCellAnchor>
    <xdr:from>
      <xdr:col>14</xdr:col>
      <xdr:colOff>19050</xdr:colOff>
      <xdr:row>6</xdr:row>
      <xdr:rowOff>0</xdr:rowOff>
    </xdr:from>
    <xdr:to>
      <xdr:col>23</xdr:col>
      <xdr:colOff>38100</xdr:colOff>
      <xdr:row>23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0</xdr:colOff>
      <xdr:row>44</xdr:row>
      <xdr:rowOff>19050</xdr:rowOff>
    </xdr:from>
    <xdr:to>
      <xdr:col>23</xdr:col>
      <xdr:colOff>19050</xdr:colOff>
      <xdr:row>61</xdr:row>
      <xdr:rowOff>9525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0</xdr:colOff>
      <xdr:row>63</xdr:row>
      <xdr:rowOff>19050</xdr:rowOff>
    </xdr:from>
    <xdr:to>
      <xdr:col>23</xdr:col>
      <xdr:colOff>19050</xdr:colOff>
      <xdr:row>80</xdr:row>
      <xdr:rowOff>19050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0</xdr:colOff>
      <xdr:row>24</xdr:row>
      <xdr:rowOff>0</xdr:rowOff>
    </xdr:from>
    <xdr:to>
      <xdr:col>24</xdr:col>
      <xdr:colOff>166688</xdr:colOff>
      <xdr:row>41</xdr:row>
      <xdr:rowOff>57151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70D4DA3C-F953-47C2-92BC-DD690CF9A6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a="http://schemas.openxmlformats.org/drawingml/2006/main" xmlns:xdr="http://schemas.openxmlformats.org/drawingml/2006/spreadsheetDrawing">
  <xdr:twoCellAnchor>
    <xdr:from>
      <xdr:col>14</xdr:col>
      <xdr:colOff>19050</xdr:colOff>
      <xdr:row>6</xdr:row>
      <xdr:rowOff>0</xdr:rowOff>
    </xdr:from>
    <xdr:to>
      <xdr:col>23</xdr:col>
      <xdr:colOff>38100</xdr:colOff>
      <xdr:row>23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0</xdr:colOff>
      <xdr:row>25</xdr:row>
      <xdr:rowOff>19050</xdr:rowOff>
    </xdr:from>
    <xdr:to>
      <xdr:col>23</xdr:col>
      <xdr:colOff>19050</xdr:colOff>
      <xdr:row>42</xdr:row>
      <xdr:rowOff>19050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0</xdr:colOff>
      <xdr:row>44</xdr:row>
      <xdr:rowOff>19050</xdr:rowOff>
    </xdr:from>
    <xdr:to>
      <xdr:col>23</xdr:col>
      <xdr:colOff>19050</xdr:colOff>
      <xdr:row>61</xdr:row>
      <xdr:rowOff>9525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0</xdr:colOff>
      <xdr:row>63</xdr:row>
      <xdr:rowOff>19050</xdr:rowOff>
    </xdr:from>
    <xdr:to>
      <xdr:col>23</xdr:col>
      <xdr:colOff>19050</xdr:colOff>
      <xdr:row>80</xdr:row>
      <xdr:rowOff>19050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a="http://schemas.openxmlformats.org/drawingml/2006/main" xmlns:xdr="http://schemas.openxmlformats.org/drawingml/2006/spreadsheetDrawing">
  <xdr:twoCellAnchor>
    <xdr:from>
      <xdr:col>22</xdr:col>
      <xdr:colOff>19050</xdr:colOff>
      <xdr:row>5</xdr:row>
      <xdr:rowOff>180975</xdr:rowOff>
    </xdr:from>
    <xdr:to>
      <xdr:col>31</xdr:col>
      <xdr:colOff>38100</xdr:colOff>
      <xdr:row>20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a="http://schemas.openxmlformats.org/drawingml/2006/main" xmlns:xdr="http://schemas.openxmlformats.org/drawingml/2006/spreadsheetDrawing">
  <xdr:twoCellAnchor>
    <xdr:from>
      <xdr:col>22</xdr:col>
      <xdr:colOff>19050</xdr:colOff>
      <xdr:row>5</xdr:row>
      <xdr:rowOff>180975</xdr:rowOff>
    </xdr:from>
    <xdr:to>
      <xdr:col>31</xdr:col>
      <xdr:colOff>38100</xdr:colOff>
      <xdr:row>20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a="http://schemas.openxmlformats.org/drawingml/2006/main" xmlns:xdr="http://schemas.openxmlformats.org/drawingml/2006/spreadsheetDrawing">
  <xdr:twoCellAnchor>
    <xdr:from>
      <xdr:col>22</xdr:col>
      <xdr:colOff>19050</xdr:colOff>
      <xdr:row>5</xdr:row>
      <xdr:rowOff>180975</xdr:rowOff>
    </xdr:from>
    <xdr:to>
      <xdr:col>31</xdr:col>
      <xdr:colOff>38100</xdr:colOff>
      <xdr:row>20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a="http://schemas.openxmlformats.org/drawingml/2006/main" xmlns:xdr="http://schemas.openxmlformats.org/drawingml/2006/spreadsheetDrawing">
  <xdr:twoCellAnchor>
    <xdr:from>
      <xdr:col>22</xdr:col>
      <xdr:colOff>19050</xdr:colOff>
      <xdr:row>5</xdr:row>
      <xdr:rowOff>180975</xdr:rowOff>
    </xdr:from>
    <xdr:to>
      <xdr:col>31</xdr:col>
      <xdr:colOff>38100</xdr:colOff>
      <xdr:row>20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a="http://schemas.openxmlformats.org/drawingml/2006/main" xmlns:xdr="http://schemas.openxmlformats.org/drawingml/2006/spreadsheetDrawing">
  <xdr:twoCellAnchor>
    <xdr:from>
      <xdr:col>22</xdr:col>
      <xdr:colOff>19050</xdr:colOff>
      <xdr:row>5</xdr:row>
      <xdr:rowOff>180975</xdr:rowOff>
    </xdr:from>
    <xdr:to>
      <xdr:col>31</xdr:col>
      <xdr:colOff>38100</xdr:colOff>
      <xdr:row>20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a="http://schemas.openxmlformats.org/drawingml/2006/main" xmlns:xdr="http://schemas.openxmlformats.org/drawingml/2006/spreadsheetDrawing">
  <xdr:twoCellAnchor>
    <xdr:from>
      <xdr:col>22</xdr:col>
      <xdr:colOff>19050</xdr:colOff>
      <xdr:row>5</xdr:row>
      <xdr:rowOff>180975</xdr:rowOff>
    </xdr:from>
    <xdr:to>
      <xdr:col>31</xdr:col>
      <xdr:colOff>38100</xdr:colOff>
      <xdr:row>20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a="http://schemas.openxmlformats.org/drawingml/2006/main" xmlns:xdr="http://schemas.openxmlformats.org/drawingml/2006/spreadsheetDrawing">
  <xdr:twoCellAnchor>
    <xdr:from>
      <xdr:col>22</xdr:col>
      <xdr:colOff>19050</xdr:colOff>
      <xdr:row>5</xdr:row>
      <xdr:rowOff>180975</xdr:rowOff>
    </xdr:from>
    <xdr:to>
      <xdr:col>31</xdr:col>
      <xdr:colOff>38100</xdr:colOff>
      <xdr:row>20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a="http://schemas.openxmlformats.org/drawingml/2006/main" xmlns:xdr="http://schemas.openxmlformats.org/drawingml/2006/spreadsheetDrawing">
  <xdr:twoCellAnchor>
    <xdr:from>
      <xdr:col>22</xdr:col>
      <xdr:colOff>19050</xdr:colOff>
      <xdr:row>5</xdr:row>
      <xdr:rowOff>180975</xdr:rowOff>
    </xdr:from>
    <xdr:to>
      <xdr:col>31</xdr:col>
      <xdr:colOff>38100</xdr:colOff>
      <xdr:row>20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Relationship Id="rId2" Target="../drawings/drawing1.xml" Type="http://schemas.openxmlformats.org/officeDocument/2006/relationships/drawing"/>
</Relationships>

</file>

<file path=xl/worksheets/_rels/sheet2.xml.rels><?xml version="1.0" encoding="UTF-8" standalone="no"?>
<Relationships xmlns="http://schemas.openxmlformats.org/package/2006/relationships">
<Relationship Id="rId1" Target="../printerSettings/printerSettings2.bin" Type="http://schemas.openxmlformats.org/officeDocument/2006/relationships/printerSettings"/>
<Relationship Id="rId2" Target="../drawings/drawing2.xml" Type="http://schemas.openxmlformats.org/officeDocument/2006/relationships/drawing"/>
</Relationships>

</file>

<file path=xl/worksheets/_rels/sheet3.xml.rels><?xml version="1.0" encoding="UTF-8" standalone="no"?>
<Relationships xmlns="http://schemas.openxmlformats.org/package/2006/relationships">
<Relationship Id="rId1" Target="../printerSettings/printerSettings3.bin" Type="http://schemas.openxmlformats.org/officeDocument/2006/relationships/printerSettings"/>
<Relationship Id="rId2" Target="../drawings/drawing3.xml" Type="http://schemas.openxmlformats.org/officeDocument/2006/relationships/drawing"/>
</Relationships>

</file>

<file path=xl/worksheets/_rels/sheet4.xml.rels><?xml version="1.0" encoding="UTF-8" standalone="no"?>
<Relationships xmlns="http://schemas.openxmlformats.org/package/2006/relationships">
<Relationship Id="rId1" Target="../printerSettings/printerSettings4.bin" Type="http://schemas.openxmlformats.org/officeDocument/2006/relationships/printerSettings"/>
<Relationship Id="rId2" Target="../drawings/drawing4.xml" Type="http://schemas.openxmlformats.org/officeDocument/2006/relationships/drawing"/>
</Relationships>

</file>

<file path=xl/worksheets/_rels/sheet5.xml.rels><?xml version="1.0" encoding="UTF-8" standalone="no"?>
<Relationships xmlns="http://schemas.openxmlformats.org/package/2006/relationships">
<Relationship Id="rId1" Target="../printerSettings/printerSettings5.bin" Type="http://schemas.openxmlformats.org/officeDocument/2006/relationships/printerSettings"/>
<Relationship Id="rId2" Target="../drawings/drawing5.xml" Type="http://schemas.openxmlformats.org/officeDocument/2006/relationships/drawing"/>
</Relationships>

</file>

<file path=xl/worksheets/_rels/sheet6.xml.rels><?xml version="1.0" encoding="UTF-8" standalone="no"?>
<Relationships xmlns="http://schemas.openxmlformats.org/package/2006/relationships">
<Relationship Id="rId1" Target="../printerSettings/printerSettings6.bin" Type="http://schemas.openxmlformats.org/officeDocument/2006/relationships/printerSettings"/>
<Relationship Id="rId2" Target="../drawings/drawing6.xml" Type="http://schemas.openxmlformats.org/officeDocument/2006/relationships/drawing"/>
</Relationships>

</file>

<file path=xl/worksheets/_rels/sheet7.xml.rels><?xml version="1.0" encoding="UTF-8" standalone="no"?>
<Relationships xmlns="http://schemas.openxmlformats.org/package/2006/relationships">
<Relationship Id="rId1" Target="../printerSettings/printerSettings7.bin" Type="http://schemas.openxmlformats.org/officeDocument/2006/relationships/printerSettings"/>
<Relationship Id="rId2" Target="../drawings/drawing7.xml" Type="http://schemas.openxmlformats.org/officeDocument/2006/relationships/drawing"/>
</Relationships>

</file>

<file path=xl/worksheets/_rels/sheet8.xml.rels><?xml version="1.0" encoding="UTF-8" standalone="no"?>
<Relationships xmlns="http://schemas.openxmlformats.org/package/2006/relationships">
<Relationship Id="rId1" Target="../drawings/drawing8.xml" Type="http://schemas.openxmlformats.org/officeDocument/2006/relationships/drawing"/>
</Relationships>

</file>

<file path=xl/worksheets/_rels/sheet9.xml.rels><?xml version="1.0" encoding="UTF-8" standalone="no"?>
<Relationships xmlns="http://schemas.openxmlformats.org/package/2006/relationships">
<Relationship Id="rId1" Target="../drawings/drawing9.xml" Type="http://schemas.openxmlformats.org/officeDocument/2006/relationships/drawing"/>
</Relationships>

</file>

<file path=xl/worksheets/_rels/sheet10.xml.rels><?xml version="1.0" encoding="UTF-8" standalone="no"?>
<Relationships xmlns="http://schemas.openxmlformats.org/package/2006/relationships">
<Relationship Id="rId1" Target="../drawings/drawing10.xml" Type="http://schemas.openxmlformats.org/officeDocument/2006/relationships/drawing"/>
</Relationships>

</file>

<file path=xl/worksheets/_rels/sheet11.xml.rels><?xml version="1.0" encoding="UTF-8" standalone="no"?>
<Relationships xmlns="http://schemas.openxmlformats.org/package/2006/relationships">
<Relationship Id="rId1" Target="../drawings/drawing11.xml" Type="http://schemas.openxmlformats.org/officeDocument/2006/relationships/drawing"/>
</Relationships>

</file>

<file path=xl/worksheets/_rels/sheet16.xml.rels><?xml version="1.0" encoding="UTF-8" standalone="no"?>
<Relationships xmlns="http://schemas.openxmlformats.org/package/2006/relationships">
<Relationship Id="rId1" Target="../printerSettings/printerSettings8.bin" Type="http://schemas.openxmlformats.org/officeDocument/2006/relationships/printerSettings"/>
</Relationships>

</file>

<file path=xl/worksheets/_rels/sheet17.xml.rels><?xml version="1.0" encoding="UTF-8" standalone="no"?>
<Relationships xmlns="http://schemas.openxmlformats.org/package/2006/relationships">
<Relationship Id="rId1" Target="../printerSettings/printerSettings9.bin" Type="http://schemas.openxmlformats.org/officeDocument/2006/relationships/printerSettings"/>
</Relationships>

</file>

<file path=xl/worksheets/_rels/sheet18.xml.rels><?xml version="1.0" encoding="UTF-8" standalone="no"?>
<Relationships xmlns="http://schemas.openxmlformats.org/package/2006/relationships">
<Relationship Id="rId1" Target="../printerSettings/printerSettings10.bin" Type="http://schemas.openxmlformats.org/officeDocument/2006/relationships/printerSettings"/>
</Relationships>
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2"/>
  <dimension ref="A1:S115"/>
  <sheetViews>
    <sheetView tabSelected="1" topLeftCell="F28" workbookViewId="0">
      <selection activeCell="P4" sqref="P4"/>
    </sheetView>
  </sheetViews>
  <sheetFormatPr defaultRowHeight="15" x14ac:dyDescent="0.25"/>
  <cols>
    <col min="1" max="1" customWidth="true" width="12.7109375" collapsed="true"/>
    <col min="2" max="6" customWidth="true" width="10.7109375" collapsed="true"/>
    <col min="7" max="7" customWidth="true" width="6.42578125" collapsed="true"/>
    <col min="8" max="8" customWidth="true" width="12.7109375" collapsed="true"/>
    <col min="9" max="13" customWidth="true" width="10.7109375" collapsed="true"/>
  </cols>
  <sheetData>
    <row r="1" spans="1:18" x14ac:dyDescent="0.25">
      <c r="A1" t="s">
        <v>9</v>
      </c>
    </row>
    <row r="2" spans="1:18" x14ac:dyDescent="0.25">
      <c r="A2" t="s">
        <v>59</v>
      </c>
    </row>
    <row r="3" spans="1:18" x14ac:dyDescent="0.25">
      <c r="A3" t="s">
        <v>7</v>
      </c>
    </row>
    <row r="5" spans="1:18" x14ac:dyDescent="0.25">
      <c r="O5" s="5"/>
      <c r="P5" s="5"/>
      <c r="Q5" s="5"/>
      <c r="R5" s="5"/>
    </row>
    <row ht="15.75" r="6" spans="1:18" thickBot="1" x14ac:dyDescent="0.3">
      <c r="A6" s="3" t="s">
        <v>47</v>
      </c>
      <c r="B6" s="1"/>
      <c r="C6" s="1"/>
      <c r="D6" s="1"/>
      <c r="E6" s="1"/>
      <c r="F6" s="1"/>
      <c r="H6" s="3" t="s">
        <v>12</v>
      </c>
      <c r="I6" s="1"/>
      <c r="J6" s="1"/>
      <c r="K6" s="1"/>
      <c r="L6" s="1"/>
      <c r="M6" s="1"/>
      <c r="O6" s="11"/>
      <c r="P6" s="5"/>
      <c r="Q6" s="5"/>
      <c r="R6" s="5"/>
    </row>
    <row r="7" spans="1:18" x14ac:dyDescent="0.25">
      <c r="A7" s="2" t="s">
        <v>4</v>
      </c>
      <c r="B7" s="4" t="s">
        <v>1</v>
      </c>
      <c r="C7" s="4" t="s">
        <v>2</v>
      </c>
      <c r="D7" s="4" t="s">
        <v>16</v>
      </c>
      <c r="E7" s="4" t="s">
        <v>3</v>
      </c>
      <c r="F7" s="4" t="s">
        <v>0</v>
      </c>
      <c r="H7" s="2" t="s">
        <v>4</v>
      </c>
      <c r="I7" s="4" t="s">
        <v>1</v>
      </c>
      <c r="J7" s="4" t="s">
        <v>2</v>
      </c>
      <c r="K7" s="4" t="s">
        <v>16</v>
      </c>
      <c r="L7" s="4" t="s">
        <v>3</v>
      </c>
      <c r="M7" s="4" t="s">
        <v>0</v>
      </c>
      <c r="O7" s="5"/>
      <c r="P7" s="14"/>
      <c r="Q7" s="14"/>
      <c r="R7" s="5"/>
    </row>
    <row r="8" spans="1:18" x14ac:dyDescent="0.25">
      <c r="A8" t="s">
        <v>5</v>
      </c>
      <c r="B8" s="6" t="n">
        <v>0.0</v>
      </c>
      <c r="C8" s="6" t="n">
        <v>0.0</v>
      </c>
      <c r="D8" s="6" t="n">
        <v>1003.5138542992437</v>
      </c>
      <c r="E8" s="6" t="n">
        <v>0.0</v>
      </c>
      <c r="F8" s="6">
        <f>SUM(B8:E8)</f>
        <v>1886.8099806287196</v>
      </c>
      <c r="H8" t="s">
        <v>5</v>
      </c>
      <c r="I8" s="9" t="n">
        <v>610.0</v>
      </c>
      <c r="J8" s="9" t="n">
        <v>0.0</v>
      </c>
      <c r="K8" s="9" t="n">
        <v>190.0</v>
      </c>
      <c r="L8" s="9" t="n">
        <v>12.0</v>
      </c>
      <c r="M8">
        <f>SUM(I8:L8)</f>
        <v>4770</v>
      </c>
      <c r="O8" s="5"/>
      <c r="P8" s="16"/>
      <c r="Q8" s="16"/>
      <c r="R8" s="5"/>
    </row>
    <row r="9" spans="1:18" x14ac:dyDescent="0.25">
      <c r="A9" s="12">
        <v>0.125</v>
      </c>
      <c r="B9" s="6" t="n">
        <v>1386.5552240850416</v>
      </c>
      <c r="C9" s="6" t="n">
        <v>48.55853191720476</v>
      </c>
      <c r="D9" s="6" t="n">
        <v>786.0264844298749</v>
      </c>
      <c r="E9" s="6" t="n">
        <v>0.3731152699792226</v>
      </c>
      <c r="F9" s="6">
        <f ref="F9:F58" si="0" t="shared">SUM(B9:E9)</f>
        <v>3343.9476425713679</v>
      </c>
      <c r="H9" s="12">
        <v>0.125</v>
      </c>
      <c r="I9" s="9" t="n">
        <v>1849.855016708374</v>
      </c>
      <c r="J9" s="9" t="n">
        <v>37.60612487792969</v>
      </c>
      <c r="K9" s="9" t="n">
        <v>497.0503559112549</v>
      </c>
      <c r="L9" s="9" t="n">
        <v>11.3781156539917</v>
      </c>
      <c r="M9">
        <f ref="M9:M58" si="1" t="shared">SUM(I9:L9)</f>
        <v>5928.3612823486328</v>
      </c>
      <c r="O9" s="5"/>
      <c r="P9" s="16"/>
      <c r="Q9" s="16"/>
      <c r="R9" s="5"/>
    </row>
    <row r="10" spans="1:18" x14ac:dyDescent="0.25">
      <c r="A10" s="12">
        <v>0.14583333333333334</v>
      </c>
      <c r="B10" s="6" t="n">
        <v>3427.4139414917267</v>
      </c>
      <c r="C10" s="6" t="n">
        <v>229.09949430844716</v>
      </c>
      <c r="D10" s="6" t="n">
        <v>711.049264866842</v>
      </c>
      <c r="E10" s="6" t="n">
        <v>1.735563541001687</v>
      </c>
      <c r="F10" s="6">
        <f si="0" t="shared"/>
        <v>5718.9649777514151</v>
      </c>
      <c r="H10" s="12">
        <v>0.14583333333333334</v>
      </c>
      <c r="I10" s="9" t="n">
        <v>3337.689022064209</v>
      </c>
      <c r="J10" s="9" t="n">
        <v>163.67606735229492</v>
      </c>
      <c r="K10" s="9" t="n">
        <v>829.0933170318604</v>
      </c>
      <c r="L10" s="9" t="n">
        <v>11.563891410827637</v>
      </c>
      <c r="M10">
        <f si="1" t="shared"/>
        <v>7473.0060243606567</v>
      </c>
      <c r="O10" s="5"/>
      <c r="P10" s="16"/>
      <c r="Q10" s="16"/>
      <c r="R10" s="5"/>
    </row>
    <row r="11" spans="1:18" x14ac:dyDescent="0.25">
      <c r="A11" s="12">
        <v>0.16666666666666666</v>
      </c>
      <c r="B11" s="6" t="n">
        <v>6902.342435086191</v>
      </c>
      <c r="C11" s="6" t="n">
        <v>837.2819132462996</v>
      </c>
      <c r="D11" s="6" t="n">
        <v>934.4338269667707</v>
      </c>
      <c r="E11" s="6" t="n">
        <v>6.272859395148961</v>
      </c>
      <c r="F11" s="6">
        <f si="0" t="shared"/>
        <v>10121.208919286051</v>
      </c>
      <c r="H11" s="12">
        <v>0.16666666666666666</v>
      </c>
      <c r="I11" s="9" t="n">
        <v>5552.248343467712</v>
      </c>
      <c r="J11" s="9" t="n">
        <v>580.2321319580078</v>
      </c>
      <c r="K11" s="9" t="n">
        <v>1297.190999031067</v>
      </c>
      <c r="L11" s="9" t="n">
        <v>13.294806480407715</v>
      </c>
      <c r="M11">
        <f si="1" t="shared"/>
        <v>10241.683654785156</v>
      </c>
      <c r="O11" s="5"/>
      <c r="P11" s="16"/>
      <c r="Q11" s="16"/>
      <c r="R11" s="5"/>
    </row>
    <row r="12" spans="1:18" x14ac:dyDescent="0.25">
      <c r="A12" s="12">
        <v>0.1875</v>
      </c>
      <c r="B12" s="6" t="n">
        <v>12748.603772237047</v>
      </c>
      <c r="C12" s="6" t="n">
        <v>2472.1827968687317</v>
      </c>
      <c r="D12" s="6" t="n">
        <v>1646.021899545505</v>
      </c>
      <c r="E12" s="6" t="n">
        <v>18.81555037188855</v>
      </c>
      <c r="F12" s="6">
        <f si="0" t="shared"/>
        <v>17985.45277678089</v>
      </c>
      <c r="H12" s="12">
        <v>0.1875</v>
      </c>
      <c r="I12" s="9" t="n">
        <v>9308.535762786865</v>
      </c>
      <c r="J12" s="9" t="n">
        <v>1713.4958486557007</v>
      </c>
      <c r="K12" s="9" t="n">
        <v>2134.521466255188</v>
      </c>
      <c r="L12" s="9" t="n">
        <v>17.67337989807129</v>
      </c>
      <c r="M12">
        <f si="1" t="shared"/>
        <v>15812.69862651825</v>
      </c>
      <c r="O12" s="5"/>
      <c r="P12" s="5"/>
      <c r="Q12" s="5"/>
      <c r="R12" s="5"/>
    </row>
    <row r="13" spans="1:18" x14ac:dyDescent="0.25">
      <c r="A13" s="12">
        <v>0.20833333333333334</v>
      </c>
      <c r="B13" s="6" t="n">
        <v>21867.527045788018</v>
      </c>
      <c r="C13" s="6" t="n">
        <v>6001.937851258558</v>
      </c>
      <c r="D13" s="6" t="n">
        <v>3073.183989270367</v>
      </c>
      <c r="E13" s="6" t="n">
        <v>48.44937497669167</v>
      </c>
      <c r="F13" s="6">
        <f si="0" t="shared"/>
        <v>31048.196354247193</v>
      </c>
      <c r="H13" s="12">
        <v>0.20833333333333334</v>
      </c>
      <c r="I13" s="9" t="n">
        <v>15596.173610687256</v>
      </c>
      <c r="J13" s="9" t="n">
        <v>4224.17493057251</v>
      </c>
      <c r="K13" s="9" t="n">
        <v>3648.915915489197</v>
      </c>
      <c r="L13" s="9" t="n">
        <v>27.22090244293213</v>
      </c>
      <c r="M13">
        <f si="1" t="shared"/>
        <v>26386.89658164978</v>
      </c>
    </row>
    <row r="14" spans="1:18" x14ac:dyDescent="0.25">
      <c r="A14" s="12">
        <v>0.22916666666666666</v>
      </c>
      <c r="B14" s="6" t="n">
        <v>34618.17596805504</v>
      </c>
      <c r="C14" s="6" t="n">
        <v>12138.685774789892</v>
      </c>
      <c r="D14" s="6" t="n">
        <v>5414.1654202092295</v>
      </c>
      <c r="E14" s="6" t="n">
        <v>109.38943587322721</v>
      </c>
      <c r="F14" s="6">
        <f si="0" t="shared"/>
        <v>50936.921464521191</v>
      </c>
      <c r="H14" s="12">
        <v>0.22916666666666666</v>
      </c>
      <c r="I14" s="9" t="n">
        <v>25080.223660469055</v>
      </c>
      <c r="J14" s="9" t="n">
        <v>8746.805325508118</v>
      </c>
      <c r="K14" s="9" t="n">
        <v>6094.092973709106</v>
      </c>
      <c r="L14" s="9" t="n">
        <v>47.0370979309082</v>
      </c>
      <c r="M14">
        <f si="1" t="shared"/>
        <v>44027.886571884155</v>
      </c>
    </row>
    <row r="15" spans="1:18" x14ac:dyDescent="0.25">
      <c r="A15" s="12">
        <v>0.25</v>
      </c>
      <c r="B15" s="6" t="n">
        <v>50140.02027719159</v>
      </c>
      <c r="C15" s="6" t="n">
        <v>20653.523341511675</v>
      </c>
      <c r="D15" s="6" t="n">
        <v>8680.504515309203</v>
      </c>
      <c r="E15" s="6" t="n">
        <v>219.2439883159588</v>
      </c>
      <c r="F15" s="6">
        <f si="0" t="shared"/>
        <v>78128.48524956897</v>
      </c>
      <c r="H15" s="12">
        <v>0.25</v>
      </c>
      <c r="I15" s="9" t="n">
        <v>37418.94637489319</v>
      </c>
      <c r="J15" s="9" t="n">
        <v>15325.803093910217</v>
      </c>
      <c r="K15" s="9" t="n">
        <v>9509.40866470337</v>
      </c>
      <c r="L15" s="9" t="n">
        <v>85.64506244659424</v>
      </c>
      <c r="M15">
        <f si="1" t="shared"/>
        <v>69324.33075428009</v>
      </c>
    </row>
    <row r="16" spans="1:18" x14ac:dyDescent="0.25">
      <c r="A16" s="12">
        <v>0.27083333333333331</v>
      </c>
      <c r="B16" s="6" t="n">
        <v>65961.4214749821</v>
      </c>
      <c r="C16" s="6" t="n">
        <v>29783.056777839953</v>
      </c>
      <c r="D16" s="6" t="n">
        <v>12538.55730810766</v>
      </c>
      <c r="E16" s="6" t="n">
        <v>393.3496767969492</v>
      </c>
      <c r="F16" s="6">
        <f si="0" t="shared"/>
        <v>110512.7031436074</v>
      </c>
      <c r="H16" s="12">
        <v>0.27083333333333331</v>
      </c>
      <c r="I16" s="9" t="n">
        <v>50818.54191875458</v>
      </c>
      <c r="J16" s="9" t="n">
        <v>22887.05172252655</v>
      </c>
      <c r="K16" s="9" t="n">
        <v>13613.90632724762</v>
      </c>
      <c r="L16" s="9" t="n">
        <v>157.1997652053833</v>
      </c>
      <c r="M16">
        <f si="1" t="shared"/>
        <v>100090.16242980957</v>
      </c>
    </row>
    <row r="17" spans="1:13" x14ac:dyDescent="0.25">
      <c r="A17" s="12">
        <v>0.29166666666666669</v>
      </c>
      <c r="B17" s="6" t="n">
        <v>78429.25459592084</v>
      </c>
      <c r="C17" s="6" t="n">
        <v>36602.035145159345</v>
      </c>
      <c r="D17" s="6" t="n">
        <v>16327.714875442127</v>
      </c>
      <c r="E17" s="6" t="n">
        <v>638.1250186766546</v>
      </c>
      <c r="F17" s="6">
        <f si="0" t="shared"/>
        <v>142652.45349617922</v>
      </c>
      <c r="H17" s="12">
        <v>0.29166666666666669</v>
      </c>
      <c r="I17" s="9" t="n">
        <v>62289.42131614685</v>
      </c>
      <c r="J17" s="9" t="n">
        <v>29319.584308624268</v>
      </c>
      <c r="K17" s="9" t="n">
        <v>17836.57107925415</v>
      </c>
      <c r="L17" s="9" t="n">
        <v>289.66471099853516</v>
      </c>
      <c r="M17">
        <f si="1" t="shared"/>
        <v>131114.1472196579</v>
      </c>
    </row>
    <row r="18" spans="1:13" x14ac:dyDescent="0.25">
      <c r="A18" s="12">
        <v>0.3125</v>
      </c>
      <c r="B18" s="6" t="n">
        <v>84069.3529623289</v>
      </c>
      <c r="C18" s="6" t="n">
        <v>38498.21991795734</v>
      </c>
      <c r="D18" s="6" t="n">
        <v>19342.457419956758</v>
      </c>
      <c r="E18" s="6" t="n">
        <v>953.2736809525778</v>
      </c>
      <c r="F18" s="6">
        <f si="0" t="shared"/>
        <v>167068.86405243605</v>
      </c>
      <c r="H18" s="12">
        <v>0.3125</v>
      </c>
      <c r="I18" s="9" t="n">
        <v>68714.85923099518</v>
      </c>
      <c r="J18" s="9" t="n">
        <v>32399.558801651</v>
      </c>
      <c r="K18" s="9" t="n">
        <v>21506.679476737976</v>
      </c>
      <c r="L18" s="9" t="n">
        <v>541.189281463623</v>
      </c>
      <c r="M18">
        <f si="1" t="shared"/>
        <v>155661.85898780823</v>
      </c>
    </row>
    <row r="19" spans="1:13" x14ac:dyDescent="0.25">
      <c r="A19" s="12">
        <v>0.33333333333333331</v>
      </c>
      <c r="B19" s="6" t="n">
        <v>81238.54223624582</v>
      </c>
      <c r="C19" s="6" t="n">
        <v>34778.47424062276</v>
      </c>
      <c r="D19" s="6" t="n">
        <v>21216.35786059954</v>
      </c>
      <c r="E19" s="6" t="n">
        <v>1355.8850633249347</v>
      </c>
      <c r="F19" s="6">
        <f si="0" t="shared"/>
        <v>177604.75316548903</v>
      </c>
      <c r="H19" s="12">
        <v>0.33333333333333331</v>
      </c>
      <c r="I19" s="9" t="n">
        <v>68253.27712726593</v>
      </c>
      <c r="J19" s="9" t="n">
        <v>31026.53161430359</v>
      </c>
      <c r="K19" s="9" t="n">
        <v>24129.429100990295</v>
      </c>
      <c r="L19" s="9" t="n">
        <v>1013.6023759841919</v>
      </c>
      <c r="M19">
        <f si="1" t="shared"/>
        <v>168319.57291126251</v>
      </c>
    </row>
    <row r="20" spans="1:13" x14ac:dyDescent="0.25">
      <c r="A20" s="12">
        <v>0.35416666666666669</v>
      </c>
      <c r="B20" s="6" t="n">
        <v>71004.05680448386</v>
      </c>
      <c r="C20" s="6" t="n">
        <v>27087.586631266924</v>
      </c>
      <c r="D20" s="6" t="n">
        <v>22098.839876716236</v>
      </c>
      <c r="E20" s="6" t="n">
        <v>1929.2477700796749</v>
      </c>
      <c r="F20" s="6">
        <f si="0" t="shared"/>
        <v>172867.43620474811</v>
      </c>
      <c r="H20" s="12">
        <v>0.35416666666666669</v>
      </c>
      <c r="I20" s="9" t="n">
        <v>61238.67556476593</v>
      </c>
      <c r="J20" s="9" t="n">
        <v>25845.28785610199</v>
      </c>
      <c r="K20" s="9" t="n">
        <v>25588.001843452454</v>
      </c>
      <c r="L20" s="9" t="n">
        <v>1836.9674139022827</v>
      </c>
      <c r="M20">
        <f si="1" t="shared"/>
        <v>167579.09055233002</v>
      </c>
    </row>
    <row r="21" spans="1:13" x14ac:dyDescent="0.25">
      <c r="A21" s="12">
        <v>0.375</v>
      </c>
      <c r="B21" s="6" t="n">
        <v>56605.59619570748</v>
      </c>
      <c r="C21" s="6" t="n">
        <v>18301.50639617692</v>
      </c>
      <c r="D21" s="6" t="n">
        <v>22470.8571823319</v>
      </c>
      <c r="E21" s="6" t="n">
        <v>2866.8820561983475</v>
      </c>
      <c r="F21" s="6">
        <f si="0" t="shared"/>
        <v>157080.35589715856</v>
      </c>
      <c r="H21" s="12">
        <v>0.375</v>
      </c>
      <c r="I21" s="9" t="n">
        <v>49991.29159164429</v>
      </c>
      <c r="J21" s="9" t="n">
        <v>18792.61517906189</v>
      </c>
      <c r="K21" s="9" t="n">
        <v>26130.98468875885</v>
      </c>
      <c r="L21" s="9" t="n">
        <v>3108.3985624313354</v>
      </c>
      <c r="M21">
        <f si="1" t="shared"/>
        <v>156424.54591274261</v>
      </c>
    </row>
    <row r="22" spans="1:13" x14ac:dyDescent="0.25">
      <c r="A22" s="12">
        <v>0.39583333333333331</v>
      </c>
      <c r="B22" s="6" t="n">
        <v>41863.194215299</v>
      </c>
      <c r="C22" s="6" t="n">
        <v>10872.114623730056</v>
      </c>
      <c r="D22" s="6" t="n">
        <v>22760.3252397815</v>
      </c>
      <c r="E22" s="6" t="n">
        <v>4439.854880932766</v>
      </c>
      <c r="F22" s="6">
        <f si="0" t="shared"/>
        <v>137526.68114635212</v>
      </c>
      <c r="H22" s="12">
        <v>0.39583333333333331</v>
      </c>
      <c r="I22" s="9" t="n">
        <v>37670.03049850464</v>
      </c>
      <c r="J22" s="9" t="n">
        <v>11983.020944595337</v>
      </c>
      <c r="K22" s="9" t="n">
        <v>26156.967579841614</v>
      </c>
      <c r="L22" s="9" t="n">
        <v>4810.488739967346</v>
      </c>
      <c r="M22">
        <f si="1" t="shared"/>
        <v>140500.42939186096</v>
      </c>
    </row>
    <row r="23" spans="1:13" x14ac:dyDescent="0.25">
      <c r="A23" s="12">
        <v>0.41666666666666669</v>
      </c>
      <c r="B23" s="6" t="n">
        <v>29603.099221035623</v>
      </c>
      <c r="C23" s="6" t="n">
        <v>5870.831444858481</v>
      </c>
      <c r="D23" s="6" t="n">
        <v>23072.110033169418</v>
      </c>
      <c r="E23" s="6" t="n">
        <v>6821.8972429042</v>
      </c>
      <c r="F23" s="6">
        <f si="0" t="shared"/>
        <v>120540.16482104722</v>
      </c>
      <c r="H23" s="12">
        <v>0.41666666666666669</v>
      </c>
      <c r="I23" s="9" t="n">
        <v>26915.460700035095</v>
      </c>
      <c r="J23" s="9" t="n">
        <v>6766.701802253723</v>
      </c>
      <c r="K23" s="9" t="n">
        <v>25979.881874084473</v>
      </c>
      <c r="L23" s="9" t="n">
        <v>6768.526253700256</v>
      </c>
      <c r="M23">
        <f si="1" t="shared"/>
        <v>125197.11200714111</v>
      </c>
    </row>
    <row r="24" spans="1:13" x14ac:dyDescent="0.25">
      <c r="A24" s="12">
        <v>0.4375</v>
      </c>
      <c r="B24" s="6" t="n">
        <v>20978.826694391275</v>
      </c>
      <c r="C24" s="6" t="n">
        <v>3115.1932828752883</v>
      </c>
      <c r="D24" s="6" t="n">
        <v>23219.877184607394</v>
      </c>
      <c r="E24" s="6" t="n">
        <v>9826.528438713442</v>
      </c>
      <c r="F24" s="6">
        <f si="0" t="shared"/>
        <v>108938.24147298821</v>
      </c>
      <c r="H24" s="12">
        <v>0.4375</v>
      </c>
      <c r="I24" s="9" t="n">
        <v>19057.30694770813</v>
      </c>
      <c r="J24" s="9" t="n">
        <v>3469.4064626693726</v>
      </c>
      <c r="K24" s="9" t="n">
        <v>25761.271552085876</v>
      </c>
      <c r="L24" s="9" t="n">
        <v>8681.14521408081</v>
      </c>
      <c r="M24">
        <f si="1" t="shared"/>
        <v>113591.19390487671</v>
      </c>
    </row>
    <row r="25" spans="1:13" x14ac:dyDescent="0.25">
      <c r="A25" s="12">
        <v>0.45833333333333331</v>
      </c>
      <c r="B25" s="6" t="n">
        <v>15762.21251876863</v>
      </c>
      <c r="C25" s="6" t="n">
        <v>1859.0916840453174</v>
      </c>
      <c r="D25" s="6" t="n">
        <v>22992.502309500873</v>
      </c>
      <c r="E25" s="6" t="n">
        <v>12778.824211721862</v>
      </c>
      <c r="F25" s="6">
        <f si="0" t="shared"/>
        <v>102172.27667773206</v>
      </c>
      <c r="H25" s="12">
        <v>0.45833333333333331</v>
      </c>
      <c r="I25" s="9" t="n">
        <v>14143.948224067688</v>
      </c>
      <c r="J25" s="9" t="n">
        <v>1717.0779333114624</v>
      </c>
      <c r="K25" s="9" t="n">
        <v>25606.07372570038</v>
      </c>
      <c r="L25" s="9" t="n">
        <v>10199.937321662903</v>
      </c>
      <c r="M25">
        <f si="1" t="shared"/>
        <v>106173.42802524567</v>
      </c>
    </row>
    <row r="26" spans="1:13" x14ac:dyDescent="0.25">
      <c r="A26" s="12">
        <v>0.47916666666666669</v>
      </c>
      <c r="B26" s="6" t="n">
        <v>13060.174380270011</v>
      </c>
      <c r="C26" s="6" t="n">
        <v>1381.8743751075683</v>
      </c>
      <c r="D26" s="6" t="n">
        <v>22421.823521871513</v>
      </c>
      <c r="E26" s="6" t="n">
        <v>14741.52550382603</v>
      </c>
      <c r="F26" s="6">
        <f si="0" t="shared"/>
        <v>98215.655173656953</v>
      </c>
      <c r="H26" s="12">
        <v>0.47916666666666669</v>
      </c>
      <c r="I26" s="9" t="n">
        <v>11489.449074745178</v>
      </c>
      <c r="J26" s="9" t="n">
        <v>924.0588836669922</v>
      </c>
      <c r="K26" s="9" t="n">
        <v>25649.42300415039</v>
      </c>
      <c r="L26" s="9" t="n">
        <v>11017.796074867249</v>
      </c>
      <c r="M26">
        <f si="1" t="shared"/>
        <v>101851.55611991882</v>
      </c>
    </row>
    <row r="27" spans="1:13" x14ac:dyDescent="0.25">
      <c r="A27" s="12">
        <v>0.5</v>
      </c>
      <c r="B27" s="6" t="n">
        <v>11900.454704567648</v>
      </c>
      <c r="C27" s="6" t="n">
        <v>1217.9149393484377</v>
      </c>
      <c r="D27" s="6" t="n">
        <v>21843.10974790616</v>
      </c>
      <c r="E27" s="6" t="n">
        <v>15028.089330432324</v>
      </c>
      <c r="F27" s="6">
        <f si="0" t="shared"/>
        <v>95396.57730105349</v>
      </c>
      <c r="H27" s="12">
        <v>0.5</v>
      </c>
      <c r="I27" s="9" t="n">
        <v>10251.654048919678</v>
      </c>
      <c r="J27" s="9" t="n">
        <v>615.5907182693481</v>
      </c>
      <c r="K27" s="9" t="n">
        <v>26009.191011428833</v>
      </c>
      <c r="L27" s="9" t="n">
        <v>10959.153281211853</v>
      </c>
      <c r="M27">
        <f si="1" t="shared"/>
        <v>99153.369965553284</v>
      </c>
    </row>
    <row r="28" spans="1:13" x14ac:dyDescent="0.25">
      <c r="A28" s="12">
        <v>0.52083333333333337</v>
      </c>
      <c r="B28" s="6" t="n">
        <v>11495.003805369146</v>
      </c>
      <c r="C28" s="6" t="n">
        <v>1134.4920866153952</v>
      </c>
      <c r="D28" s="6" t="n">
        <v>21710.00778113253</v>
      </c>
      <c r="E28" s="6" t="n">
        <v>13617.525809238146</v>
      </c>
      <c r="F28" s="6">
        <f si="0" t="shared"/>
        <v>93126.573004456062</v>
      </c>
      <c r="H28" s="12">
        <v>0.52083333333333337</v>
      </c>
      <c r="I28" s="9" t="n">
        <v>9753.847023963928</v>
      </c>
      <c r="J28" s="9" t="n">
        <v>516.6993055343628</v>
      </c>
      <c r="K28" s="9" t="n">
        <v>26671.1211309433</v>
      </c>
      <c r="L28" s="9" t="n">
        <v>10063.438286781311</v>
      </c>
      <c r="M28">
        <f si="1" t="shared"/>
        <v>96967.558341026306</v>
      </c>
    </row>
    <row r="29" spans="1:13" x14ac:dyDescent="0.25">
      <c r="A29" s="12">
        <v>0.54166666666666663</v>
      </c>
      <c r="B29" s="6" t="n">
        <v>11287.255686699875</v>
      </c>
      <c r="C29" s="6" t="n">
        <v>1042.1415133281619</v>
      </c>
      <c r="D29" s="6" t="n">
        <v>22304.85210960875</v>
      </c>
      <c r="E29" s="6" t="n">
        <v>11125.826261536873</v>
      </c>
      <c r="F29" s="6">
        <f si="0" t="shared"/>
        <v>91563.820251691111</v>
      </c>
      <c r="H29" s="12">
        <v>0.54166666666666663</v>
      </c>
      <c r="I29" s="9" t="n">
        <v>9549.393390655518</v>
      </c>
      <c r="J29" s="9" t="n">
        <v>506.39908504486084</v>
      </c>
      <c r="K29" s="9" t="n">
        <v>27471.277952194214</v>
      </c>
      <c r="L29" s="9" t="n">
        <v>8599.161308288574</v>
      </c>
      <c r="M29">
        <f si="1" t="shared"/>
        <v>94759.681172370911</v>
      </c>
    </row>
    <row r="30" spans="1:13" x14ac:dyDescent="0.25">
      <c r="A30" s="12">
        <v>0.5625</v>
      </c>
      <c r="B30" s="6" t="n">
        <v>10935.601235579528</v>
      </c>
      <c r="C30" s="6" t="n">
        <v>930.2887526495117</v>
      </c>
      <c r="D30" s="6" t="n">
        <v>23551.98777520833</v>
      </c>
      <c r="E30" s="6" t="n">
        <v>8385.869652697918</v>
      </c>
      <c r="F30" s="6">
        <f si="0" t="shared"/>
        <v>90842.459190969734</v>
      </c>
      <c r="H30" s="12">
        <v>0.5625</v>
      </c>
      <c r="I30" s="9" t="n">
        <v>9367.558465003967</v>
      </c>
      <c r="J30" s="9" t="n">
        <v>546.3879070281982</v>
      </c>
      <c r="K30" s="9" t="n">
        <v>28235.428102493286</v>
      </c>
      <c r="L30" s="9" t="n">
        <v>6950.286578178406</v>
      </c>
      <c r="M30">
        <f si="1" t="shared"/>
        <v>92472.522206306458</v>
      </c>
    </row>
    <row r="31" spans="1:13" x14ac:dyDescent="0.25">
      <c r="A31" s="12">
        <v>0.58333333333333337</v>
      </c>
      <c r="B31" s="6" t="n">
        <v>10294.27196863949</v>
      </c>
      <c r="C31" s="6" t="n">
        <v>833.7311156817509</v>
      </c>
      <c r="D31" s="6" t="n">
        <v>25070.852876873436</v>
      </c>
      <c r="E31" s="6" t="n">
        <v>6006.870281007952</v>
      </c>
      <c r="F31" s="6">
        <f si="0" t="shared"/>
        <v>90565.477187750817</v>
      </c>
      <c r="H31" s="12">
        <v>0.58333333333333337</v>
      </c>
      <c r="I31" s="9" t="n">
        <v>9053.944039344788</v>
      </c>
      <c r="J31" s="9" t="n">
        <v>632.3521776199341</v>
      </c>
      <c r="K31" s="9" t="n">
        <v>28956.811732292175</v>
      </c>
      <c r="L31" s="9" t="n">
        <v>5429.841486930847</v>
      </c>
      <c r="M31">
        <f si="1" t="shared"/>
        <v>90320.619788169861</v>
      </c>
    </row>
    <row r="32" spans="1:13" x14ac:dyDescent="0.25">
      <c r="A32" s="12">
        <v>0.60416666666666663</v>
      </c>
      <c r="B32" s="6" t="n">
        <v>9383.608829603845</v>
      </c>
      <c r="C32" s="6" t="n">
        <v>808.4629961884474</v>
      </c>
      <c r="D32" s="6" t="n">
        <v>26450.35346613472</v>
      </c>
      <c r="E32" s="6" t="n">
        <v>4210.755486218593</v>
      </c>
      <c r="F32" s="6">
        <f si="0" t="shared"/>
        <v>89952.121742365402</v>
      </c>
      <c r="H32" s="12">
        <v>0.60416666666666663</v>
      </c>
      <c r="I32" s="9" t="n">
        <v>8541.355443954468</v>
      </c>
      <c r="J32" s="9" t="n">
        <v>768.0311918258667</v>
      </c>
      <c r="K32" s="9" t="n">
        <v>29838.56528186798</v>
      </c>
      <c r="L32" s="9" t="n">
        <v>4165.002871513367</v>
      </c>
      <c r="M32">
        <f si="1" t="shared"/>
        <v>88599.44652557373</v>
      </c>
    </row>
    <row r="33" spans="1:13" x14ac:dyDescent="0.25">
      <c r="A33" s="12">
        <v>0.625</v>
      </c>
      <c r="B33" s="6" t="n">
        <v>8333.89645868772</v>
      </c>
      <c r="C33" s="6" t="n">
        <v>904.4220941225475</v>
      </c>
      <c r="D33" s="6" t="n">
        <v>27571.99467720591</v>
      </c>
      <c r="E33" s="6" t="n">
        <v>2939.7855537753207</v>
      </c>
      <c r="F33" s="6">
        <f si="0" t="shared"/>
        <v>88460.162107755328</v>
      </c>
      <c r="H33" s="12">
        <v>0.625</v>
      </c>
      <c r="I33" s="9" t="n">
        <v>7839.675436973572</v>
      </c>
      <c r="J33" s="9" t="n">
        <v>949.3745651245117</v>
      </c>
      <c r="K33" s="9" t="n">
        <v>31147.437317848206</v>
      </c>
      <c r="L33" s="9" t="n">
        <v>3131.5942697525024</v>
      </c>
      <c r="M33">
        <f si="1" t="shared"/>
        <v>87532.058839797974</v>
      </c>
    </row>
    <row r="34" spans="1:13" x14ac:dyDescent="0.25">
      <c r="A34" s="12">
        <v>0.64583333333333337</v>
      </c>
      <c r="B34" s="6" t="n">
        <v>7304.722265590235</v>
      </c>
      <c r="C34" s="6" t="n">
        <v>1136.1851583773405</v>
      </c>
      <c r="D34" s="6" t="n">
        <v>28751.207800036056</v>
      </c>
      <c r="E34" s="6" t="n">
        <v>2045.1038848369726</v>
      </c>
      <c r="F34" s="6">
        <f si="0" t="shared"/>
        <v>86240.792808939936</v>
      </c>
      <c r="H34" s="12">
        <v>0.64583333333333337</v>
      </c>
      <c r="I34" s="9" t="n">
        <v>7023.079107284546</v>
      </c>
      <c r="J34" s="9" t="n">
        <v>1154.0297164916992</v>
      </c>
      <c r="K34" s="9" t="n">
        <v>32997.16529750824</v>
      </c>
      <c r="L34" s="9" t="n">
        <v>2269.954602241516</v>
      </c>
      <c r="M34">
        <f si="1" t="shared"/>
        <v>87137.510986328125</v>
      </c>
    </row>
    <row r="35" spans="1:13" x14ac:dyDescent="0.25">
      <c r="A35" s="12">
        <v>0.66666666666666663</v>
      </c>
      <c r="B35" s="6" t="n">
        <v>6402.63693492671</v>
      </c>
      <c r="C35" s="6" t="n">
        <v>1460.7444667688756</v>
      </c>
      <c r="D35" s="6" t="n">
        <v>30557.325144083814</v>
      </c>
      <c r="E35" s="6" t="n">
        <v>1406.0347636529318</v>
      </c>
      <c r="F35" s="6">
        <f si="0" t="shared"/>
        <v>83924.162926753605</v>
      </c>
      <c r="H35" s="12">
        <v>0.66666666666666663</v>
      </c>
      <c r="I35" s="9" t="n">
        <v>6198.395690917969</v>
      </c>
      <c r="J35" s="9" t="n">
        <v>1340.7416620254517</v>
      </c>
      <c r="K35" s="9" t="n">
        <v>35233.00218009949</v>
      </c>
      <c r="L35" s="9" t="n">
        <v>1562.0408096313477</v>
      </c>
      <c r="M35">
        <f si="1" t="shared"/>
        <v>87144.305691719055</v>
      </c>
    </row>
    <row r="36" spans="1:13" x14ac:dyDescent="0.25">
      <c r="A36" s="12">
        <v>0.6875</v>
      </c>
      <c r="B36" s="6" t="n">
        <v>5635.4994976192775</v>
      </c>
      <c r="C36" s="6" t="n">
        <v>1777.182208691052</v>
      </c>
      <c r="D36" s="6" t="n">
        <v>33367.744954867376</v>
      </c>
      <c r="E36" s="6" t="n">
        <v>954.4263625523336</v>
      </c>
      <c r="F36" s="6">
        <f si="0" t="shared"/>
        <v>81916.527344017086</v>
      </c>
      <c r="H36" s="12">
        <v>0.6875</v>
      </c>
      <c r="I36" s="9" t="n">
        <v>5454.705905914307</v>
      </c>
      <c r="J36" s="9" t="n">
        <v>1461.8617820739746</v>
      </c>
      <c r="K36" s="9" t="n">
        <v>37475.056131362915</v>
      </c>
      <c r="L36" s="9" t="n">
        <v>1025.1599588394165</v>
      </c>
      <c r="M36">
        <f si="1" t="shared"/>
        <v>86994.169306755066</v>
      </c>
    </row>
    <row r="37" spans="1:13" x14ac:dyDescent="0.25">
      <c r="A37" s="12">
        <v>0.70833333333333337</v>
      </c>
      <c r="B37" s="6" t="n">
        <v>4931.403532076865</v>
      </c>
      <c r="C37" s="6" t="n">
        <v>1960.9173183965113</v>
      </c>
      <c r="D37" s="6" t="n">
        <v>36903.941631260765</v>
      </c>
      <c r="E37" s="6" t="n">
        <v>650.434766224557</v>
      </c>
      <c r="F37" s="6">
        <f si="0" t="shared"/>
        <v>79889.837289605435</v>
      </c>
      <c r="H37" s="12">
        <v>0.70833333333333337</v>
      </c>
      <c r="I37" s="9" t="n">
        <v>4818.551876068115</v>
      </c>
      <c r="J37" s="9" t="n">
        <v>1482.0687646865845</v>
      </c>
      <c r="K37" s="9" t="n">
        <v>39233.730704307556</v>
      </c>
      <c r="L37" s="9" t="n">
        <v>666.6289730072021</v>
      </c>
      <c r="M37">
        <f si="1" t="shared"/>
        <v>85937.395572662354</v>
      </c>
    </row>
    <row r="38" spans="1:13" x14ac:dyDescent="0.25">
      <c r="A38" s="12">
        <v>0.72916666666666663</v>
      </c>
      <c r="B38" s="6" t="n">
        <v>4207.202562890492</v>
      </c>
      <c r="C38" s="6" t="n">
        <v>1924.270314604929</v>
      </c>
      <c r="D38" s="6" t="n">
        <v>40083.159934317126</v>
      </c>
      <c r="E38" s="6" t="n">
        <v>457.4171803189479</v>
      </c>
      <c r="F38" s="6">
        <f si="0" t="shared"/>
        <v>76921.874885409939</v>
      </c>
      <c r="H38" s="12">
        <v>0.72916666666666663</v>
      </c>
      <c r="I38" s="9" t="n">
        <v>4248.5935344696045</v>
      </c>
      <c r="J38" s="9" t="n">
        <v>1391.2520761489868</v>
      </c>
      <c r="K38" s="9" t="n">
        <v>40008.80056762695</v>
      </c>
      <c r="L38" s="9" t="n">
        <v>457.84117889404297</v>
      </c>
      <c r="M38">
        <f si="1" t="shared"/>
        <v>83203.243083953857</v>
      </c>
    </row>
    <row r="39" spans="1:13" x14ac:dyDescent="0.25">
      <c r="A39" s="12">
        <v>0.75</v>
      </c>
      <c r="B39" s="6" t="n">
        <v>3433.4718524808104</v>
      </c>
      <c r="C39" s="6" t="n">
        <v>1666.174693541641</v>
      </c>
      <c r="D39" s="6" t="n">
        <v>41402.06014133124</v>
      </c>
      <c r="E39" s="6" t="n">
        <v>335.5220620898224</v>
      </c>
      <c r="F39" s="6">
        <f si="0" t="shared"/>
        <v>72107.245972245248</v>
      </c>
      <c r="H39" s="12">
        <v>0.75</v>
      </c>
      <c r="I39" s="9" t="n">
        <v>3678.6859521865845</v>
      </c>
      <c r="J39" s="9" t="n">
        <v>1206.1473207473755</v>
      </c>
      <c r="K39" s="9" t="n">
        <v>39394.77785778046</v>
      </c>
      <c r="L39" s="9" t="n">
        <v>344.9698209762573</v>
      </c>
      <c r="M39">
        <f si="1" t="shared"/>
        <v>78257.822294235229</v>
      </c>
    </row>
    <row r="40" spans="1:13" x14ac:dyDescent="0.25">
      <c r="A40" s="12">
        <v>0.77083333333333337</v>
      </c>
      <c r="B40" s="6" t="n">
        <v>2650.5780606552803</v>
      </c>
      <c r="C40" s="6" t="n">
        <v>1271.5691999938338</v>
      </c>
      <c r="D40" s="6" t="n">
        <v>39720.45048434765</v>
      </c>
      <c r="E40" s="6" t="n">
        <v>249.68004052568264</v>
      </c>
      <c r="F40" s="6">
        <f si="0" t="shared"/>
        <v>65106.666939214265</v>
      </c>
      <c r="H40" s="12">
        <v>0.77083333333333337</v>
      </c>
      <c r="I40" s="9" t="n">
        <v>3076.940835952759</v>
      </c>
      <c r="J40" s="9" t="n">
        <v>963.9233283996582</v>
      </c>
      <c r="K40" s="9" t="n">
        <v>37231.87913799286</v>
      </c>
      <c r="L40" s="9" t="n">
        <v>276.55202770233154</v>
      </c>
      <c r="M40">
        <f si="1" t="shared"/>
        <v>71093.526225090027</v>
      </c>
    </row>
    <row r="41" spans="1:13" x14ac:dyDescent="0.25">
      <c r="A41" s="12">
        <v>0.79166666666666663</v>
      </c>
      <c r="B41" s="6" t="n">
        <v>1935.3051288943177</v>
      </c>
      <c r="C41" s="6" t="n">
        <v>859.2462343706566</v>
      </c>
      <c r="D41" s="6" t="n">
        <v>34947.17753409859</v>
      </c>
      <c r="E41" s="6" t="n">
        <v>178.9282265715731</v>
      </c>
      <c r="F41" s="6">
        <f si="0" t="shared"/>
        <v>56284.141199683982</v>
      </c>
      <c r="H41" s="12">
        <v>0.79166666666666663</v>
      </c>
      <c r="I41" s="9" t="n">
        <v>2472.33660697937</v>
      </c>
      <c r="J41" s="9" t="n">
        <v>711.3363676071167</v>
      </c>
      <c r="K41" s="9" t="n">
        <v>33712.62982082367</v>
      </c>
      <c r="L41" s="9" t="n">
        <v>222.50667095184326</v>
      </c>
      <c r="M41">
        <f si="1" t="shared"/>
        <v>62334.348521232605</v>
      </c>
    </row>
    <row r="42" spans="1:13" x14ac:dyDescent="0.25">
      <c r="A42" s="12">
        <v>0.8125</v>
      </c>
      <c r="B42" s="6" t="n">
        <v>1352.774492404208</v>
      </c>
      <c r="C42" s="6" t="n">
        <v>519.7042787513246</v>
      </c>
      <c r="D42" s="6" t="n">
        <v>28121.618586669458</v>
      </c>
      <c r="E42" s="6" t="n">
        <v>117.78330600139648</v>
      </c>
      <c r="F42" s="6">
        <f si="0" t="shared"/>
        <v>46473.140841808592</v>
      </c>
      <c r="H42" s="12">
        <v>0.8125</v>
      </c>
      <c r="I42" s="9" t="n">
        <v>1929.0765752792358</v>
      </c>
      <c r="J42" s="9" t="n">
        <v>490.45879077911377</v>
      </c>
      <c r="K42" s="9" t="n">
        <v>29302.796484947205</v>
      </c>
      <c r="L42" s="9" t="n">
        <v>174.62472915649414</v>
      </c>
      <c r="M42">
        <f si="1" t="shared"/>
        <v>52972.95551776886</v>
      </c>
    </row>
    <row r="43" spans="1:13" x14ac:dyDescent="0.25">
      <c r="A43" s="12">
        <v>0.83333333333333337</v>
      </c>
      <c r="B43" s="6" t="n">
        <v>927.3597530590664</v>
      </c>
      <c r="C43" s="6" t="n">
        <v>286.34116572209143</v>
      </c>
      <c r="D43" s="6" t="n">
        <v>20832.95682471084</v>
      </c>
      <c r="E43" s="6" t="n">
        <v>69.42446319328101</v>
      </c>
      <c r="F43" s="6">
        <f si="0" t="shared"/>
        <v>36624.463854158203</v>
      </c>
      <c r="H43" s="12">
        <v>0.83333333333333337</v>
      </c>
      <c r="I43" s="9" t="n">
        <v>1495.4827117919922</v>
      </c>
      <c r="J43" s="9" t="n">
        <v>325.04625511169434</v>
      </c>
      <c r="K43" s="9" t="n">
        <v>24503.84447002411</v>
      </c>
      <c r="L43" s="9" t="n">
        <v>135.1479902267456</v>
      </c>
      <c r="M43">
        <f si="1" t="shared"/>
        <v>43881.714272499084</v>
      </c>
    </row>
    <row r="44" spans="1:13" x14ac:dyDescent="0.25">
      <c r="A44" s="12">
        <v>0.85416666666666663</v>
      </c>
      <c r="B44" s="6" t="n">
        <v>642.5095249203716</v>
      </c>
      <c r="C44" s="6" t="n">
        <v>147.0387242809274</v>
      </c>
      <c r="D44" s="6" t="n">
        <v>14427.351752456516</v>
      </c>
      <c r="E44" s="6" t="n">
        <v>37.04022809667968</v>
      </c>
      <c r="F44" s="6">
        <f si="0" t="shared"/>
        <v>27540.98528557628</v>
      </c>
      <c r="H44" s="12">
        <v>0.85416666666666663</v>
      </c>
      <c r="I44" s="9" t="n">
        <v>1173.214319229126</v>
      </c>
      <c r="J44" s="9" t="n">
        <v>215.63556575775146</v>
      </c>
      <c r="K44" s="9" t="n">
        <v>19666.031947135925</v>
      </c>
      <c r="L44" s="9" t="n">
        <v>105.73854732513428</v>
      </c>
      <c r="M44">
        <f si="1" t="shared"/>
        <v>35493.753213882446</v>
      </c>
    </row>
    <row r="45" spans="1:13" x14ac:dyDescent="0.25">
      <c r="A45" s="12">
        <v>0.875</v>
      </c>
      <c r="B45" s="6" t="n">
        <v>459.06661855144125</v>
      </c>
      <c r="C45" s="6" t="n">
        <v>72.04322034882664</v>
      </c>
      <c r="D45" s="6" t="n">
        <v>9540.765711012697</v>
      </c>
      <c r="E45" s="6" t="n">
        <v>19.411678529189032</v>
      </c>
      <c r="F45" s="6">
        <f si="0" t="shared"/>
        <v>19756.8888996151</v>
      </c>
      <c r="H45" s="12">
        <v>0.875</v>
      </c>
      <c r="I45" s="9" t="n">
        <v>927.7999849319458</v>
      </c>
      <c r="J45" s="9" t="n">
        <v>146.9267988204956</v>
      </c>
      <c r="K45" s="9" t="n">
        <v>14999.175906181335</v>
      </c>
      <c r="L45" s="9" t="n">
        <v>83.91718673706055</v>
      </c>
      <c r="M45">
        <f si="1" t="shared"/>
        <v>27879.536237716675</v>
      </c>
    </row>
    <row r="46" spans="1:13" x14ac:dyDescent="0.25">
      <c r="A46" s="12">
        <v>0.89583333333333337</v>
      </c>
      <c r="B46" s="6" t="n">
        <v>336.30258988503437</v>
      </c>
      <c r="C46" s="6" t="n">
        <v>34.25346580266239</v>
      </c>
      <c r="D46" s="6" t="n">
        <v>6141.796136616278</v>
      </c>
      <c r="E46" s="6" t="n">
        <v>11.743378011959447</v>
      </c>
      <c r="F46" s="6">
        <f si="0" t="shared"/>
        <v>13522.708320592597</v>
      </c>
      <c r="H46" s="12">
        <v>0.89583333333333337</v>
      </c>
      <c r="I46" s="9" t="n">
        <v>721.9976654052734</v>
      </c>
      <c r="J46" s="9" t="n">
        <v>101.06478595733643</v>
      </c>
      <c r="K46" s="9" t="n">
        <v>10701.167699813843</v>
      </c>
      <c r="L46" s="9" t="n">
        <v>65.6464672088623</v>
      </c>
      <c r="M46">
        <f si="1" t="shared"/>
        <v>21044.529943466187</v>
      </c>
    </row>
    <row r="47" spans="1:13" x14ac:dyDescent="0.25">
      <c r="A47" s="12">
        <v>0.91666666666666663</v>
      </c>
      <c r="B47" s="6" t="n">
        <v>245.2881283993059</v>
      </c>
      <c r="C47" s="6" t="n">
        <v>15.849286281775086</v>
      </c>
      <c r="D47" s="6" t="n">
        <v>3872.0066399169586</v>
      </c>
      <c r="E47" s="6" t="n">
        <v>8.750190447544064</v>
      </c>
      <c r="F47" s="6">
        <f si="0" t="shared"/>
        <v>8843.4401100091891</v>
      </c>
      <c r="H47" s="12">
        <v>0.91666666666666663</v>
      </c>
      <c r="I47" s="9" t="n">
        <v>539.114179611206</v>
      </c>
      <c r="J47" s="9" t="n">
        <v>66.80630111694336</v>
      </c>
      <c r="K47" s="9" t="n">
        <v>7019.0103931427</v>
      </c>
      <c r="L47" s="9" t="n">
        <v>48.719146728515625</v>
      </c>
      <c r="M47">
        <f si="1" t="shared"/>
        <v>15113.75560760498</v>
      </c>
    </row>
    <row r="48" spans="1:13" x14ac:dyDescent="0.25">
      <c r="A48" s="12">
        <v>0.9375</v>
      </c>
      <c r="B48" s="6" t="n">
        <v>172.0054213334577</v>
      </c>
      <c r="C48" s="6" t="n">
        <v>7.016741431742483</v>
      </c>
      <c r="D48" s="6" t="n">
        <v>2362.386225871325</v>
      </c>
      <c r="E48" s="6" t="n">
        <v>6.928826531878023</v>
      </c>
      <c r="F48" s="6">
        <f si="0" t="shared"/>
        <v>5541.6965314502631</v>
      </c>
      <c r="H48" s="12">
        <v>0.9375</v>
      </c>
      <c r="I48" s="9" t="n">
        <v>381.75420475006104</v>
      </c>
      <c r="J48" s="9" t="n">
        <v>40.42964172363281</v>
      </c>
      <c r="K48" s="9" t="n">
        <v>4171.558166503906</v>
      </c>
      <c r="L48" s="9" t="n">
        <v>33.470130920410156</v>
      </c>
      <c r="M48">
        <f si="1" t="shared"/>
        <v>10272.605228424072</v>
      </c>
    </row>
    <row r="49" spans="1:13" x14ac:dyDescent="0.25">
      <c r="A49" s="12">
        <v>0.95833333333333337</v>
      </c>
      <c r="B49" s="6" t="n">
        <v>112.99495811833081</v>
      </c>
      <c r="C49" s="6" t="n">
        <v>2.862921994463118</v>
      </c>
      <c r="D49" s="6" t="n">
        <v>1363.9554566956122</v>
      </c>
      <c r="E49" s="6" t="n">
        <v>4.990296547884968</v>
      </c>
      <c r="F49" s="6">
        <f si="0" t="shared"/>
        <v>3336.8203109609026</v>
      </c>
      <c r="H49" s="12">
        <v>0.95833333333333337</v>
      </c>
      <c r="I49" s="9" t="n">
        <v>256.8453178405762</v>
      </c>
      <c r="J49" s="9" t="n">
        <v>21.706405639648438</v>
      </c>
      <c r="K49" s="9" t="n">
        <v>2228.2301921844482</v>
      </c>
      <c r="L49" s="9" t="n">
        <v>21.1970796585083</v>
      </c>
      <c r="M49">
        <f si="1" t="shared"/>
        <v>6603.7642431259155</v>
      </c>
    </row>
    <row r="50" spans="1:13" x14ac:dyDescent="0.25">
      <c r="A50" s="12">
        <v>0.97916666666666663</v>
      </c>
      <c r="B50" s="6" t="n">
        <v>68.599741739834</v>
      </c>
      <c r="C50" s="6" t="n">
        <v>1.0227464507642603</v>
      </c>
      <c r="D50" s="6" t="n">
        <v>729.3305332843086</v>
      </c>
      <c r="E50" s="6" t="n">
        <v>3.0381500276505697</v>
      </c>
      <c r="F50" s="6">
        <f si="0" t="shared"/>
        <v>1927.9875459817983</v>
      </c>
      <c r="H50" s="12">
        <v>0.97916666666666663</v>
      </c>
      <c r="I50" s="9" t="n">
        <v>164.93793392181396</v>
      </c>
      <c r="J50" s="9" t="n">
        <v>10.193532943725586</v>
      </c>
      <c r="K50" s="9" t="n">
        <v>1071.2992782592773</v>
      </c>
      <c r="L50" s="9" t="n">
        <v>12.513504028320312</v>
      </c>
      <c r="M50">
        <f si="1" t="shared"/>
        <v>4012.7606534957886</v>
      </c>
    </row>
    <row r="51" spans="1:13" x14ac:dyDescent="0.25">
      <c r="A51" s="12">
        <v>1</v>
      </c>
      <c r="B51" s="6" t="n">
        <v>38.27526333285249</v>
      </c>
      <c r="C51" s="6" t="n">
        <v>0.30217576193833995</v>
      </c>
      <c r="D51" s="6" t="n">
        <v>355.8911712778354</v>
      </c>
      <c r="E51" s="6" t="n">
        <v>1.5151816064328258</v>
      </c>
      <c r="F51" s="6">
        <f si="0" t="shared"/>
        <v>1058.2272709880936</v>
      </c>
      <c r="H51" s="12">
        <v>1</v>
      </c>
      <c r="I51" s="9" t="n">
        <v>100.39055633544922</v>
      </c>
      <c r="J51" s="9" t="n">
        <v>4.1924943923950195</v>
      </c>
      <c r="K51" s="9" t="n">
        <v>469.8809118270874</v>
      </c>
      <c r="L51" s="9" t="n">
        <v>6.975709915161133</v>
      </c>
      <c r="M51">
        <f si="1" t="shared"/>
        <v>2287.7256155014038</v>
      </c>
    </row>
    <row r="52" spans="1:13" x14ac:dyDescent="0.25">
      <c r="A52" s="12">
        <v>1.0208333333333333</v>
      </c>
      <c r="B52" s="6" t="n">
        <v>19.517481429276096</v>
      </c>
      <c r="C52" s="6" t="n">
        <v>0.06941497414072155</v>
      </c>
      <c r="D52" s="6" t="n">
        <v>157.0203977220895</v>
      </c>
      <c r="E52" s="6" t="n">
        <v>0.6057644760466414</v>
      </c>
      <c r="F52" s="6">
        <f si="0" t="shared"/>
        <v>540.58085259188579</v>
      </c>
      <c r="H52" s="12">
        <v>1.0208333333333333</v>
      </c>
      <c r="I52" s="9" t="n">
        <v>56.520432472229004</v>
      </c>
      <c r="J52" s="9" t="n">
        <v>1.5357275009155273</v>
      </c>
      <c r="K52" s="9" t="n">
        <v>192.1313762664795</v>
      </c>
      <c r="L52" s="9" t="n">
        <v>3.662032127380371</v>
      </c>
      <c r="M52">
        <f si="1" t="shared"/>
        <v>1201.3665294647217</v>
      </c>
    </row>
    <row r="53" spans="1:13" x14ac:dyDescent="0.25">
      <c r="A53" s="12">
        <v>4.1666666666666664E-2</v>
      </c>
      <c r="B53" s="6" t="n">
        <v>8.972909955726909</v>
      </c>
      <c r="C53" s="6" t="n">
        <v>0.011477287824024483</v>
      </c>
      <c r="D53" s="6" t="n">
        <v>62.0410000458814</v>
      </c>
      <c r="E53" s="6" t="n">
        <v>0.18928918970951158</v>
      </c>
      <c r="F53" s="6">
        <f si="0" t="shared"/>
        <v>249.8046409232671</v>
      </c>
      <c r="H53" s="12">
        <v>4.1666666666666664E-2</v>
      </c>
      <c r="I53" s="9" t="n">
        <v>28.40907382965088</v>
      </c>
      <c r="J53" s="9" t="n">
        <v>0.5146894454956055</v>
      </c>
      <c r="K53" s="9" t="n">
        <v>74.24471092224121</v>
      </c>
      <c r="L53" s="9" t="n">
        <v>1.7631635665893555</v>
      </c>
      <c r="M53">
        <f si="1" t="shared"/>
        <v>565.16321659088135</v>
      </c>
    </row>
    <row r="54" spans="1:13" x14ac:dyDescent="0.25">
      <c r="A54" s="12">
        <v>6.25E-2</v>
      </c>
      <c r="B54" s="6" t="n">
        <v>3.6264913356094617</v>
      </c>
      <c r="C54" s="6" t="n">
        <v>0.0012064378802657298</v>
      </c>
      <c r="D54" s="6" t="n">
        <v>21.59029166166772</v>
      </c>
      <c r="E54" s="6" t="n">
        <v>0.04453863287282625</v>
      </c>
      <c r="F54" s="6">
        <f si="0" t="shared"/>
        <v>101.07875253393723</v>
      </c>
      <c r="H54" s="12">
        <v>6.25E-2</v>
      </c>
      <c r="I54" s="9" t="n">
        <v>12.280410766601562</v>
      </c>
      <c r="J54" s="9" t="n">
        <v>0.16030502319335938</v>
      </c>
      <c r="K54" s="9" t="n">
        <v>26.702847480773926</v>
      </c>
      <c r="L54" s="9" t="n">
        <v>0.7466106414794922</v>
      </c>
      <c r="M54">
        <f si="1" t="shared"/>
        <v>230.52931308746338</v>
      </c>
    </row>
    <row r="55" spans="1:13" x14ac:dyDescent="0.25">
      <c r="A55" s="12">
        <v>8.3333333333333329E-2</v>
      </c>
      <c r="B55" s="6" t="n">
        <v>1.2438135430356327</v>
      </c>
      <c r="C55" s="6" t="n">
        <v>6.03218940132865E-5</v>
      </c>
      <c r="D55" s="6" t="n">
        <v>6.434620780989857</v>
      </c>
      <c r="E55" s="6" t="n">
        <v>0.007423105478804376</v>
      </c>
      <c r="F55" s="6">
        <f si="0" t="shared"/>
        <v>34.585947605898937</v>
      </c>
      <c r="H55" s="12">
        <v>8.3333333333333329E-2</v>
      </c>
      <c r="I55" s="9" t="n">
        <v>4.40492057800293</v>
      </c>
      <c r="J55" s="9" t="n">
        <v>0.045337677001953125</v>
      </c>
      <c r="K55" s="9" t="n">
        <v>8.530539512634277</v>
      </c>
      <c r="L55" s="9" t="n">
        <v>0.2657785415649414</v>
      </c>
      <c r="M55">
        <f si="1" t="shared"/>
        <v>78.760061264038086</v>
      </c>
    </row>
    <row r="56" spans="1:13" x14ac:dyDescent="0.25">
      <c r="A56" s="12">
        <v>0.10416666666666667</v>
      </c>
      <c r="B56" s="6" t="n">
        <v>0.3467797519231943</v>
      </c>
      <c r="C56" s="6" t="n">
        <v>0.0</v>
      </c>
      <c r="D56" s="6" t="n">
        <v>1.5768680578483836</v>
      </c>
      <c r="E56" s="6" t="n">
        <v>7.813795240846712E-4</v>
      </c>
      <c r="F56" s="6">
        <f si="0" t="shared"/>
        <v>9.6257583477333899</v>
      </c>
      <c r="G56" s="5"/>
      <c r="H56" s="12">
        <v>0.10416666666666667</v>
      </c>
      <c r="I56" s="9" t="n">
        <v>1.2635269165039062</v>
      </c>
      <c r="J56" s="9" t="n">
        <v>0.010929107666015625</v>
      </c>
      <c r="K56" s="9" t="n">
        <v>2.2750844955444336</v>
      </c>
      <c r="L56" s="9" t="n">
        <v>0.07606124877929688</v>
      </c>
      <c r="M56">
        <f si="1" t="shared"/>
        <v>21.700363159179688</v>
      </c>
    </row>
    <row r="57" spans="1:13" x14ac:dyDescent="0.25">
      <c r="A57" s="12">
        <v>0.125</v>
      </c>
      <c r="B57" s="6" t="n">
        <v>0.0734950796908505</v>
      </c>
      <c r="C57" s="6" t="n">
        <v>0.0</v>
      </c>
      <c r="D57" s="6" t="n">
        <v>0.2973180399071346</v>
      </c>
      <c r="E57" s="6" t="n">
        <v>3.906897620423355E-5</v>
      </c>
      <c r="F57" s="6">
        <f si="0" t="shared"/>
        <v>2.0454838645371329</v>
      </c>
      <c r="G57" s="5"/>
      <c r="H57" s="12">
        <v>0.125</v>
      </c>
      <c r="I57" s="9" t="n">
        <v>0.27292537689208984</v>
      </c>
      <c r="J57" s="9" t="n">
        <v>0.0020456314086914062</v>
      </c>
      <c r="K57" s="9" t="n">
        <v>0.46744346618652344</v>
      </c>
      <c r="L57" s="9" t="n">
        <v>0.01640605926513672</v>
      </c>
      <c r="M57">
        <f si="1" t="shared"/>
        <v>4.5366191864013672</v>
      </c>
    </row>
    <row r="58" spans="1:13" x14ac:dyDescent="0.25">
      <c r="A58" s="21" t="s">
        <v>34</v>
      </c>
      <c r="B58" s="22" t="n">
        <v>0.0</v>
      </c>
      <c r="C58" s="22" t="n">
        <v>0.0</v>
      </c>
      <c r="D58" s="22" t="n">
        <v>0.0</v>
      </c>
      <c r="E58" s="22" t="n">
        <v>0.0</v>
      </c>
      <c r="F58" s="22">
        <f si="0" t="shared"/>
        <v>0</v>
      </c>
      <c r="G58" s="5"/>
      <c r="H58" s="21" t="s">
        <v>34</v>
      </c>
      <c r="I58" s="24" t="n">
        <v>0.0</v>
      </c>
      <c r="J58" s="24" t="n">
        <v>0.0</v>
      </c>
      <c r="K58" s="24" t="n">
        <v>0.0</v>
      </c>
      <c r="L58" s="24" t="n">
        <v>0.0</v>
      </c>
      <c r="M58" s="23">
        <f si="1" t="shared"/>
        <v>0</v>
      </c>
    </row>
    <row ht="15.75" r="59" spans="1:13" thickBot="1" x14ac:dyDescent="0.3">
      <c r="A59" s="25"/>
      <c r="B59" s="26">
        <f>SUM(B8:B58)</f>
        <v>698038.97701413429</v>
      </c>
      <c r="C59" s="26">
        <f>SUM(C8:C58)</f>
        <v>522075.25292969547</v>
      </c>
      <c r="D59" s="26">
        <f>SUM(D8:D58)</f>
        <v>1712578.8389099336</v>
      </c>
      <c r="E59" s="26">
        <f>SUM(E8:E58)</f>
        <v>169519.02432190703</v>
      </c>
      <c r="F59" s="26">
        <f>SUM(F8:F58)</f>
        <v>3102212.0931756715</v>
      </c>
      <c r="G59" s="5"/>
      <c r="H59" s="25"/>
      <c r="I59" s="26">
        <f>SUM(I8:I58)</f>
        <v>715227.35094547272</v>
      </c>
      <c r="J59" s="26">
        <f>SUM(J8:J58)</f>
        <v>520699.41638946533</v>
      </c>
      <c r="K59" s="26">
        <f>SUM(K8:K58)</f>
        <v>1749141.0560083389</v>
      </c>
      <c r="L59" s="26">
        <f>SUM(L8:L58)</f>
        <v>178972.8727722168</v>
      </c>
      <c r="M59" s="26">
        <f>SUM(M8:M58)</f>
        <v>3164040.6961154938</v>
      </c>
    </row>
    <row r="60" spans="1:13" x14ac:dyDescent="0.25">
      <c r="G60" s="5"/>
    </row>
    <row r="61" spans="1:13" x14ac:dyDescent="0.25">
      <c r="G61" s="5"/>
    </row>
    <row ht="15.75" r="63" spans="1:13" thickBot="1" x14ac:dyDescent="0.3">
      <c r="A63" s="3" t="s">
        <v>47</v>
      </c>
      <c r="B63" s="1"/>
      <c r="C63" s="1"/>
      <c r="D63" s="1"/>
      <c r="E63" s="1"/>
      <c r="F63" s="1"/>
      <c r="H63" s="3" t="s">
        <v>12</v>
      </c>
      <c r="I63" s="1"/>
      <c r="J63" s="1"/>
      <c r="K63" s="1"/>
      <c r="L63" s="1"/>
      <c r="M63" s="1"/>
    </row>
    <row r="64" spans="1:13" x14ac:dyDescent="0.25">
      <c r="A64" s="2" t="s">
        <v>4</v>
      </c>
      <c r="B64" s="4" t="s">
        <v>48</v>
      </c>
      <c r="C64" s="4" t="s">
        <v>48</v>
      </c>
      <c r="D64" s="4" t="s">
        <v>48</v>
      </c>
      <c r="E64" s="4" t="s">
        <v>48</v>
      </c>
      <c r="F64" s="4" t="s">
        <v>48</v>
      </c>
      <c r="H64" s="2" t="s">
        <v>4</v>
      </c>
      <c r="I64" s="4" t="s">
        <v>35</v>
      </c>
      <c r="J64" s="4" t="s">
        <v>35</v>
      </c>
      <c r="K64" s="4" t="s">
        <v>35</v>
      </c>
      <c r="L64" s="4" t="s">
        <v>35</v>
      </c>
      <c r="M64" s="4" t="s">
        <v>35</v>
      </c>
    </row>
    <row r="65" spans="1:13" x14ac:dyDescent="0.25">
      <c r="A65" t="s">
        <v>5</v>
      </c>
      <c r="B65" s="18">
        <f>B8/B$59</f>
        <v>7.4186582538384431E-5</v>
      </c>
      <c r="C65" s="18">
        <f ref="C65:F65" si="2" t="shared">C8/C$59</f>
        <v>0</v>
      </c>
      <c r="D65" s="18">
        <f si="2" t="shared"/>
        <v>1.0714980313627227E-3</v>
      </c>
      <c r="E65" s="18">
        <f si="2" t="shared"/>
        <v>0</v>
      </c>
      <c r="F65" s="18">
        <f si="2" t="shared"/>
        <v>6.0821437218279634E-4</v>
      </c>
      <c r="H65" t="s">
        <v>5</v>
      </c>
      <c r="I65" s="17">
        <f ref="I65:M65" si="3" t="shared">I8/I$59</f>
        <v>2.2230693469679937E-3</v>
      </c>
      <c r="J65" s="17">
        <f si="3" t="shared"/>
        <v>3.8409875967751586E-5</v>
      </c>
      <c r="K65" s="17">
        <f si="3" t="shared"/>
        <v>1.7637228223549813E-3</v>
      </c>
      <c r="L65" s="17">
        <f si="3" t="shared"/>
        <v>4.1905792111553326E-4</v>
      </c>
      <c r="M65" s="18">
        <f si="3" t="shared"/>
        <v>1.5075659443496252E-3</v>
      </c>
    </row>
    <row r="66" spans="1:13" x14ac:dyDescent="0.25">
      <c r="A66" s="12">
        <v>0.125</v>
      </c>
      <c r="B66" s="18">
        <f ref="B66:F66" si="4" t="shared">B9/B$59</f>
        <v>1.7199737353974854E-3</v>
      </c>
      <c r="C66" s="18">
        <f si="4" t="shared"/>
        <v>8.2313887607487357E-5</v>
      </c>
      <c r="D66" s="18">
        <f si="4" t="shared"/>
        <v>1.221017828576541E-3</v>
      </c>
      <c r="E66" s="18">
        <f si="4" t="shared"/>
        <v>5.4717144675559976E-5</v>
      </c>
      <c r="F66" s="18">
        <f si="4" t="shared"/>
        <v>1.0779236048777815E-3</v>
      </c>
      <c r="H66" s="12">
        <v>0.125</v>
      </c>
      <c r="I66" s="17">
        <f ref="I66:M66" si="5" t="shared">I9/I$59</f>
        <v>3.33566566925232E-3</v>
      </c>
      <c r="J66" s="17">
        <f si="5" t="shared"/>
        <v>1.2116556577585357E-4</v>
      </c>
      <c r="K66" s="17">
        <f si="5" t="shared"/>
        <v>1.9403278494209291E-3</v>
      </c>
      <c r="L66" s="17">
        <f si="5" t="shared"/>
        <v>4.7830723080580716E-4</v>
      </c>
      <c r="M66" s="18">
        <f si="5" t="shared"/>
        <v>1.8736678354443757E-3</v>
      </c>
    </row>
    <row r="67" spans="1:13" x14ac:dyDescent="0.25">
      <c r="A67" s="12">
        <v>0.14583333333333334</v>
      </c>
      <c r="B67" s="18">
        <f ref="B67:F67" si="6" t="shared">B10/B$59</f>
        <v>4.1126677324294413E-3</v>
      </c>
      <c r="C67" s="18">
        <f si="6" t="shared"/>
        <v>3.5686955766372992E-4</v>
      </c>
      <c r="D67" s="18">
        <f si="6" t="shared"/>
        <v>1.5370364256635527E-3</v>
      </c>
      <c r="E67" s="18">
        <f si="6" t="shared"/>
        <v>1.7433901192025257E-4</v>
      </c>
      <c r="F67" s="18">
        <f si="6" t="shared"/>
        <v>1.8435119218096487E-3</v>
      </c>
      <c r="H67" s="12">
        <v>0.14583333333333334</v>
      </c>
      <c r="I67" s="17">
        <f ref="I67:M67" si="7" t="shared">I10/I$59</f>
        <v>4.792358514364309E-3</v>
      </c>
      <c r="J67" s="17">
        <f si="7" t="shared"/>
        <v>4.1267154822264499E-4</v>
      </c>
      <c r="K67" s="17">
        <f si="7" t="shared"/>
        <v>2.1291019325782295E-3</v>
      </c>
      <c r="L67" s="17">
        <f si="7" t="shared"/>
        <v>5.9451860320175074E-4</v>
      </c>
      <c r="M67" s="18">
        <f si="7" t="shared"/>
        <v>2.3618552168230005E-3</v>
      </c>
    </row>
    <row r="68" spans="1:13" x14ac:dyDescent="0.25">
      <c r="A68" s="12">
        <v>0.16666666666666666</v>
      </c>
      <c r="B68" s="18">
        <f ref="B68:F68" si="8" t="shared">B11/B$59</f>
        <v>8.1676171320027094E-3</v>
      </c>
      <c r="C68" s="18">
        <f si="8" t="shared"/>
        <v>1.2890970592743238E-3</v>
      </c>
      <c r="D68" s="18">
        <f si="8" t="shared"/>
        <v>2.1445061915783517E-3</v>
      </c>
      <c r="E68" s="18">
        <f si="8" t="shared"/>
        <v>4.3801700273343318E-4</v>
      </c>
      <c r="F68" s="18">
        <f si="8" t="shared"/>
        <v>3.2625779976652646E-3</v>
      </c>
      <c r="H68" s="12">
        <v>0.16666666666666666</v>
      </c>
      <c r="I68" s="17">
        <f ref="I68:M68" si="9" t="shared">I11/I$59</f>
        <v>7.2415622825972529E-3</v>
      </c>
      <c r="J68" s="17">
        <f si="9" t="shared"/>
        <v>1.3402676846812317E-3</v>
      </c>
      <c r="K68" s="17">
        <f si="9" t="shared"/>
        <v>2.4109928753791193E-3</v>
      </c>
      <c r="L68" s="17">
        <f si="9" t="shared"/>
        <v>8.229013655914445E-4</v>
      </c>
      <c r="M68" s="18">
        <f si="9" t="shared"/>
        <v>3.2369001028839215E-3</v>
      </c>
    </row>
    <row r="69" spans="1:13" x14ac:dyDescent="0.25">
      <c r="A69" s="12">
        <v>0.1875</v>
      </c>
      <c r="B69" s="18">
        <f ref="B69:F69" si="10" t="shared">B12/B$59</f>
        <v>1.4943803265293001E-2</v>
      </c>
      <c r="C69" s="18">
        <f si="10" t="shared"/>
        <v>3.9232418673418624E-3</v>
      </c>
      <c r="D69" s="18">
        <f si="10" t="shared"/>
        <v>3.1218967513836821E-3</v>
      </c>
      <c r="E69" s="18">
        <f si="10" t="shared"/>
        <v>9.4015305677083141E-4</v>
      </c>
      <c r="F69" s="18">
        <f si="10" t="shared"/>
        <v>5.797621902237364E-3</v>
      </c>
      <c r="H69" s="12">
        <v>0.1875</v>
      </c>
      <c r="I69" s="17">
        <f ref="I69:M69" si="11" t="shared">I12/I$59</f>
        <v>1.1778243949912828E-2</v>
      </c>
      <c r="J69" s="17">
        <f si="11" t="shared"/>
        <v>3.7613436598213958E-3</v>
      </c>
      <c r="K69" s="17">
        <f si="11" t="shared"/>
        <v>2.977465732176551E-3</v>
      </c>
      <c r="L69" s="17">
        <f si="11" t="shared"/>
        <v>1.2406316134736257E-3</v>
      </c>
      <c r="M69" s="18">
        <f si="11" t="shared"/>
        <v>4.9976280791620559E-3</v>
      </c>
    </row>
    <row r="70" spans="1:13" x14ac:dyDescent="0.25">
      <c r="A70" s="12">
        <v>0.20833333333333334</v>
      </c>
      <c r="B70" s="18">
        <f ref="B70:F70" si="12" t="shared">B13/B$59</f>
        <v>2.5355478463347143E-2</v>
      </c>
      <c r="C70" s="18">
        <f si="12" t="shared"/>
        <v>1.0028767744157941E-2</v>
      </c>
      <c r="D70" s="18">
        <f si="12" t="shared"/>
        <v>4.5606833382188438E-3</v>
      </c>
      <c r="E70" s="18">
        <f si="12" t="shared"/>
        <v>1.7861291651038033E-3</v>
      </c>
      <c r="F70" s="18">
        <f si="12" t="shared"/>
        <v>1.0008405428677116E-2</v>
      </c>
      <c r="H70" s="12">
        <v>0.20833333333333334</v>
      </c>
      <c r="I70" s="17">
        <f ref="I70:M70" si="13" t="shared">I13/I$59</f>
        <v>1.9744920483457527E-2</v>
      </c>
      <c r="J70" s="17">
        <f si="13" t="shared"/>
        <v>9.0251791800900448E-3</v>
      </c>
      <c r="K70" s="17">
        <f si="13" t="shared"/>
        <v>4.1214216874558996E-3</v>
      </c>
      <c r="L70" s="17">
        <f si="13" t="shared"/>
        <v>1.9915643615754752E-3</v>
      </c>
      <c r="M70" s="18">
        <f si="13" t="shared"/>
        <v>8.3396198456123158E-3</v>
      </c>
    </row>
    <row r="71" spans="1:13" x14ac:dyDescent="0.25">
      <c r="A71" s="12">
        <v>0.22916666666666666</v>
      </c>
      <c r="B71" s="18">
        <f ref="B71:F71" si="14" t="shared">B14/B$59</f>
        <v>3.9697581723319268E-2</v>
      </c>
      <c r="C71" s="18">
        <f si="14" t="shared"/>
        <v>2.1644021816189827E-2</v>
      </c>
      <c r="D71" s="18">
        <f si="14" t="shared"/>
        <v>6.6567522637232023E-3</v>
      </c>
      <c r="E71" s="18">
        <f si="14" t="shared"/>
        <v>3.1054974727758133E-3</v>
      </c>
      <c r="F71" s="18">
        <f si="14" t="shared"/>
        <v>1.641954835279431E-2</v>
      </c>
      <c r="H71" s="12">
        <v>0.22916666666666666</v>
      </c>
      <c r="I71" s="17">
        <f ref="I71:M71" si="15" t="shared">I14/I$59</f>
        <v>3.2105117489345164E-2</v>
      </c>
      <c r="J71" s="17">
        <f si="15" t="shared"/>
        <v>1.8613282381120169E-2</v>
      </c>
      <c r="K71" s="17">
        <f si="15" t="shared"/>
        <v>6.1639074677332E-3</v>
      </c>
      <c r="L71" s="17">
        <f si="15" t="shared"/>
        <v>3.3075378342388379E-3</v>
      </c>
      <c r="M71" s="18">
        <f si="15" t="shared"/>
        <v>1.39150822636186E-2</v>
      </c>
    </row>
    <row r="72" spans="1:13" x14ac:dyDescent="0.25">
      <c r="A72" s="12">
        <v>0.25</v>
      </c>
      <c r="B72" s="18">
        <f ref="B72:F72" si="16" t="shared">B15/B$59</f>
        <v>5.7141088003343929E-2</v>
      </c>
      <c r="C72" s="18">
        <f si="16" t="shared"/>
        <v>3.9726806716158261E-2</v>
      </c>
      <c r="D72" s="18">
        <f si="16" t="shared"/>
        <v>9.7163370640645681E-3</v>
      </c>
      <c r="E72" s="18">
        <f si="16" t="shared"/>
        <v>5.0814516283653422E-3</v>
      </c>
      <c r="F72" s="18">
        <f si="16" t="shared"/>
        <v>2.5184765871243325E-2</v>
      </c>
      <c r="H72" s="12">
        <v>0.25</v>
      </c>
      <c r="I72" s="17">
        <f ref="I72:M72" si="17" t="shared">I15/I$59</f>
        <v>4.857879700704068E-2</v>
      </c>
      <c r="J72" s="17">
        <f si="17" t="shared"/>
        <v>3.3213107957419712E-2</v>
      </c>
      <c r="K72" s="17">
        <f si="17" t="shared"/>
        <v>9.3237808481280351E-3</v>
      </c>
      <c r="L72" s="17">
        <f si="17" t="shared"/>
        <v>5.4577692981771959E-3</v>
      </c>
      <c r="M72" s="18">
        <f si="17" t="shared"/>
        <v>2.1910062926620972E-2</v>
      </c>
    </row>
    <row r="73" spans="1:13" x14ac:dyDescent="0.25">
      <c r="A73" s="12">
        <v>0.27083333333333331</v>
      </c>
      <c r="B73" s="18">
        <f ref="B73:F73" si="18" t="shared">B16/B$59</f>
        <v>7.5403232435352255E-2</v>
      </c>
      <c r="C73" s="18">
        <f si="18" t="shared"/>
        <v>6.245174405691771E-2</v>
      </c>
      <c r="D73" s="18">
        <f si="18" t="shared"/>
        <v>1.3971210408165045E-2</v>
      </c>
      <c r="E73" s="18">
        <f si="18" t="shared"/>
        <v>7.9460021839180481E-3</v>
      </c>
      <c r="F73" s="18">
        <f si="18" t="shared"/>
        <v>3.5623838675220232E-2</v>
      </c>
      <c r="H73" s="12">
        <v>0.27083333333333331</v>
      </c>
      <c r="I73" s="17">
        <f ref="I73:M73" si="19" t="shared">I16/I$59</f>
        <v>6.7045920718569199E-2</v>
      </c>
      <c r="J73" s="17">
        <f si="19" t="shared"/>
        <v>5.1577471648933927E-2</v>
      </c>
      <c r="K73" s="17">
        <f si="19" t="shared"/>
        <v>1.3568897583877217E-2</v>
      </c>
      <c r="L73" s="17">
        <f si="19" t="shared"/>
        <v>8.6427116212171255E-3</v>
      </c>
      <c r="M73" s="18">
        <f si="19" t="shared"/>
        <v>3.1633652042684118E-2</v>
      </c>
    </row>
    <row r="74" spans="1:13" x14ac:dyDescent="0.25">
      <c r="A74" s="12">
        <v>0.29166666666666669</v>
      </c>
      <c r="B74" s="18">
        <f ref="B74:F74" si="20" t="shared">B17/B$59</f>
        <v>9.0902920323304631E-2</v>
      </c>
      <c r="C74" s="18">
        <f si="20" t="shared"/>
        <v>8.4621519191443409E-2</v>
      </c>
      <c r="D74" s="18">
        <f si="20" t="shared"/>
        <v>1.9272025074089545E-2</v>
      </c>
      <c r="E74" s="18">
        <f si="20" t="shared"/>
        <v>1.1886622366824253E-2</v>
      </c>
      <c r="F74" s="18">
        <f si="20" t="shared"/>
        <v>4.5984107214974076E-2</v>
      </c>
      <c r="H74" s="12">
        <v>0.29166666666666669</v>
      </c>
      <c r="I74" s="17">
        <f ref="I74:M74" si="21" t="shared">I17/I$59</f>
        <v>8.3777637823670828E-2</v>
      </c>
      <c r="J74" s="17">
        <f si="21" t="shared"/>
        <v>7.0055217499310624E-2</v>
      </c>
      <c r="K74" s="17">
        <f si="21" t="shared"/>
        <v>1.8524463349682985E-2</v>
      </c>
      <c r="L74" s="17">
        <f si="21" t="shared"/>
        <v>1.2932010099261796E-2</v>
      </c>
      <c r="M74" s="18">
        <f si="21" t="shared"/>
        <v>4.1438830853417055E-2</v>
      </c>
    </row>
    <row r="75" spans="1:13" x14ac:dyDescent="0.25">
      <c r="A75" s="12">
        <v>0.3125</v>
      </c>
      <c r="B75" s="18">
        <f ref="B75:F75" si="22" t="shared">B18/B$59</f>
        <v>9.9719875222210111E-2</v>
      </c>
      <c r="C75" s="18">
        <f si="22" t="shared"/>
        <v>9.9423983146452427E-2</v>
      </c>
      <c r="D75" s="18">
        <f si="22" t="shared"/>
        <v>2.492671268519325E-2</v>
      </c>
      <c r="E75" s="18">
        <f si="22" t="shared"/>
        <v>1.6899239239341786E-2</v>
      </c>
      <c r="F75" s="18">
        <f si="22" t="shared"/>
        <v>5.3854752362018886E-2</v>
      </c>
      <c r="H75" s="12">
        <v>0.3125</v>
      </c>
      <c r="I75" s="17">
        <f ref="I75:M75" si="23" t="shared">I18/I$59</f>
        <v>9.4653556049643303E-2</v>
      </c>
      <c r="J75" s="17">
        <f si="23" t="shared"/>
        <v>8.3594626542572992E-2</v>
      </c>
      <c r="K75" s="17">
        <f si="23" t="shared"/>
        <v>2.3528542464980491E-2</v>
      </c>
      <c r="L75" s="17">
        <f si="23" t="shared"/>
        <v>1.8330342014916918E-2</v>
      </c>
      <c r="M75" s="18">
        <f si="23" t="shared"/>
        <v>4.9197173468380151E-2</v>
      </c>
    </row>
    <row r="76" spans="1:13" x14ac:dyDescent="0.25">
      <c r="A76" s="12">
        <v>0.33333333333333331</v>
      </c>
      <c r="B76" s="18">
        <f ref="B76:F76" si="24" t="shared">B19/B$59</f>
        <v>9.924753301952717E-2</v>
      </c>
      <c r="C76" s="18">
        <f si="24" t="shared"/>
        <v>0.10195596563690636</v>
      </c>
      <c r="D76" s="18">
        <f si="24" t="shared"/>
        <v>2.9921765564799328E-2</v>
      </c>
      <c r="E76" s="18">
        <f si="24" t="shared"/>
        <v>2.2735133617597242E-2</v>
      </c>
      <c r="F76" s="18">
        <f si="24" t="shared"/>
        <v>5.7251002778368601E-2</v>
      </c>
      <c r="H76" s="12">
        <v>0.33333333333333331</v>
      </c>
      <c r="I76" s="17">
        <f ref="I76:M76" si="25" t="shared">I19/I$59</f>
        <v>9.6857478090045343E-2</v>
      </c>
      <c r="J76" s="17">
        <f si="25" t="shared"/>
        <v>8.8049176207835783E-2</v>
      </c>
      <c r="K76" s="17">
        <f si="25" t="shared"/>
        <v>2.7864678099728875E-2</v>
      </c>
      <c r="L76" s="17">
        <f si="25" t="shared"/>
        <v>2.4909072681917555E-2</v>
      </c>
      <c r="M76" s="18">
        <f si="25" t="shared"/>
        <v>5.3197663708279469E-2</v>
      </c>
    </row>
    <row r="77" spans="1:13" x14ac:dyDescent="0.25">
      <c r="A77" s="12">
        <v>0.35416666666666669</v>
      </c>
      <c r="B77" s="18">
        <f ref="B77:F77" si="26" t="shared">B20/B$59</f>
        <v>8.9666003345626369E-2</v>
      </c>
      <c r="C77" s="18">
        <f si="26" t="shared"/>
        <v>9.2077176812513747E-2</v>
      </c>
      <c r="D77" s="18">
        <f si="26" t="shared"/>
        <v>3.3444588428965014E-2</v>
      </c>
      <c r="E77" s="18">
        <f si="26" t="shared"/>
        <v>2.9078513064808926E-2</v>
      </c>
      <c r="F77" s="18">
        <f si="26" t="shared"/>
        <v>5.5723925706119989E-2</v>
      </c>
      <c r="H77" s="12">
        <v>0.35416666666666669</v>
      </c>
      <c r="I77" s="17">
        <f ref="I77:M77" si="27" t="shared">I20/I$59</f>
        <v>9.0119407809538532E-2</v>
      </c>
      <c r="J77" s="17">
        <f si="27" t="shared"/>
        <v>8.2417398144973036E-2</v>
      </c>
      <c r="K77" s="17">
        <f si="27" t="shared"/>
        <v>3.1063538012566266E-2</v>
      </c>
      <c r="L77" s="17">
        <f si="27" t="shared"/>
        <v>3.2820752932395787E-2</v>
      </c>
      <c r="M77" s="18">
        <f si="27" t="shared"/>
        <v>5.2963633103097436E-2</v>
      </c>
    </row>
    <row r="78" spans="1:13" x14ac:dyDescent="0.25">
      <c r="A78" s="12">
        <v>0.375</v>
      </c>
      <c r="B78" s="18">
        <f ref="B78:F78" si="28" t="shared">B21/B$59</f>
        <v>7.4081575653805409E-2</v>
      </c>
      <c r="C78" s="18">
        <f si="28" t="shared"/>
        <v>7.4356822560310953E-2</v>
      </c>
      <c r="D78" s="18">
        <f si="28" t="shared"/>
        <v>3.5305953449514219E-2</v>
      </c>
      <c r="E78" s="18">
        <f si="28" t="shared"/>
        <v>3.5892389813588048E-2</v>
      </c>
      <c r="F78" s="18">
        <f si="28" t="shared"/>
        <v>5.0634950538265291E-2</v>
      </c>
      <c r="H78" s="12">
        <v>0.375</v>
      </c>
      <c r="I78" s="17">
        <f ref="I78:M78" si="29" t="shared">I21/I$59</f>
        <v>7.6778409445247511E-2</v>
      </c>
      <c r="J78" s="17">
        <f si="29" t="shared"/>
        <v>6.9397393253599629E-2</v>
      </c>
      <c r="K78" s="17">
        <f si="29" t="shared"/>
        <v>3.306817135160918E-2</v>
      </c>
      <c r="L78" s="17">
        <f si="29" t="shared"/>
        <v>4.2098274863603069E-2</v>
      </c>
      <c r="M78" s="18">
        <f si="29" t="shared"/>
        <v>4.9438221861300868E-2</v>
      </c>
    </row>
    <row r="79" spans="1:13" x14ac:dyDescent="0.25">
      <c r="A79" s="12">
        <v>0.39583333333333331</v>
      </c>
      <c r="B79" s="18">
        <f ref="B79:F79" si="30" t="shared">B22/B$59</f>
        <v>5.7010670034489681E-2</v>
      </c>
      <c r="C79" s="18">
        <f si="30" t="shared"/>
        <v>5.5211712390681865E-2</v>
      </c>
      <c r="D79" s="18">
        <f si="30" t="shared"/>
        <v>3.5917730574256547E-2</v>
      </c>
      <c r="E79" s="18">
        <f si="30" t="shared"/>
        <v>4.3619867162272577E-2</v>
      </c>
      <c r="F79" s="18">
        <f si="30" t="shared"/>
        <v>4.4331811306160193E-2</v>
      </c>
      <c r="H79" s="12">
        <v>0.39583333333333331</v>
      </c>
      <c r="I79" s="17">
        <f ref="I79:M79" si="31" t="shared">I22/I$59</f>
        <v>6.0661517874064277E-2</v>
      </c>
      <c r="J79" s="17">
        <f si="31" t="shared"/>
        <v>5.3804731820202817E-2</v>
      </c>
      <c r="K79" s="17">
        <f si="31" t="shared"/>
        <v>3.4144919939657035E-2</v>
      </c>
      <c r="L79" s="17">
        <f si="31" t="shared"/>
        <v>5.2372623487185833E-2</v>
      </c>
      <c r="M79" s="18">
        <f si="31" t="shared"/>
        <v>4.4405379982739773E-2</v>
      </c>
    </row>
    <row r="80" spans="1:13" x14ac:dyDescent="0.25">
      <c r="A80" s="12">
        <v>0.41666666666666669</v>
      </c>
      <c r="B80" s="18">
        <f ref="B80:F80" si="32" t="shared">B23/B$59</f>
        <v>4.2213842765356044E-2</v>
      </c>
      <c r="C80" s="18">
        <f si="32" t="shared"/>
        <v>3.9527468564766313E-2</v>
      </c>
      <c r="D80" s="18">
        <f si="32" t="shared"/>
        <v>3.5893379253251069E-2</v>
      </c>
      <c r="E80" s="18">
        <f si="32" t="shared"/>
        <v>5.2894961627125238E-2</v>
      </c>
      <c r="F80" s="18">
        <f si="32" t="shared"/>
        <v>3.885619719109943E-2</v>
      </c>
      <c r="H80" s="12">
        <v>0.41666666666666669</v>
      </c>
      <c r="I80" s="17">
        <f ref="I80:M80" si="33" t="shared">I23/I$59</f>
        <v>4.5469097025690117E-2</v>
      </c>
      <c r="J80" s="17">
        <f si="33" t="shared"/>
        <v>4.0040165403155498E-2</v>
      </c>
      <c r="K80" s="17">
        <f si="33" t="shared"/>
        <v>3.4644264241404515E-2</v>
      </c>
      <c r="L80" s="17">
        <f si="33" t="shared"/>
        <v>6.2745679388314643E-2</v>
      </c>
      <c r="M80" s="18">
        <f si="33" t="shared"/>
        <v>3.9568742640019181E-2</v>
      </c>
    </row>
    <row r="81" spans="1:13" x14ac:dyDescent="0.25">
      <c r="A81" s="12">
        <v>0.4375</v>
      </c>
      <c r="B81" s="18">
        <f ref="B81:F81" si="34" t="shared">B24/B$59</f>
        <v>3.1365689509781997E-2</v>
      </c>
      <c r="C81" s="18">
        <f si="34" t="shared"/>
        <v>2.9054000329247053E-2</v>
      </c>
      <c r="D81" s="18">
        <f si="34" t="shared"/>
        <v>3.5658301498794634E-2</v>
      </c>
      <c r="E81" s="18">
        <f si="34" t="shared"/>
        <v>6.375532509493774E-2</v>
      </c>
      <c r="F81" s="18">
        <f si="34" t="shared"/>
        <v>3.5116309975270051E-2</v>
      </c>
      <c r="H81" s="12">
        <v>0.4375</v>
      </c>
      <c r="I81" s="17">
        <f ref="I81:M81" si="35" t="shared">I24/I$59</f>
        <v>3.3542120213015177E-2</v>
      </c>
      <c r="J81" s="17">
        <f si="35" t="shared"/>
        <v>3.036633738951984E-2</v>
      </c>
      <c r="K81" s="17">
        <f si="35" t="shared"/>
        <v>3.4829387796654648E-2</v>
      </c>
      <c r="L81" s="17">
        <f si="35" t="shared"/>
        <v>7.1897520630577749E-2</v>
      </c>
      <c r="M81" s="18">
        <f si="35" t="shared"/>
        <v>3.5900674110902905E-2</v>
      </c>
    </row>
    <row r="82" spans="1:13" x14ac:dyDescent="0.25">
      <c r="A82" s="12">
        <v>0.45833333333333331</v>
      </c>
      <c r="B82" s="18">
        <f ref="B82:F82" si="36" t="shared">B25/B$59</f>
        <v>2.4213119453480581E-2</v>
      </c>
      <c r="C82" s="18">
        <f si="36" t="shared"/>
        <v>2.3035610924974668E-2</v>
      </c>
      <c r="D82" s="18">
        <f si="36" t="shared"/>
        <v>3.5356825512166422E-2</v>
      </c>
      <c r="E82" s="18">
        <f si="36" t="shared"/>
        <v>7.4875973429312778E-2</v>
      </c>
      <c r="F82" s="18">
        <f si="36" t="shared"/>
        <v>3.2935297010315105E-2</v>
      </c>
      <c r="H82" s="12">
        <v>0.45833333333333331</v>
      </c>
      <c r="I82" s="17">
        <f ref="I82:M82" si="37" t="shared">I25/I$59</f>
        <v>2.5511309580846745E-2</v>
      </c>
      <c r="J82" s="17">
        <f si="37" t="shared"/>
        <v>2.4813850319468114E-2</v>
      </c>
      <c r="K82" s="17">
        <f si="37" t="shared"/>
        <v>3.4867344847361259E-2</v>
      </c>
      <c r="L82" s="17">
        <f si="37" t="shared"/>
        <v>7.8327959266685093E-2</v>
      </c>
      <c r="M82" s="18">
        <f si="37" t="shared"/>
        <v>3.3556277628032802E-2</v>
      </c>
    </row>
    <row r="83" spans="1:13" x14ac:dyDescent="0.25">
      <c r="A83" s="12">
        <v>0.47916666666666669</v>
      </c>
      <c r="B83" s="18">
        <f ref="B83:F83" si="38" t="shared">B26/B$59</f>
        <v>1.9654600920610579E-2</v>
      </c>
      <c r="C83" s="18">
        <f si="38" t="shared"/>
        <v>1.9858675835268996E-2</v>
      </c>
      <c r="D83" s="18">
        <f si="38" t="shared"/>
        <v>3.5010859125798439E-2</v>
      </c>
      <c r="E83" s="18">
        <f si="38" t="shared"/>
        <v>8.3585886773746232E-2</v>
      </c>
      <c r="F83" s="18">
        <f si="38" t="shared"/>
        <v>3.1659877604666153E-2</v>
      </c>
      <c r="H83" s="12">
        <v>0.47916666666666669</v>
      </c>
      <c r="I83" s="17">
        <f ref="I83:M83" si="39" t="shared">I26/I$59</f>
        <v>2.0740269865895104E-2</v>
      </c>
      <c r="J83" s="17">
        <f si="39" t="shared"/>
        <v>2.2184408150082633E-2</v>
      </c>
      <c r="K83" s="17">
        <f si="39" t="shared"/>
        <v>3.4888502919369423E-2</v>
      </c>
      <c r="L83" s="17">
        <f si="39" t="shared"/>
        <v>8.0689472133525966E-2</v>
      </c>
      <c r="M83" s="18">
        <f si="39" t="shared"/>
        <v>3.219034326738035E-2</v>
      </c>
    </row>
    <row r="84" spans="1:13" x14ac:dyDescent="0.25">
      <c r="A84" s="12">
        <v>0.5</v>
      </c>
      <c r="B84" s="18">
        <f ref="B84:F84" si="40" t="shared">B27/B$59</f>
        <v>1.6710608489924176E-2</v>
      </c>
      <c r="C84" s="18">
        <f si="40" t="shared"/>
        <v>1.82814132623191E-2</v>
      </c>
      <c r="D84" s="18">
        <f si="40" t="shared"/>
        <v>3.4707556700332244E-2</v>
      </c>
      <c r="E84" s="18">
        <f si="40" t="shared"/>
        <v>8.7000386513338163E-2</v>
      </c>
      <c r="F84" s="18">
        <f si="40" t="shared"/>
        <v>3.0751146096976868E-2</v>
      </c>
      <c r="H84" s="12">
        <v>0.5</v>
      </c>
      <c r="I84" s="17">
        <f ref="I84:M84" si="41" t="shared">I27/I$59</f>
        <v>1.8090419621270778E-2</v>
      </c>
      <c r="J84" s="17">
        <f si="41" t="shared"/>
        <v>2.1120326844190695E-2</v>
      </c>
      <c r="K84" s="17">
        <f si="41" t="shared"/>
        <v>3.4992795220953082E-2</v>
      </c>
      <c r="L84" s="17">
        <f si="41" t="shared"/>
        <v>7.8279630863300101E-2</v>
      </c>
      <c r="M84" s="18">
        <f si="41" t="shared"/>
        <v>3.1337577322341111E-2</v>
      </c>
    </row>
    <row r="85" spans="1:13" x14ac:dyDescent="0.25">
      <c r="A85" s="12">
        <v>0.52083333333333337</v>
      </c>
      <c r="B85" s="18">
        <f ref="B85:F85" si="42" t="shared">B28/B$59</f>
        <v>1.4825320013169647E-2</v>
      </c>
      <c r="C85" s="18">
        <f si="42" t="shared"/>
        <v>1.7705574614725786E-2</v>
      </c>
      <c r="D85" s="18">
        <f si="42" t="shared"/>
        <v>3.4655276874567667E-2</v>
      </c>
      <c r="E85" s="18">
        <f si="42" t="shared"/>
        <v>8.367429949586469E-2</v>
      </c>
      <c r="F85" s="18">
        <f si="42" t="shared"/>
        <v>3.0019408798424314E-2</v>
      </c>
      <c r="H85" s="12">
        <v>0.52083333333333337</v>
      </c>
      <c r="I85" s="17">
        <f ref="I85:M85" si="43" t="shared">I28/I$59</f>
        <v>1.6535594714924357E-2</v>
      </c>
      <c r="J85" s="17">
        <f si="43" t="shared"/>
        <v>2.0661069205789272E-2</v>
      </c>
      <c r="K85" s="17">
        <f si="43" t="shared"/>
        <v>3.5203663330067428E-2</v>
      </c>
      <c r="L85" s="17">
        <f si="43" t="shared"/>
        <v>7.1555364835145199E-2</v>
      </c>
      <c r="M85" s="18">
        <f si="43" t="shared"/>
        <v>3.0646748147099938E-2</v>
      </c>
    </row>
    <row r="86" spans="1:13" x14ac:dyDescent="0.25">
      <c r="A86" s="12">
        <v>0.54166666666666663</v>
      </c>
      <c r="B86" s="18">
        <f ref="B86:F86" si="44" t="shared">B29/B$59</f>
        <v>1.3660777339692943E-2</v>
      </c>
      <c r="C86" s="18">
        <f si="44" t="shared"/>
        <v>1.7844742532168136E-2</v>
      </c>
      <c r="D86" s="18">
        <f si="44" t="shared"/>
        <v>3.5077377482969893E-2</v>
      </c>
      <c r="E86" s="18">
        <f si="44" t="shared"/>
        <v>7.455795825922322E-2</v>
      </c>
      <c r="F86" s="18">
        <f si="44" t="shared"/>
        <v>2.9515654475435651E-2</v>
      </c>
      <c r="H86" s="12">
        <v>0.54166666666666663</v>
      </c>
      <c r="I86" s="17">
        <f ref="I86:M86" si="45" t="shared">I29/I$59</f>
        <v>1.5419667540448476E-2</v>
      </c>
      <c r="J86" s="17">
        <f si="45" t="shared"/>
        <v>2.0325663962918815E-2</v>
      </c>
      <c r="K86" s="17">
        <f si="45" t="shared"/>
        <v>3.5455911931848751E-2</v>
      </c>
      <c r="L86" s="17">
        <f si="45" t="shared"/>
        <v>6.2189092855926192E-2</v>
      </c>
      <c r="M86" s="18">
        <f si="45" t="shared"/>
        <v>2.9948945122200157E-2</v>
      </c>
    </row>
    <row r="87" spans="1:13" x14ac:dyDescent="0.25">
      <c r="A87" s="12">
        <v>0.5625</v>
      </c>
      <c r="B87" s="18">
        <f ref="B87:F87" si="46" t="shared">B30/B$59</f>
        <v>1.2857700726587968E-2</v>
      </c>
      <c r="C87" s="18">
        <f si="46" t="shared"/>
        <v>1.8375054810547544E-2</v>
      </c>
      <c r="D87" s="18">
        <f si="46" t="shared"/>
        <v>3.6019942571104573E-2</v>
      </c>
      <c r="E87" s="18">
        <f si="46" t="shared"/>
        <v>6.2453934934675201E-2</v>
      </c>
      <c r="F87" s="18">
        <f si="46" t="shared"/>
        <v>2.9283123288316549E-2</v>
      </c>
      <c r="H87" s="12">
        <v>0.5625</v>
      </c>
      <c r="I87" s="17">
        <f ref="I87:M87" si="47" t="shared">I30/I$59</f>
        <v>1.4424233081301125E-2</v>
      </c>
      <c r="J87" s="17">
        <f si="47" t="shared"/>
        <v>1.9992756087636711E-2</v>
      </c>
      <c r="K87" s="17">
        <f si="47" t="shared"/>
        <v>3.5661023117790666E-2</v>
      </c>
      <c r="L87" s="17">
        <f si="47" t="shared"/>
        <v>5.2351733441931905E-2</v>
      </c>
      <c r="M87" s="18">
        <f si="47" t="shared"/>
        <v>2.9226084961497291E-2</v>
      </c>
    </row>
    <row r="88" spans="1:13" x14ac:dyDescent="0.25">
      <c r="A88" s="12">
        <v>0.58333333333333337</v>
      </c>
      <c r="B88" s="18">
        <f ref="B88:F88" si="48" t="shared">B31/B$59</f>
        <v>1.2043220963789925E-2</v>
      </c>
      <c r="C88" s="18">
        <f si="48" t="shared"/>
        <v>1.8858841014026125E-2</v>
      </c>
      <c r="D88" s="18">
        <f si="48" t="shared"/>
        <v>3.7237714671666866E-2</v>
      </c>
      <c r="E88" s="18">
        <f si="48" t="shared"/>
        <v>5.0381266834053973E-2</v>
      </c>
      <c r="F88" s="18">
        <f si="48" t="shared"/>
        <v>2.9193837967100688E-2</v>
      </c>
      <c r="H88" s="12">
        <v>0.58333333333333337</v>
      </c>
      <c r="I88" s="17">
        <f ref="I88:M88" si="49" t="shared">I31/I$59</f>
        <v>1.3424690405777632E-2</v>
      </c>
      <c r="J88" s="17">
        <f si="49" t="shared"/>
        <v>1.9757013017808793E-2</v>
      </c>
      <c r="K88" s="17">
        <f si="49" t="shared"/>
        <v>3.5801287079184452E-2</v>
      </c>
      <c r="L88" s="17">
        <f si="49" t="shared"/>
        <v>4.3637606498096691E-2</v>
      </c>
      <c r="M88" s="18">
        <f si="49" t="shared"/>
        <v>2.854597284385655E-2</v>
      </c>
    </row>
    <row r="89" spans="1:13" x14ac:dyDescent="0.25">
      <c r="A89" s="12">
        <v>0.60416666666666663</v>
      </c>
      <c r="B89" s="18">
        <f ref="B89:F89" si="50" t="shared">B32/B$59</f>
        <v>1.1006823383842663E-2</v>
      </c>
      <c r="C89" s="18">
        <f si="50" t="shared"/>
        <v>1.8888634325641192E-2</v>
      </c>
      <c r="D89" s="18">
        <f si="50" t="shared"/>
        <v>3.8308856011499477E-2</v>
      </c>
      <c r="E89" s="18">
        <f si="50" t="shared"/>
        <v>4.0117652536869337E-2</v>
      </c>
      <c r="F89" s="18">
        <f si="50" t="shared"/>
        <v>2.8996122457340835E-2</v>
      </c>
      <c r="H89" s="12">
        <v>0.60416666666666663</v>
      </c>
      <c r="I89" s="17">
        <f ref="I89:M89" si="51" t="shared">I32/I$59</f>
        <v>1.2371681728348564E-2</v>
      </c>
      <c r="J89" s="17">
        <f si="51" t="shared"/>
        <v>1.9793599216253444E-2</v>
      </c>
      <c r="K89" s="17">
        <f si="51" t="shared"/>
        <v>3.596868713514214E-2</v>
      </c>
      <c r="L89" s="17">
        <f si="51" t="shared"/>
        <v>3.6486302735002855E-2</v>
      </c>
      <c r="M89" s="18">
        <f si="51" t="shared"/>
        <v>2.8001993348046265E-2</v>
      </c>
    </row>
    <row r="90" spans="1:13" x14ac:dyDescent="0.25">
      <c r="A90" s="12">
        <v>0.625</v>
      </c>
      <c r="B90" s="18">
        <f ref="B90:F90" si="52" t="shared">B33/B$59</f>
        <v>9.8018056532471823E-3</v>
      </c>
      <c r="C90" s="18">
        <f si="52" t="shared"/>
        <v>1.8275024257446686E-2</v>
      </c>
      <c r="D90" s="18">
        <f si="52" t="shared"/>
        <v>3.8930260002831278E-2</v>
      </c>
      <c r="E90" s="18">
        <f si="52" t="shared"/>
        <v>3.1890475730866161E-2</v>
      </c>
      <c r="F90" s="18">
        <f si="52" t="shared"/>
        <v>2.8515188340072665E-2</v>
      </c>
      <c r="H90" s="12">
        <v>0.625</v>
      </c>
      <c r="I90" s="17">
        <f ref="I90:M90" si="53" t="shared">I33/I$59</f>
        <v>1.1244247083842312E-2</v>
      </c>
      <c r="J90" s="17">
        <f si="53" t="shared"/>
        <v>2.0209131708213347E-2</v>
      </c>
      <c r="K90" s="17">
        <f si="53" t="shared"/>
        <v>3.6309263043171246E-2</v>
      </c>
      <c r="L90" s="17">
        <f si="53" t="shared"/>
        <v>3.0490430821707028E-2</v>
      </c>
      <c r="M90" s="18">
        <f si="53" t="shared"/>
        <v>2.7664643804127254E-2</v>
      </c>
    </row>
    <row r="91" spans="1:13" x14ac:dyDescent="0.25">
      <c r="A91" s="12">
        <v>0.64583333333333337</v>
      </c>
      <c r="B91" s="18">
        <f ref="B91:F91" si="54" t="shared">B34/B$59</f>
        <v>8.6453410396402329E-3</v>
      </c>
      <c r="C91" s="18">
        <f si="54" t="shared"/>
        <v>1.7136166140968939E-2</v>
      </c>
      <c r="D91" s="18">
        <f si="54" t="shared"/>
        <v>3.9123770729152713E-2</v>
      </c>
      <c r="E91" s="18">
        <f si="54" t="shared"/>
        <v>2.5112801877650772E-2</v>
      </c>
      <c r="F91" s="18">
        <f si="54" t="shared"/>
        <v>2.779977326458585E-2</v>
      </c>
      <c r="H91" s="12">
        <v>0.64583333333333337</v>
      </c>
      <c r="I91" s="17">
        <f ref="I91:M91" si="55" t="shared">I34/I$59</f>
        <v>1.005421934853698E-2</v>
      </c>
      <c r="J91" s="17">
        <f si="55" t="shared"/>
        <v>2.0904763633429038E-2</v>
      </c>
      <c r="K91" s="17">
        <f si="55" t="shared"/>
        <v>3.6910481205704095E-2</v>
      </c>
      <c r="L91" s="17">
        <f si="55" t="shared"/>
        <v>2.51419220608298E-2</v>
      </c>
      <c r="M91" s="18">
        <f si="55" t="shared"/>
        <v>2.7539946339282934E-2</v>
      </c>
    </row>
    <row r="92" spans="1:13" x14ac:dyDescent="0.25">
      <c r="A92" s="12">
        <v>0.66666666666666663</v>
      </c>
      <c r="B92" s="18">
        <f ref="B92:F92" si="56" t="shared">B35/B$59</f>
        <v>7.7080279827597816E-3</v>
      </c>
      <c r="C92" s="18">
        <f si="56" t="shared"/>
        <v>1.5813463437958884E-2</v>
      </c>
      <c r="D92" s="18">
        <f si="56" t="shared"/>
        <v>3.9132313024319965E-2</v>
      </c>
      <c r="E92" s="18">
        <f si="56" t="shared"/>
        <v>1.9293821710205168E-2</v>
      </c>
      <c r="F92" s="18">
        <f si="56" t="shared"/>
        <v>2.7053006179484699E-2</v>
      </c>
      <c r="H92" s="12">
        <v>0.66666666666666663</v>
      </c>
      <c r="I92" s="17">
        <f ref="I92:M92" si="57" t="shared">I35/I$59</f>
        <v>8.8560127686377887E-3</v>
      </c>
      <c r="J92" s="17">
        <f si="57" t="shared"/>
        <v>2.1541188379696957E-2</v>
      </c>
      <c r="K92" s="17">
        <f si="57" t="shared"/>
        <v>3.7709609394372144E-2</v>
      </c>
      <c r="L92" s="17">
        <f si="57" t="shared"/>
        <v>2.0306613329689721E-2</v>
      </c>
      <c r="M92" s="18">
        <f si="57" t="shared"/>
        <v>2.7542093816525965E-2</v>
      </c>
    </row>
    <row r="93" spans="1:13" x14ac:dyDescent="0.25">
      <c r="A93" s="12">
        <v>0.6875</v>
      </c>
      <c r="B93" s="18">
        <f ref="B93:F93" si="58" t="shared">B36/B$59</f>
        <v>6.9804896595547887E-3</v>
      </c>
      <c r="C93" s="18">
        <f si="58" t="shared"/>
        <v>1.4632780524850385E-2</v>
      </c>
      <c r="D93" s="18">
        <f si="58" t="shared"/>
        <v>3.9101395426308923E-2</v>
      </c>
      <c r="E93" s="18">
        <f si="58" t="shared"/>
        <v>1.4395071705034965E-2</v>
      </c>
      <c r="F93" s="18">
        <f si="58" t="shared"/>
        <v>2.6405843599223676E-2</v>
      </c>
      <c r="H93" s="12">
        <v>0.6875</v>
      </c>
      <c r="I93" s="17">
        <f ref="I93:M93" si="59" t="shared">I36/I$59</f>
        <v>7.7298375807822676E-3</v>
      </c>
      <c r="J93" s="17">
        <f si="59" t="shared"/>
        <v>2.1665407739699209E-2</v>
      </c>
      <c r="K93" s="17">
        <f si="59" t="shared"/>
        <v>3.8470923441091126E-2</v>
      </c>
      <c r="L93" s="17">
        <f si="59" t="shared"/>
        <v>1.6166367486476887E-2</v>
      </c>
      <c r="M93" s="18">
        <f si="59" t="shared"/>
        <v>2.7494642977746203E-2</v>
      </c>
    </row>
    <row r="94" spans="1:13" x14ac:dyDescent="0.25">
      <c r="A94" s="12">
        <v>0.70833333333333337</v>
      </c>
      <c r="B94" s="18">
        <f ref="B94:F94" si="60" t="shared">B37/B$59</f>
        <v>6.3131681974448184E-3</v>
      </c>
      <c r="C94" s="18">
        <f si="60" t="shared"/>
        <v>1.3660802976935522E-2</v>
      </c>
      <c r="D94" s="18">
        <f si="60" t="shared"/>
        <v>3.8862151997699164E-2</v>
      </c>
      <c r="E94" s="18">
        <f si="60" t="shared"/>
        <v>1.0597828245896612E-2</v>
      </c>
      <c r="F94" s="18">
        <f si="60" t="shared"/>
        <v>2.5752538798152848E-2</v>
      </c>
      <c r="H94" s="12">
        <v>0.70833333333333337</v>
      </c>
      <c r="I94" s="17">
        <f ref="I94:M94" si="61" t="shared">I37/I$59</f>
        <v>6.7432527595172216E-3</v>
      </c>
      <c r="J94" s="17">
        <f si="61" t="shared"/>
        <v>2.0930958240914909E-2</v>
      </c>
      <c r="K94" s="17">
        <f si="61" t="shared"/>
        <v>3.8823607650860917E-2</v>
      </c>
      <c r="L94" s="17">
        <f si="61" t="shared"/>
        <v>1.2894316909452879E-2</v>
      </c>
      <c r="M94" s="18">
        <f si="61" t="shared"/>
        <v>2.7160647989821388E-2</v>
      </c>
    </row>
    <row r="95" spans="1:13" x14ac:dyDescent="0.25">
      <c r="A95" s="12">
        <v>0.72916666666666663</v>
      </c>
      <c r="B95" s="18">
        <f ref="B95:F95" si="62" t="shared">B38/B$59</f>
        <v>5.5621483558983701E-3</v>
      </c>
      <c r="C95" s="18">
        <f si="62" t="shared"/>
        <v>1.2655898971288364E-2</v>
      </c>
      <c r="D95" s="18">
        <f si="62" t="shared"/>
        <v>3.8005051237575541E-2</v>
      </c>
      <c r="E95" s="18">
        <f si="62" t="shared"/>
        <v>7.935984558614835E-3</v>
      </c>
      <c r="F95" s="18">
        <f si="62" t="shared"/>
        <v>2.4795814268993639E-2</v>
      </c>
      <c r="H95" s="12">
        <v>0.72916666666666663</v>
      </c>
      <c r="I95" s="17">
        <f ref="I95:M95" si="63" t="shared">I38/I$59</f>
        <v>5.9207368563230882E-3</v>
      </c>
      <c r="J95" s="17">
        <f si="63" t="shared"/>
        <v>1.9257617339977096E-2</v>
      </c>
      <c r="K95" s="17">
        <f si="63" t="shared"/>
        <v>3.8346301459586035E-2</v>
      </c>
      <c r="L95" s="17">
        <f si="63" t="shared"/>
        <v>1.0437614251887413E-2</v>
      </c>
      <c r="M95" s="18">
        <f si="63" t="shared"/>
        <v>2.6296514828681828E-2</v>
      </c>
    </row>
    <row r="96" spans="1:13" x14ac:dyDescent="0.25">
      <c r="A96" s="12">
        <v>0.75</v>
      </c>
      <c r="B96" s="18">
        <f ref="B96:F96" si="64" t="shared">B39/B$59</f>
        <v>4.6981284960211011E-3</v>
      </c>
      <c r="C96" s="18">
        <f si="64" t="shared"/>
        <v>1.1272517689716044E-2</v>
      </c>
      <c r="D96" s="18">
        <f si="64" t="shared"/>
        <v>3.6141464161845896E-2</v>
      </c>
      <c r="E96" s="18">
        <f si="64" t="shared"/>
        <v>6.1796008582522535E-3</v>
      </c>
      <c r="F96" s="18">
        <f si="64" t="shared"/>
        <v>2.3243815640738647E-2</v>
      </c>
      <c r="H96" s="12">
        <v>0.75</v>
      </c>
      <c r="I96" s="17">
        <f ref="I96:M96" si="65" t="shared">I39/I$59</f>
        <v>5.2415098131682316E-3</v>
      </c>
      <c r="J96" s="17">
        <f si="65" t="shared"/>
        <v>1.6838249958448306E-2</v>
      </c>
      <c r="K96" s="17">
        <f si="65" t="shared"/>
        <v>3.6709964145663777E-2</v>
      </c>
      <c r="L96" s="17">
        <f si="65" t="shared"/>
        <v>8.5508977631341757E-3</v>
      </c>
      <c r="M96" s="18">
        <f si="65" t="shared"/>
        <v>2.473350686996937E-2</v>
      </c>
    </row>
    <row r="97" spans="1:13" x14ac:dyDescent="0.25">
      <c r="A97" s="12">
        <v>0.77083333333333337</v>
      </c>
      <c r="B97" s="18">
        <f ref="B97:F97" si="66" t="shared">B40/B$59</f>
        <v>3.7984320633551016E-3</v>
      </c>
      <c r="C97" s="18">
        <f si="66" t="shared"/>
        <v>9.352123135055285E-3</v>
      </c>
      <c r="D97" s="18">
        <f si="66" t="shared"/>
        <v>3.3123808319829619E-2</v>
      </c>
      <c r="E97" s="18">
        <f si="66" t="shared"/>
        <v>4.9880422980363619E-3</v>
      </c>
      <c r="F97" s="18">
        <f si="66" t="shared"/>
        <v>2.0987174630141388E-2</v>
      </c>
      <c r="H97" s="12">
        <v>0.77083333333333337</v>
      </c>
      <c r="I97" s="17">
        <f ref="I97:M97" si="67" t="shared">I40/I$59</f>
        <v>4.6600156820734411E-3</v>
      </c>
      <c r="J97" s="17">
        <f si="67" t="shared"/>
        <v>1.4028563745643841E-2</v>
      </c>
      <c r="K97" s="17">
        <f si="67" t="shared"/>
        <v>3.3849346179845988E-2</v>
      </c>
      <c r="L97" s="17">
        <f si="67" t="shared"/>
        <v>6.9765292178028213E-3</v>
      </c>
      <c r="M97" s="18">
        <f si="67" t="shared"/>
        <v>2.2469219916283582E-2</v>
      </c>
    </row>
    <row r="98" spans="1:13" x14ac:dyDescent="0.25">
      <c r="A98" s="12">
        <v>0.79166666666666663</v>
      </c>
      <c r="B98" s="18">
        <f ref="B98:F98" si="68" t="shared">B41/B$59</f>
        <v>2.9613224895657739E-3</v>
      </c>
      <c r="C98" s="18">
        <f si="68" t="shared"/>
        <v>7.0596265084508936E-3</v>
      </c>
      <c r="D98" s="18">
        <f si="68" t="shared"/>
        <v>2.9098631285357526E-2</v>
      </c>
      <c r="E98" s="18">
        <f si="68" t="shared"/>
        <v>4.1155628739295742E-3</v>
      </c>
      <c r="F98" s="18">
        <f si="68" t="shared"/>
        <v>1.8143227964167674E-2</v>
      </c>
      <c r="H98" s="12">
        <v>0.79166666666666663</v>
      </c>
      <c r="I98" s="17">
        <f ref="I98:M98" si="69" t="shared">I41/I$59</f>
        <v>4.1314297774144521E-3</v>
      </c>
      <c r="J98" s="17">
        <f si="69" t="shared"/>
        <v>1.1207898397622427E-2</v>
      </c>
      <c r="K98" s="17">
        <f si="69" t="shared"/>
        <v>3.0039402812142603E-2</v>
      </c>
      <c r="L98" s="17">
        <f si="69" t="shared"/>
        <v>5.5893276960636189E-3</v>
      </c>
      <c r="M98" s="18">
        <f si="69" t="shared"/>
        <v>1.9700868132878552E-2</v>
      </c>
    </row>
    <row r="99" spans="1:13" x14ac:dyDescent="0.25">
      <c r="A99" s="12">
        <v>0.8125</v>
      </c>
      <c r="B99" s="18">
        <f ref="B99:F99" si="70" t="shared">B42/B$59</f>
        <v>2.2391158189920624E-3</v>
      </c>
      <c r="C99" s="18">
        <f si="70" t="shared"/>
        <v>4.7779546018959637E-3</v>
      </c>
      <c r="D99" s="18">
        <f si="70" t="shared"/>
        <v>2.4422165693563348E-2</v>
      </c>
      <c r="E99" s="18">
        <f si="70" t="shared"/>
        <v>3.4852412821885664E-3</v>
      </c>
      <c r="F99" s="18">
        <f si="70" t="shared"/>
        <v>1.4980645889441743E-2</v>
      </c>
      <c r="H99" s="12">
        <v>0.8125</v>
      </c>
      <c r="I99" s="17">
        <f ref="I99:M99" si="71" t="shared">I42/I$59</f>
        <v>3.6299053600782247E-3</v>
      </c>
      <c r="J99" s="17">
        <f si="71" t="shared"/>
        <v>8.6666349463280987E-3</v>
      </c>
      <c r="K99" s="17">
        <f si="71" t="shared"/>
        <v>2.5770405268418266E-2</v>
      </c>
      <c r="L99" s="17">
        <f si="71" t="shared"/>
        <v>4.4026911291892949E-3</v>
      </c>
      <c r="M99" s="18">
        <f si="71" t="shared"/>
        <v>1.6742185264179435E-2</v>
      </c>
    </row>
    <row r="100" spans="1:13" x14ac:dyDescent="0.25">
      <c r="A100" s="12">
        <v>0.83333333333333337</v>
      </c>
      <c r="B100" s="18">
        <f ref="B100:F100" si="72" t="shared">B43/B$59</f>
        <v>1.639670622154467E-3</v>
      </c>
      <c r="C100" s="18">
        <f si="72" t="shared"/>
        <v>2.8795497463843158E-3</v>
      </c>
      <c r="D100" s="18">
        <f si="72" t="shared"/>
        <v>1.9531657469652155E-2</v>
      </c>
      <c r="E100" s="18">
        <f si="72" t="shared"/>
        <v>3.1091785656921188E-3</v>
      </c>
      <c r="F100" s="18">
        <f si="72" t="shared"/>
        <v>1.1805918729646394E-2</v>
      </c>
      <c r="H100" s="12">
        <v>0.83333333333333337</v>
      </c>
      <c r="I100" s="17">
        <f ref="I100:M100" si="73" t="shared">I43/I$59</f>
        <v>3.1545561682250122E-3</v>
      </c>
      <c r="J100" s="17">
        <f si="73" t="shared"/>
        <v>6.544600307877067E-3</v>
      </c>
      <c r="K100" s="17">
        <f si="73" t="shared"/>
        <v>2.1494619335168878E-2</v>
      </c>
      <c r="L100" s="17">
        <f si="73" t="shared"/>
        <v>3.467557334525243E-3</v>
      </c>
      <c r="M100" s="18">
        <f si="73" t="shared"/>
        <v>1.3868884280272643E-2</v>
      </c>
    </row>
    <row r="101" spans="1:13" x14ac:dyDescent="0.25">
      <c r="A101" s="12">
        <v>0.85416666666666663</v>
      </c>
      <c r="B101" s="18">
        <f ref="B101:F101" si="74" t="shared">B44/B$59</f>
        <v>1.1625964347731406E-3</v>
      </c>
      <c r="C101" s="18">
        <f si="74" t="shared"/>
        <v>1.5548872050310364E-3</v>
      </c>
      <c r="D101" s="18">
        <f si="74" t="shared"/>
        <v>1.4840849230652304E-2</v>
      </c>
      <c r="E101" s="18">
        <f si="74" t="shared"/>
        <v>2.9586955615252923E-3</v>
      </c>
      <c r="F101" s="18">
        <f si="74" t="shared"/>
        <v>8.8778537567310977E-3</v>
      </c>
      <c r="H101" s="12">
        <v>0.85416666666666663</v>
      </c>
      <c r="I101" s="17">
        <f ref="I101:M101" si="75" t="shared">I44/I$59</f>
        <v>2.7216499874745306E-3</v>
      </c>
      <c r="J101" s="17">
        <f si="75" t="shared"/>
        <v>4.8380526205016377E-3</v>
      </c>
      <c r="K101" s="17">
        <f si="75" t="shared"/>
        <v>1.7455000586606904E-2</v>
      </c>
      <c r="L101" s="17">
        <f si="75" t="shared"/>
        <v>2.7754226705180652E-3</v>
      </c>
      <c r="M101" s="18">
        <f si="75" t="shared"/>
        <v>1.1217856096939044E-2</v>
      </c>
    </row>
    <row r="102" spans="1:13" x14ac:dyDescent="0.25">
      <c r="A102" s="12">
        <v>0.875</v>
      </c>
      <c r="B102" s="18">
        <f ref="B102:F102" si="76" t="shared">B45/B$59</f>
        <v>8.1286275526088435E-4</v>
      </c>
      <c r="C102" s="18">
        <f si="76" t="shared"/>
        <v>7.8441582297083417E-4</v>
      </c>
      <c r="D102" s="18">
        <f si="76" t="shared"/>
        <v>1.0678242835568775E-2</v>
      </c>
      <c r="E102" s="18">
        <f si="76" t="shared"/>
        <v>2.9059995439107622E-3</v>
      </c>
      <c r="F102" s="18">
        <f si="76" t="shared"/>
        <v>6.3686454395161535E-3</v>
      </c>
      <c r="H102" s="12">
        <v>0.875</v>
      </c>
      <c r="I102" s="17">
        <f ref="I102:M102" si="77" t="shared">I45/I$59</f>
        <v>2.3467436418972277E-3</v>
      </c>
      <c r="J102" s="17">
        <f si="77" t="shared"/>
        <v>3.4679493927856002E-3</v>
      </c>
      <c r="K102" s="17">
        <f si="77" t="shared"/>
        <v>1.3717102792626773E-2</v>
      </c>
      <c r="L102" s="17">
        <f si="77" t="shared"/>
        <v>2.2471232884798951E-3</v>
      </c>
      <c r="M102" s="18">
        <f si="77" t="shared"/>
        <v>8.8113709384157104E-3</v>
      </c>
    </row>
    <row r="103" spans="1:13" x14ac:dyDescent="0.25">
      <c r="A103" s="12">
        <v>0.89583333333333337</v>
      </c>
      <c r="B103" s="18">
        <f ref="B103:F103" si="78" t="shared">B46/B$59</f>
        <v>5.8265238938434054E-4</v>
      </c>
      <c r="C103" s="18">
        <f si="78" t="shared"/>
        <v>4.1881866945039654E-4</v>
      </c>
      <c r="D103" s="18">
        <f si="78" t="shared"/>
        <v>7.2559956566007758E-3</v>
      </c>
      <c r="E103" s="18">
        <f si="78" t="shared"/>
        <v>2.7777104377139099E-3</v>
      </c>
      <c r="F103" s="18">
        <f si="78" t="shared"/>
        <v>4.3590534478091325E-3</v>
      </c>
      <c r="H103" s="12">
        <v>0.89583333333333337</v>
      </c>
      <c r="I103" s="17">
        <f ref="I103:M103" si="79" t="shared">I46/I$59</f>
        <v>2.0276970198918132E-3</v>
      </c>
      <c r="J103" s="17">
        <f si="79" t="shared"/>
        <v>2.3608141854307052E-3</v>
      </c>
      <c r="K103" s="17">
        <f si="79" t="shared"/>
        <v>1.0315883980974879E-2</v>
      </c>
      <c r="L103" s="17">
        <f si="79" t="shared"/>
        <v>1.7938741315165899E-3</v>
      </c>
      <c r="M103" s="18">
        <f si="79" t="shared"/>
        <v>6.6511565319948779E-3</v>
      </c>
    </row>
    <row r="104" spans="1:13" x14ac:dyDescent="0.25">
      <c r="A104" s="12">
        <v>0.91666666666666663</v>
      </c>
      <c r="B104" s="18">
        <f ref="B104:F104" si="80" t="shared">B47/B$59</f>
        <v>4.3779211954844964E-4</v>
      </c>
      <c r="C104" s="18">
        <f si="80" t="shared"/>
        <v>2.8233201227794764E-4</v>
      </c>
      <c r="D104" s="18">
        <f si="80" t="shared"/>
        <v>4.6559314606331691E-3</v>
      </c>
      <c r="E104" s="18">
        <f si="80" t="shared"/>
        <v>2.4586968736188771E-3</v>
      </c>
      <c r="F104" s="18">
        <f si="80" t="shared"/>
        <v>2.8506884263210836E-3</v>
      </c>
      <c r="H104" s="12">
        <v>0.91666666666666663</v>
      </c>
      <c r="I104" s="17">
        <f ref="I104:M104" si="81" t="shared">I47/I$59</f>
        <v>1.7409652737004238E-3</v>
      </c>
      <c r="J104" s="17">
        <f si="81" t="shared"/>
        <v>1.4872763790207042E-3</v>
      </c>
      <c r="K104" s="17">
        <f si="81" t="shared"/>
        <v>7.345325085589916E-3</v>
      </c>
      <c r="L104" s="17">
        <f si="81" t="shared"/>
        <v>1.3752699137942728E-3</v>
      </c>
      <c r="M104" s="18">
        <f si="81" t="shared"/>
        <v>4.7767260472218968E-3</v>
      </c>
    </row>
    <row r="105" spans="1:13" x14ac:dyDescent="0.25">
      <c r="A105" s="12">
        <v>0.9375</v>
      </c>
      <c r="B105" s="18">
        <f ref="B105:F105" si="82" t="shared">B48/B$59</f>
        <v>3.329264678399849E-4</v>
      </c>
      <c r="C105" s="18">
        <f si="82" t="shared"/>
        <v>2.3896403361524938E-4</v>
      </c>
      <c r="D105" s="18">
        <f si="82" t="shared"/>
        <v>2.8339432549747061E-3</v>
      </c>
      <c r="E105" s="18">
        <f si="82" t="shared"/>
        <v>1.953718317522838E-3</v>
      </c>
      <c r="F105" s="18">
        <f si="82" t="shared"/>
        <v>1.7863693277584193E-3</v>
      </c>
      <c r="H105" s="12">
        <v>0.9375</v>
      </c>
      <c r="I105" s="17">
        <f ref="I105:M105" si="83" t="shared">I48/I$59</f>
        <v>1.4550448797091746E-3</v>
      </c>
      <c r="J105" s="17">
        <f si="83" t="shared"/>
        <v>8.4599301655944334E-4</v>
      </c>
      <c r="K105" s="17">
        <f si="83" t="shared"/>
        <v>4.9235946079685582E-3</v>
      </c>
      <c r="L105" s="17">
        <f si="83" t="shared"/>
        <v>1.0020948364616871E-3</v>
      </c>
      <c r="M105" s="18">
        <f si="83" t="shared"/>
        <v>3.246672914490573E-3</v>
      </c>
    </row>
    <row r="106" spans="1:13" x14ac:dyDescent="0.25">
      <c r="A106" s="12">
        <v>0.95833333333333337</v>
      </c>
      <c r="B106" s="18">
        <f ref="B106:F106" si="84" t="shared">B49/B$59</f>
        <v>2.386725290243451E-4</v>
      </c>
      <c r="C106" s="18">
        <f si="84" t="shared"/>
        <v>2.1128061325958788E-4</v>
      </c>
      <c r="D106" s="18">
        <f si="84" t="shared"/>
        <v>1.651403051873331E-3</v>
      </c>
      <c r="E106" s="18">
        <f si="84" t="shared"/>
        <v>1.3671343563368555E-3</v>
      </c>
      <c r="F106" s="18">
        <f si="84" t="shared"/>
        <v>1.0756261050949188E-3</v>
      </c>
      <c r="H106" s="12">
        <v>0.95833333333333337</v>
      </c>
      <c r="I106" s="17">
        <f ref="I106:M106" si="85" t="shared">I49/I$59</f>
        <v>1.1519219630012918E-3</v>
      </c>
      <c r="J106" s="17">
        <f si="85" t="shared"/>
        <v>4.2621380279735663E-4</v>
      </c>
      <c r="K106" s="17">
        <f si="85" t="shared"/>
        <v>3.1061013828229088E-3</v>
      </c>
      <c r="L106" s="17">
        <f si="85" t="shared"/>
        <v>6.9809136940023183E-4</v>
      </c>
      <c r="M106" s="18">
        <f si="85" t="shared"/>
        <v>2.0871299952726226E-3</v>
      </c>
    </row>
    <row r="107" spans="1:13" x14ac:dyDescent="0.25">
      <c r="A107" s="12">
        <v>0.97916666666666663</v>
      </c>
      <c r="B107" s="18">
        <f ref="B107:F107" si="86" t="shared">B50/B$59</f>
        <v>1.5163342743168716E-4</v>
      </c>
      <c r="C107" s="18">
        <f si="86" t="shared"/>
        <v>1.7082883367831734E-4</v>
      </c>
      <c r="D107" s="18">
        <f si="86" t="shared"/>
        <v>9.2974716276845862E-4</v>
      </c>
      <c r="E107" s="18">
        <f si="86" t="shared"/>
        <v>8.299403617671163E-4</v>
      </c>
      <c r="F107" s="18">
        <f si="86" t="shared"/>
        <v>6.2148798601586151E-4</v>
      </c>
      <c r="H107" s="12">
        <v>0.97916666666666663</v>
      </c>
      <c r="I107" s="17">
        <f ref="I107:M107" si="87" t="shared">I50/I$59</f>
        <v>8.404819762137932E-4</v>
      </c>
      <c r="J107" s="17">
        <f si="87" t="shared"/>
        <v>1.8831002726115174E-4</v>
      </c>
      <c r="K107" s="17">
        <f si="87" t="shared"/>
        <v>1.8464548562753115E-3</v>
      </c>
      <c r="L107" s="17">
        <f si="87" t="shared"/>
        <v>4.6857401549018376E-4</v>
      </c>
      <c r="M107" s="18">
        <f si="87" t="shared"/>
        <v>1.2682392670935844E-3</v>
      </c>
    </row>
    <row r="108" spans="1:13" x14ac:dyDescent="0.25">
      <c r="A108" s="12">
        <v>1</v>
      </c>
      <c r="B108" s="18">
        <f ref="B108:F108" si="88" t="shared">B51/B$59</f>
        <v>8.2056163067997082E-5</v>
      </c>
      <c r="C108" s="18">
        <f si="88" t="shared"/>
        <v>1.1939827107899024E-4</v>
      </c>
      <c r="D108" s="18">
        <f si="88" t="shared"/>
        <v>5.0545968671647425E-4</v>
      </c>
      <c r="E108" s="18">
        <f si="88" t="shared"/>
        <v>4.3047926442886433E-4</v>
      </c>
      <c r="F108" s="18">
        <f si="88" t="shared"/>
        <v>3.4112021976705269E-4</v>
      </c>
      <c r="H108" s="12">
        <v>1</v>
      </c>
      <c r="I108" s="17">
        <f ref="I108:M108" si="89" t="shared">I51/I$59</f>
        <v>5.5156801008329325E-4</v>
      </c>
      <c r="J108" s="17">
        <f si="89" t="shared"/>
        <v>7.3497978039426388E-5</v>
      </c>
      <c r="K108" s="17">
        <f si="89" t="shared"/>
        <v>1.0297602338229118E-3</v>
      </c>
      <c r="L108" s="17">
        <f si="89" t="shared"/>
        <v>3.0039653973902813E-4</v>
      </c>
      <c r="M108" s="18">
        <f si="89" t="shared"/>
        <v>7.2303925114176133E-4</v>
      </c>
    </row>
    <row r="109" spans="1:13" x14ac:dyDescent="0.25">
      <c r="A109" s="12">
        <v>1.0208333333333333</v>
      </c>
      <c r="B109" s="18">
        <f ref="B109:F109" si="90" t="shared">B52/B$59</f>
        <v>3.686422772666001E-5</v>
      </c>
      <c r="C109" s="18">
        <f si="90" t="shared"/>
        <v>7.0267445805058027E-5</v>
      </c>
      <c r="D109" s="18">
        <f si="90" t="shared"/>
        <v>2.6065679267805444E-4</v>
      </c>
      <c r="E109" s="18">
        <f si="90" t="shared"/>
        <v>1.8740069445454837E-4</v>
      </c>
      <c r="F109" s="18">
        <f si="90" t="shared"/>
        <v>1.7425657445571498E-4</v>
      </c>
      <c r="H109" s="12">
        <v>1.0208333333333333</v>
      </c>
      <c r="I109" s="17">
        <f ref="I109:M109" si="91" t="shared">I52/I$59</f>
        <v>3.18651432988212E-4</v>
      </c>
      <c r="J109" s="17">
        <f si="91" t="shared"/>
        <v>2.6292493372115963E-5</v>
      </c>
      <c r="K109" s="17">
        <f si="91" t="shared"/>
        <v>5.3045478476347694E-4</v>
      </c>
      <c r="L109" s="17">
        <f si="91" t="shared"/>
        <v>1.7839340867076587E-4</v>
      </c>
      <c r="M109" s="18">
        <f si="91" t="shared"/>
        <v>3.7969376656237213E-4</v>
      </c>
    </row>
    <row r="110" spans="1:13" x14ac:dyDescent="0.25">
      <c r="A110" s="12">
        <v>4.1666666666666664E-2</v>
      </c>
      <c r="B110" s="18">
        <f ref="B110:F110" si="92" t="shared">B53/B$59</f>
        <v>1.3458769632547135E-5</v>
      </c>
      <c r="C110" s="18">
        <f si="92" t="shared"/>
        <v>3.4146988503402655E-5</v>
      </c>
      <c r="D110" s="18">
        <f si="92" t="shared"/>
        <v>1.2334115856090088E-4</v>
      </c>
      <c r="E110" s="18">
        <f si="92" t="shared"/>
        <v>6.6960858256267538E-5</v>
      </c>
      <c r="F110" s="18">
        <f si="92" t="shared"/>
        <v>8.0524681556362309E-5</v>
      </c>
      <c r="H110" s="12">
        <v>4.1666666666666664E-2</v>
      </c>
      <c r="I110" s="17">
        <f ref="I110:M110" si="93" t="shared">I53/I$59</f>
        <v>1.5883293693716045E-4</v>
      </c>
      <c r="J110" s="17">
        <f si="93" t="shared"/>
        <v>9.1910625517153373E-6</v>
      </c>
      <c r="K110" s="17">
        <f si="93" t="shared"/>
        <v>2.4579074907352176E-4</v>
      </c>
      <c r="L110" s="17">
        <f si="93" t="shared"/>
        <v>9.416558109148933E-5</v>
      </c>
      <c r="M110" s="18">
        <f si="93" t="shared"/>
        <v>1.7862071663134253E-4</v>
      </c>
    </row>
    <row r="111" spans="1:13" x14ac:dyDescent="0.25">
      <c r="A111" s="12">
        <v>6.25E-2</v>
      </c>
      <c r="B111" s="18">
        <f ref="B111:F111" si="94" t="shared">B54/B$59</f>
        <v>3.8989935496793836E-6</v>
      </c>
      <c r="C111" s="18">
        <f si="94" t="shared"/>
        <v>1.3416370253449262E-5</v>
      </c>
      <c r="D111" s="18">
        <f si="94" t="shared"/>
        <v>5.145454430151365E-5</v>
      </c>
      <c r="E111" s="18">
        <f si="94" t="shared"/>
        <v>1.9070334129587109E-5</v>
      </c>
      <c r="F111" s="18">
        <f si="94" t="shared"/>
        <v>3.2582798821619245E-5</v>
      </c>
      <c r="H111" s="12">
        <v>6.25E-2</v>
      </c>
      <c r="I111" s="17">
        <f ref="I111:M111" si="95" t="shared">I54/I$59</f>
        <v>6.6899848388062315E-5</v>
      </c>
      <c r="J111" s="17">
        <f si="95" t="shared"/>
        <v>3.2551155214884689E-6</v>
      </c>
      <c r="K111" s="17">
        <f si="95" t="shared"/>
        <v>9.9128143611527771E-5</v>
      </c>
      <c r="L111" s="17">
        <f si="95" t="shared"/>
        <v>4.2445925348424104E-5</v>
      </c>
      <c r="M111" s="18">
        <f si="95" t="shared"/>
        <v>7.2859149179239438E-5</v>
      </c>
    </row>
    <row r="112" spans="1:13" x14ac:dyDescent="0.25">
      <c r="A112" s="12">
        <v>8.3333333333333329E-2</v>
      </c>
      <c r="B112" s="18">
        <f ref="B112:F112" si="96" t="shared">B55/B$59</f>
        <v>8.6798099129066292E-7</v>
      </c>
      <c r="C112" s="18">
        <f si="96" t="shared"/>
        <v>4.1471436101937606E-6</v>
      </c>
      <c r="D112" s="18">
        <f si="96" t="shared"/>
        <v>1.8166101360316487E-5</v>
      </c>
      <c r="E112" s="18">
        <f si="96" t="shared"/>
        <v>4.1532873439328925E-6</v>
      </c>
      <c r="F112" s="18">
        <f si="96" t="shared"/>
        <v>1.1148801747624549E-5</v>
      </c>
      <c r="H112" s="12">
        <v>8.3333333333333329E-2</v>
      </c>
      <c r="I112" s="17">
        <f ref="I112:M112" si="97" t="shared">I55/I$59</f>
        <v>2.3247835970354473E-5</v>
      </c>
      <c r="J112" s="17">
        <f si="97" t="shared"/>
        <v>1.1076242704809956E-6</v>
      </c>
      <c r="K112" s="17">
        <f si="97" t="shared"/>
        <v>3.3579234392290657E-5</v>
      </c>
      <c r="L112" s="17">
        <f si="97" t="shared"/>
        <v>1.5762256413215678E-5</v>
      </c>
      <c r="M112" s="18">
        <f si="97" t="shared"/>
        <v>2.4892240280199981E-5</v>
      </c>
    </row>
    <row r="113" spans="1:13" x14ac:dyDescent="0.25">
      <c r="A113" s="12">
        <v>0.10416666666666667</v>
      </c>
      <c r="B113" s="18">
        <f ref="B113:F113" si="98" t="shared">B56/B$59</f>
        <v>1.4152958664720523E-7</v>
      </c>
      <c r="C113" s="18">
        <f si="98" t="shared"/>
        <v>9.6969483108726557E-7</v>
      </c>
      <c r="D113" s="18">
        <f si="98" t="shared"/>
        <v>5.2031410108413296E-6</v>
      </c>
      <c r="E113" s="18">
        <f si="98" t="shared"/>
        <v>6.484364516421524E-7</v>
      </c>
      <c r="F113" s="18">
        <f si="98" t="shared"/>
        <v>3.1028691974054221E-6</v>
      </c>
      <c r="H113" s="12">
        <v>0.10416666666666667</v>
      </c>
      <c r="I113" s="17">
        <f ref="I113:M113" si="99" t="shared">I56/I$59</f>
        <v>6.4657699403880629E-6</v>
      </c>
      <c r="J113" s="17">
        <f si="99" t="shared"/>
        <v>3.2561778063424659E-7</v>
      </c>
      <c r="K113" s="17">
        <f si="99" t="shared"/>
        <v>9.1895439849348052E-6</v>
      </c>
      <c r="L113" s="17">
        <f si="99" t="shared"/>
        <v>4.6515987680791826E-6</v>
      </c>
      <c r="M113" s="18">
        <f si="99" t="shared"/>
        <v>6.8584336433539925E-6</v>
      </c>
    </row>
    <row r="114" spans="1:13" x14ac:dyDescent="0.25">
      <c r="A114" s="12">
        <v>0.125</v>
      </c>
      <c r="B114" s="18">
        <f ref="B114:F114" si="100" t="shared">B57/B$59</f>
        <v>1.5595325355349488E-8</v>
      </c>
      <c r="C114" s="18">
        <f si="100" t="shared"/>
        <v>1.602473783281468E-7</v>
      </c>
      <c r="D114" s="18">
        <f si="100" t="shared"/>
        <v>1.1327924585735886E-6</v>
      </c>
      <c r="E114" s="18">
        <f si="100" t="shared"/>
        <v>6.4536329310356398E-8</v>
      </c>
      <c r="F114" s="18">
        <f si="100" t="shared"/>
        <v>6.5936299746778847E-7</v>
      </c>
      <c r="H114" s="12">
        <v>0.125</v>
      </c>
      <c r="I114" s="17">
        <f ref="I114:M114" si="101" t="shared">I57/I$59</f>
        <v>1.3598939701210582E-6</v>
      </c>
      <c r="J114" s="17">
        <f si="101" t="shared"/>
        <v>7.3718905816173617E-8</v>
      </c>
      <c r="K114" s="17">
        <f si="101" t="shared"/>
        <v>1.9104443556660263E-6</v>
      </c>
      <c r="L114" s="17">
        <f si="101" t="shared"/>
        <v>1.0278863650409237E-6</v>
      </c>
      <c r="M114" s="18">
        <f si="101" t="shared"/>
        <v>1.433805573983607E-6</v>
      </c>
    </row>
    <row ht="15.75" r="115" spans="1:13" thickBot="1" x14ac:dyDescent="0.3">
      <c r="A115" s="13" t="s">
        <v>34</v>
      </c>
      <c r="B115" s="20">
        <f ref="B115:F115" si="102" t="shared">B58/B$59</f>
        <v>0</v>
      </c>
      <c r="C115" s="20">
        <f si="102" t="shared"/>
        <v>0</v>
      </c>
      <c r="D115" s="20">
        <f si="102" t="shared"/>
        <v>0</v>
      </c>
      <c r="E115" s="20">
        <f si="102" t="shared"/>
        <v>0</v>
      </c>
      <c r="F115" s="20">
        <f si="102" t="shared"/>
        <v>0</v>
      </c>
      <c r="H115" s="13" t="s">
        <v>34</v>
      </c>
      <c r="I115" s="19">
        <f ref="I115:M115" si="103" t="shared">I58/I$59</f>
        <v>0</v>
      </c>
      <c r="J115" s="19">
        <f si="103" t="shared"/>
        <v>0</v>
      </c>
      <c r="K115" s="19">
        <f si="103" t="shared"/>
        <v>0</v>
      </c>
      <c r="L115" s="19">
        <f si="103" t="shared"/>
        <v>0</v>
      </c>
      <c r="M115" s="20">
        <f si="103" t="shared"/>
        <v>0</v>
      </c>
    </row>
  </sheetData>
  <pageMargins bottom="0.75" footer="0.3" header="0.3" left="0.7" right="0.7" top="0.75"/>
  <pageSetup orientation="portrait" r:id="rId1"/>
  <drawing r:id="rId2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"/>
  <dimension ref="A1:R115"/>
  <sheetViews>
    <sheetView workbookViewId="0">
      <selection activeCell="U5" sqref="U5"/>
    </sheetView>
  </sheetViews>
  <sheetFormatPr defaultRowHeight="15" x14ac:dyDescent="0.25"/>
  <cols>
    <col min="1" max="1" customWidth="true" width="12.7109375" collapsed="true"/>
    <col min="2" max="6" customWidth="true" width="10.7109375" collapsed="true"/>
    <col min="7" max="7" customWidth="true" width="6.42578125" collapsed="true"/>
    <col min="8" max="8" customWidth="true" width="12.7109375" collapsed="true"/>
    <col min="9" max="13" customWidth="true" width="10.7109375" collapsed="true"/>
  </cols>
  <sheetData>
    <row r="1" spans="1:17" x14ac:dyDescent="0.25">
      <c r="A1" t="s">
        <v>10</v>
      </c>
    </row>
    <row r="2" spans="1:17" x14ac:dyDescent="0.25">
      <c r="A2" t="s">
        <v>59</v>
      </c>
    </row>
    <row r="3" spans="1:17" x14ac:dyDescent="0.25">
      <c r="A3" t="s">
        <v>7</v>
      </c>
    </row>
    <row ht="15.75" r="6" spans="1:17" thickBot="1" x14ac:dyDescent="0.3">
      <c r="A6" s="3" t="s">
        <v>49</v>
      </c>
      <c r="B6" s="1"/>
      <c r="C6" s="1"/>
      <c r="D6" s="1"/>
      <c r="E6" s="1"/>
      <c r="F6" s="1"/>
      <c r="H6" s="3" t="s">
        <v>11</v>
      </c>
      <c r="I6" s="1"/>
      <c r="J6" s="1"/>
      <c r="K6" s="1"/>
      <c r="L6" s="1"/>
      <c r="M6" s="1"/>
      <c r="O6" s="11"/>
      <c r="P6" s="5"/>
      <c r="Q6" s="5"/>
    </row>
    <row r="7" spans="1:17" x14ac:dyDescent="0.25">
      <c r="A7" s="2" t="s">
        <v>4</v>
      </c>
      <c r="B7" s="4" t="s">
        <v>1</v>
      </c>
      <c r="C7" s="4" t="s">
        <v>2</v>
      </c>
      <c r="D7" s="4" t="s">
        <v>16</v>
      </c>
      <c r="E7" s="4" t="s">
        <v>3</v>
      </c>
      <c r="F7" s="4" t="s">
        <v>0</v>
      </c>
      <c r="H7" s="2" t="s">
        <v>4</v>
      </c>
      <c r="I7" s="4" t="s">
        <v>1</v>
      </c>
      <c r="J7" s="4" t="s">
        <v>2</v>
      </c>
      <c r="K7" s="4" t="s">
        <v>16</v>
      </c>
      <c r="L7" s="4" t="s">
        <v>3</v>
      </c>
      <c r="M7" s="4" t="s">
        <v>0</v>
      </c>
      <c r="O7" s="5"/>
      <c r="P7" s="14"/>
      <c r="Q7" s="14"/>
    </row>
    <row r="8" spans="1:17" x14ac:dyDescent="0.25">
      <c r="A8" t="s">
        <v>5</v>
      </c>
      <c r="B8" s="6" t="n">
        <v>7619.749328503902</v>
      </c>
      <c r="C8" s="6" t="n">
        <v>0.0</v>
      </c>
      <c r="D8" s="6" t="n">
        <v>2596.08788390373</v>
      </c>
      <c r="E8" s="6" t="n">
        <v>0.0</v>
      </c>
      <c r="F8" s="6">
        <f>SUM(B8:E8)</f>
        <v>11196.010073102747</v>
      </c>
      <c r="H8" t="s">
        <v>5</v>
      </c>
      <c r="I8" s="9" t="n">
        <v>5404.0</v>
      </c>
      <c r="J8" s="9" t="n">
        <v>0.0</v>
      </c>
      <c r="K8" s="9" t="n">
        <v>1932.0</v>
      </c>
      <c r="L8" s="9" t="n">
        <v>12.0</v>
      </c>
      <c r="M8">
        <f>SUM(I8:L8)</f>
        <v>14170</v>
      </c>
      <c r="O8" s="5"/>
      <c r="P8" s="16"/>
      <c r="Q8" s="16"/>
    </row>
    <row r="9" spans="1:17" x14ac:dyDescent="0.25">
      <c r="A9" s="12">
        <v>0.125</v>
      </c>
      <c r="B9" s="6" t="n">
        <v>5059.211679632035</v>
      </c>
      <c r="C9" s="6" t="n">
        <v>0.010573879276839197</v>
      </c>
      <c r="D9" s="6" t="n">
        <v>1789.7194862175438</v>
      </c>
      <c r="E9" s="6" t="n">
        <v>0.06970912269265522</v>
      </c>
      <c r="F9" s="6">
        <f ref="F9:F58" si="0" t="shared">SUM(B9:E9)</f>
        <v>7746.0979939021736</v>
      </c>
      <c r="H9" s="12">
        <v>0.125</v>
      </c>
      <c r="I9" s="9" t="n">
        <v>3609.952223777771</v>
      </c>
      <c r="J9" s="9" t="n">
        <v>1.4432859420776367</v>
      </c>
      <c r="K9" s="9" t="n">
        <v>1551.307635307312</v>
      </c>
      <c r="L9" s="9" t="n">
        <v>10.49814224243164</v>
      </c>
      <c r="M9">
        <f ref="M9:M58" si="1" t="shared">SUM(I9:L9)</f>
        <v>10341.029677391052</v>
      </c>
      <c r="O9" s="5"/>
      <c r="P9" s="16"/>
      <c r="Q9" s="16"/>
    </row>
    <row r="10" spans="1:17" x14ac:dyDescent="0.25">
      <c r="A10" s="12">
        <v>0.14583333333333334</v>
      </c>
      <c r="B10" s="6" t="n">
        <v>2928.362805777936</v>
      </c>
      <c r="C10" s="6" t="n">
        <v>0.07320910695692052</v>
      </c>
      <c r="D10" s="6" t="n">
        <v>1178.8174877041351</v>
      </c>
      <c r="E10" s="6" t="n">
        <v>0.46281544147211595</v>
      </c>
      <c r="F10" s="6">
        <f si="0" t="shared"/>
        <v>4995.0406647862055</v>
      </c>
      <c r="H10" s="12">
        <v>0.14583333333333334</v>
      </c>
      <c r="I10" s="9" t="n">
        <v>2124.007845878601</v>
      </c>
      <c r="J10" s="9" t="n">
        <v>2.6642465591430664</v>
      </c>
      <c r="K10" s="9" t="n">
        <v>1279.2008056640625</v>
      </c>
      <c r="L10" s="9" t="n">
        <v>9.83359432220459</v>
      </c>
      <c r="M10">
        <f si="1" t="shared"/>
        <v>7258.5979461669922</v>
      </c>
      <c r="O10" s="5"/>
      <c r="P10" s="16"/>
      <c r="Q10" s="16"/>
    </row>
    <row r="11" spans="1:17" x14ac:dyDescent="0.25">
      <c r="A11" s="12">
        <v>0.16666666666666666</v>
      </c>
      <c r="B11" s="6" t="n">
        <v>1460.3890853053476</v>
      </c>
      <c r="C11" s="6" t="n">
        <v>0.38598063215317446</v>
      </c>
      <c r="D11" s="6" t="n">
        <v>925.9298810151263</v>
      </c>
      <c r="E11" s="6" t="n">
        <v>2.207679137152544</v>
      </c>
      <c r="F11" s="6">
        <f si="0" t="shared"/>
        <v>3464.8795471806193</v>
      </c>
      <c r="H11" s="12">
        <v>0.16666666666666666</v>
      </c>
      <c r="I11" s="9" t="n">
        <v>1114.8421306610107</v>
      </c>
      <c r="J11" s="9" t="n">
        <v>4.609332084655762</v>
      </c>
      <c r="K11" s="9" t="n">
        <v>1226.6235065460205</v>
      </c>
      <c r="L11" s="9" t="n">
        <v>10.68303394317627</v>
      </c>
      <c r="M11">
        <f si="1" t="shared"/>
        <v>5388.7860107421875</v>
      </c>
      <c r="O11" s="5"/>
      <c r="P11" s="16"/>
      <c r="Q11" s="16"/>
    </row>
    <row r="12" spans="1:17" x14ac:dyDescent="0.25">
      <c r="A12" s="12">
        <v>0.1875</v>
      </c>
      <c r="B12" s="6" t="n">
        <v>636.5731460867621</v>
      </c>
      <c r="C12" s="6" t="n">
        <v>1.6380729772803442</v>
      </c>
      <c r="D12" s="6" t="n">
        <v>1170.1366955454757</v>
      </c>
      <c r="E12" s="6" t="n">
        <v>8.128430165240138</v>
      </c>
      <c r="F12" s="6">
        <f si="0" t="shared"/>
        <v>3471.8489693461311</v>
      </c>
      <c r="H12" s="12">
        <v>0.1875</v>
      </c>
      <c r="I12" s="9" t="n">
        <v>571.7531633377075</v>
      </c>
      <c r="J12" s="9" t="n">
        <v>10.238822937011719</v>
      </c>
      <c r="K12" s="9" t="n">
        <v>1523.9698820114136</v>
      </c>
      <c r="L12" s="9" t="n">
        <v>13.651293754577637</v>
      </c>
      <c r="M12">
        <f si="1" t="shared"/>
        <v>4891.5402889251709</v>
      </c>
      <c r="O12" s="5"/>
      <c r="P12" s="5"/>
      <c r="Q12" s="5"/>
    </row>
    <row r="13" spans="1:17" x14ac:dyDescent="0.25">
      <c r="A13" s="12">
        <v>0.20833333333333334</v>
      </c>
      <c r="B13" s="6" t="n">
        <v>281.49679931431524</v>
      </c>
      <c r="C13" s="6" t="n">
        <v>5.714787555698666</v>
      </c>
      <c r="D13" s="6" t="n">
        <v>2060.365372825365</v>
      </c>
      <c r="E13" s="6" t="n">
        <v>24.145579563220043</v>
      </c>
      <c r="F13" s="6">
        <f si="0" t="shared"/>
        <v>5247.1350176841534</v>
      </c>
      <c r="H13" s="12">
        <v>0.20833333333333334</v>
      </c>
      <c r="I13" s="9" t="n">
        <v>370.7387924194336</v>
      </c>
      <c r="J13" s="9" t="n">
        <v>24.422330856323242</v>
      </c>
      <c r="K13" s="9" t="n">
        <v>2333.280131340027</v>
      </c>
      <c r="L13" s="9" t="n">
        <v>19.733439445495605</v>
      </c>
      <c r="M13">
        <f si="1" t="shared"/>
        <v>5836.9115400314331</v>
      </c>
    </row>
    <row r="14" spans="1:17" x14ac:dyDescent="0.25">
      <c r="A14" s="12">
        <v>0.22916666666666666</v>
      </c>
      <c r="B14" s="6" t="n">
        <v>202.71532377486636</v>
      </c>
      <c r="C14" s="6" t="n">
        <v>16.555041506993433</v>
      </c>
      <c r="D14" s="6" t="n">
        <v>3736.4896067935906</v>
      </c>
      <c r="E14" s="6" t="n">
        <v>59.76714010323093</v>
      </c>
      <c r="F14" s="6">
        <f si="0" t="shared"/>
        <v>9055.3301339437548</v>
      </c>
      <c r="H14" s="12">
        <v>0.22916666666666666</v>
      </c>
      <c r="I14" s="9" t="n">
        <v>372.17550468444824</v>
      </c>
      <c r="J14" s="9" t="n">
        <v>51.95053482055664</v>
      </c>
      <c r="K14" s="9" t="n">
        <v>3815.0330533981323</v>
      </c>
      <c r="L14" s="9" t="n">
        <v>30.98405170440674</v>
      </c>
      <c r="M14">
        <f si="1" t="shared"/>
        <v>8412.5678300857544</v>
      </c>
    </row>
    <row r="15" spans="1:17" x14ac:dyDescent="0.25">
      <c r="A15" s="12">
        <v>0.25</v>
      </c>
      <c r="B15" s="6" t="n">
        <v>274.2090293673437</v>
      </c>
      <c r="C15" s="6" t="n">
        <v>40.157528999423874</v>
      </c>
      <c r="D15" s="6" t="n">
        <v>6206.315369073301</v>
      </c>
      <c r="E15" s="6" t="n">
        <v>126.45583661469</v>
      </c>
      <c r="F15" s="6">
        <f si="0" t="shared"/>
        <v>15125.081802463974</v>
      </c>
      <c r="H15" s="12">
        <v>0.25</v>
      </c>
      <c r="I15" s="9" t="n">
        <v>480.32794666290283</v>
      </c>
      <c r="J15" s="9" t="n">
        <v>93.61992645263672</v>
      </c>
      <c r="K15" s="9" t="n">
        <v>6038.080040931702</v>
      </c>
      <c r="L15" s="9" t="n">
        <v>51.22074794769287</v>
      </c>
      <c r="M15">
        <f si="1" t="shared"/>
        <v>12898.885936737061</v>
      </c>
    </row>
    <row r="16" spans="1:17" x14ac:dyDescent="0.25">
      <c r="A16" s="12">
        <v>0.27083333333333331</v>
      </c>
      <c r="B16" s="6" t="n">
        <v>444.7703124729407</v>
      </c>
      <c r="C16" s="6" t="n">
        <v>82.46547000763128</v>
      </c>
      <c r="D16" s="6" t="n">
        <v>9186.749475374092</v>
      </c>
      <c r="E16" s="6" t="n">
        <v>233.69825984477757</v>
      </c>
      <c r="F16" s="6">
        <f si="0" t="shared"/>
        <v>23339.747151389169</v>
      </c>
      <c r="H16" s="12">
        <v>0.27083333333333331</v>
      </c>
      <c r="I16" s="9" t="n">
        <v>652.6829805374146</v>
      </c>
      <c r="J16" s="9" t="n">
        <v>142.94910717010498</v>
      </c>
      <c r="K16" s="9" t="n">
        <v>8881.141994476318</v>
      </c>
      <c r="L16" s="9" t="n">
        <v>87.80472946166992</v>
      </c>
      <c r="M16">
        <f si="1" t="shared"/>
        <v>19422.212538719177</v>
      </c>
    </row>
    <row r="17" spans="1:13" x14ac:dyDescent="0.25">
      <c r="A17" s="12">
        <v>0.29166666666666669</v>
      </c>
      <c r="B17" s="6" t="n">
        <v>709.646653478459</v>
      </c>
      <c r="C17" s="6" t="n">
        <v>145.71313452932563</v>
      </c>
      <c r="D17" s="6" t="n">
        <v>12085.824932583344</v>
      </c>
      <c r="E17" s="6" t="n">
        <v>385.04457367161217</v>
      </c>
      <c r="F17" s="6">
        <f si="0" t="shared"/>
        <v>32896.40438637387</v>
      </c>
      <c r="H17" s="12">
        <v>0.29166666666666669</v>
      </c>
      <c r="I17" s="9" t="n">
        <v>887.1955041885376</v>
      </c>
      <c r="J17" s="9" t="n">
        <v>187.76287269592285</v>
      </c>
      <c r="K17" s="9" t="n">
        <v>12008.06241607666</v>
      </c>
      <c r="L17" s="9" t="n">
        <v>157.77242183685303</v>
      </c>
      <c r="M17">
        <f si="1" t="shared"/>
        <v>27712.135062217712</v>
      </c>
    </row>
    <row r="18" spans="1:13" x14ac:dyDescent="0.25">
      <c r="A18" s="12">
        <v>0.3125</v>
      </c>
      <c r="B18" s="6" t="n">
        <v>1083.389004445794</v>
      </c>
      <c r="C18" s="6" t="n">
        <v>227.08973245271707</v>
      </c>
      <c r="D18" s="6" t="n">
        <v>14239.34298928262</v>
      </c>
      <c r="E18" s="6" t="n">
        <v>578.7950755091547</v>
      </c>
      <c r="F18" s="6">
        <f si="0" t="shared"/>
        <v>42332.958829228228</v>
      </c>
      <c r="H18" s="12">
        <v>0.3125</v>
      </c>
      <c r="I18" s="9" t="n">
        <v>1213.420786857605</v>
      </c>
      <c r="J18" s="9" t="n">
        <v>217.95153427124023</v>
      </c>
      <c r="K18" s="9" t="n">
        <v>14965.63189792633</v>
      </c>
      <c r="L18" s="9" t="n">
        <v>301.1169147491455</v>
      </c>
      <c r="M18">
        <f si="1" t="shared"/>
        <v>37108.035354614258</v>
      </c>
    </row>
    <row r="19" spans="1:13" x14ac:dyDescent="0.25">
      <c r="A19" s="12">
        <v>0.33333333333333331</v>
      </c>
      <c r="B19" s="6" t="n">
        <v>1589.940428711609</v>
      </c>
      <c r="C19" s="6" t="n">
        <v>323.8759425797405</v>
      </c>
      <c r="D19" s="6" t="n">
        <v>15281.195520326766</v>
      </c>
      <c r="E19" s="6" t="n">
        <v>818.8602259705704</v>
      </c>
      <c r="F19" s="6">
        <f si="0" t="shared"/>
        <v>50150.16373442232</v>
      </c>
      <c r="H19" s="12">
        <v>0.33333333333333331</v>
      </c>
      <c r="I19" s="9" t="n">
        <v>1689.6680297851562</v>
      </c>
      <c r="J19" s="9" t="n">
        <v>234.387038230896</v>
      </c>
      <c r="K19" s="9" t="n">
        <v>17366.26240348816</v>
      </c>
      <c r="L19" s="9" t="n">
        <v>595.577561378479</v>
      </c>
      <c r="M19">
        <f si="1" t="shared"/>
        <v>46855.577521324158</v>
      </c>
    </row>
    <row r="20" spans="1:13" x14ac:dyDescent="0.25">
      <c r="A20" s="12">
        <v>0.35416666666666669</v>
      </c>
      <c r="B20" s="6" t="n">
        <v>2271.263705509273</v>
      </c>
      <c r="C20" s="6" t="n">
        <v>443.6343049730015</v>
      </c>
      <c r="D20" s="6" t="n">
        <v>15360.007473884349</v>
      </c>
      <c r="E20" s="6" t="n">
        <v>1139.3307602956288</v>
      </c>
      <c r="F20" s="6">
        <f si="0" t="shared"/>
        <v>55714.101338964865</v>
      </c>
      <c r="H20" s="12">
        <v>0.35416666666666669</v>
      </c>
      <c r="I20" s="9" t="n">
        <v>2388.904751777649</v>
      </c>
      <c r="J20" s="9" t="n">
        <v>251.21385192871094</v>
      </c>
      <c r="K20" s="9" t="n">
        <v>19043.149718284607</v>
      </c>
      <c r="L20" s="9" t="n">
        <v>1154.1359777450562</v>
      </c>
      <c r="M20">
        <f si="1" t="shared"/>
        <v>56452.512469291687</v>
      </c>
    </row>
    <row r="21" spans="1:13" x14ac:dyDescent="0.25">
      <c r="A21" s="12">
        <v>0.375</v>
      </c>
      <c r="B21" s="6" t="n">
        <v>3199.406268261697</v>
      </c>
      <c r="C21" s="6" t="n">
        <v>611.0378249182824</v>
      </c>
      <c r="D21" s="6" t="n">
        <v>15029.619002406398</v>
      </c>
      <c r="E21" s="6" t="n">
        <v>1638.6531961169503</v>
      </c>
      <c r="F21" s="6">
        <f si="0" t="shared"/>
        <v>59728.243302316972</v>
      </c>
      <c r="H21" s="12">
        <v>0.375</v>
      </c>
      <c r="I21" s="9" t="n">
        <v>3359.6598148345947</v>
      </c>
      <c r="J21" s="9" t="n">
        <v>289.59312534332275</v>
      </c>
      <c r="K21" s="9" t="n">
        <v>20072.74353122711</v>
      </c>
      <c r="L21" s="9" t="n">
        <v>2086.4735012054443</v>
      </c>
      <c r="M21">
        <f si="1" t="shared"/>
        <v>65719.437012672424</v>
      </c>
    </row>
    <row r="22" spans="1:13" x14ac:dyDescent="0.25">
      <c r="A22" s="12">
        <v>0.39583333333333331</v>
      </c>
      <c r="B22" s="6" t="n">
        <v>4456.852338553318</v>
      </c>
      <c r="C22" s="6" t="n">
        <v>862.1048048514142</v>
      </c>
      <c r="D22" s="6" t="n">
        <v>14921.759264268878</v>
      </c>
      <c r="E22" s="6" t="n">
        <v>2501.606522067619</v>
      </c>
      <c r="F22" s="6">
        <f si="0" t="shared"/>
        <v>63823.204271862611</v>
      </c>
      <c r="H22" s="12">
        <v>0.39583333333333331</v>
      </c>
      <c r="I22" s="9" t="n">
        <v>4578.624617576599</v>
      </c>
      <c r="J22" s="9" t="n">
        <v>371.8007974624634</v>
      </c>
      <c r="K22" s="9" t="n">
        <v>20660.03915119171</v>
      </c>
      <c r="L22" s="9" t="n">
        <v>3432.7992210388184</v>
      </c>
      <c r="M22">
        <f si="1" t="shared"/>
        <v>74540.548686981201</v>
      </c>
    </row>
    <row r="23" spans="1:13" x14ac:dyDescent="0.25">
      <c r="A23" s="12">
        <v>0.41666666666666669</v>
      </c>
      <c r="B23" s="6" t="n">
        <v>6063.936476739692</v>
      </c>
      <c r="C23" s="6" t="n">
        <v>1224.8173862831616</v>
      </c>
      <c r="D23" s="6" t="n">
        <v>15448.607038267586</v>
      </c>
      <c r="E23" s="6" t="n">
        <v>3964.795434486451</v>
      </c>
      <c r="F23" s="6">
        <f si="0" t="shared"/>
        <v>69532.730579694486</v>
      </c>
      <c r="H23" s="12">
        <v>0.41666666666666669</v>
      </c>
      <c r="I23" s="9" t="n">
        <v>5940.574412345886</v>
      </c>
      <c r="J23" s="9" t="n">
        <v>530.3179807662964</v>
      </c>
      <c r="K23" s="9" t="n">
        <v>20998.116618156433</v>
      </c>
      <c r="L23" s="9" t="n">
        <v>5112.049521446228</v>
      </c>
      <c r="M23">
        <f si="1" t="shared"/>
        <v>82604.161176681519</v>
      </c>
    </row>
    <row r="24" spans="1:13" x14ac:dyDescent="0.25">
      <c r="A24" s="12">
        <v>0.4375</v>
      </c>
      <c r="B24" s="6" t="n">
        <v>7900.078757997995</v>
      </c>
      <c r="C24" s="6" t="n">
        <v>1702.1890770964474</v>
      </c>
      <c r="D24" s="6" t="n">
        <v>16682.003522411112</v>
      </c>
      <c r="E24" s="6" t="n">
        <v>6185.35486256896</v>
      </c>
      <c r="F24" s="6">
        <f si="0" t="shared"/>
        <v>77395.52981430915</v>
      </c>
      <c r="H24" s="12">
        <v>0.4375</v>
      </c>
      <c r="I24" s="9" t="n">
        <v>7314.659593582153</v>
      </c>
      <c r="J24" s="9" t="n">
        <v>838.5561094284058</v>
      </c>
      <c r="K24" s="9" t="n">
        <v>21228.380063056946</v>
      </c>
      <c r="L24" s="9" t="n">
        <v>6923.661017417908</v>
      </c>
      <c r="M24">
        <f si="1" t="shared"/>
        <v>89504.756383895874</v>
      </c>
    </row>
    <row r="25" spans="1:13" x14ac:dyDescent="0.25">
      <c r="A25" s="12">
        <v>0.45833333333333331</v>
      </c>
      <c r="B25" s="6" t="n">
        <v>9719.505656820395</v>
      </c>
      <c r="C25" s="6" t="n">
        <v>2296.0267288914483</v>
      </c>
      <c r="D25" s="6" t="n">
        <v>18400.464323899512</v>
      </c>
      <c r="E25" s="6" t="n">
        <v>9041.623371222415</v>
      </c>
      <c r="F25" s="6">
        <f si="0" t="shared"/>
        <v>86771.685631426051</v>
      </c>
      <c r="H25" s="12">
        <v>0.45833333333333331</v>
      </c>
      <c r="I25" s="9" t="n">
        <v>8636.67964553833</v>
      </c>
      <c r="J25" s="9" t="n">
        <v>1448.6243753433228</v>
      </c>
      <c r="K25" s="9" t="n">
        <v>21510.074884414673</v>
      </c>
      <c r="L25" s="9" t="n">
        <v>8599.046451568604</v>
      </c>
      <c r="M25">
        <f si="1" t="shared"/>
        <v>95143.808960914612</v>
      </c>
    </row>
    <row r="26" spans="1:13" x14ac:dyDescent="0.25">
      <c r="A26" s="12">
        <v>0.47916666666666669</v>
      </c>
      <c r="B26" s="6" t="n">
        <v>11309.96849344386</v>
      </c>
      <c r="C26" s="6" t="n">
        <v>3111.3552166734326</v>
      </c>
      <c r="D26" s="6" t="n">
        <v>20245.030624472325</v>
      </c>
      <c r="E26" s="6" t="n">
        <v>12004.818675295033</v>
      </c>
      <c r="F26" s="6">
        <f si="0" t="shared"/>
        <v>96449.194697126732</v>
      </c>
      <c r="H26" s="12">
        <v>0.47916666666666669</v>
      </c>
      <c r="I26" s="9" t="n">
        <v>9971.311834335327</v>
      </c>
      <c r="J26" s="9" t="n">
        <v>2602.9658222198486</v>
      </c>
      <c r="K26" s="9" t="n">
        <v>22073.829219818115</v>
      </c>
      <c r="L26" s="9" t="n">
        <v>9868.239842414856</v>
      </c>
      <c r="M26">
        <f si="1" t="shared"/>
        <v>99979.933176040649</v>
      </c>
    </row>
    <row r="27" spans="1:13" x14ac:dyDescent="0.25">
      <c r="A27" s="12">
        <v>0.5</v>
      </c>
      <c r="B27" s="6" t="n">
        <v>12713.985154528842</v>
      </c>
      <c r="C27" s="6" t="n">
        <v>4515.382940932415</v>
      </c>
      <c r="D27" s="6" t="n">
        <v>21928.095508538907</v>
      </c>
      <c r="E27" s="6" t="n">
        <v>14252.602597804576</v>
      </c>
      <c r="F27" s="6">
        <f si="0" t="shared"/>
        <v>105632.44300962803</v>
      </c>
      <c r="H27" s="12">
        <v>0.5</v>
      </c>
      <c r="I27" s="9" t="n">
        <v>11516.362614631653</v>
      </c>
      <c r="J27" s="9" t="n">
        <v>4593.8678159713745</v>
      </c>
      <c r="K27" s="9" t="n">
        <v>23143.20774936676</v>
      </c>
      <c r="L27" s="9" t="n">
        <v>10522.103397369385</v>
      </c>
      <c r="M27">
        <f si="1" t="shared"/>
        <v>104826.72340393066</v>
      </c>
    </row>
    <row r="28" spans="1:13" x14ac:dyDescent="0.25">
      <c r="A28" s="12">
        <v>0.52083333333333337</v>
      </c>
      <c r="B28" s="6" t="n">
        <v>14365.56275942941</v>
      </c>
      <c r="C28" s="6" t="n">
        <v>7189.977229999666</v>
      </c>
      <c r="D28" s="6" t="n">
        <v>23397.356154860357</v>
      </c>
      <c r="E28" s="6" t="n">
        <v>15045.592722954887</v>
      </c>
      <c r="F28" s="6">
        <f si="0" t="shared"/>
        <v>114626.4862296682</v>
      </c>
      <c r="H28" s="12">
        <v>0.52083333333333337</v>
      </c>
      <c r="I28" s="9" t="n">
        <v>13586.965646743774</v>
      </c>
      <c r="J28" s="9" t="n">
        <v>7674.348507881165</v>
      </c>
      <c r="K28" s="9" t="n">
        <v>24768.55295085907</v>
      </c>
      <c r="L28" s="9" t="n">
        <v>10469.877185821533</v>
      </c>
      <c r="M28">
        <f si="1" t="shared"/>
        <v>110403.42154979706</v>
      </c>
    </row>
    <row r="29" spans="1:13" x14ac:dyDescent="0.25">
      <c r="A29" s="12">
        <v>0.54166666666666663</v>
      </c>
      <c r="B29" s="6" t="n">
        <v>17053.965329482147</v>
      </c>
      <c r="C29" s="6" t="n">
        <v>11845.509682030839</v>
      </c>
      <c r="D29" s="6" t="n">
        <v>24821.64665577266</v>
      </c>
      <c r="E29" s="6" t="n">
        <v>14141.959176513335</v>
      </c>
      <c r="F29" s="6">
        <f si="0" t="shared"/>
        <v>124604.48783793283</v>
      </c>
      <c r="H29" s="12">
        <v>0.54166666666666663</v>
      </c>
      <c r="I29" s="9" t="n">
        <v>16615.20900630951</v>
      </c>
      <c r="J29" s="9" t="n">
        <v>11933.308676719666</v>
      </c>
      <c r="K29" s="9" t="n">
        <v>26745.324807167053</v>
      </c>
      <c r="L29" s="9" t="n">
        <v>9772.939836502075</v>
      </c>
      <c r="M29">
        <f si="1" t="shared"/>
        <v>117070.80258846283</v>
      </c>
    </row>
    <row r="30" spans="1:13" x14ac:dyDescent="0.25">
      <c r="A30" s="12">
        <v>0.5625</v>
      </c>
      <c r="B30" s="6" t="n">
        <v>21718.22243440031</v>
      </c>
      <c r="C30" s="6" t="n">
        <v>18561.323712271103</v>
      </c>
      <c r="D30" s="6" t="n">
        <v>26362.241665592086</v>
      </c>
      <c r="E30" s="6" t="n">
        <v>11934.337085443483</v>
      </c>
      <c r="F30" s="6">
        <f si="0" t="shared"/>
        <v>136440.77699369731</v>
      </c>
      <c r="H30" s="12">
        <v>0.5625</v>
      </c>
      <c r="I30" s="9" t="n">
        <v>21115.32491493225</v>
      </c>
      <c r="J30" s="9" t="n">
        <v>17128.432582855225</v>
      </c>
      <c r="K30" s="9" t="n">
        <v>28718.410509109497</v>
      </c>
      <c r="L30" s="9" t="n">
        <v>8617.64172744751</v>
      </c>
      <c r="M30">
        <f si="1" t="shared"/>
        <v>124869.58316802979</v>
      </c>
    </row>
    <row r="31" spans="1:13" x14ac:dyDescent="0.25">
      <c r="A31" s="12">
        <v>0.58333333333333337</v>
      </c>
      <c r="B31" s="6" t="n">
        <v>29108.551369249326</v>
      </c>
      <c r="C31" s="6" t="n">
        <v>26171.798183791932</v>
      </c>
      <c r="D31" s="6" t="n">
        <v>27902.395432799625</v>
      </c>
      <c r="E31" s="6" t="n">
        <v>9196.452382457455</v>
      </c>
      <c r="F31" s="6">
        <f si="0" t="shared"/>
        <v>149471.31415062913</v>
      </c>
      <c r="H31" s="12">
        <v>0.58333333333333337</v>
      </c>
      <c r="I31" s="9" t="n">
        <v>27510.322268486023</v>
      </c>
      <c r="J31" s="9" t="n">
        <v>22510.601323127747</v>
      </c>
      <c r="K31" s="9" t="n">
        <v>30379.274932861328</v>
      </c>
      <c r="L31" s="9" t="n">
        <v>7229.579575538635</v>
      </c>
      <c r="M31">
        <f si="1" t="shared"/>
        <v>133581.01152420044</v>
      </c>
    </row>
    <row r="32" spans="1:13" x14ac:dyDescent="0.25">
      <c r="A32" s="12">
        <v>0.60416666666666663</v>
      </c>
      <c r="B32" s="6" t="n">
        <v>39361.59611222568</v>
      </c>
      <c r="C32" s="6" t="n">
        <v>32384.46755604475</v>
      </c>
      <c r="D32" s="6" t="n">
        <v>29015.53272649339</v>
      </c>
      <c r="E32" s="6" t="n">
        <v>6646.713696200297</v>
      </c>
      <c r="F32" s="6">
        <f si="0" t="shared"/>
        <v>161358.6892803869</v>
      </c>
      <c r="H32" s="12">
        <v>0.60416666666666663</v>
      </c>
      <c r="I32" s="9" t="n">
        <v>35805.569544792175</v>
      </c>
      <c r="J32" s="9" t="n">
        <v>26819.21412372589</v>
      </c>
      <c r="K32" s="9" t="n">
        <v>31582.359155654907</v>
      </c>
      <c r="L32" s="9" t="n">
        <v>5791.365446090698</v>
      </c>
      <c r="M32">
        <f si="1" t="shared"/>
        <v>142601.92177295685</v>
      </c>
    </row>
    <row r="33" spans="1:13" x14ac:dyDescent="0.25">
      <c r="A33" s="12">
        <v>0.625</v>
      </c>
      <c r="B33" s="6" t="n">
        <v>51608.98364064313</v>
      </c>
      <c r="C33" s="6" t="n">
        <v>34886.1126347341</v>
      </c>
      <c r="D33" s="6" t="n">
        <v>29275.917957623707</v>
      </c>
      <c r="E33" s="6" t="n">
        <v>4654.565270298653</v>
      </c>
      <c r="F33" s="6">
        <f si="0" t="shared"/>
        <v>169345.13312036553</v>
      </c>
      <c r="H33" s="12">
        <v>0.625</v>
      </c>
      <c r="I33" s="9" t="n">
        <v>45272.10648536682</v>
      </c>
      <c r="J33" s="9" t="n">
        <v>28677.707611083984</v>
      </c>
      <c r="K33" s="9" t="n">
        <v>32328.016874313354</v>
      </c>
      <c r="L33" s="9" t="n">
        <v>4420.409685134888</v>
      </c>
      <c r="M33">
        <f si="1" t="shared"/>
        <v>150828.57353210449</v>
      </c>
    </row>
    <row r="34" spans="1:13" x14ac:dyDescent="0.25">
      <c r="A34" s="12">
        <v>0.64583333333333337</v>
      </c>
      <c r="B34" s="6" t="n">
        <v>63850.042175937386</v>
      </c>
      <c r="C34" s="6" t="n">
        <v>32753.691833158497</v>
      </c>
      <c r="D34" s="6" t="n">
        <v>28671.62193025952</v>
      </c>
      <c r="E34" s="6" t="n">
        <v>3238.5279508240264</v>
      </c>
      <c r="F34" s="6">
        <f si="0" t="shared"/>
        <v>171776.23194957917</v>
      </c>
      <c r="H34" s="12">
        <v>0.64583333333333337</v>
      </c>
      <c r="I34" s="9" t="n">
        <v>54380.87001609802</v>
      </c>
      <c r="J34" s="9" t="n">
        <v>27320.32336616516</v>
      </c>
      <c r="K34" s="9" t="n">
        <v>32705.893401145935</v>
      </c>
      <c r="L34" s="9" t="n">
        <v>3195.509970664978</v>
      </c>
      <c r="M34">
        <f si="1" t="shared"/>
        <v>156841.16775512695</v>
      </c>
    </row>
    <row r="35" spans="1:13" x14ac:dyDescent="0.25">
      <c r="A35" s="12">
        <v>0.66666666666666663</v>
      </c>
      <c r="B35" s="6" t="n">
        <v>73330.95426612475</v>
      </c>
      <c r="C35" s="6" t="n">
        <v>27021.36062366345</v>
      </c>
      <c r="D35" s="6" t="n">
        <v>27732.714174900033</v>
      </c>
      <c r="E35" s="6" t="n">
        <v>2248.845183547357</v>
      </c>
      <c r="F35" s="6">
        <f si="0" t="shared"/>
        <v>168516.95692821278</v>
      </c>
      <c r="H35" s="12">
        <v>0.66666666666666663</v>
      </c>
      <c r="I35" s="9" t="n">
        <v>61120.80777645111</v>
      </c>
      <c r="J35" s="9" t="n">
        <v>23134.173106193542</v>
      </c>
      <c r="K35" s="9" t="n">
        <v>32883.54820728302</v>
      </c>
      <c r="L35" s="9" t="n">
        <v>2179.594500541687</v>
      </c>
      <c r="M35">
        <f si="1" t="shared"/>
        <v>159325.78649997711</v>
      </c>
    </row>
    <row r="36" spans="1:13" x14ac:dyDescent="0.25">
      <c r="A36" s="12">
        <v>0.6875</v>
      </c>
      <c r="B36" s="6" t="n">
        <v>77460.93777131794</v>
      </c>
      <c r="C36" s="6" t="n">
        <v>19926.78056457834</v>
      </c>
      <c r="D36" s="6" t="n">
        <v>27235.323481861997</v>
      </c>
      <c r="E36" s="6" t="n">
        <v>1538.9798831849898</v>
      </c>
      <c r="F36" s="6">
        <f si="0" t="shared"/>
        <v>160222.70966823271</v>
      </c>
      <c r="H36" s="12">
        <v>0.6875</v>
      </c>
      <c r="I36" s="9" t="n">
        <v>63639.1853723526</v>
      </c>
      <c r="J36" s="9" t="n">
        <v>17497.15273952484</v>
      </c>
      <c r="K36" s="9" t="n">
        <v>33109.51967716217</v>
      </c>
      <c r="L36" s="9" t="n">
        <v>1412.748438835144</v>
      </c>
      <c r="M36">
        <f si="1" t="shared"/>
        <v>157432.37425804138</v>
      </c>
    </row>
    <row r="37" spans="1:13" x14ac:dyDescent="0.25">
      <c r="A37" s="12">
        <v>0.70833333333333337</v>
      </c>
      <c r="B37" s="6" t="n">
        <v>74912.77846345466</v>
      </c>
      <c r="C37" s="6" t="n">
        <v>13533.137387875104</v>
      </c>
      <c r="D37" s="6" t="n">
        <v>27733.07376569201</v>
      </c>
      <c r="E37" s="6" t="n">
        <v>1027.0627472442054</v>
      </c>
      <c r="F37" s="6">
        <f si="0" t="shared"/>
        <v>147691.41682462613</v>
      </c>
      <c r="H37" s="12">
        <v>0.70833333333333337</v>
      </c>
      <c r="I37" s="9" t="n">
        <v>60977.091767311096</v>
      </c>
      <c r="J37" s="9" t="n">
        <v>11994.023225784302</v>
      </c>
      <c r="K37" s="9" t="n">
        <v>33648.48423957825</v>
      </c>
      <c r="L37" s="9" t="n">
        <v>894.4763631820679</v>
      </c>
      <c r="M37">
        <f si="1" t="shared"/>
        <v>150972.29950904846</v>
      </c>
    </row>
    <row r="38" spans="1:13" x14ac:dyDescent="0.25">
      <c r="A38" s="12">
        <v>0.72916666666666663</v>
      </c>
      <c r="B38" s="6" t="n">
        <v>66284.2769427695</v>
      </c>
      <c r="C38" s="6" t="n">
        <v>8839.72927618934</v>
      </c>
      <c r="D38" s="6" t="n">
        <v>29282.965150071926</v>
      </c>
      <c r="E38" s="6" t="n">
        <v>674.8734737103614</v>
      </c>
      <c r="F38" s="6">
        <f si="0" t="shared"/>
        <v>132060.31412319449</v>
      </c>
      <c r="H38" s="12">
        <v>0.72916666666666663</v>
      </c>
      <c r="I38" s="9" t="n">
        <v>53564.077776908875</v>
      </c>
      <c r="J38" s="9" t="n">
        <v>7652.7990045547485</v>
      </c>
      <c r="K38" s="9" t="n">
        <v>34634.99499988556</v>
      </c>
      <c r="L38" s="9" t="n">
        <v>582.2974233627319</v>
      </c>
      <c r="M38">
        <f si="1" t="shared"/>
        <v>140552.95554637909</v>
      </c>
    </row>
    <row r="39" spans="1:13" x14ac:dyDescent="0.25">
      <c r="A39" s="12">
        <v>0.75</v>
      </c>
      <c r="B39" s="6" t="n">
        <v>53859.19522478394</v>
      </c>
      <c r="C39" s="6" t="n">
        <v>5826.325640589384</v>
      </c>
      <c r="D39" s="6" t="n">
        <v>31491.676181431445</v>
      </c>
      <c r="E39" s="6" t="n">
        <v>452.4103699398886</v>
      </c>
      <c r="F39" s="6">
        <f si="0" t="shared"/>
        <v>115196.74613682197</v>
      </c>
      <c r="H39" s="12">
        <v>0.75</v>
      </c>
      <c r="I39" s="9" t="n">
        <v>43150.78001880646</v>
      </c>
      <c r="J39" s="9" t="n">
        <v>4725.0460748672485</v>
      </c>
      <c r="K39" s="9" t="n">
        <v>35930.9065322876</v>
      </c>
      <c r="L39" s="9" t="n">
        <v>411.00614166259766</v>
      </c>
      <c r="M39">
        <f si="1" t="shared"/>
        <v>127553.0074262619</v>
      </c>
    </row>
    <row r="40" spans="1:13" x14ac:dyDescent="0.25">
      <c r="A40" s="12">
        <v>0.77083333333333337</v>
      </c>
      <c r="B40" s="6" t="n">
        <v>40580.98369566774</v>
      </c>
      <c r="C40" s="6" t="n">
        <v>4014.1199621762316</v>
      </c>
      <c r="D40" s="6" t="n">
        <v>33722.653829299226</v>
      </c>
      <c r="E40" s="6" t="n">
        <v>323.73466214640746</v>
      </c>
      <c r="F40" s="6">
        <f si="0" t="shared"/>
        <v>99303.702028006795</v>
      </c>
      <c r="H40" s="12">
        <v>0.77083333333333337</v>
      </c>
      <c r="I40" s="9" t="n">
        <v>32118.032200813293</v>
      </c>
      <c r="J40" s="9" t="n">
        <v>2957.6831455230713</v>
      </c>
      <c r="K40" s="9" t="n">
        <v>37096.199679374695</v>
      </c>
      <c r="L40" s="9" t="n">
        <v>317.9743404388428</v>
      </c>
      <c r="M40">
        <f si="1" t="shared"/>
        <v>113682.71193981171</v>
      </c>
    </row>
    <row r="41" spans="1:13" x14ac:dyDescent="0.25">
      <c r="A41" s="12">
        <v>0.79166666666666663</v>
      </c>
      <c r="B41" s="6" t="n">
        <v>28877.66068900665</v>
      </c>
      <c r="C41" s="6" t="n">
        <v>2932.428696728177</v>
      </c>
      <c r="D41" s="6" t="n">
        <v>35268.074473959794</v>
      </c>
      <c r="E41" s="6" t="n">
        <v>251.22574598973213</v>
      </c>
      <c r="F41" s="6">
        <f si="0" t="shared"/>
        <v>85853.883871559563</v>
      </c>
      <c r="H41" s="12">
        <v>0.79166666666666663</v>
      </c>
      <c r="I41" s="9" t="n">
        <v>22516.22310447693</v>
      </c>
      <c r="J41" s="9" t="n">
        <v>1962.1398239135742</v>
      </c>
      <c r="K41" s="9" t="n">
        <v>37516.30218219757</v>
      </c>
      <c r="L41" s="9" t="n">
        <v>259.56861209869385</v>
      </c>
      <c r="M41">
        <f si="1" t="shared"/>
        <v>100226.32859706879</v>
      </c>
    </row>
    <row r="42" spans="1:13" x14ac:dyDescent="0.25">
      <c r="A42" s="12">
        <v>0.8125</v>
      </c>
      <c r="B42" s="6" t="n">
        <v>19990.708679348478</v>
      </c>
      <c r="C42" s="6" t="n">
        <v>2266.8649574741435</v>
      </c>
      <c r="D42" s="6" t="n">
        <v>35463.76787561873</v>
      </c>
      <c r="E42" s="6" t="n">
        <v>204.01186359496745</v>
      </c>
      <c r="F42" s="6">
        <f si="0" t="shared"/>
        <v>74881.524537802805</v>
      </c>
      <c r="H42" s="12">
        <v>0.8125</v>
      </c>
      <c r="I42" s="9" t="n">
        <v>15396.954795837402</v>
      </c>
      <c r="J42" s="9" t="n">
        <v>1416.6739349365234</v>
      </c>
      <c r="K42" s="9" t="n">
        <v>36635.29899787903</v>
      </c>
      <c r="L42" s="9" t="n">
        <v>213.8816623687744</v>
      </c>
      <c r="M42">
        <f si="1" t="shared"/>
        <v>87547.185683250427</v>
      </c>
    </row>
    <row r="43" spans="1:13" x14ac:dyDescent="0.25">
      <c r="A43" s="12">
        <v>0.83333333333333337</v>
      </c>
      <c r="B43" s="6" t="n">
        <v>14007.98800293561</v>
      </c>
      <c r="C43" s="6" t="n">
        <v>1823.2139454186877</v>
      </c>
      <c r="D43" s="6" t="n">
        <v>33845.45597487712</v>
      </c>
      <c r="E43" s="6" t="n">
        <v>162.96998660301074</v>
      </c>
      <c r="F43" s="6">
        <f si="0" t="shared"/>
        <v>65302.524785431793</v>
      </c>
      <c r="H43" s="12">
        <v>0.83333333333333337</v>
      </c>
      <c r="I43" s="9" t="n">
        <v>10763.977261543274</v>
      </c>
      <c r="J43" s="9" t="n">
        <v>1107.1476402282715</v>
      </c>
      <c r="K43" s="9" t="n">
        <v>34191.2279586792</v>
      </c>
      <c r="L43" s="9" t="n">
        <v>174.03824996948242</v>
      </c>
      <c r="M43">
        <f si="1" t="shared"/>
        <v>75321.348738670349</v>
      </c>
    </row>
    <row r="44" spans="1:13" x14ac:dyDescent="0.25">
      <c r="A44" s="12">
        <v>0.85416666666666663</v>
      </c>
      <c r="B44" s="6" t="n">
        <v>10335.363595124476</v>
      </c>
      <c r="C44" s="6" t="n">
        <v>1478.801224764829</v>
      </c>
      <c r="D44" s="6" t="n">
        <v>30356.16615298928</v>
      </c>
      <c r="E44" s="6" t="n">
        <v>121.349070445221</v>
      </c>
      <c r="F44" s="6">
        <f si="0" t="shared"/>
        <v>55918.913536636741</v>
      </c>
      <c r="H44" s="12">
        <v>0.85416666666666663</v>
      </c>
      <c r="I44" s="9" t="n">
        <v>8006.615679740906</v>
      </c>
      <c r="J44" s="9" t="n">
        <v>910.0262203216553</v>
      </c>
      <c r="K44" s="9" t="n">
        <v>30346.17081451416</v>
      </c>
      <c r="L44" s="9" t="n">
        <v>139.45291423797607</v>
      </c>
      <c r="M44">
        <f si="1" t="shared"/>
        <v>63272.433400154114</v>
      </c>
    </row>
    <row r="45" spans="1:13" x14ac:dyDescent="0.25">
      <c r="A45" s="12">
        <v>0.875</v>
      </c>
      <c r="B45" s="6" t="n">
        <v>8203.37451752332</v>
      </c>
      <c r="C45" s="6" t="n">
        <v>1167.9595924415312</v>
      </c>
      <c r="D45" s="6" t="n">
        <v>25449.813102001353</v>
      </c>
      <c r="E45" s="6" t="n">
        <v>81.54675323325006</v>
      </c>
      <c r="F45" s="6">
        <f si="0" t="shared"/>
        <v>46239.161769581231</v>
      </c>
      <c r="H45" s="12">
        <v>0.875</v>
      </c>
      <c r="I45" s="9" t="n">
        <v>6410.935777664185</v>
      </c>
      <c r="J45" s="9" t="n">
        <v>769.9042196273804</v>
      </c>
      <c r="K45" s="9" t="n">
        <v>25635.551038742065</v>
      </c>
      <c r="L45" s="9" t="n">
        <v>110.2292833328247</v>
      </c>
      <c r="M45">
        <f si="1" t="shared"/>
        <v>51687.268176078796</v>
      </c>
    </row>
    <row r="46" spans="1:13" x14ac:dyDescent="0.25">
      <c r="A46" s="12">
        <v>0.89583333333333337</v>
      </c>
      <c r="B46" s="6" t="n">
        <v>6959.364241819234</v>
      </c>
      <c r="C46" s="6" t="n">
        <v>873.9516279377998</v>
      </c>
      <c r="D46" s="6" t="n">
        <v>19941.086786313463</v>
      </c>
      <c r="E46" s="6" t="n">
        <v>49.17366767155684</v>
      </c>
      <c r="F46" s="6">
        <f si="0" t="shared"/>
        <v>36574.249037931972</v>
      </c>
      <c r="H46" s="12">
        <v>0.89583333333333337</v>
      </c>
      <c r="I46" s="9" t="n">
        <v>5441.482217788696</v>
      </c>
      <c r="J46" s="9" t="n">
        <v>672.0314655303955</v>
      </c>
      <c r="K46" s="9" t="n">
        <v>20741.489382743835</v>
      </c>
      <c r="L46" s="9" t="n">
        <v>85.65003395080566</v>
      </c>
      <c r="M46">
        <f si="1" t="shared"/>
        <v>41253.495001792908</v>
      </c>
    </row>
    <row r="47" spans="1:13" x14ac:dyDescent="0.25">
      <c r="A47" s="12">
        <v>0.91666666666666663</v>
      </c>
      <c r="B47" s="6" t="n">
        <v>6128.153712749611</v>
      </c>
      <c r="C47" s="6" t="n">
        <v>609.1547285012438</v>
      </c>
      <c r="D47" s="6" t="n">
        <v>14661.770914422093</v>
      </c>
      <c r="E47" s="6" t="n">
        <v>27.456390785152013</v>
      </c>
      <c r="F47" s="6">
        <f si="0" t="shared"/>
        <v>27572.947108131386</v>
      </c>
      <c r="H47" s="12">
        <v>0.91666666666666663</v>
      </c>
      <c r="I47" s="9" t="n">
        <v>4763.516157150269</v>
      </c>
      <c r="J47" s="9" t="n">
        <v>610.4119119644165</v>
      </c>
      <c r="K47" s="9" t="n">
        <v>16211.265433311462</v>
      </c>
      <c r="L47" s="9" t="n">
        <v>64.8080644607544</v>
      </c>
      <c r="M47">
        <f si="1" t="shared"/>
        <v>32469.271817207336</v>
      </c>
    </row>
    <row r="48" spans="1:13" x14ac:dyDescent="0.25">
      <c r="A48" s="12">
        <v>0.9375</v>
      </c>
      <c r="B48" s="6" t="n">
        <v>5373.145920203091</v>
      </c>
      <c r="C48" s="6" t="n">
        <v>391.5816160259903</v>
      </c>
      <c r="D48" s="6" t="n">
        <v>10162.409264778269</v>
      </c>
      <c r="E48" s="6" t="n">
        <v>15.27044350809922</v>
      </c>
      <c r="F48" s="6">
        <f si="0" t="shared"/>
        <v>19745.981166672424</v>
      </c>
      <c r="H48" s="12">
        <v>0.9375</v>
      </c>
      <c r="I48" s="9" t="n">
        <v>4160.961990356445</v>
      </c>
      <c r="J48" s="9" t="n">
        <v>567.0022068023682</v>
      </c>
      <c r="K48" s="9" t="n">
        <v>12296.249984741211</v>
      </c>
      <c r="L48" s="9" t="n">
        <v>47.24472999572754</v>
      </c>
      <c r="M48">
        <f si="1" t="shared"/>
        <v>25262.35692024231</v>
      </c>
    </row>
    <row r="49" spans="1:13" x14ac:dyDescent="0.25">
      <c r="A49" s="12">
        <v>0.95833333333333337</v>
      </c>
      <c r="B49" s="6" t="n">
        <v>4488.133210288444</v>
      </c>
      <c r="C49" s="6" t="n">
        <v>230.3222546489597</v>
      </c>
      <c r="D49" s="6" t="n">
        <v>6639.416386420466</v>
      </c>
      <c r="E49" s="6" t="n">
        <v>9.018431678536334</v>
      </c>
      <c r="F49" s="6">
        <f si="0" t="shared"/>
        <v>13323.400826561854</v>
      </c>
      <c r="H49" s="12">
        <v>0.95833333333333337</v>
      </c>
      <c r="I49" s="9" t="n">
        <v>3494.157067298889</v>
      </c>
      <c r="J49" s="9" t="n">
        <v>513.8478717803955</v>
      </c>
      <c r="K49" s="9" t="n">
        <v>8997.118307113647</v>
      </c>
      <c r="L49" s="9" t="n">
        <v>32.8770694732666</v>
      </c>
      <c r="M49">
        <f si="1" t="shared"/>
        <v>19160.304136276245</v>
      </c>
    </row>
    <row r="50" spans="1:13" x14ac:dyDescent="0.25">
      <c r="A50" s="12">
        <v>0.97916666666666663</v>
      </c>
      <c r="B50" s="6" t="n">
        <v>3433.0654749027776</v>
      </c>
      <c r="C50" s="6" t="n">
        <v>122.72201470866426</v>
      </c>
      <c r="D50" s="6" t="n">
        <v>4052.6169619602315</v>
      </c>
      <c r="E50" s="6" t="n">
        <v>5.490617983396883</v>
      </c>
      <c r="F50" s="6">
        <f si="0" t="shared"/>
        <v>8351.6854716090384</v>
      </c>
      <c r="H50" s="12">
        <v>0.97916666666666663</v>
      </c>
      <c r="I50" s="9" t="n">
        <v>2718.928204536438</v>
      </c>
      <c r="J50" s="9" t="n">
        <v>431.1913604736328</v>
      </c>
      <c r="K50" s="9" t="n">
        <v>6235.073444366455</v>
      </c>
      <c r="L50" s="9" t="n">
        <v>21.63019371032715</v>
      </c>
      <c r="M50">
        <f si="1" t="shared"/>
        <v>13768.471546173096</v>
      </c>
    </row>
    <row r="51" spans="1:13" x14ac:dyDescent="0.25">
      <c r="A51" s="12">
        <v>1</v>
      </c>
      <c r="B51" s="6" t="n">
        <v>2330.086385335185</v>
      </c>
      <c r="C51" s="6" t="n">
        <v>58.36567709300675</v>
      </c>
      <c r="D51" s="6" t="n">
        <v>2270.901982970629</v>
      </c>
      <c r="E51" s="6" t="n">
        <v>3.122545376502548</v>
      </c>
      <c r="F51" s="6">
        <f si="0" t="shared"/>
        <v>4779.3838694739807</v>
      </c>
      <c r="H51" s="12">
        <v>1</v>
      </c>
      <c r="I51" s="9" t="n">
        <v>1899.189468383789</v>
      </c>
      <c r="J51" s="9" t="n">
        <v>321.8000602722168</v>
      </c>
      <c r="K51" s="9" t="n">
        <v>3985.946177482605</v>
      </c>
      <c r="L51" s="9" t="n">
        <v>13.264633178710938</v>
      </c>
      <c r="M51">
        <f si="1" t="shared"/>
        <v>9067.5484132766724</v>
      </c>
    </row>
    <row r="52" spans="1:13" x14ac:dyDescent="0.25">
      <c r="A52" s="12">
        <v>1.0208333333333333</v>
      </c>
      <c r="B52" s="6" t="n">
        <v>1369.3366479773395</v>
      </c>
      <c r="C52" s="6" t="n">
        <v>24.26779727357222</v>
      </c>
      <c r="D52" s="6" t="n">
        <v>1142.0010924978608</v>
      </c>
      <c r="E52" s="6" t="n">
        <v>1.524137916303876</v>
      </c>
      <c r="F52" s="6">
        <f si="0" t="shared"/>
        <v>2452.580355319109</v>
      </c>
      <c r="H52" s="12">
        <v>1.0208333333333333</v>
      </c>
      <c r="I52" s="9" t="n">
        <v>1160.4240989685059</v>
      </c>
      <c r="J52" s="9" t="n">
        <v>207.73909664154053</v>
      </c>
      <c r="K52" s="9" t="n">
        <v>2284.5029106140137</v>
      </c>
      <c r="L52" s="9" t="n">
        <v>7.424118995666504</v>
      </c>
      <c r="M52">
        <f si="1" t="shared"/>
        <v>5308.1502294540405</v>
      </c>
    </row>
    <row r="53" spans="1:13" x14ac:dyDescent="0.25">
      <c r="A53" s="12">
        <v>4.1666666666666664E-2</v>
      </c>
      <c r="B53" s="6" t="n">
        <v>682.8030325485187</v>
      </c>
      <c r="C53" s="6" t="n">
        <v>8.586784119812547</v>
      </c>
      <c r="D53" s="6" t="n">
        <v>503.0449612985549</v>
      </c>
      <c r="E53" s="6" t="n">
        <v>0.6062146610760436</v>
      </c>
      <c r="F53" s="6">
        <f si="0" t="shared"/>
        <v>1108.8633700341502</v>
      </c>
      <c r="H53" s="12">
        <v>4.1666666666666664E-2</v>
      </c>
      <c r="I53" s="9" t="n">
        <v>606.7309923171997</v>
      </c>
      <c r="J53" s="9" t="n">
        <v>113.61041259765625</v>
      </c>
      <c r="K53" s="9" t="n">
        <v>1142.1373052597046</v>
      </c>
      <c r="L53" s="9" t="n">
        <v>3.691493034362793</v>
      </c>
      <c r="M53">
        <f si="1" t="shared"/>
        <v>2690.1997566223145</v>
      </c>
    </row>
    <row r="54" spans="1:13" x14ac:dyDescent="0.25">
      <c r="A54" s="12">
        <v>6.25E-2</v>
      </c>
      <c r="B54" s="6" t="n">
        <v>283.35018396825353</v>
      </c>
      <c r="C54" s="6" t="n">
        <v>2.4996078546212708</v>
      </c>
      <c r="D54" s="6" t="n">
        <v>189.3920649060721</v>
      </c>
      <c r="E54" s="6" t="n">
        <v>0.18928918970951158</v>
      </c>
      <c r="F54" s="6">
        <f si="0" t="shared"/>
        <v>433.4554877345962</v>
      </c>
      <c r="H54" s="12">
        <v>6.25E-2</v>
      </c>
      <c r="I54" s="9" t="n">
        <v>265.81354331970215</v>
      </c>
      <c r="J54" s="9" t="n">
        <v>51.639780044555664</v>
      </c>
      <c r="K54" s="9" t="n">
        <v>485.13997077941895</v>
      </c>
      <c r="L54" s="9" t="n">
        <v>1.5818796157836914</v>
      </c>
      <c r="M54">
        <f si="1" t="shared"/>
        <v>1152.0244550704956</v>
      </c>
    </row>
    <row r="55" spans="1:13" x14ac:dyDescent="0.25">
      <c r="A55" s="12">
        <v>8.3333333333333329E-2</v>
      </c>
      <c r="B55" s="6" t="n">
        <v>95.75541526896367</v>
      </c>
      <c r="C55" s="6" t="n">
        <v>0.5732328125507722</v>
      </c>
      <c r="D55" s="6" t="n">
        <v>59.375966503807454</v>
      </c>
      <c r="E55" s="6" t="n">
        <v>0.04453863287282625</v>
      </c>
      <c r="F55" s="6">
        <f si="0" t="shared"/>
        <v>143.15260353189717</v>
      </c>
      <c r="H55" s="12">
        <v>8.3333333333333329E-2</v>
      </c>
      <c r="I55" s="9" t="n">
        <v>95.34165096282959</v>
      </c>
      <c r="J55" s="9" t="n">
        <v>19.0944185256958</v>
      </c>
      <c r="K55" s="9" t="n">
        <v>170.33868789672852</v>
      </c>
      <c r="L55" s="9" t="n">
        <v>0.5654087066650391</v>
      </c>
      <c r="M55">
        <f si="1" t="shared"/>
        <v>406.34969711303711</v>
      </c>
    </row>
    <row r="56" spans="1:13" x14ac:dyDescent="0.25">
      <c r="A56" s="12">
        <v>0.10416666666666667</v>
      </c>
      <c r="B56" s="6" t="n">
        <v>25.62442953963601</v>
      </c>
      <c r="C56" s="6" t="n">
        <v>0.0975302460724425</v>
      </c>
      <c r="D56" s="6" t="n">
        <v>15.026818905054094</v>
      </c>
      <c r="E56" s="6" t="n">
        <v>0.007423105478804376</v>
      </c>
      <c r="F56" s="6">
        <f si="0" t="shared"/>
        <v>38.713342049193564</v>
      </c>
      <c r="H56" s="12">
        <v>0.10416666666666667</v>
      </c>
      <c r="I56" s="9" t="n">
        <v>27.189061164855957</v>
      </c>
      <c r="J56" s="9" t="n">
        <v>5.585594177246094</v>
      </c>
      <c r="K56" s="9" t="n">
        <v>47.861955642700195</v>
      </c>
      <c r="L56" s="9" t="n">
        <v>0.1624603271484375</v>
      </c>
      <c r="M56">
        <f si="1" t="shared"/>
        <v>114.46590423583984</v>
      </c>
    </row>
    <row r="57" spans="1:13" x14ac:dyDescent="0.25">
      <c r="A57" s="12">
        <v>0.125</v>
      </c>
      <c r="B57" s="6" t="n">
        <v>5.149605304936543</v>
      </c>
      <c r="C57" s="6" t="n">
        <v>0.011185404207125757</v>
      </c>
      <c r="D57" s="6" t="n">
        <v>2.9068149400996237</v>
      </c>
      <c r="E57" s="6" t="n">
        <v>7.813795240846712E-4</v>
      </c>
      <c r="F57" s="6">
        <f si="0" t="shared"/>
        <v>8.0755371120637172</v>
      </c>
      <c r="H57" s="12">
        <v>0.125</v>
      </c>
      <c r="I57" s="9" t="n">
        <v>5.82935905456543</v>
      </c>
      <c r="J57" s="9" t="n">
        <v>1.2229766845703125</v>
      </c>
      <c r="K57" s="9" t="n">
        <v>10.156614303588867</v>
      </c>
      <c r="L57" s="9" t="n">
        <v>0.035279273986816406</v>
      </c>
      <c r="M57">
        <f si="1" t="shared"/>
        <v>24.325437545776367</v>
      </c>
    </row>
    <row r="58" spans="1:13" x14ac:dyDescent="0.25">
      <c r="A58" s="21" t="s">
        <v>6</v>
      </c>
      <c r="B58" s="22" t="n">
        <v>0.0</v>
      </c>
      <c r="C58" s="22" t="n">
        <v>0.0</v>
      </c>
      <c r="D58" s="22" t="n">
        <v>0.0</v>
      </c>
      <c r="E58" s="22" t="n">
        <v>0.0</v>
      </c>
      <c r="F58" s="22">
        <f si="0" t="shared"/>
        <v>0</v>
      </c>
      <c r="G58" s="5"/>
      <c r="H58" s="21" t="s">
        <v>6</v>
      </c>
      <c r="I58" s="24" t="n">
        <v>0.0</v>
      </c>
      <c r="J58" s="24" t="n">
        <v>0.0</v>
      </c>
      <c r="K58" s="24" t="n">
        <v>0.0</v>
      </c>
      <c r="L58" s="24" t="n">
        <v>0.0</v>
      </c>
      <c r="M58" s="23">
        <f si="1" t="shared"/>
        <v>0</v>
      </c>
    </row>
    <row ht="15.75" r="59" spans="1:13" thickBot="1" x14ac:dyDescent="0.3">
      <c r="A59" s="1"/>
      <c r="B59" s="7">
        <f>SUM(B8:B58)</f>
        <v>703789.12151804171</v>
      </c>
      <c r="C59" s="7">
        <f>SUM(C8:C58)</f>
        <v>522093.80449639482</v>
      </c>
      <c r="D59" s="7">
        <f>SUM(D8:D58)</f>
        <v>1722007.4428876948</v>
      </c>
      <c r="E59" s="7">
        <f>SUM(E8:E58)</f>
        <v>169520.92399554868</v>
      </c>
      <c r="F59" s="7">
        <f>SUM(F8:F58)</f>
        <v>3117411.2928976794</v>
      </c>
      <c r="H59" s="1"/>
      <c r="I59" s="7">
        <f>SUM(I8:I58)</f>
        <v>726534.7776222229</v>
      </c>
      <c r="J59" s="7">
        <f>SUM(J8:J58)</f>
        <v>520716.50690078735</v>
      </c>
      <c r="K59" s="7">
        <f>SUM(K8:K58)</f>
        <v>1757257.9704713821</v>
      </c>
      <c r="L59" s="7">
        <f>SUM(L8:L58)</f>
        <v>179006.05096340179</v>
      </c>
      <c r="M59" s="7">
        <f>SUM(M8:M58)</f>
        <v>3183515.3059577942</v>
      </c>
    </row>
    <row ht="15.75" r="63" spans="1:13" thickBot="1" x14ac:dyDescent="0.3">
      <c r="A63" s="3" t="s">
        <v>47</v>
      </c>
      <c r="B63" s="1"/>
      <c r="C63" s="1"/>
      <c r="D63" s="1"/>
      <c r="E63" s="1"/>
      <c r="F63" s="1"/>
      <c r="H63" s="3" t="s">
        <v>12</v>
      </c>
      <c r="I63" s="1"/>
      <c r="J63" s="1"/>
      <c r="K63" s="1"/>
      <c r="L63" s="1"/>
      <c r="M63" s="1"/>
    </row>
    <row r="64" spans="1:13" x14ac:dyDescent="0.25">
      <c r="A64" s="2" t="s">
        <v>4</v>
      </c>
      <c r="B64" s="4" t="s">
        <v>48</v>
      </c>
      <c r="C64" s="4" t="s">
        <v>48</v>
      </c>
      <c r="D64" s="4" t="s">
        <v>48</v>
      </c>
      <c r="E64" s="4" t="s">
        <v>48</v>
      </c>
      <c r="F64" s="4" t="s">
        <v>48</v>
      </c>
      <c r="H64" s="2" t="s">
        <v>4</v>
      </c>
      <c r="I64" s="4" t="s">
        <v>35</v>
      </c>
      <c r="J64" s="4" t="s">
        <v>35</v>
      </c>
      <c r="K64" s="4" t="s">
        <v>35</v>
      </c>
      <c r="L64" s="4" t="s">
        <v>35</v>
      </c>
      <c r="M64" s="4" t="s">
        <v>35</v>
      </c>
    </row>
    <row r="65" spans="1:13" x14ac:dyDescent="0.25">
      <c r="A65" t="s">
        <v>5</v>
      </c>
      <c r="B65" s="18">
        <f>B8/B$59</f>
        <v>4.0475094342041825E-3</v>
      </c>
      <c r="C65" s="18">
        <f ref="C65:F65" si="2" t="shared">C8/C$59</f>
        <v>1.2799224505894866E-5</v>
      </c>
      <c r="D65" s="18">
        <f si="2" t="shared"/>
        <v>4.8436112182328565E-3</v>
      </c>
      <c r="E65" s="18">
        <f si="2" t="shared"/>
        <v>0</v>
      </c>
      <c r="F65" s="18">
        <f si="2" t="shared"/>
        <v>3.5914446382517245E-3</v>
      </c>
      <c r="H65" t="s">
        <v>5</v>
      </c>
      <c r="I65" s="17">
        <f ref="I65:M80" si="3" t="shared">I8/I$59</f>
        <v>9.738005967387834E-3</v>
      </c>
      <c r="J65" s="17">
        <f si="3" t="shared"/>
        <v>3.8408615311691317E-5</v>
      </c>
      <c r="K65" s="17">
        <f si="3" t="shared"/>
        <v>3.9834788731231419E-3</v>
      </c>
      <c r="L65" s="17">
        <f si="3" t="shared"/>
        <v>4.1898025008849522E-4</v>
      </c>
      <c r="M65" s="18">
        <f si="3" t="shared"/>
        <v>4.4510544596664996E-3</v>
      </c>
    </row>
    <row r="66" spans="1:13" x14ac:dyDescent="0.25">
      <c r="A66" s="12">
        <v>0.125</v>
      </c>
      <c r="B66" s="18">
        <f ref="B66:F81" si="4" t="shared">B9/B$59</f>
        <v>2.709592268337929E-3</v>
      </c>
      <c r="C66" s="18">
        <f si="4" t="shared"/>
        <v>2.1590375580872875E-5</v>
      </c>
      <c r="D66" s="18">
        <f si="4" t="shared"/>
        <v>3.3817522244527025E-3</v>
      </c>
      <c r="E66" s="18">
        <f si="4" t="shared"/>
        <v>2.6201661451333256E-5</v>
      </c>
      <c r="F66" s="18">
        <f si="4" t="shared"/>
        <v>2.4847853767483025E-3</v>
      </c>
      <c r="H66" s="12">
        <v>0.125</v>
      </c>
      <c r="I66" s="17">
        <f si="3" t="shared"/>
        <v>6.5289765729358018E-3</v>
      </c>
      <c r="J66" s="17">
        <f si="3" t="shared"/>
        <v>2.7375958727578058E-5</v>
      </c>
      <c r="K66" s="17">
        <f si="3" t="shared"/>
        <v>3.1363132219060764E-3</v>
      </c>
      <c r="L66" s="17">
        <f si="3" t="shared"/>
        <v>4.0185576853056076E-4</v>
      </c>
      <c r="M66" s="18">
        <f si="3" t="shared"/>
        <v>3.2483053114393131E-3</v>
      </c>
    </row>
    <row r="67" spans="1:13" x14ac:dyDescent="0.25">
      <c r="A67" s="12">
        <v>0.14583333333333334</v>
      </c>
      <c r="B67" s="18">
        <f si="4" t="shared"/>
        <v>1.619876369360263E-3</v>
      </c>
      <c r="C67" s="18">
        <f si="4" t="shared"/>
        <v>4.84572763274139E-5</v>
      </c>
      <c r="D67" s="18">
        <f si="4" t="shared"/>
        <v>2.2158859323662024E-3</v>
      </c>
      <c r="E67" s="18">
        <f si="4" t="shared"/>
        <v>8.2101876395059489E-5</v>
      </c>
      <c r="F67" s="18">
        <f si="4" t="shared"/>
        <v>1.6023040258326782E-3</v>
      </c>
      <c r="H67" s="12">
        <v>0.14583333333333334</v>
      </c>
      <c r="I67" s="17">
        <f si="3" t="shared"/>
        <v>3.8770471676559054E-3</v>
      </c>
      <c r="J67" s="17">
        <f si="3" t="shared"/>
        <v>2.6677859023867629E-5</v>
      </c>
      <c r="K67" s="17">
        <f si="3" t="shared"/>
        <v>2.4745243503984291E-3</v>
      </c>
      <c r="L67" s="17">
        <f si="3" t="shared"/>
        <v>4.4422579309253871E-4</v>
      </c>
      <c r="M67" s="18">
        <f si="3" t="shared"/>
        <v>2.2800574988858634E-3</v>
      </c>
    </row>
    <row r="68" spans="1:13" x14ac:dyDescent="0.25">
      <c r="A68" s="12">
        <v>0.16666666666666666</v>
      </c>
      <c r="B68" s="18">
        <f si="4" t="shared"/>
        <v>9.2610335708767156E-4</v>
      </c>
      <c r="C68" s="18">
        <f si="4" t="shared"/>
        <v>1.5267340785405614E-4</v>
      </c>
      <c r="D68" s="18">
        <f si="4" t="shared"/>
        <v>1.567422593450836E-3</v>
      </c>
      <c r="E68" s="18">
        <f si="4" t="shared"/>
        <v>2.0218664356295554E-4</v>
      </c>
      <c r="F68" s="18">
        <f si="4" t="shared"/>
        <v>1.1114605105442994E-3</v>
      </c>
      <c r="H68" s="12">
        <v>0.16666666666666666</v>
      </c>
      <c r="I68" s="17">
        <f si="3" t="shared"/>
        <v>2.0926879848539429E-3</v>
      </c>
      <c r="J68" s="17">
        <f si="3" t="shared"/>
        <v>6.3371563302250196E-5</v>
      </c>
      <c r="K68" s="17">
        <f si="3" t="shared"/>
        <v>2.1220195301440057E-3</v>
      </c>
      <c r="L68" s="17">
        <f si="3" t="shared"/>
        <v>5.9462268755546682E-4</v>
      </c>
      <c r="M68" s="18">
        <f si="3" t="shared"/>
        <v>1.6927155967044784E-3</v>
      </c>
    </row>
    <row r="69" spans="1:13" x14ac:dyDescent="0.25">
      <c r="A69" s="12">
        <v>0.1875</v>
      </c>
      <c r="B69" s="18">
        <f si="4" t="shared"/>
        <v>6.4500915456025423E-4</v>
      </c>
      <c r="C69" s="18">
        <f si="4" t="shared"/>
        <v>4.8740422298774696E-4</v>
      </c>
      <c r="D69" s="18">
        <f si="4" t="shared"/>
        <v>1.5633185030234176E-3</v>
      </c>
      <c r="E69" s="18">
        <f si="4" t="shared"/>
        <v>4.2107911216489709E-4</v>
      </c>
      <c r="F69" s="18">
        <f si="4" t="shared"/>
        <v>1.1136961546447074E-3</v>
      </c>
      <c r="H69" s="12">
        <v>0.1875</v>
      </c>
      <c r="I69" s="17">
        <f si="3" t="shared"/>
        <v>1.1722310785879065E-3</v>
      </c>
      <c r="J69" s="17">
        <f si="3" t="shared"/>
        <v>2.0810568829976315E-4</v>
      </c>
      <c r="K69" s="17">
        <f si="3" t="shared"/>
        <v>2.1464227309036608E-3</v>
      </c>
      <c r="L69" s="17">
        <f si="3" t="shared"/>
        <v>8.9209902739573633E-4</v>
      </c>
      <c r="M69" s="18">
        <f si="3" t="shared"/>
        <v>1.5365216808510048E-3</v>
      </c>
    </row>
    <row r="70" spans="1:13" x14ac:dyDescent="0.25">
      <c r="A70" s="12">
        <v>0.20833333333333334</v>
      </c>
      <c r="B70" s="18">
        <f si="4" t="shared"/>
        <v>7.0913244176381088E-4</v>
      </c>
      <c r="C70" s="18">
        <f si="4" t="shared"/>
        <v>1.3390518663510959E-3</v>
      </c>
      <c r="D70" s="18">
        <f si="4" t="shared"/>
        <v>2.2762444124171922E-3</v>
      </c>
      <c r="E70" s="18">
        <f si="4" t="shared"/>
        <v>7.6235318374902718E-4</v>
      </c>
      <c r="F70" s="18">
        <f si="4" t="shared"/>
        <v>1.6831705940241414E-3</v>
      </c>
      <c r="H70" s="12">
        <v>0.20833333333333334</v>
      </c>
      <c r="I70" s="17">
        <f si="3" t="shared"/>
        <v>9.1922786071523715E-4</v>
      </c>
      <c r="J70" s="17">
        <f si="3" t="shared"/>
        <v>6.0500322644936133E-4</v>
      </c>
      <c r="K70" s="17">
        <f si="3" t="shared"/>
        <v>2.6212684729950459E-3</v>
      </c>
      <c r="L70" s="17">
        <f si="3" t="shared"/>
        <v>1.3842015153827671E-3</v>
      </c>
      <c r="M70" s="18">
        <f si="3" t="shared"/>
        <v>1.8334799676030886E-3</v>
      </c>
    </row>
    <row r="71" spans="1:13" x14ac:dyDescent="0.25">
      <c r="A71" s="12">
        <v>0.22916666666666666</v>
      </c>
      <c r="B71" s="18">
        <f si="4" t="shared"/>
        <v>1.0413888347217263E-3</v>
      </c>
      <c r="C71" s="18">
        <f si="4" t="shared"/>
        <v>3.0798285969431366E-3</v>
      </c>
      <c r="D71" s="18">
        <f si="4" t="shared"/>
        <v>3.7770797792598702E-3</v>
      </c>
      <c r="E71" s="18">
        <f si="4" t="shared"/>
        <v>1.2405139979111467E-3</v>
      </c>
      <c r="F71" s="18">
        <f si="4" t="shared"/>
        <v>2.9047595210084367E-3</v>
      </c>
      <c r="H71" s="12">
        <v>0.22916666666666666</v>
      </c>
      <c r="I71" s="17">
        <f si="3" t="shared"/>
        <v>1.1174400843311076E-3</v>
      </c>
      <c r="J71" s="17">
        <f si="3" t="shared"/>
        <v>1.4711639824908636E-3</v>
      </c>
      <c r="K71" s="17">
        <f si="3" t="shared"/>
        <v>3.6700920546058518E-3</v>
      </c>
      <c r="L71" s="17">
        <f si="3" t="shared"/>
        <v>2.1527253379170033E-3</v>
      </c>
      <c r="M71" s="18">
        <f si="3" t="shared"/>
        <v>2.6425404063055839E-3</v>
      </c>
    </row>
    <row r="72" spans="1:13" x14ac:dyDescent="0.25">
      <c r="A72" s="12">
        <v>0.25</v>
      </c>
      <c r="B72" s="18">
        <f si="4" t="shared"/>
        <v>1.6020787520489989E-3</v>
      </c>
      <c r="C72" s="18">
        <f si="4" t="shared"/>
        <v>5.9705140756259418E-3</v>
      </c>
      <c r="D72" s="18">
        <f si="4" t="shared"/>
        <v>6.1318860263296767E-3</v>
      </c>
      <c r="E72" s="18">
        <f si="4" t="shared"/>
        <v>1.8949543959750014E-3</v>
      </c>
      <c r="F72" s="18">
        <f si="4" t="shared"/>
        <v>4.8518082413196717E-3</v>
      </c>
      <c r="H72" s="12">
        <v>0.25</v>
      </c>
      <c r="I72" s="17">
        <f si="3" t="shared"/>
        <v>1.6286470122602859E-3</v>
      </c>
      <c r="J72" s="17">
        <f si="3" t="shared"/>
        <v>3.0263028832760927E-3</v>
      </c>
      <c r="K72" s="17">
        <f si="3" t="shared"/>
        <v>5.4311995495905912E-3</v>
      </c>
      <c r="L72" s="17">
        <f si="3" t="shared"/>
        <v>3.3281147464634224E-3</v>
      </c>
      <c r="M72" s="18">
        <f si="3" t="shared"/>
        <v>4.0517744370813678E-3</v>
      </c>
    </row>
    <row r="73" spans="1:13" x14ac:dyDescent="0.25">
      <c r="A73" s="12">
        <v>0.27083333333333331</v>
      </c>
      <c r="B73" s="18">
        <f si="4" t="shared"/>
        <v>2.3835136187707199E-3</v>
      </c>
      <c r="C73" s="18">
        <f si="4" t="shared"/>
        <v>9.877545047045258E-3</v>
      </c>
      <c r="D73" s="18">
        <f si="4" t="shared"/>
        <v>9.3052039890804388E-3</v>
      </c>
      <c r="E73" s="18">
        <f si="4" t="shared"/>
        <v>2.8410687287176214E-3</v>
      </c>
      <c r="F73" s="18">
        <f si="4" t="shared"/>
        <v>7.4869001740525973E-3</v>
      </c>
      <c r="H73" s="12">
        <v>0.27083333333333331</v>
      </c>
      <c r="I73" s="17">
        <f si="3" t="shared"/>
        <v>2.39605409151376E-3</v>
      </c>
      <c r="J73" s="17">
        <f si="3" t="shared"/>
        <v>5.3594930792903563E-3</v>
      </c>
      <c r="K73" s="17">
        <f si="3" t="shared"/>
        <v>7.9566491149950687E-3</v>
      </c>
      <c r="L73" s="17">
        <f si="3" t="shared"/>
        <v>5.076556444340706E-3</v>
      </c>
      <c r="M73" s="18">
        <f si="3" t="shared"/>
        <v>6.1008698473575583E-3</v>
      </c>
    </row>
    <row r="74" spans="1:13" x14ac:dyDescent="0.25">
      <c r="A74" s="12">
        <v>0.29166666666666669</v>
      </c>
      <c r="B74" s="18">
        <f si="4" t="shared"/>
        <v>3.3654214517280664E-3</v>
      </c>
      <c r="C74" s="18">
        <f si="4" t="shared"/>
        <v>1.4129261968229665E-2</v>
      </c>
      <c r="D74" s="18">
        <f si="4" t="shared"/>
        <v>1.302213602680732E-2</v>
      </c>
      <c r="E74" s="18">
        <f si="4" t="shared"/>
        <v>4.287624595332217E-3</v>
      </c>
      <c r="F74" s="18">
        <f si="4" t="shared"/>
        <v>1.0552474888803069E-2</v>
      </c>
      <c r="H74" s="12">
        <v>0.29166666666666669</v>
      </c>
      <c r="I74" s="17">
        <f si="3" t="shared"/>
        <v>3.4075711482929334E-3</v>
      </c>
      <c r="J74" s="17">
        <f si="3" t="shared"/>
        <v>8.3198892755651285E-3</v>
      </c>
      <c r="K74" s="17">
        <f si="3" t="shared"/>
        <v>1.112489964184271E-2</v>
      </c>
      <c r="L74" s="17">
        <f si="3" t="shared"/>
        <v>7.5684249821357779E-3</v>
      </c>
      <c r="M74" s="18">
        <f si="3" t="shared"/>
        <v>8.7048851344787934E-3</v>
      </c>
    </row>
    <row r="75" spans="1:13" x14ac:dyDescent="0.25">
      <c r="A75" s="12">
        <v>0.3125</v>
      </c>
      <c r="B75" s="18">
        <f si="4" t="shared"/>
        <v>4.4757166387895692E-3</v>
      </c>
      <c r="C75" s="18">
        <f si="4" t="shared"/>
        <v>1.7724473868366879E-2</v>
      </c>
      <c r="D75" s="18">
        <f si="4" t="shared"/>
        <v>1.6741619029336768E-2</v>
      </c>
      <c r="E75" s="18">
        <f si="4" t="shared"/>
        <v>6.4886832420695227E-3</v>
      </c>
      <c r="F75" s="18">
        <f si="4" t="shared"/>
        <v>1.3579523152968091E-2</v>
      </c>
      <c r="H75" s="12">
        <v>0.3125</v>
      </c>
      <c r="I75" s="17">
        <f si="3" t="shared"/>
        <v>4.6690179624187906E-3</v>
      </c>
      <c r="J75" s="17">
        <f si="3" t="shared"/>
        <v>1.1544240061326575E-2</v>
      </c>
      <c r="K75" s="17">
        <f si="3" t="shared"/>
        <v>1.4648969038971137E-2</v>
      </c>
      <c r="L75" s="17">
        <f si="3" t="shared"/>
        <v>1.0963525839116832E-2</v>
      </c>
      <c r="M75" s="18">
        <f si="3" t="shared"/>
        <v>1.1656308133706276E-2</v>
      </c>
    </row>
    <row r="76" spans="1:13" x14ac:dyDescent="0.25">
      <c r="A76" s="12">
        <v>0.33333333333333331</v>
      </c>
      <c r="B76" s="18">
        <f si="4" t="shared"/>
        <v>5.6062575527250288E-3</v>
      </c>
      <c r="C76" s="18">
        <f si="4" t="shared"/>
        <v>1.9843642605141959E-2</v>
      </c>
      <c r="D76" s="18">
        <f si="4" t="shared"/>
        <v>1.9863038536885327E-2</v>
      </c>
      <c r="E76" s="18">
        <f si="4" t="shared"/>
        <v>9.6743077849327421E-3</v>
      </c>
      <c r="F76" s="18">
        <f si="4" t="shared"/>
        <v>1.6087118131854525E-2</v>
      </c>
      <c r="H76" s="12">
        <v>0.33333333333333331</v>
      </c>
      <c r="I76" s="17">
        <f si="3" t="shared"/>
        <v>6.1978076751975E-3</v>
      </c>
      <c r="J76" s="17">
        <f si="3" t="shared"/>
        <v>1.4636875154297695E-2</v>
      </c>
      <c r="K76" s="17">
        <f si="3" t="shared"/>
        <v>1.8192104083361076E-2</v>
      </c>
      <c r="L76" s="17">
        <f si="3" t="shared"/>
        <v>1.5433960377261477E-2</v>
      </c>
      <c r="M76" s="18">
        <f si="3" t="shared"/>
        <v>1.4718188234759299E-2</v>
      </c>
    </row>
    <row r="77" spans="1:13" x14ac:dyDescent="0.25">
      <c r="A77" s="12">
        <v>0.35416666666666669</v>
      </c>
      <c r="B77" s="18">
        <f si="4" t="shared"/>
        <v>6.6930163009919592E-3</v>
      </c>
      <c r="C77" s="18">
        <f si="4" t="shared"/>
        <v>2.0320866148391369E-2</v>
      </c>
      <c r="D77" s="18">
        <f si="4" t="shared"/>
        <v>2.2074511305863735E-2</v>
      </c>
      <c r="E77" s="18">
        <f si="4" t="shared"/>
        <v>1.4049936345113194E-2</v>
      </c>
      <c r="F77" s="18">
        <f si="4" t="shared"/>
        <v>1.7871912335050852E-2</v>
      </c>
      <c r="H77" s="12">
        <v>0.35416666666666669</v>
      </c>
      <c r="I77" s="17">
        <f si="3" t="shared"/>
        <v>8.0181502735040006E-3</v>
      </c>
      <c r="J77" s="17">
        <f si="3" t="shared"/>
        <v>1.7363253978525093E-2</v>
      </c>
      <c r="K77" s="17">
        <f si="3" t="shared"/>
        <v>2.1507297360461204E-2</v>
      </c>
      <c r="L77" s="17">
        <f si="3" t="shared"/>
        <v>2.1182774285478167E-2</v>
      </c>
      <c r="M77" s="18">
        <f si="3" t="shared"/>
        <v>1.773275987197032E-2</v>
      </c>
    </row>
    <row r="78" spans="1:13" x14ac:dyDescent="0.25">
      <c r="A78" s="12">
        <v>0.375</v>
      </c>
      <c r="B78" s="18">
        <f si="4" t="shared"/>
        <v>7.8063624754227783E-3</v>
      </c>
      <c r="C78" s="18">
        <f si="4" t="shared"/>
        <v>1.972598535098978E-2</v>
      </c>
      <c r="D78" s="18">
        <f si="4" t="shared"/>
        <v>2.355618758628833E-2</v>
      </c>
      <c r="E78" s="18">
        <f si="4" t="shared"/>
        <v>1.9888195185808848E-2</v>
      </c>
      <c r="F78" s="18">
        <f si="4" t="shared"/>
        <v>1.9159564680603532E-2</v>
      </c>
      <c r="H78" s="12">
        <v>0.375</v>
      </c>
      <c r="I78" s="17">
        <f si="3" t="shared"/>
        <v>1.0136756855085154E-2</v>
      </c>
      <c r="J78" s="17">
        <f si="3" t="shared"/>
        <v>1.9682524798667275E-2</v>
      </c>
      <c r="K78" s="17">
        <f si="3" t="shared"/>
        <v>2.4484482887379873E-2</v>
      </c>
      <c r="L78" s="17">
        <f si="3" t="shared"/>
        <v>2.8379835938186514E-2</v>
      </c>
      <c r="M78" s="18">
        <f si="3" t="shared"/>
        <v>2.064366924502662E-2</v>
      </c>
    </row>
    <row r="79" spans="1:13" x14ac:dyDescent="0.25">
      <c r="A79" s="12">
        <v>0.39583333333333331</v>
      </c>
      <c r="B79" s="18">
        <f si="4" t="shared"/>
        <v>9.1661601961440502E-3</v>
      </c>
      <c r="C79" s="18">
        <f si="4" t="shared"/>
        <v>1.9010253010661195E-2</v>
      </c>
      <c r="D79" s="18">
        <f si="4" t="shared"/>
        <v>2.4836374941043723E-2</v>
      </c>
      <c r="E79" s="18">
        <f si="4" t="shared"/>
        <v>2.7598968362428977E-2</v>
      </c>
      <c r="F79" s="18">
        <f si="4" t="shared"/>
        <v>2.0473142064144512E-2</v>
      </c>
      <c r="H79" s="12">
        <v>0.39583333333333331</v>
      </c>
      <c r="I79" s="17">
        <f si="3" t="shared"/>
        <v>1.25031815398635E-2</v>
      </c>
      <c r="J79" s="17">
        <f si="3" t="shared"/>
        <v>2.1612699143845487E-2</v>
      </c>
      <c r="K79" s="17">
        <f si="3" t="shared"/>
        <v>2.7075871635410313E-2</v>
      </c>
      <c r="L79" s="17">
        <f si="3" t="shared"/>
        <v>3.6999710289316784E-2</v>
      </c>
      <c r="M79" s="18">
        <f si="3" t="shared"/>
        <v>2.3414540695778089E-2</v>
      </c>
    </row>
    <row r="80" spans="1:13" x14ac:dyDescent="0.25">
      <c r="A80" s="12">
        <v>0.41666666666666669</v>
      </c>
      <c r="B80" s="18">
        <f si="4" t="shared"/>
        <v>1.1034538511383593E-2</v>
      </c>
      <c r="C80" s="18">
        <f si="4" t="shared"/>
        <v>1.8992772342856481E-2</v>
      </c>
      <c r="D80" s="18">
        <f si="4" t="shared"/>
        <v>2.6409052505805251E-2</v>
      </c>
      <c r="E80" s="18">
        <f si="4" t="shared"/>
        <v>3.7600955204525582E-2</v>
      </c>
      <c r="F80" s="18">
        <f si="4" t="shared"/>
        <v>2.2304638062391437E-2</v>
      </c>
      <c r="H80" s="12">
        <v>0.41666666666666669</v>
      </c>
      <c r="I80" s="17">
        <f si="3" t="shared"/>
        <v>1.4989314666666446E-2</v>
      </c>
      <c r="J80" s="17">
        <f si="3" t="shared"/>
        <v>2.3129573364192479E-2</v>
      </c>
      <c r="K80" s="17">
        <f si="3" t="shared"/>
        <v>2.9203547653758301E-2</v>
      </c>
      <c r="L80" s="17">
        <f si="3" t="shared"/>
        <v>4.6656440968119148E-2</v>
      </c>
      <c r="M80" s="18">
        <f si="3" t="shared"/>
        <v>2.5947467889377459E-2</v>
      </c>
    </row>
    <row r="81" spans="1:13" x14ac:dyDescent="0.25">
      <c r="A81" s="12">
        <v>0.4375</v>
      </c>
      <c r="B81" s="18">
        <f si="4" t="shared"/>
        <v>1.3532336698697441E-2</v>
      </c>
      <c r="C81" s="18">
        <f si="4" t="shared"/>
        <v>2.0038252809445461E-2</v>
      </c>
      <c r="D81" s="18">
        <f si="4" t="shared"/>
        <v>2.842322941291767E-2</v>
      </c>
      <c r="E81" s="18">
        <f si="4" t="shared"/>
        <v>4.9933412423920957E-2</v>
      </c>
      <c r="F81" s="18">
        <f si="4" t="shared"/>
        <v>2.4826858743547078E-2</v>
      </c>
      <c r="H81" s="12">
        <v>0.4375</v>
      </c>
      <c r="I81" s="17">
        <f ref="I81:M96" si="5" t="shared">I24/I$59</f>
        <v>1.7421209595369927E-2</v>
      </c>
      <c r="J81" s="17">
        <f si="5" t="shared"/>
        <v>2.428009311261577E-2</v>
      </c>
      <c r="K81" s="17">
        <f si="5" t="shared"/>
        <v>3.0776153677245892E-2</v>
      </c>
      <c r="L81" s="17">
        <f si="5" t="shared"/>
        <v>5.6550910248635566E-2</v>
      </c>
      <c r="M81" s="18">
        <f si="5" t="shared"/>
        <v>2.8115070223281816E-2</v>
      </c>
    </row>
    <row r="82" spans="1:13" x14ac:dyDescent="0.25">
      <c r="A82" s="12">
        <v>0.45833333333333331</v>
      </c>
      <c r="B82" s="18">
        <f ref="B82:F97" si="6" t="shared">B25/B$59</f>
        <v>1.6515979065887303E-2</v>
      </c>
      <c r="C82" s="18">
        <f si="6" t="shared"/>
        <v>2.2115171308041422E-2</v>
      </c>
      <c r="D82" s="18">
        <f si="6" t="shared"/>
        <v>3.0656700262948214E-2</v>
      </c>
      <c r="E82" s="18">
        <f si="6" t="shared"/>
        <v>6.3771828434818406E-2</v>
      </c>
      <c r="F82" s="18">
        <f si="6" t="shared"/>
        <v>2.7834532398440918E-2</v>
      </c>
      <c r="H82" s="12">
        <v>0.45833333333333331</v>
      </c>
      <c r="I82" s="17">
        <f si="5" t="shared"/>
        <v>1.9656382402676083E-2</v>
      </c>
      <c r="J82" s="17">
        <f si="5" t="shared"/>
        <v>2.5416408179471765E-2</v>
      </c>
      <c r="K82" s="17">
        <f si="5" t="shared"/>
        <v>3.1806511738523148E-2</v>
      </c>
      <c r="L82" s="17">
        <f si="5" t="shared"/>
        <v>6.5560766965010911E-2</v>
      </c>
      <c r="M82" s="18">
        <f si="5" t="shared"/>
        <v>2.9886399095634186E-2</v>
      </c>
    </row>
    <row r="83" spans="1:13" x14ac:dyDescent="0.25">
      <c r="A83" s="12">
        <v>0.47916666666666669</v>
      </c>
      <c r="B83" s="18">
        <f si="6" t="shared"/>
        <v>1.9659014658439694E-2</v>
      </c>
      <c r="C83" s="18">
        <f si="6" t="shared"/>
        <v>2.5192550782665947E-2</v>
      </c>
      <c r="D83" s="18">
        <f si="6" t="shared"/>
        <v>3.2739454032265039E-2</v>
      </c>
      <c r="E83" s="18">
        <f si="6" t="shared"/>
        <v>7.7175935156925252E-2</v>
      </c>
      <c r="F83" s="18">
        <f si="6" t="shared"/>
        <v>3.0938873839606772E-2</v>
      </c>
      <c r="H83" s="12">
        <v>0.47916666666666669</v>
      </c>
      <c r="I83" s="17">
        <f si="5" t="shared"/>
        <v>2.1665198372244607E-2</v>
      </c>
      <c r="J83" s="17">
        <f si="5" t="shared"/>
        <v>2.7240022395076589E-2</v>
      </c>
      <c r="K83" s="17">
        <f si="5" t="shared"/>
        <v>3.2486306387892135E-2</v>
      </c>
      <c r="L83" s="17">
        <f si="5" t="shared"/>
        <v>7.2445947407719924E-2</v>
      </c>
      <c r="M83" s="18">
        <f si="5" t="shared"/>
        <v>3.1405513580830935E-2</v>
      </c>
    </row>
    <row r="84" spans="1:13" x14ac:dyDescent="0.25">
      <c r="A84" s="12">
        <v>0.5</v>
      </c>
      <c r="B84" s="18">
        <f si="6" t="shared"/>
        <v>2.2753761357379124E-2</v>
      </c>
      <c r="C84" s="18">
        <f si="6" t="shared"/>
        <v>2.9702673852329133E-2</v>
      </c>
      <c r="D84" s="18">
        <f si="6" t="shared"/>
        <v>3.4434162529733893E-2</v>
      </c>
      <c r="E84" s="18">
        <f si="6" t="shared"/>
        <v>8.7394091433760618E-2</v>
      </c>
      <c r="F84" s="18">
        <f si="6" t="shared"/>
        <v>3.3884666822850032E-2</v>
      </c>
      <c r="H84" s="12">
        <v>0.5</v>
      </c>
      <c r="I84" s="17">
        <f si="5" t="shared"/>
        <v>2.3586866234677307E-2</v>
      </c>
      <c r="J84" s="17">
        <f si="5" t="shared"/>
        <v>3.0486049646409146E-2</v>
      </c>
      <c r="K84" s="17">
        <f si="5" t="shared"/>
        <v>3.3109559803632095E-2</v>
      </c>
      <c r="L84" s="17">
        <f si="5" t="shared"/>
        <v>7.6161769790050932E-2</v>
      </c>
      <c r="M84" s="18">
        <f si="5" t="shared"/>
        <v>3.2927978454431343E-2</v>
      </c>
    </row>
    <row r="85" spans="1:13" x14ac:dyDescent="0.25">
      <c r="A85" s="12">
        <v>0.52083333333333337</v>
      </c>
      <c r="B85" s="18">
        <f si="6" t="shared"/>
        <v>2.604170713357374E-2</v>
      </c>
      <c r="C85" s="18">
        <f si="6" t="shared"/>
        <v>3.6608792776397343E-2</v>
      </c>
      <c r="D85" s="18">
        <f si="6" t="shared"/>
        <v>3.5783240985428816E-2</v>
      </c>
      <c r="E85" s="18">
        <f si="6" t="shared"/>
        <v>9.1825743219209333E-2</v>
      </c>
      <c r="F85" s="18">
        <f si="6" t="shared"/>
        <v>3.6769766790419628E-2</v>
      </c>
      <c r="H85" s="12">
        <v>0.52083333333333337</v>
      </c>
      <c r="I85" s="17">
        <f si="5" t="shared"/>
        <v>2.5764327469693097E-2</v>
      </c>
      <c r="J85" s="17">
        <f si="5" t="shared"/>
        <v>3.546226836050706E-2</v>
      </c>
      <c r="K85" s="17">
        <f si="5" t="shared"/>
        <v>3.390181293326508E-2</v>
      </c>
      <c r="L85" s="17">
        <f si="5" t="shared"/>
        <v>7.6224921167250104E-2</v>
      </c>
      <c r="M85" s="18">
        <f si="5" t="shared"/>
        <v>3.4679720667019388E-2</v>
      </c>
    </row>
    <row r="86" spans="1:13" x14ac:dyDescent="0.25">
      <c r="A86" s="12">
        <v>0.54166666666666663</v>
      </c>
      <c r="B86" s="18">
        <f si="6" t="shared"/>
        <v>3.0277794765090044E-2</v>
      </c>
      <c r="C86" s="18">
        <f si="6" t="shared"/>
        <v>4.670544732543952E-2</v>
      </c>
      <c r="D86" s="18">
        <f si="6" t="shared"/>
        <v>3.7035307811921103E-2</v>
      </c>
      <c r="E86" s="18">
        <f si="6" t="shared"/>
        <v>8.9284582194079837E-2</v>
      </c>
      <c r="F86" s="18">
        <f si="6" t="shared"/>
        <v>3.9970499921462441E-2</v>
      </c>
      <c r="H86" s="12">
        <v>0.54166666666666663</v>
      </c>
      <c r="I86" s="17">
        <f si="5" t="shared"/>
        <v>2.8755204717979582E-2</v>
      </c>
      <c r="J86" s="17">
        <f si="5" t="shared"/>
        <v>4.1836305589098968E-2</v>
      </c>
      <c r="K86" s="17">
        <f si="5" t="shared"/>
        <v>3.4906820459883595E-2</v>
      </c>
      <c r="L86" s="17">
        <f si="5" t="shared"/>
        <v>7.2924925543100719E-2</v>
      </c>
      <c r="M86" s="18">
        <f si="5" t="shared"/>
        <v>3.677406619323316E-2</v>
      </c>
    </row>
    <row r="87" spans="1:13" x14ac:dyDescent="0.25">
      <c r="A87" s="12">
        <v>0.5625</v>
      </c>
      <c r="B87" s="18">
        <f si="6" t="shared"/>
        <v>3.6386482541287624E-2</v>
      </c>
      <c r="C87" s="18">
        <f si="6" t="shared"/>
        <v>5.9384473970842074E-2</v>
      </c>
      <c r="D87" s="18">
        <f si="6" t="shared"/>
        <v>3.8408010076246051E-2</v>
      </c>
      <c r="E87" s="18">
        <f si="6" t="shared"/>
        <v>8.0752398741862783E-2</v>
      </c>
      <c r="F87" s="18">
        <f si="6" t="shared"/>
        <v>4.376733262773088E-2</v>
      </c>
      <c r="H87" s="12">
        <v>0.5625</v>
      </c>
      <c r="I87" s="17">
        <f si="5" t="shared"/>
        <v>3.3260354005082038E-2</v>
      </c>
      <c r="J87" s="17">
        <f si="5" t="shared"/>
        <v>4.8796489467681094E-2</v>
      </c>
      <c r="K87" s="17">
        <f si="5" t="shared"/>
        <v>3.6006892901893739E-2</v>
      </c>
      <c r="L87" s="17">
        <f si="5" t="shared"/>
        <v>6.7161093796627616E-2</v>
      </c>
      <c r="M87" s="18">
        <f si="5" t="shared"/>
        <v>3.9223804872036402E-2</v>
      </c>
    </row>
    <row r="88" spans="1:13" x14ac:dyDescent="0.25">
      <c r="A88" s="12">
        <v>0.58333333333333337</v>
      </c>
      <c r="B88" s="18">
        <f si="6" t="shared"/>
        <v>4.489517849416174E-2</v>
      </c>
      <c r="C88" s="18">
        <f si="6" t="shared"/>
        <v>7.1903144040769015E-2</v>
      </c>
      <c r="D88" s="18">
        <f si="6" t="shared"/>
        <v>3.9866147991847435E-2</v>
      </c>
      <c r="E88" s="18">
        <f si="6" t="shared"/>
        <v>6.8927103827095659E-2</v>
      </c>
      <c r="F88" s="18">
        <f si="6" t="shared"/>
        <v>4.7947254984020207E-2</v>
      </c>
      <c r="H88" s="12">
        <v>0.58333333333333337</v>
      </c>
      <c r="I88" s="17">
        <f si="5" t="shared"/>
        <v>3.9890093726284666E-2</v>
      </c>
      <c r="J88" s="17">
        <f si="5" t="shared"/>
        <v>5.5334360002806796E-2</v>
      </c>
      <c r="K88" s="17">
        <f si="5" t="shared"/>
        <v>3.7017910400081407E-2</v>
      </c>
      <c r="L88" s="17">
        <f si="5" t="shared"/>
        <v>5.9975282057078867E-2</v>
      </c>
      <c r="M88" s="18">
        <f si="5" t="shared"/>
        <v>4.1960222799686267E-2</v>
      </c>
    </row>
    <row r="89" spans="1:13" x14ac:dyDescent="0.25">
      <c r="A89" s="12">
        <v>0.60416666666666663</v>
      </c>
      <c r="B89" s="18">
        <f si="6" t="shared"/>
        <v>5.5519164500910476E-2</v>
      </c>
      <c r="C89" s="18">
        <f si="6" t="shared"/>
        <v>8.0239210530826624E-2</v>
      </c>
      <c r="D89" s="18">
        <f si="6" t="shared"/>
        <v>4.1098578420871126E-2</v>
      </c>
      <c r="E89" s="18">
        <f si="6" t="shared"/>
        <v>5.675082705694745E-2</v>
      </c>
      <c r="F89" s="18">
        <f si="6" t="shared"/>
        <v>5.1760474996676374E-2</v>
      </c>
      <c r="H89" s="12">
        <v>0.60416666666666663</v>
      </c>
      <c r="I89" s="17">
        <f si="5" t="shared"/>
        <v>4.8779305021675046E-2</v>
      </c>
      <c r="J89" s="17">
        <f si="5" t="shared"/>
        <v>6.0415215862649613E-2</v>
      </c>
      <c r="K89" s="17">
        <f si="5" t="shared"/>
        <v>3.7767761022861585E-2</v>
      </c>
      <c r="L89" s="17">
        <f si="5" t="shared"/>
        <v>5.2149974508059055E-2</v>
      </c>
      <c r="M89" s="18">
        <f si="5" t="shared"/>
        <v>4.4793854612881642E-2</v>
      </c>
    </row>
    <row r="90" spans="1:13" x14ac:dyDescent="0.25">
      <c r="A90" s="12">
        <v>0.625</v>
      </c>
      <c r="B90" s="18">
        <f si="6" t="shared"/>
        <v>6.7097532834130419E-2</v>
      </c>
      <c r="C90" s="18">
        <f si="6" t="shared"/>
        <v>8.13578345819089E-2</v>
      </c>
      <c r="D90" s="18">
        <f si="6" t="shared"/>
        <v>4.1722969320957967E-2</v>
      </c>
      <c r="E90" s="18">
        <f si="6" t="shared"/>
        <v>4.6005732830290337E-2</v>
      </c>
      <c r="F90" s="18">
        <f si="6" t="shared"/>
        <v>5.4322358267637101E-2</v>
      </c>
      <c r="H90" s="12">
        <v>0.625</v>
      </c>
      <c r="I90" s="17">
        <f si="5" t="shared"/>
        <v>5.9216589700980697E-2</v>
      </c>
      <c r="J90" s="17">
        <f si="5" t="shared"/>
        <v>6.3135973562129188E-2</v>
      </c>
      <c r="K90" s="17">
        <f si="5" t="shared"/>
        <v>3.8142542211908853E-2</v>
      </c>
      <c r="L90" s="17">
        <f si="5" t="shared"/>
        <v>4.4151757611822884E-2</v>
      </c>
      <c r="M90" s="18">
        <f si="5" t="shared"/>
        <v>4.7377995403331701E-2</v>
      </c>
    </row>
    <row r="91" spans="1:13" x14ac:dyDescent="0.25">
      <c r="A91" s="12">
        <v>0.64583333333333337</v>
      </c>
      <c r="B91" s="18">
        <f si="6" t="shared"/>
        <v>7.775068944026263E-2</v>
      </c>
      <c r="C91" s="18">
        <f si="6" t="shared"/>
        <v>7.5149634357462303E-2</v>
      </c>
      <c r="D91" s="18">
        <f si="6" t="shared"/>
        <v>4.1551441325391715E-2</v>
      </c>
      <c r="E91" s="18">
        <f si="6" t="shared"/>
        <v>3.6981233053702232E-2</v>
      </c>
      <c r="F91" s="18">
        <f si="6" t="shared"/>
        <v>5.51022036588283E-2</v>
      </c>
      <c r="H91" s="12">
        <v>0.64583333333333337</v>
      </c>
      <c r="I91" s="17">
        <f si="5" t="shared"/>
        <v>6.952449286200213E-2</v>
      </c>
      <c r="J91" s="17">
        <f si="5" t="shared"/>
        <v>6.3025349392302019E-2</v>
      </c>
      <c r="K91" s="17">
        <f si="5" t="shared"/>
        <v>3.8132481439881703E-2</v>
      </c>
      <c r="L91" s="17">
        <f si="5" t="shared"/>
        <v>3.6324241742076512E-2</v>
      </c>
      <c r="M91" s="18">
        <f si="5" t="shared"/>
        <v>4.9266660493702145E-2</v>
      </c>
    </row>
    <row r="92" spans="1:13" x14ac:dyDescent="0.25">
      <c r="A92" s="12">
        <v>0.66666666666666663</v>
      </c>
      <c r="B92" s="18">
        <f si="6" t="shared"/>
        <v>8.5114141144118152E-2</v>
      </c>
      <c r="C92" s="18">
        <f si="6" t="shared"/>
        <v>6.4302093386938208E-2</v>
      </c>
      <c r="D92" s="18">
        <f si="6" t="shared"/>
        <v>4.0705086773138846E-2</v>
      </c>
      <c r="E92" s="18">
        <f si="6" t="shared"/>
        <v>2.9190280626110655E-2</v>
      </c>
      <c r="F92" s="18">
        <f si="6" t="shared"/>
        <v>5.4056696757383525E-2</v>
      </c>
      <c r="H92" s="12">
        <v>0.66666666666666663</v>
      </c>
      <c r="I92" s="17">
        <f si="5" t="shared"/>
        <v>7.7351984924180953E-2</v>
      </c>
      <c r="J92" s="17">
        <f si="5" t="shared"/>
        <v>6.0289169837600125E-2</v>
      </c>
      <c r="K92" s="17">
        <f si="5" t="shared"/>
        <v>3.7863061931212173E-2</v>
      </c>
      <c r="L92" s="17">
        <f si="5" t="shared"/>
        <v>2.9038940413555831E-2</v>
      </c>
      <c r="M92" s="18">
        <f si="5" t="shared"/>
        <v>5.0047124385363136E-2</v>
      </c>
    </row>
    <row r="93" spans="1:13" x14ac:dyDescent="0.25">
      <c r="A93" s="12">
        <v>0.6875</v>
      </c>
      <c r="B93" s="18">
        <f si="6" t="shared"/>
        <v>8.6833635383993829E-2</v>
      </c>
      <c r="C93" s="18">
        <f si="6" t="shared"/>
        <v>5.2281097373796881E-2</v>
      </c>
      <c r="D93" s="18">
        <f si="6" t="shared"/>
        <v>3.9512571817227199E-2</v>
      </c>
      <c r="E93" s="18">
        <f si="6" t="shared"/>
        <v>2.2260154240198372E-2</v>
      </c>
      <c r="F93" s="18">
        <f si="6" t="shared"/>
        <v>5.1396076620773182E-2</v>
      </c>
      <c r="H93" s="12">
        <v>0.6875</v>
      </c>
      <c r="I93" s="17">
        <f si="5" t="shared"/>
        <v>8.0380935202995094E-2</v>
      </c>
      <c r="J93" s="17">
        <f si="5" t="shared"/>
        <v>5.5666066608986181E-2</v>
      </c>
      <c r="K93" s="17">
        <f si="5" t="shared"/>
        <v>3.7552172064677071E-2</v>
      </c>
      <c r="L93" s="17">
        <f si="5" t="shared"/>
        <v>2.2668149633624596E-2</v>
      </c>
      <c r="M93" s="18">
        <f si="5" t="shared"/>
        <v>4.945236919810448E-2</v>
      </c>
    </row>
    <row r="94" spans="1:13" x14ac:dyDescent="0.25">
      <c r="A94" s="12">
        <v>0.70833333333333337</v>
      </c>
      <c r="B94" s="18">
        <f si="6" t="shared"/>
        <v>8.1543216182406675E-2</v>
      </c>
      <c r="C94" s="18">
        <f si="6" t="shared"/>
        <v>4.1352877201902769E-2</v>
      </c>
      <c r="D94" s="18">
        <f si="6" t="shared"/>
        <v>3.830208250312065E-2</v>
      </c>
      <c r="E94" s="18">
        <f si="6" t="shared"/>
        <v>1.6255434097567568E-2</v>
      </c>
      <c r="F94" s="18">
        <f si="6" t="shared"/>
        <v>4.7376301343716759E-2</v>
      </c>
      <c r="H94" s="12">
        <v>0.70833333333333337</v>
      </c>
      <c r="I94" s="17">
        <f si="5" t="shared"/>
        <v>7.7252347536851576E-2</v>
      </c>
      <c r="J94" s="17">
        <f si="5" t="shared"/>
        <v>4.9975256183193296E-2</v>
      </c>
      <c r="K94" s="17">
        <f si="5" t="shared"/>
        <v>3.7385290266092469E-2</v>
      </c>
      <c r="L94" s="17">
        <f si="5" t="shared"/>
        <v>1.7470036482426697E-2</v>
      </c>
      <c r="M94" s="18">
        <f si="5" t="shared"/>
        <v>4.7423142344097148E-2</v>
      </c>
    </row>
    <row r="95" spans="1:13" x14ac:dyDescent="0.25">
      <c r="A95" s="12">
        <v>0.72916666666666663</v>
      </c>
      <c r="B95" s="18">
        <f si="6" t="shared"/>
        <v>6.9903897394704401E-2</v>
      </c>
      <c r="C95" s="18">
        <f si="6" t="shared"/>
        <v>3.2179849408366448E-2</v>
      </c>
      <c r="D95" s="18">
        <f si="6" t="shared"/>
        <v>3.7237619873231431E-2</v>
      </c>
      <c r="E95" s="18">
        <f si="6" t="shared"/>
        <v>1.1434299415903812E-2</v>
      </c>
      <c r="F95" s="18">
        <f si="6" t="shared"/>
        <v>4.2362172236966041E-2</v>
      </c>
      <c r="H95" s="12">
        <v>0.72916666666666663</v>
      </c>
      <c r="I95" s="17">
        <f si="5" t="shared"/>
        <v>6.8295846246955422E-2</v>
      </c>
      <c r="J95" s="17">
        <f si="5" t="shared"/>
        <v>4.3813443352400026E-2</v>
      </c>
      <c r="K95" s="17">
        <f si="5" t="shared"/>
        <v>3.7387881773728378E-2</v>
      </c>
      <c r="L95" s="17">
        <f si="5" t="shared"/>
        <v>1.351413342802156E-2</v>
      </c>
      <c r="M95" s="18">
        <f si="5" t="shared"/>
        <v>4.4150237092732386E-2</v>
      </c>
    </row>
    <row r="96" spans="1:13" x14ac:dyDescent="0.25">
      <c r="A96" s="12">
        <v>0.75</v>
      </c>
      <c r="B96" s="18">
        <f si="6" t="shared"/>
        <v>5.4714540612114337E-2</v>
      </c>
      <c r="C96" s="18">
        <f si="6" t="shared"/>
        <v>2.4680208533060202E-2</v>
      </c>
      <c r="D96" s="18">
        <f si="6" t="shared"/>
        <v>3.6273713100805585E-2</v>
      </c>
      <c r="E96" s="18">
        <f si="6" t="shared"/>
        <v>7.906161221986386E-3</v>
      </c>
      <c r="F96" s="18">
        <f si="6" t="shared"/>
        <v>3.6952694179068331E-2</v>
      </c>
      <c r="H96" s="12">
        <v>0.75</v>
      </c>
      <c r="I96" s="17">
        <f si="5" t="shared"/>
        <v>5.5564413666168079E-2</v>
      </c>
      <c r="J96" s="17">
        <f si="5" t="shared"/>
        <v>3.7608687738005388E-2</v>
      </c>
      <c r="K96" s="17">
        <f si="5" t="shared"/>
        <v>3.7380947736776776E-2</v>
      </c>
      <c r="L96" s="17">
        <f si="5" t="shared"/>
        <v>1.0681737444240946E-2</v>
      </c>
      <c r="M96" s="18">
        <f si="5" t="shared"/>
        <v>4.0066717187617298E-2</v>
      </c>
    </row>
    <row r="97" spans="1:13" x14ac:dyDescent="0.25">
      <c r="A97" s="12">
        <v>0.77083333333333337</v>
      </c>
      <c r="B97" s="18">
        <f si="6" t="shared"/>
        <v>3.9650533965812876E-2</v>
      </c>
      <c r="C97" s="18">
        <f si="6" t="shared"/>
        <v>1.8828794471597396E-2</v>
      </c>
      <c r="D97" s="18">
        <f si="6" t="shared"/>
        <v>3.5208965382037133E-2</v>
      </c>
      <c r="E97" s="18">
        <f si="6" t="shared"/>
        <v>5.5308227113639377E-3</v>
      </c>
      <c r="F97" s="18">
        <f si="6" t="shared"/>
        <v>3.1854539776078938E-2</v>
      </c>
      <c r="H97" s="12">
        <v>0.77083333333333337</v>
      </c>
      <c r="I97" s="17">
        <f ref="I97:M112" si="7" t="shared">I40/I$59</f>
        <v>4.1996360011641448E-2</v>
      </c>
      <c r="J97" s="17">
        <f si="7" t="shared"/>
        <v>3.1756176976183818E-2</v>
      </c>
      <c r="K97" s="17">
        <f si="7" t="shared"/>
        <v>3.7031875732313847E-2</v>
      </c>
      <c r="L97" s="17">
        <f si="7" t="shared"/>
        <v>8.7168646519892919E-3</v>
      </c>
      <c r="M97" s="18">
        <f si="7" t="shared"/>
        <v>3.5709805361092514E-2</v>
      </c>
    </row>
    <row r="98" spans="1:13" x14ac:dyDescent="0.25">
      <c r="A98" s="12">
        <v>0.79166666666666663</v>
      </c>
      <c r="B98" s="18">
        <f ref="B98:F113" si="8" t="shared">B41/B$59</f>
        <v>2.7475188088895874E-2</v>
      </c>
      <c r="C98" s="18">
        <f si="8" t="shared"/>
        <v>1.47012210395878E-2</v>
      </c>
      <c r="D98" s="18">
        <f si="8" t="shared"/>
        <v>3.3772352221018612E-2</v>
      </c>
      <c r="E98" s="18">
        <f si="8" t="shared"/>
        <v>4.0436723388253999E-3</v>
      </c>
      <c r="F98" s="18">
        <f si="8" t="shared"/>
        <v>2.7540120890419025E-2</v>
      </c>
      <c r="H98" s="12">
        <v>0.79166666666666663</v>
      </c>
      <c r="I98" s="17">
        <f si="7" t="shared"/>
        <v>3.0148691862933071E-2</v>
      </c>
      <c r="J98" s="17">
        <f si="7" t="shared"/>
        <v>2.6553545940629274E-2</v>
      </c>
      <c r="K98" s="17">
        <f si="7" t="shared"/>
        <v>3.5957780674730266E-2</v>
      </c>
      <c r="L98" s="17">
        <f si="7" t="shared"/>
        <v>7.3086304771542076E-3</v>
      </c>
      <c r="M98" s="18">
        <f si="7" t="shared"/>
        <v>3.1482910859420114E-2</v>
      </c>
    </row>
    <row r="99" spans="1:13" x14ac:dyDescent="0.25">
      <c r="A99" s="12">
        <v>0.8125</v>
      </c>
      <c r="B99" s="18">
        <f si="8" t="shared"/>
        <v>1.9084284825528104E-2</v>
      </c>
      <c r="C99" s="18">
        <f si="8" t="shared"/>
        <v>1.2109904575597505E-2</v>
      </c>
      <c r="D99" s="18">
        <f si="8" t="shared"/>
        <v>3.16972688855542E-2</v>
      </c>
      <c r="E99" s="18">
        <f si="8" t="shared"/>
        <v>3.2136056169662459E-3</v>
      </c>
      <c r="F99" s="18">
        <f si="8" t="shared"/>
        <v>2.4020418707150871E-2</v>
      </c>
      <c r="H99" s="12">
        <v>0.8125</v>
      </c>
      <c r="I99" s="17">
        <f si="7" t="shared"/>
        <v>2.1300627157043905E-2</v>
      </c>
      <c r="J99" s="17">
        <f si="7" t="shared"/>
        <v>2.2045002142599801E-2</v>
      </c>
      <c r="K99" s="17">
        <f si="7" t="shared"/>
        <v>3.3850976510375802E-2</v>
      </c>
      <c r="L99" s="17">
        <f si="7" t="shared"/>
        <v>6.1866315195552718E-3</v>
      </c>
      <c r="M99" s="18">
        <f si="7" t="shared"/>
        <v>2.7500161698425046E-2</v>
      </c>
    </row>
    <row r="100" spans="1:13" x14ac:dyDescent="0.25">
      <c r="A100" s="12">
        <v>0.83333333333333337</v>
      </c>
      <c r="B100" s="18">
        <f si="8" t="shared"/>
        <v>1.3871985830872955E-2</v>
      </c>
      <c r="C100" s="18">
        <f si="8" t="shared"/>
        <v>1.0456829210304287E-2</v>
      </c>
      <c r="D100" s="18">
        <f si="8" t="shared"/>
        <v>2.8797451801178823E-2</v>
      </c>
      <c r="E100" s="18">
        <f si="8" t="shared"/>
        <v>2.8946278078185532E-3</v>
      </c>
      <c r="F100" s="18">
        <f si="8" t="shared"/>
        <v>2.094767698256849E-2</v>
      </c>
      <c r="H100" s="12">
        <v>0.83333333333333337</v>
      </c>
      <c r="I100" s="17">
        <f si="7" t="shared"/>
        <v>1.5407866508342374E-2</v>
      </c>
      <c r="J100" s="17">
        <f si="7" t="shared"/>
        <v>1.8046541732495872E-2</v>
      </c>
      <c r="K100" s="17">
        <f si="7" t="shared"/>
        <v>3.0616389599861051E-2</v>
      </c>
      <c r="L100" s="17">
        <f si="7" t="shared"/>
        <v>5.1896069568696229E-3</v>
      </c>
      <c r="M100" s="18">
        <f si="7" t="shared"/>
        <v>2.3659804178641799E-2</v>
      </c>
    </row>
    <row r="101" spans="1:13" x14ac:dyDescent="0.25">
      <c r="A101" s="12">
        <v>0.85416666666666663</v>
      </c>
      <c r="B101" s="18">
        <f si="8" t="shared"/>
        <v>1.0731199853169018E-2</v>
      </c>
      <c r="C101" s="18">
        <f si="8" t="shared"/>
        <v>9.0031384544988699E-3</v>
      </c>
      <c r="D101" s="18">
        <f si="8" t="shared"/>
        <v>2.5065566374475573E-2</v>
      </c>
      <c r="E101" s="18">
        <f si="8" t="shared"/>
        <v>2.9662247121423359E-3</v>
      </c>
      <c r="F101" s="18">
        <f si="8" t="shared"/>
        <v>1.7937611781940806E-2</v>
      </c>
      <c r="H101" s="12">
        <v>0.85416666666666663</v>
      </c>
      <c r="I101" s="17">
        <f si="7" t="shared"/>
        <v>1.1705116165332966E-2</v>
      </c>
      <c r="J101" s="17">
        <f si="7" t="shared"/>
        <v>1.4372546149162025E-2</v>
      </c>
      <c r="K101" s="17">
        <f si="7" t="shared"/>
        <v>2.6472900030212049E-2</v>
      </c>
      <c r="L101" s="17">
        <f si="7" t="shared"/>
        <v>4.270932854910715E-3</v>
      </c>
      <c r="M101" s="18">
        <f si="7" t="shared"/>
        <v>1.9875020949873503E-2</v>
      </c>
    </row>
    <row r="102" spans="1:13" x14ac:dyDescent="0.25">
      <c r="A102" s="12">
        <v>0.875</v>
      </c>
      <c r="B102" s="18">
        <f si="8" t="shared"/>
        <v>8.7621305245101245E-3</v>
      </c>
      <c r="C102" s="18">
        <f si="8" t="shared"/>
        <v>7.29237180273405E-3</v>
      </c>
      <c r="D102" s="18">
        <f si="8" t="shared"/>
        <v>2.0739965028786091E-2</v>
      </c>
      <c r="E102" s="18">
        <f si="8" t="shared"/>
        <v>3.2491171534228549E-3</v>
      </c>
      <c r="F102" s="18">
        <f si="8" t="shared"/>
        <v>1.4832550929332541E-2</v>
      </c>
      <c r="H102" s="12">
        <v>0.875</v>
      </c>
      <c r="I102" s="17">
        <f si="7" t="shared"/>
        <v>9.368740346076548E-3</v>
      </c>
      <c r="J102" s="17">
        <f si="7" t="shared"/>
        <v>1.1024154930430848E-2</v>
      </c>
      <c r="K102" s="17">
        <f si="7" t="shared"/>
        <v>2.1922087365035883E-2</v>
      </c>
      <c r="L102" s="17">
        <f si="7" t="shared"/>
        <v>3.4486560109725571E-3</v>
      </c>
      <c r="M102" s="18">
        <f si="7" t="shared"/>
        <v>1.6235910058088488E-2</v>
      </c>
    </row>
    <row r="103" spans="1:13" x14ac:dyDescent="0.25">
      <c r="A103" s="12">
        <v>0.89583333333333337</v>
      </c>
      <c r="B103" s="18">
        <f si="8" t="shared"/>
        <v>7.3990127274846289E-3</v>
      </c>
      <c r="C103" s="18">
        <f si="8" t="shared"/>
        <v>5.350434129526546E-3</v>
      </c>
      <c r="D103" s="18">
        <f si="8" t="shared"/>
        <v>1.624942561092951E-2</v>
      </c>
      <c r="E103" s="18">
        <f si="8" t="shared"/>
        <v>3.4912741232337985E-3</v>
      </c>
      <c r="F103" s="18">
        <f si="8" t="shared"/>
        <v>1.1732250127295738E-2</v>
      </c>
      <c r="H103" s="12">
        <v>0.89583333333333337</v>
      </c>
      <c r="I103" s="17">
        <f si="7" t="shared"/>
        <v>7.825691469492713E-3</v>
      </c>
      <c r="J103" s="17">
        <f si="7" t="shared"/>
        <v>8.1590074397819654E-3</v>
      </c>
      <c r="K103" s="17">
        <f si="7" t="shared"/>
        <v>1.7543080249526999E-2</v>
      </c>
      <c r="L103" s="17">
        <f si="7" t="shared"/>
        <v>2.7463347674442575E-3</v>
      </c>
      <c r="M103" s="18">
        <f si="7" t="shared"/>
        <v>1.2958472329185601E-2</v>
      </c>
    </row>
    <row r="104" spans="1:13" x14ac:dyDescent="0.25">
      <c r="A104" s="12">
        <v>0.91666666666666663</v>
      </c>
      <c r="B104" s="18">
        <f si="8" t="shared"/>
        <v>6.2661941409400592E-3</v>
      </c>
      <c r="C104" s="18">
        <f si="8" t="shared"/>
        <v>3.5192567128739367E-3</v>
      </c>
      <c r="D104" s="18">
        <f si="8" t="shared"/>
        <v>1.204414053934616E-2</v>
      </c>
      <c r="E104" s="18">
        <f si="8" t="shared"/>
        <v>3.4531787962040757E-3</v>
      </c>
      <c r="F104" s="18">
        <f si="8" t="shared"/>
        <v>8.844821718247492E-3</v>
      </c>
      <c r="H104" s="12">
        <v>0.91666666666666663</v>
      </c>
      <c r="I104" s="17">
        <f si="7" t="shared"/>
        <v>6.7183117278566858E-3</v>
      </c>
      <c r="J104" s="17">
        <f si="7" t="shared"/>
        <v>5.9109085684854222E-3</v>
      </c>
      <c r="K104" s="17">
        <f si="7" t="shared"/>
        <v>1.3727654003329003E-2</v>
      </c>
      <c r="L104" s="17">
        <f si="7" t="shared"/>
        <v>2.163321420215295E-3</v>
      </c>
      <c r="M104" s="18">
        <f si="7" t="shared"/>
        <v>1.0199188223296013E-2</v>
      </c>
    </row>
    <row r="105" spans="1:13" x14ac:dyDescent="0.25">
      <c r="A105" s="12">
        <v>0.9375</v>
      </c>
      <c r="B105" s="18">
        <f si="8" t="shared"/>
        <v>5.1109901838565673E-3</v>
      </c>
      <c r="C105" s="18">
        <f si="8" t="shared"/>
        <v>2.1148115048804446E-3</v>
      </c>
      <c r="D105" s="18">
        <f si="8" t="shared"/>
        <v>8.4384485644670715E-3</v>
      </c>
      <c r="E105" s="18">
        <f si="8" t="shared"/>
        <v>3.0304262398257592E-3</v>
      </c>
      <c r="F105" s="18">
        <f si="8" t="shared"/>
        <v>6.3340956041505339E-3</v>
      </c>
      <c r="H105" s="12">
        <v>0.9375</v>
      </c>
      <c r="I105" s="17">
        <f si="7" t="shared"/>
        <v>5.7787439718583206E-3</v>
      </c>
      <c r="J105" s="17">
        <f si="7" t="shared"/>
        <v>4.2582529393034004E-3</v>
      </c>
      <c r="K105" s="17">
        <f si="7" t="shared"/>
        <v>1.0554092648536609E-2</v>
      </c>
      <c r="L105" s="17">
        <f si="7" t="shared"/>
        <v>1.6775546318565885E-3</v>
      </c>
      <c r="M105" s="18">
        <f si="7" t="shared"/>
        <v>7.9353653092118122E-3</v>
      </c>
    </row>
    <row r="106" spans="1:13" x14ac:dyDescent="0.25">
      <c r="A106" s="12">
        <v>0.95833333333333337</v>
      </c>
      <c r="B106" s="18">
        <f si="8" t="shared"/>
        <v>3.8536791692405227E-3</v>
      </c>
      <c r="C106" s="18">
        <f si="8" t="shared"/>
        <v>1.215629051117039E-3</v>
      </c>
      <c r="D106" s="18">
        <f si="8" t="shared"/>
        <v>5.5661623570505787E-3</v>
      </c>
      <c r="E106" s="18">
        <f si="8" t="shared"/>
        <v>2.3099092246779062E-3</v>
      </c>
      <c r="F106" s="18">
        <f si="8" t="shared"/>
        <v>4.2738668641241623E-3</v>
      </c>
      <c r="H106" s="12">
        <v>0.95833333333333337</v>
      </c>
      <c r="I106" s="17">
        <f si="7" t="shared"/>
        <v>4.8022024244979656E-3</v>
      </c>
      <c r="J106" s="17">
        <f si="7" t="shared"/>
        <v>3.0479312270912527E-3</v>
      </c>
      <c r="K106" s="17">
        <f si="7" t="shared"/>
        <v>7.8862987100506588E-3</v>
      </c>
      <c r="L106" s="17">
        <f si="7" t="shared"/>
        <v>1.2623467021426478E-3</v>
      </c>
      <c r="M106" s="18">
        <f si="7" t="shared"/>
        <v>6.0185996594452262E-3</v>
      </c>
    </row>
    <row r="107" spans="1:13" x14ac:dyDescent="0.25">
      <c r="A107" s="12">
        <v>0.97916666666666663</v>
      </c>
      <c r="B107" s="18">
        <f si="8" t="shared"/>
        <v>2.5996710059883197E-3</v>
      </c>
      <c r="C107" s="18">
        <f si="8" t="shared"/>
        <v>6.9973029538171071E-4</v>
      </c>
      <c r="D107" s="18">
        <f si="8" t="shared"/>
        <v>3.427019096360273E-3</v>
      </c>
      <c r="E107" s="18">
        <f si="8" t="shared"/>
        <v>1.5065282158763225E-3</v>
      </c>
      <c r="F107" s="18">
        <f si="8" t="shared"/>
        <v>2.6790451072774631E-3</v>
      </c>
      <c r="H107" s="12">
        <v>0.97916666666666663</v>
      </c>
      <c r="I107" s="17">
        <f si="7" t="shared"/>
        <v>3.7088385368122105E-3</v>
      </c>
      <c r="J107" s="17">
        <f si="7" t="shared"/>
        <v>2.1141815829889082E-3</v>
      </c>
      <c r="K107" s="17">
        <f si="7" t="shared"/>
        <v>5.5834974153050288E-3</v>
      </c>
      <c r="L107" s="17">
        <f si="7" t="shared"/>
        <v>9.0129232350590798E-4</v>
      </c>
      <c r="M107" s="18">
        <f si="7" t="shared"/>
        <v>4.3249270768091078E-3</v>
      </c>
    </row>
    <row r="108" spans="1:13" x14ac:dyDescent="0.25">
      <c r="A108" s="12">
        <v>1</v>
      </c>
      <c r="B108" s="18">
        <f si="8" t="shared"/>
        <v>1.533941650475767E-3</v>
      </c>
      <c r="C108" s="18">
        <f si="8" t="shared"/>
        <v>4.0188990625841006E-4</v>
      </c>
      <c r="D108" s="18">
        <f si="8" t="shared"/>
        <v>1.9450710610425758E-3</v>
      </c>
      <c r="E108" s="18">
        <f si="8" t="shared"/>
        <v>8.2916813632671188E-4</v>
      </c>
      <c r="F108" s="18">
        <f si="8" t="shared"/>
        <v>1.5331258600245442E-3</v>
      </c>
      <c r="H108" s="12">
        <v>1</v>
      </c>
      <c r="I108" s="17">
        <f si="7" t="shared"/>
        <v>2.5747872452824799E-3</v>
      </c>
      <c r="J108" s="17">
        <f si="7" t="shared"/>
        <v>1.3674974859876953E-3</v>
      </c>
      <c r="K108" s="17">
        <f si="7" t="shared"/>
        <v>3.6297693515377222E-3</v>
      </c>
      <c r="L108" s="17">
        <f si="7" t="shared"/>
        <v>5.9414916963366473E-4</v>
      </c>
      <c r="M108" s="18">
        <f si="7" t="shared"/>
        <v>2.8482817080562471E-3</v>
      </c>
    </row>
    <row r="109" spans="1:13" x14ac:dyDescent="0.25">
      <c r="A109" s="12">
        <v>1.0208333333333333</v>
      </c>
      <c r="B109" s="18">
        <f si="8" t="shared"/>
        <v>7.7983747843434381E-4</v>
      </c>
      <c r="C109" s="18">
        <f si="8" t="shared"/>
        <v>2.1699365874305835E-4</v>
      </c>
      <c r="D109" s="18">
        <f si="8" t="shared"/>
        <v>1.0024201479083795E-3</v>
      </c>
      <c r="E109" s="18">
        <f si="8" t="shared"/>
        <v>3.7914624039611617E-4</v>
      </c>
      <c r="F109" s="18">
        <f si="8" t="shared"/>
        <v>7.8673621312233067E-4</v>
      </c>
      <c r="H109" s="12">
        <v>1.0208333333333333</v>
      </c>
      <c r="I109" s="17">
        <f si="7" t="shared"/>
        <v>1.5648741157869325E-3</v>
      </c>
      <c r="J109" s="17">
        <f si="7" t="shared"/>
        <v>7.9419297133587197E-4</v>
      </c>
      <c r="K109" s="17">
        <f si="7" t="shared"/>
        <v>2.1025707786278091E-3</v>
      </c>
      <c r="L109" s="17">
        <f si="7" t="shared"/>
        <v>3.5141891758597448E-4</v>
      </c>
      <c r="M109" s="18">
        <f si="7" t="shared"/>
        <v>1.6673864327022695E-3</v>
      </c>
    </row>
    <row r="110" spans="1:13" x14ac:dyDescent="0.25">
      <c r="A110" s="12">
        <v>4.1666666666666664E-2</v>
      </c>
      <c r="B110" s="18">
        <f si="8" t="shared"/>
        <v>3.3792672736989587E-4</v>
      </c>
      <c r="C110" s="18">
        <f si="8" t="shared"/>
        <v>1.0255716033934597E-4</v>
      </c>
      <c r="D110" s="18">
        <f si="8" t="shared"/>
        <v>4.6082939096606887E-4</v>
      </c>
      <c r="E110" s="18">
        <f si="8" t="shared"/>
        <v>1.4121039286432225E-4</v>
      </c>
      <c r="F110" s="18">
        <f si="8" t="shared"/>
        <v>3.5570005554302252E-4</v>
      </c>
      <c r="H110" s="12">
        <v>4.1666666666666664E-2</v>
      </c>
      <c r="I110" s="17">
        <f si="7" t="shared"/>
        <v>8.1455960634225881E-4</v>
      </c>
      <c r="J110" s="17">
        <f si="7" t="shared"/>
        <v>4.012270035406067E-4</v>
      </c>
      <c r="K110" s="17">
        <f si="7" t="shared"/>
        <v>1.0567640042934417E-3</v>
      </c>
      <c r="L110" s="17">
        <f si="7" t="shared"/>
        <v>1.8134236682978909E-4</v>
      </c>
      <c r="M110" s="18">
        <f si="7" t="shared"/>
        <v>8.4504062273165024E-4</v>
      </c>
    </row>
    <row r="111" spans="1:13" x14ac:dyDescent="0.25">
      <c r="A111" s="12">
        <v>6.25E-2</v>
      </c>
      <c r="B111" s="18">
        <f si="8" t="shared"/>
        <v>1.2363326251748979E-4</v>
      </c>
      <c r="C111" s="18">
        <f si="8" t="shared"/>
        <v>4.0135252105689272E-5</v>
      </c>
      <c r="D111" s="18">
        <f si="8" t="shared"/>
        <v>1.8491287014271479E-4</v>
      </c>
      <c r="E111" s="18">
        <f si="8" t="shared"/>
        <v>4.1694188614889303E-5</v>
      </c>
      <c r="F111" s="18">
        <f si="8" t="shared"/>
        <v>1.3904340717637326E-4</v>
      </c>
      <c r="H111" s="12">
        <v>6.25E-2</v>
      </c>
      <c r="I111" s="17">
        <f si="7" t="shared"/>
        <v>3.5564106358313135E-4</v>
      </c>
      <c r="J111" s="17">
        <f si="7" t="shared"/>
        <v>1.7159731001508013E-4</v>
      </c>
      <c r="K111" s="17">
        <f si="7" t="shared"/>
        <v>4.4960026987311748E-4</v>
      </c>
      <c r="L111" s="17">
        <f si="7" t="shared"/>
        <v>7.9447841707082519E-5</v>
      </c>
      <c r="M111" s="18">
        <f si="7" t="shared"/>
        <v>3.6187181287130547E-4</v>
      </c>
    </row>
    <row r="112" spans="1:13" x14ac:dyDescent="0.25">
      <c r="A112" s="12">
        <v>8.3333333333333329E-2</v>
      </c>
      <c r="B112" s="18">
        <f si="8" t="shared"/>
        <v>3.7750660284780779E-5</v>
      </c>
      <c r="C112" s="18">
        <f si="8" t="shared"/>
        <v>1.2453420399200251E-5</v>
      </c>
      <c r="D112" s="18">
        <f si="8" t="shared"/>
        <v>6.3003181264449298E-5</v>
      </c>
      <c r="E112" s="18">
        <f si="8" t="shared"/>
        <v>9.3811357186285578E-6</v>
      </c>
      <c r="F112" s="18">
        <f si="8" t="shared"/>
        <v>4.5920345466778218E-5</v>
      </c>
      <c r="H112" s="12">
        <v>8.3333333333333329E-2</v>
      </c>
      <c r="I112" s="17">
        <f si="7" t="shared"/>
        <v>1.2726344535402787E-4</v>
      </c>
      <c r="J112" s="17">
        <f si="7" t="shared"/>
        <v>6.0481007094065968E-5</v>
      </c>
      <c r="K112" s="17">
        <f si="7" t="shared"/>
        <v>1.5777566527831874E-4</v>
      </c>
      <c r="L112" s="17">
        <f si="7" t="shared"/>
        <v>2.8727375477087418E-5</v>
      </c>
      <c r="M112" s="18">
        <f si="7" t="shared"/>
        <v>1.2764182297241461E-4</v>
      </c>
    </row>
    <row r="113" spans="1:13" x14ac:dyDescent="0.25">
      <c r="A113" s="12">
        <v>0.10416666666666667</v>
      </c>
      <c r="B113" s="18">
        <f si="8" t="shared"/>
        <v>9.4438071279570424E-6</v>
      </c>
      <c r="C113" s="18">
        <f si="8" t="shared"/>
        <v>2.9296732715337483E-6</v>
      </c>
      <c r="D113" s="18">
        <f si="8" t="shared"/>
        <v>1.7584920931824519E-5</v>
      </c>
      <c r="E113" s="18">
        <f si="8" t="shared"/>
        <v>1.5099276793092448E-6</v>
      </c>
      <c r="F113" s="18">
        <f si="8" t="shared"/>
        <v>1.2418426191434287E-5</v>
      </c>
      <c r="H113" s="12">
        <v>0.10416666666666667</v>
      </c>
      <c r="I113" s="17">
        <f ref="I113:M115" si="9" t="shared">I56/I$59</f>
        <v>3.6246237665133062E-5</v>
      </c>
      <c r="J113" s="17">
        <f si="9" t="shared"/>
        <v>1.7022995618924609E-5</v>
      </c>
      <c r="K113" s="17">
        <f si="9" t="shared"/>
        <v>4.4263640851728021E-5</v>
      </c>
      <c r="L113" s="17">
        <f si="9" t="shared"/>
        <v>8.2955939294375791E-6</v>
      </c>
      <c r="M113" s="18">
        <f si="9" t="shared"/>
        <v>3.5955820291368621E-5</v>
      </c>
    </row>
    <row r="114" spans="1:13" x14ac:dyDescent="0.25">
      <c r="A114" s="12">
        <v>0.125</v>
      </c>
      <c r="B114" s="18">
        <f ref="B114:F115" si="10" t="shared">B57/B$59</f>
        <v>1.8465322922250466E-6</v>
      </c>
      <c r="C114" s="18">
        <f si="10" t="shared"/>
        <v>4.8805273232730813E-7</v>
      </c>
      <c r="D114" s="18">
        <f si="10" t="shared"/>
        <v>3.7717178435902141E-6</v>
      </c>
      <c r="E114" s="18">
        <f si="10" t="shared"/>
        <v>1.5474352484266259E-7</v>
      </c>
      <c r="F114" s="18">
        <f si="10" t="shared"/>
        <v>2.5904625194827555E-6</v>
      </c>
      <c r="H114" s="12">
        <v>0.125</v>
      </c>
      <c r="I114" s="17">
        <f si="9" t="shared"/>
        <v>7.7684770114215996E-6</v>
      </c>
      <c r="J114" s="17">
        <f si="9" t="shared"/>
        <v>3.6136737305915212E-6</v>
      </c>
      <c r="K114" s="17">
        <f si="9" t="shared"/>
        <v>9.3764008580891774E-6</v>
      </c>
      <c r="L114" s="17">
        <f si="9" t="shared"/>
        <v>1.8039285364782267E-6</v>
      </c>
      <c r="M114" s="18">
        <f si="9" t="shared"/>
        <v>7.641061910477545E-6</v>
      </c>
    </row>
    <row ht="15.75" r="115" spans="1:13" thickBot="1" x14ac:dyDescent="0.3">
      <c r="A115" s="13" t="s">
        <v>34</v>
      </c>
      <c r="B115" s="20">
        <f si="10" t="shared"/>
        <v>0</v>
      </c>
      <c r="C115" s="20">
        <f si="10" t="shared"/>
        <v>0</v>
      </c>
      <c r="D115" s="20">
        <f si="10" t="shared"/>
        <v>0</v>
      </c>
      <c r="E115" s="20">
        <f si="10" t="shared"/>
        <v>0</v>
      </c>
      <c r="F115" s="20">
        <f si="10" t="shared"/>
        <v>0</v>
      </c>
      <c r="H115" s="13" t="s">
        <v>34</v>
      </c>
      <c r="I115" s="19">
        <f si="9" t="shared"/>
        <v>0</v>
      </c>
      <c r="J115" s="19">
        <f si="9" t="shared"/>
        <v>0</v>
      </c>
      <c r="K115" s="19">
        <f si="9" t="shared"/>
        <v>0</v>
      </c>
      <c r="L115" s="19">
        <f si="9" t="shared"/>
        <v>0</v>
      </c>
      <c r="M115" s="20">
        <f si="9" t="shared"/>
        <v>0</v>
      </c>
    </row>
  </sheetData>
  <pageMargins bottom="0.75" footer="0.3" header="0.3" left="0.7" right="0.7" top="0.75"/>
  <pageSetup orientation="portrait" r:id="rId1"/>
  <drawing r:id="rId2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3"/>
  <dimension ref="A1:R113"/>
  <sheetViews>
    <sheetView workbookViewId="0">
      <selection activeCell="B8" sqref="B8:E56"/>
    </sheetView>
  </sheetViews>
  <sheetFormatPr defaultRowHeight="15" x14ac:dyDescent="0.25"/>
  <cols>
    <col min="1" max="1" customWidth="true" width="12.7109375" collapsed="true"/>
    <col min="2" max="6" customWidth="true" width="10.7109375" collapsed="true"/>
    <col min="7" max="7" customWidth="true" width="6.42578125" collapsed="true"/>
    <col min="8" max="8" customWidth="true" width="12.7109375" collapsed="true"/>
    <col min="9" max="13" customWidth="true" width="10.7109375" collapsed="true"/>
  </cols>
  <sheetData>
    <row r="1" spans="1:17" x14ac:dyDescent="0.25">
      <c r="A1" t="s">
        <v>10</v>
      </c>
    </row>
    <row r="2" spans="1:17" x14ac:dyDescent="0.25">
      <c r="A2" t="s">
        <v>46</v>
      </c>
    </row>
    <row r="3" spans="1:17" x14ac:dyDescent="0.25">
      <c r="A3" t="s">
        <v>7</v>
      </c>
    </row>
    <row r="5" spans="1:17" x14ac:dyDescent="0.25">
      <c r="O5" s="5"/>
      <c r="P5" s="5"/>
      <c r="Q5" s="5"/>
    </row>
    <row ht="15.75" r="6" spans="1:17" thickBot="1" x14ac:dyDescent="0.3">
      <c r="A6" s="3" t="s">
        <v>50</v>
      </c>
      <c r="B6" s="1"/>
      <c r="C6" s="1"/>
      <c r="D6" s="1"/>
      <c r="E6" s="1"/>
      <c r="F6" s="1"/>
      <c r="H6" s="3" t="s">
        <v>15</v>
      </c>
      <c r="I6" s="1"/>
      <c r="J6" s="1"/>
      <c r="K6" s="1"/>
      <c r="L6" s="1"/>
      <c r="M6" s="1"/>
      <c r="O6" s="11"/>
      <c r="P6" s="5"/>
      <c r="Q6" s="5"/>
    </row>
    <row r="7" spans="1:17" x14ac:dyDescent="0.25">
      <c r="A7" s="2" t="s">
        <v>14</v>
      </c>
      <c r="B7" s="4" t="s">
        <v>1</v>
      </c>
      <c r="C7" s="4" t="s">
        <v>2</v>
      </c>
      <c r="D7" s="4" t="s">
        <v>16</v>
      </c>
      <c r="E7" s="4" t="s">
        <v>3</v>
      </c>
      <c r="F7" s="4" t="s">
        <v>0</v>
      </c>
      <c r="H7" s="2" t="s">
        <v>14</v>
      </c>
      <c r="I7" s="4" t="s">
        <v>1</v>
      </c>
      <c r="J7" s="4" t="s">
        <v>2</v>
      </c>
      <c r="K7" s="4" t="s">
        <v>16</v>
      </c>
      <c r="L7" s="4" t="s">
        <v>3</v>
      </c>
      <c r="M7" s="4" t="s">
        <v>0</v>
      </c>
      <c r="O7" s="5"/>
      <c r="P7" s="14"/>
      <c r="Q7" s="14"/>
    </row>
    <row r="8" spans="1:17" x14ac:dyDescent="0.25">
      <c r="A8" s="15">
        <v>0</v>
      </c>
      <c r="B8" s="6" t="n">
        <v>18447.72069069301</v>
      </c>
      <c r="C8" s="6" t="n">
        <v>2317.8506961812363</v>
      </c>
      <c r="D8" s="6" t="n">
        <v>328965.24201591</v>
      </c>
      <c r="E8" s="6" t="n">
        <v>63869.959455235374</v>
      </c>
      <c r="F8" s="6">
        <f>SUM(B8:E8)</f>
        <v>1032188.9527184427</v>
      </c>
      <c r="H8" s="15">
        <v>0</v>
      </c>
      <c r="I8" s="14" t="n">
        <v>16571.0</v>
      </c>
      <c r="J8" s="14" t="n">
        <v>5335.0</v>
      </c>
      <c r="K8" s="14" t="n">
        <v>446719.0</v>
      </c>
      <c r="L8" s="14" t="n">
        <v>70406.0</v>
      </c>
      <c r="M8" s="14">
        <f>SUM(I8:L8)</f>
        <v>980720</v>
      </c>
      <c r="O8" s="5"/>
      <c r="P8" s="14"/>
      <c r="Q8" s="14"/>
    </row>
    <row r="9" spans="1:17" x14ac:dyDescent="0.25">
      <c r="A9" s="12">
        <v>2.0833333333333332E-2</v>
      </c>
      <c r="B9" s="6" t="n">
        <v>16818.156771925504</v>
      </c>
      <c r="C9" s="6" t="n">
        <v>2904.9885881110895</v>
      </c>
      <c r="D9" s="6" t="n">
        <v>245360.03817041425</v>
      </c>
      <c r="E9" s="6" t="n">
        <v>46431.71989462666</v>
      </c>
      <c r="F9" s="6">
        <f ref="F9:F56" si="0" t="shared">SUM(B9:E9)</f>
        <v>753546.38397223351</v>
      </c>
      <c r="H9" s="12">
        <v>2.0833333333333332E-2</v>
      </c>
      <c r="I9" s="9" t="n">
        <v>15758.55537891388</v>
      </c>
      <c r="J9" s="9" t="n">
        <v>4111.805125236511</v>
      </c>
      <c r="K9" s="9" t="n">
        <v>317950.7461824417</v>
      </c>
      <c r="L9" s="9" t="n">
        <v>48870.78195285797</v>
      </c>
      <c r="M9" s="14">
        <f ref="M9:M56" si="1" t="shared">SUM(I9:L9)</f>
        <v>730295.84416866302</v>
      </c>
      <c r="O9" s="5"/>
      <c r="P9" s="16"/>
      <c r="Q9" s="16"/>
    </row>
    <row r="10" spans="1:17" x14ac:dyDescent="0.25">
      <c r="A10" s="12">
        <v>4.1666666666666664E-2</v>
      </c>
      <c r="B10" s="6" t="n">
        <v>15543.353065793024</v>
      </c>
      <c r="C10" s="6" t="n">
        <v>3342.7326627235743</v>
      </c>
      <c r="D10" s="6" t="n">
        <v>171616.58409175638</v>
      </c>
      <c r="E10" s="6" t="n">
        <v>31010.64304628926</v>
      </c>
      <c r="F10" s="6">
        <f si="0" t="shared"/>
        <v>512021.1149846866</v>
      </c>
      <c r="H10" s="12">
        <v>4.1666666666666664E-2</v>
      </c>
      <c r="I10" s="9" t="n">
        <v>15185.692719459534</v>
      </c>
      <c r="J10" s="9" t="n">
        <v>3074.6846771240234</v>
      </c>
      <c r="K10" s="9" t="n">
        <v>207883.89602470398</v>
      </c>
      <c r="L10" s="9" t="n">
        <v>30520.066641807556</v>
      </c>
      <c r="M10" s="14">
        <f si="1" t="shared"/>
        <v>511536.22663497925</v>
      </c>
      <c r="O10" s="5"/>
      <c r="P10" s="16"/>
      <c r="Q10" s="16"/>
    </row>
    <row r="11" spans="1:17" x14ac:dyDescent="0.25">
      <c r="A11" s="12">
        <v>6.25E-2</v>
      </c>
      <c r="B11" s="6" t="n">
        <v>14843.137198901975</v>
      </c>
      <c r="C11" s="6" t="n">
        <v>3571.3983127175406</v>
      </c>
      <c r="D11" s="6" t="n">
        <v>113779.29016022928</v>
      </c>
      <c r="E11" s="6" t="n">
        <v>18935.57252777592</v>
      </c>
      <c r="F11" s="6">
        <f si="0" t="shared"/>
        <v>329714.66776339966</v>
      </c>
      <c r="H11" s="12">
        <v>6.25E-2</v>
      </c>
      <c r="I11" s="9" t="n">
        <v>14942.895462036133</v>
      </c>
      <c r="J11" s="9" t="n">
        <v>2344.796398162842</v>
      </c>
      <c r="K11" s="9" t="n">
        <v>127277.81560516357</v>
      </c>
      <c r="L11" s="9" t="n">
        <v>17173.24863910675</v>
      </c>
      <c r="M11" s="14">
        <f si="1" t="shared"/>
        <v>343454.19151306152</v>
      </c>
      <c r="O11" s="5"/>
      <c r="P11" s="16"/>
      <c r="Q11" s="16"/>
    </row>
    <row r="12" spans="1:17" x14ac:dyDescent="0.25">
      <c r="A12" s="12">
        <v>8.3333333333333329E-2</v>
      </c>
      <c r="B12" s="6" t="n">
        <v>14759.334017592697</v>
      </c>
      <c r="C12" s="6" t="n">
        <v>3636.5499803045614</v>
      </c>
      <c r="D12" s="6" t="n">
        <v>72742.86109837602</v>
      </c>
      <c r="E12" s="6" t="n">
        <v>10544.983251747395</v>
      </c>
      <c r="F12" s="6">
        <f si="0" t="shared"/>
        <v>208531.17592163905</v>
      </c>
      <c r="H12" s="12">
        <v>8.3333333333333329E-2</v>
      </c>
      <c r="I12" s="9" t="n">
        <v>14953.740036010742</v>
      </c>
      <c r="J12" s="9" t="n">
        <v>1969.1355867385864</v>
      </c>
      <c r="K12" s="9" t="n">
        <v>76276.99440002441</v>
      </c>
      <c r="L12" s="9" t="n">
        <v>8842.783910751343</v>
      </c>
      <c r="M12" s="14">
        <f si="1" t="shared"/>
        <v>228085.16788005829</v>
      </c>
      <c r="O12" s="5"/>
      <c r="P12" s="16"/>
      <c r="Q12" s="16"/>
    </row>
    <row r="13" spans="1:17" x14ac:dyDescent="0.25">
      <c r="A13" s="12">
        <v>0.10416666666666667</v>
      </c>
      <c r="B13" s="6" t="n">
        <v>15196.112301811994</v>
      </c>
      <c r="C13" s="6" t="n">
        <v>3630.8344072757886</v>
      </c>
      <c r="D13" s="6" t="n">
        <v>45699.51718412795</v>
      </c>
      <c r="E13" s="6" t="n">
        <v>5357.117467293676</v>
      </c>
      <c r="F13" s="6">
        <f si="0" t="shared"/>
        <v>136048.02608732786</v>
      </c>
      <c r="H13" s="12">
        <v>0.10416666666666667</v>
      </c>
      <c r="I13" s="9" t="n">
        <v>15080.162330627441</v>
      </c>
      <c r="J13" s="9" t="n">
        <v>1971.9666910171509</v>
      </c>
      <c r="K13" s="9" t="n">
        <v>47681.77709007263</v>
      </c>
      <c r="L13" s="9" t="n">
        <v>4315.621318817139</v>
      </c>
      <c r="M13" s="14">
        <f si="1" t="shared"/>
        <v>155416.47887706757</v>
      </c>
      <c r="O13" s="5"/>
      <c r="P13" s="5"/>
      <c r="Q13" s="5"/>
    </row>
    <row r="14" spans="1:17" x14ac:dyDescent="0.25">
      <c r="A14" s="12">
        <v>0.125</v>
      </c>
      <c r="B14" s="6" t="n">
        <v>15972.553575494232</v>
      </c>
      <c r="C14" s="6" t="n">
        <v>3634.6828136630966</v>
      </c>
      <c r="D14" s="6" t="n">
        <v>28640.537038567483</v>
      </c>
      <c r="E14" s="6" t="n">
        <v>2494.8685152684675</v>
      </c>
      <c r="F14" s="6">
        <f si="0" t="shared"/>
        <v>95690.852756129301</v>
      </c>
      <c r="H14" s="12">
        <v>0.125</v>
      </c>
      <c r="I14" s="9" t="n">
        <v>15236.978872299194</v>
      </c>
      <c r="J14" s="9" t="n">
        <v>2419.6408071517944</v>
      </c>
      <c r="K14" s="9" t="n">
        <v>32514.706961631775</v>
      </c>
      <c r="L14" s="9" t="n">
        <v>2100.3775520324707</v>
      </c>
      <c r="M14" s="14">
        <f si="1" t="shared"/>
        <v>111782.95185089111</v>
      </c>
    </row>
    <row r="15" spans="1:17" x14ac:dyDescent="0.25">
      <c r="A15" s="12">
        <v>0.14583333333333334</v>
      </c>
      <c r="B15" s="6" t="n">
        <v>16864.72739937056</v>
      </c>
      <c r="C15" s="6" t="n">
        <v>3736.88295319748</v>
      </c>
      <c r="D15" s="6" t="n">
        <v>18113.88700088339</v>
      </c>
      <c r="E15" s="6" t="n">
        <v>1080.9652684233379</v>
      </c>
      <c r="F15" s="6">
        <f si="0" t="shared"/>
        <v>74034.001319658069</v>
      </c>
      <c r="H15" s="12">
        <v>0.14583333333333334</v>
      </c>
      <c r="I15" s="9" t="n">
        <v>15442.737973213196</v>
      </c>
      <c r="J15" s="9" t="n">
        <v>3445.066563606262</v>
      </c>
      <c r="K15" s="9" t="n">
        <v>23934.713486671448</v>
      </c>
      <c r="L15" s="9" t="n">
        <v>1061.5566520690918</v>
      </c>
      <c r="M15" s="14">
        <f si="1" t="shared"/>
        <v>85797.138266563416</v>
      </c>
    </row>
    <row r="16" spans="1:17" x14ac:dyDescent="0.25">
      <c r="A16" s="12">
        <v>0.16666666666666666</v>
      </c>
      <c r="B16" s="6" t="n">
        <v>17685.333159380174</v>
      </c>
      <c r="C16" s="6" t="n">
        <v>4162.626505045698</v>
      </c>
      <c r="D16" s="6" t="n">
        <v>11730.125497276615</v>
      </c>
      <c r="E16" s="6" t="n">
        <v>452.161569259736</v>
      </c>
      <c r="F16" s="6">
        <f si="0" t="shared"/>
        <v>62922.105477442579</v>
      </c>
      <c r="H16" s="12">
        <v>0.16666666666666666</v>
      </c>
      <c r="I16" s="9" t="n">
        <v>15835.601976394653</v>
      </c>
      <c r="J16" s="9" t="n">
        <v>5217.891951560974</v>
      </c>
      <c r="K16" s="9" t="n">
        <v>18223.28864479065</v>
      </c>
      <c r="L16" s="9" t="n">
        <v>557.320309638977</v>
      </c>
      <c r="M16" s="14">
        <f si="1" t="shared"/>
        <v>70155.909008979797</v>
      </c>
    </row>
    <row r="17" spans="1:13" x14ac:dyDescent="0.25">
      <c r="A17" s="12">
        <v>0.1875</v>
      </c>
      <c r="B17" s="6" t="n">
        <v>18431.11292811115</v>
      </c>
      <c r="C17" s="6" t="n">
        <v>5434.702682182215</v>
      </c>
      <c r="D17" s="6" t="n">
        <v>7942.699254313444</v>
      </c>
      <c r="E17" s="6" t="n">
        <v>197.97069333480238</v>
      </c>
      <c r="F17" s="6">
        <f si="0" t="shared"/>
        <v>58232.463920073227</v>
      </c>
      <c r="H17" s="12">
        <v>0.1875</v>
      </c>
      <c r="I17" s="9" t="n">
        <v>16700.1910238266</v>
      </c>
      <c r="J17" s="9" t="n">
        <v>7884.347933769226</v>
      </c>
      <c r="K17" s="9" t="n">
        <v>13911.550983428955</v>
      </c>
      <c r="L17" s="9" t="n">
        <v>294.2827453613281</v>
      </c>
      <c r="M17" s="14">
        <f si="1" t="shared"/>
        <v>60952.749404907227</v>
      </c>
    </row>
    <row r="18" spans="1:13" x14ac:dyDescent="0.25">
      <c r="A18" s="12">
        <v>0.20833333333333334</v>
      </c>
      <c r="B18" s="6" t="n">
        <v>19444.250369175297</v>
      </c>
      <c r="C18" s="6" t="n">
        <v>8357.748280298396</v>
      </c>
      <c r="D18" s="6" t="n">
        <v>5726.395234170444</v>
      </c>
      <c r="E18" s="6" t="n">
        <v>103.33169454247616</v>
      </c>
      <c r="F18" s="6">
        <f si="0" t="shared"/>
        <v>57878.014946996431</v>
      </c>
      <c r="H18" s="12">
        <v>0.20833333333333334</v>
      </c>
      <c r="I18" s="9" t="n">
        <v>18479.158435821533</v>
      </c>
      <c r="J18" s="9" t="n">
        <v>11490.140089035034</v>
      </c>
      <c r="K18" s="9" t="n">
        <v>10565.536567687988</v>
      </c>
      <c r="L18" s="9" t="n">
        <v>151.11456108093262</v>
      </c>
      <c r="M18" s="14">
        <f si="1" t="shared"/>
        <v>56391.666440963745</v>
      </c>
    </row>
    <row r="19" spans="1:13" x14ac:dyDescent="0.25">
      <c r="A19" s="12">
        <v>0.22916666666666666</v>
      </c>
      <c r="B19" s="6" t="n">
        <v>21484.23666599806</v>
      </c>
      <c r="C19" s="6" t="n">
        <v>13581.264533511288</v>
      </c>
      <c r="D19" s="6" t="n">
        <v>4394.851991374171</v>
      </c>
      <c r="E19" s="6" t="n">
        <v>70.25602635462988</v>
      </c>
      <c r="F19" s="6">
        <f si="0" t="shared"/>
        <v>60477.675558242576</v>
      </c>
      <c r="H19" s="12">
        <v>0.22916666666666666</v>
      </c>
      <c r="I19" s="9" t="n">
        <v>21699.85184288025</v>
      </c>
      <c r="J19" s="9" t="n">
        <v>15866.300304412842</v>
      </c>
      <c r="K19" s="9" t="n">
        <v>8018.581519126892</v>
      </c>
      <c r="L19" s="9" t="n">
        <v>74.0967264175415</v>
      </c>
      <c r="M19" s="14">
        <f si="1" t="shared"/>
        <v>55674.159536361694</v>
      </c>
    </row>
    <row r="20" spans="1:13" x14ac:dyDescent="0.25">
      <c r="A20" s="12">
        <v>0.25</v>
      </c>
      <c r="B20" s="6" t="n">
        <v>25611.013648369262</v>
      </c>
      <c r="C20" s="6" t="n">
        <v>20804.00868702431</v>
      </c>
      <c r="D20" s="6" t="n">
        <v>3519.1367957942475</v>
      </c>
      <c r="E20" s="6" t="n">
        <v>58.01206838676143</v>
      </c>
      <c r="F20" s="6">
        <f si="0" t="shared"/>
        <v>64899.66388713479</v>
      </c>
      <c r="H20" s="12">
        <v>0.25</v>
      </c>
      <c r="I20" s="9" t="n">
        <v>26792.44338607788</v>
      </c>
      <c r="J20" s="9" t="n">
        <v>20489.85558128357</v>
      </c>
      <c r="K20" s="9" t="n">
        <v>6104.570935249329</v>
      </c>
      <c r="L20" s="9" t="n">
        <v>34.84094429016113</v>
      </c>
      <c r="M20" s="14">
        <f si="1" t="shared"/>
        <v>58139.993014335632</v>
      </c>
    </row>
    <row r="21" spans="1:13" x14ac:dyDescent="0.25">
      <c r="A21" s="12">
        <v>0.27083333333333331</v>
      </c>
      <c r="B21" s="6" t="n">
        <v>32789.6889453391</v>
      </c>
      <c r="C21" s="6" t="n">
        <v>28253.268755771915</v>
      </c>
      <c r="D21" s="6" t="n">
        <v>2867.9229897162077</v>
      </c>
      <c r="E21" s="6" t="n">
        <v>50.06065903615451</v>
      </c>
      <c r="F21" s="6">
        <f si="0" t="shared"/>
        <v>70242.559667769718</v>
      </c>
      <c r="H21" s="12">
        <v>0.27083333333333331</v>
      </c>
      <c r="I21" s="9" t="n">
        <v>33842.271357536316</v>
      </c>
      <c r="J21" s="9" t="n">
        <v>24442.052525520325</v>
      </c>
      <c r="K21" s="9" t="n">
        <v>4652.486339569092</v>
      </c>
      <c r="L21" s="9" t="n">
        <v>16.359292030334473</v>
      </c>
      <c r="M21" s="14">
        <f si="1" t="shared"/>
        <v>62727.866897583008</v>
      </c>
    </row>
    <row r="22" spans="1:13" x14ac:dyDescent="0.25">
      <c r="A22" s="12">
        <v>0.29166666666666669</v>
      </c>
      <c r="B22" s="6" t="n">
        <v>43199.40159722057</v>
      </c>
      <c r="C22" s="6" t="n">
        <v>33225.04493340903</v>
      </c>
      <c r="D22" s="6" t="n">
        <v>2342.5891781396504</v>
      </c>
      <c r="E22" s="6" t="n">
        <v>40.34796461330258</v>
      </c>
      <c r="F22" s="6">
        <f si="0" t="shared"/>
        <v>75702.055054486264</v>
      </c>
      <c r="H22" s="12">
        <v>0.29166666666666669</v>
      </c>
      <c r="I22" s="9" t="n">
        <v>42335.60806941986</v>
      </c>
      <c r="J22" s="9" t="n">
        <v>26628.265272140503</v>
      </c>
      <c r="K22" s="9" t="n">
        <v>3531.1552000045776</v>
      </c>
      <c r="L22" s="9" t="n">
        <v>8.279594421386719</v>
      </c>
      <c r="M22" s="14">
        <f si="1" t="shared"/>
        <v>67874.739546775818</v>
      </c>
    </row>
    <row r="23" spans="1:13" x14ac:dyDescent="0.25">
      <c r="A23" s="12">
        <v>0.3125</v>
      </c>
      <c r="B23" s="6" t="n">
        <v>55507.72092559989</v>
      </c>
      <c r="C23" s="6" t="n">
        <v>33642.62333664694</v>
      </c>
      <c r="D23" s="6" t="n">
        <v>1914.1423478015163</v>
      </c>
      <c r="E23" s="6" t="n">
        <v>28.521418826502117</v>
      </c>
      <c r="F23" s="6">
        <f si="0" t="shared"/>
        <v>80148.256861960748</v>
      </c>
      <c r="H23" s="12">
        <v>0.3125</v>
      </c>
      <c r="I23" s="9" t="n">
        <v>50977.518918037415</v>
      </c>
      <c r="J23" s="9" t="n">
        <v>26253.066982269287</v>
      </c>
      <c r="K23" s="9" t="n">
        <v>2659.4029541015625</v>
      </c>
      <c r="L23" s="9" t="n">
        <v>4.717458724975586</v>
      </c>
      <c r="M23" s="14">
        <f si="1" t="shared"/>
        <v>71786.751289367676</v>
      </c>
    </row>
    <row r="24" spans="1:13" x14ac:dyDescent="0.25">
      <c r="A24" s="12">
        <v>0.33333333333333331</v>
      </c>
      <c r="B24" s="6" t="n">
        <v>66732.85809321215</v>
      </c>
      <c r="C24" s="6" t="n">
        <v>29439.962602145242</v>
      </c>
      <c r="D24" s="6" t="n">
        <v>1573.0837317614494</v>
      </c>
      <c r="E24" s="6" t="n">
        <v>17.056999706546257</v>
      </c>
      <c r="F24" s="6">
        <f si="0" t="shared"/>
        <v>81857.519737922965</v>
      </c>
      <c r="H24" s="12">
        <v>0.33333333333333331</v>
      </c>
      <c r="I24" s="9" t="n">
        <v>57756.054094314575</v>
      </c>
      <c r="J24" s="9" t="n">
        <v>23273.200170516968</v>
      </c>
      <c r="K24" s="9" t="n">
        <v>1987.6996116638184</v>
      </c>
      <c r="L24" s="9" t="n">
        <v>2.8517818450927734</v>
      </c>
      <c r="M24" s="14">
        <f si="1" t="shared"/>
        <v>72837.459487915039</v>
      </c>
    </row>
    <row r="25" spans="1:13" x14ac:dyDescent="0.25">
      <c r="A25" s="12">
        <v>0.35416666666666669</v>
      </c>
      <c r="B25" s="6" t="n">
        <v>73230.18765768806</v>
      </c>
      <c r="C25" s="6" t="n">
        <v>22527.979097940362</v>
      </c>
      <c r="D25" s="6" t="n">
        <v>1301.1878348353107</v>
      </c>
      <c r="E25" s="6" t="n">
        <v>8.415716952312469</v>
      </c>
      <c r="F25" s="6">
        <f si="0" t="shared"/>
        <v>78995.641338024725</v>
      </c>
      <c r="H25" s="12">
        <v>0.35416666666666669</v>
      </c>
      <c r="I25" s="9" t="n">
        <v>60473.9487285614</v>
      </c>
      <c r="J25" s="9" t="n">
        <v>18481.42514705658</v>
      </c>
      <c r="K25" s="9" t="n">
        <v>1479.5414743423462</v>
      </c>
      <c r="L25" s="9" t="n">
        <v>1.650874137878418</v>
      </c>
      <c r="M25" s="14">
        <f si="1" t="shared"/>
        <v>69931.913642883301</v>
      </c>
    </row>
    <row r="26" spans="1:13" x14ac:dyDescent="0.25">
      <c r="A26" s="12">
        <v>0.375</v>
      </c>
      <c r="B26" s="6" t="n">
        <v>72504.98594165365</v>
      </c>
      <c r="C26" s="6" t="n">
        <v>15419.17616986032</v>
      </c>
      <c r="D26" s="6" t="n">
        <v>1069.548694535995</v>
      </c>
      <c r="E26" s="6" t="n">
        <v>3.346725100062252</v>
      </c>
      <c r="F26" s="6">
        <f si="0" t="shared"/>
        <v>70743.660075956737</v>
      </c>
      <c r="H26" s="12">
        <v>0.375</v>
      </c>
      <c r="I26" s="9" t="n">
        <v>57715.35035991669</v>
      </c>
      <c r="J26" s="9" t="n">
        <v>13130.973081588745</v>
      </c>
      <c r="K26" s="9" t="n">
        <v>1103.4074983596802</v>
      </c>
      <c r="L26" s="9" t="n">
        <v>0.8518838882446289</v>
      </c>
      <c r="M26" s="14">
        <f si="1" t="shared"/>
        <v>62831.264352798462</v>
      </c>
    </row>
    <row r="27" spans="1:13" x14ac:dyDescent="0.25">
      <c r="A27" s="12">
        <v>0.39583333333333331</v>
      </c>
      <c r="B27" s="6" t="n">
        <v>64628.07945724819</v>
      </c>
      <c r="C27" s="6" t="n">
        <v>9789.06331061622</v>
      </c>
      <c r="D27" s="6" t="n">
        <v>854.5854347668593</v>
      </c>
      <c r="E27" s="6" t="n">
        <v>1.0434478206043116</v>
      </c>
      <c r="F27" s="6">
        <f si="0" t="shared"/>
        <v>58118.570884331944</v>
      </c>
      <c r="H27" s="12">
        <v>0.39583333333333331</v>
      </c>
      <c r="I27" s="9" t="n">
        <v>49722.74845600128</v>
      </c>
      <c r="J27" s="9" t="n">
        <v>8361.362674713135</v>
      </c>
      <c r="K27" s="9" t="n">
        <v>830.2782726287842</v>
      </c>
      <c r="L27" s="9" t="n">
        <v>0.37731361389160156</v>
      </c>
      <c r="M27" s="14">
        <f si="1" t="shared"/>
        <v>52361.138367652893</v>
      </c>
    </row>
    <row r="28" spans="1:13" x14ac:dyDescent="0.25">
      <c r="A28" s="12">
        <v>0.41666666666666669</v>
      </c>
      <c r="B28" s="6" t="n">
        <v>52133.7222034533</v>
      </c>
      <c r="C28" s="6" t="n">
        <v>6033.5347546892535</v>
      </c>
      <c r="D28" s="6" t="n">
        <v>652.3637037018703</v>
      </c>
      <c r="E28" s="6" t="n">
        <v>0.2453319918444255</v>
      </c>
      <c r="F28" s="6">
        <f si="0" t="shared"/>
        <v>43658.362302164285</v>
      </c>
      <c r="H28" s="12">
        <v>0.41666666666666669</v>
      </c>
      <c r="I28" s="9" t="n">
        <v>38471.26982784271</v>
      </c>
      <c r="J28" s="9" t="n">
        <v>4799.278004646301</v>
      </c>
      <c r="K28" s="9" t="n">
        <v>632.2569465637207</v>
      </c>
      <c r="L28" s="9" t="n">
        <v>0.14018630981445312</v>
      </c>
      <c r="M28" s="14">
        <f si="1" t="shared"/>
        <v>40264.74187374115</v>
      </c>
    </row>
    <row r="29" spans="1:13" x14ac:dyDescent="0.25">
      <c r="A29" s="12">
        <v>0.4375</v>
      </c>
      <c r="B29" s="6" t="n">
        <v>38515.03688570898</v>
      </c>
      <c r="C29" s="6" t="n">
        <v>3745.1675030544125</v>
      </c>
      <c r="D29" s="6" t="n">
        <v>476.67449777013053</v>
      </c>
      <c r="E29" s="6" t="n">
        <v>0.04088199699336832</v>
      </c>
      <c r="F29" s="6">
        <f si="0" t="shared"/>
        <v>30168.266058834612</v>
      </c>
      <c r="H29" s="12">
        <v>0.4375</v>
      </c>
      <c r="I29" s="9" t="n">
        <v>26748.03879928589</v>
      </c>
      <c r="J29" s="9" t="n">
        <v>2513.936836242676</v>
      </c>
      <c r="K29" s="9" t="n">
        <v>483.61664485931396</v>
      </c>
      <c r="L29" s="9" t="n">
        <v>0.04277324676513672</v>
      </c>
      <c r="M29" s="14">
        <f si="1" t="shared"/>
        <v>28594.886384010315</v>
      </c>
    </row>
    <row r="30" spans="1:13" x14ac:dyDescent="0.25">
      <c r="A30" s="12">
        <v>0.45833333333333331</v>
      </c>
      <c r="B30" s="6" t="n">
        <v>26536.495884239943</v>
      </c>
      <c r="C30" s="6" t="n">
        <v>2362.9278626178984</v>
      </c>
      <c r="D30" s="6" t="n">
        <v>343.7504261440872</v>
      </c>
      <c r="E30" s="6" t="n">
        <v>0.004303368104565086</v>
      </c>
      <c r="F30" s="6">
        <f si="0" t="shared"/>
        <v>19502.942659544922</v>
      </c>
      <c r="H30" s="12">
        <v>0.45833333333333331</v>
      </c>
      <c r="I30" s="9" t="n">
        <v>16858.831097602844</v>
      </c>
      <c r="J30" s="9" t="n">
        <v>1230.4264974594116</v>
      </c>
      <c r="K30" s="9" t="n">
        <v>364.98723793029785</v>
      </c>
      <c r="L30" s="9" t="n">
        <v>0.010432243347167969</v>
      </c>
      <c r="M30" s="14">
        <f si="1" t="shared"/>
        <v>18937.240681648254</v>
      </c>
    </row>
    <row r="31" spans="1:13" x14ac:dyDescent="0.25">
      <c r="A31" s="12">
        <v>0.47916666666666669</v>
      </c>
      <c r="B31" s="6" t="n">
        <v>17452.608061324852</v>
      </c>
      <c r="C31" s="6" t="n">
        <v>1495.5076508136585</v>
      </c>
      <c r="D31" s="6" t="n">
        <v>257.6373998794028</v>
      </c>
      <c r="E31" s="6" t="n">
        <v>2.151684052282543E-4</v>
      </c>
      <c r="F31" s="6">
        <f si="0" t="shared"/>
        <v>12140.60424844768</v>
      </c>
      <c r="H31" s="12">
        <v>0.47916666666666669</v>
      </c>
      <c r="I31" s="9" t="n">
        <v>9841.13870048523</v>
      </c>
      <c r="J31" s="9" t="n">
        <v>586.6407661437988</v>
      </c>
      <c r="K31" s="9" t="n">
        <v>266.8916435241699</v>
      </c>
      <c r="L31" s="9" t="n">
        <v>0.0019550323486328125</v>
      </c>
      <c r="M31" s="14">
        <f si="1" t="shared"/>
        <v>11945.926198959351</v>
      </c>
    </row>
    <row r="32" spans="1:13" x14ac:dyDescent="0.25">
      <c r="A32" s="12">
        <v>0.5</v>
      </c>
      <c r="B32" s="6" t="n">
        <v>11236.481068977038</v>
      </c>
      <c r="C32" s="6" t="n">
        <v>935.2735411450248</v>
      </c>
      <c r="D32" s="6" t="n">
        <v>206.89967588591344</v>
      </c>
      <c r="E32" s="6" t="n">
        <v>0.0</v>
      </c>
      <c r="F32" s="6">
        <f si="0" t="shared"/>
        <v>7539.4296094416404</v>
      </c>
      <c r="H32" s="12">
        <v>0.5</v>
      </c>
      <c r="I32" s="9" t="n">
        <v>5532.572212219238</v>
      </c>
      <c r="J32" s="9" t="n">
        <v>290.230375289917</v>
      </c>
      <c r="K32" s="9" t="n">
        <v>188.4394359588623</v>
      </c>
      <c r="L32" s="9" t="n">
        <v>2.6416778564453125E-4</v>
      </c>
      <c r="M32" s="14">
        <f si="1" t="shared"/>
        <v>7411.1983919143677</v>
      </c>
    </row>
    <row r="33" spans="1:13" x14ac:dyDescent="0.25">
      <c r="A33" s="12">
        <v>0.52083333333333337</v>
      </c>
      <c r="B33" s="6" t="n">
        <v>7232.3099842194115</v>
      </c>
      <c r="C33" s="6" t="n">
        <v>576.0154857193093</v>
      </c>
      <c r="D33" s="6" t="n">
        <v>172.9341235804298</v>
      </c>
      <c r="E33" s="6" t="n">
        <v>0.0</v>
      </c>
      <c r="F33" s="6">
        <f si="0" t="shared"/>
        <v>4783.9684113378325</v>
      </c>
      <c r="H33" s="12">
        <v>0.52083333333333337</v>
      </c>
      <c r="I33" s="9" t="n">
        <v>3159.316813468933</v>
      </c>
      <c r="J33" s="9" t="n">
        <v>159.3621072769165</v>
      </c>
      <c r="K33" s="9" t="n">
        <v>131.6377239227295</v>
      </c>
      <c r="L33" s="9" t="n">
        <v>2.288818359375E-5</v>
      </c>
      <c r="M33" s="14">
        <f si="1" t="shared"/>
        <v>4672.6464176177979</v>
      </c>
    </row>
    <row r="34" spans="1:13" x14ac:dyDescent="0.25">
      <c r="A34" s="12">
        <v>0.54166666666666663</v>
      </c>
      <c r="B34" s="6" t="n">
        <v>4698.6947226371685</v>
      </c>
      <c r="C34" s="6" t="n">
        <v>354.2374842351973</v>
      </c>
      <c r="D34" s="6" t="n">
        <v>141.84609863505165</v>
      </c>
      <c r="E34" s="6" t="n">
        <v>0.0</v>
      </c>
      <c r="F34" s="6">
        <f si="0" t="shared"/>
        <v>3079.6419362030242</v>
      </c>
      <c r="H34" s="12">
        <v>0.54166666666666663</v>
      </c>
      <c r="I34" s="9" t="n">
        <v>1909.9314661026</v>
      </c>
      <c r="J34" s="9" t="n">
        <v>99.88979148864746</v>
      </c>
      <c r="K34" s="9" t="n">
        <v>95.79355907440186</v>
      </c>
      <c r="L34" s="9" t="n">
        <v>9.5367431640625E-7</v>
      </c>
      <c r="M34" s="14">
        <f si="1" t="shared"/>
        <v>3039.3164539337158</v>
      </c>
    </row>
    <row r="35" spans="1:13" x14ac:dyDescent="0.25">
      <c r="A35" s="12">
        <v>0.5625</v>
      </c>
      <c r="B35" s="6" t="n">
        <v>3071.683044622687</v>
      </c>
      <c r="C35" s="6" t="n">
        <v>223.7211164063404</v>
      </c>
      <c r="D35" s="6" t="n">
        <v>110.26532321440692</v>
      </c>
      <c r="E35" s="6" t="n">
        <v>0.0</v>
      </c>
      <c r="F35" s="6">
        <f si="0" t="shared"/>
        <v>1942.8950080964134</v>
      </c>
      <c r="H35" s="12">
        <v>0.5625</v>
      </c>
      <c r="I35" s="9" t="n">
        <v>1219.3345575332642</v>
      </c>
      <c r="J35" s="9" t="n">
        <v>69.47348022460938</v>
      </c>
      <c r="K35" s="9" t="n">
        <v>75.81343460083008</v>
      </c>
      <c r="L35" s="9" t="n">
        <v>0.0</v>
      </c>
      <c r="M35" s="14">
        <f si="1" t="shared"/>
        <v>2015.5234241485596</v>
      </c>
    </row>
    <row r="36" spans="1:13" x14ac:dyDescent="0.25">
      <c r="A36" s="12">
        <v>0.58333333333333337</v>
      </c>
      <c r="B36" s="6" t="n">
        <v>2004.6785231700453</v>
      </c>
      <c r="C36" s="6" t="n">
        <v>147.456710903371</v>
      </c>
      <c r="D36" s="6" t="n">
        <v>81.78919452099377</v>
      </c>
      <c r="E36" s="6" t="n">
        <v>0.0</v>
      </c>
      <c r="F36" s="6">
        <f si="0" t="shared"/>
        <v>1158.0831737511464</v>
      </c>
      <c r="H36" s="12">
        <v>0.58333333333333337</v>
      </c>
      <c r="I36" s="9" t="n">
        <v>792.5945796966553</v>
      </c>
      <c r="J36" s="9" t="n">
        <v>51.10013389587402</v>
      </c>
      <c r="K36" s="9" t="n">
        <v>64.42640495300293</v>
      </c>
      <c r="L36" s="9" t="n">
        <v>0.0</v>
      </c>
      <c r="M36" s="14">
        <f si="1" t="shared"/>
        <v>1329.6354818344116</v>
      </c>
    </row>
    <row r="37" spans="1:13" x14ac:dyDescent="0.25">
      <c r="A37" s="12">
        <v>0.60416666666666663</v>
      </c>
      <c r="B37" s="6" t="n">
        <v>1300.0603771158583</v>
      </c>
      <c r="C37" s="6" t="n">
        <v>98.50358606300827</v>
      </c>
      <c r="D37" s="6" t="n">
        <v>59.62441767519868</v>
      </c>
      <c r="E37" s="6" t="n">
        <v>0.0</v>
      </c>
      <c r="F37" s="6">
        <f si="0" t="shared"/>
        <v>646.00087499161327</v>
      </c>
      <c r="H37" s="12">
        <v>0.60416666666666663</v>
      </c>
      <c r="I37" s="9" t="n">
        <v>510.97469425201416</v>
      </c>
      <c r="J37" s="9" t="n">
        <v>38.42296600341797</v>
      </c>
      <c r="K37" s="9" t="n">
        <v>55.53884983062744</v>
      </c>
      <c r="L37" s="9" t="n">
        <v>0.0</v>
      </c>
      <c r="M37" s="14">
        <f si="1" t="shared"/>
        <v>860.2904748916626</v>
      </c>
    </row>
    <row r="38" spans="1:13" x14ac:dyDescent="0.25">
      <c r="A38" s="12">
        <v>0.625</v>
      </c>
      <c r="B38" s="6" t="n">
        <v>833.4888936747916</v>
      </c>
      <c r="C38" s="6" t="n">
        <v>62.44827726477732</v>
      </c>
      <c r="D38" s="6" t="n">
        <v>43.15864897176267</v>
      </c>
      <c r="E38" s="6" t="n">
        <v>0.0</v>
      </c>
      <c r="F38" s="6">
        <f si="0" t="shared"/>
        <v>356.62613442709835</v>
      </c>
      <c r="H38" s="12">
        <v>0.625</v>
      </c>
      <c r="I38" s="9" t="n">
        <v>331.236608505249</v>
      </c>
      <c r="J38" s="9" t="n">
        <v>28.948987007141113</v>
      </c>
      <c r="K38" s="9" t="n">
        <v>46.08825492858887</v>
      </c>
      <c r="L38" s="9" t="n">
        <v>0.0</v>
      </c>
      <c r="M38" s="14">
        <f si="1" t="shared"/>
        <v>550.8863353729248</v>
      </c>
    </row>
    <row r="39" spans="1:13" x14ac:dyDescent="0.25">
      <c r="A39" s="12">
        <v>0.64583333333333337</v>
      </c>
      <c r="B39" s="6" t="n">
        <v>519.0981789489936</v>
      </c>
      <c r="C39" s="6" t="n">
        <v>35.19960311000227</v>
      </c>
      <c r="D39" s="6" t="n">
        <v>29.976289833550254</v>
      </c>
      <c r="E39" s="6" t="n">
        <v>0.0</v>
      </c>
      <c r="F39" s="6">
        <f si="0" t="shared"/>
        <v>226.20157220357177</v>
      </c>
      <c r="H39" s="12">
        <v>0.64583333333333337</v>
      </c>
      <c r="I39" s="9" t="n">
        <v>226.0426082611084</v>
      </c>
      <c r="J39" s="9" t="n">
        <v>21.421137809753418</v>
      </c>
      <c r="K39" s="9" t="n">
        <v>35.76756000518799</v>
      </c>
      <c r="L39" s="9" t="n">
        <v>0.0</v>
      </c>
      <c r="M39" s="14">
        <f si="1" t="shared"/>
        <v>358.84299755096436</v>
      </c>
    </row>
    <row r="40" spans="1:13" x14ac:dyDescent="0.25">
      <c r="A40" s="12">
        <v>0.66666666666666663</v>
      </c>
      <c r="B40" s="6" t="n">
        <v>303.72359869171135</v>
      </c>
      <c r="C40" s="6" t="n">
        <v>16.811233521930724</v>
      </c>
      <c r="D40" s="6" t="n">
        <v>18.868384950042984</v>
      </c>
      <c r="E40" s="6" t="n">
        <v>0.0</v>
      </c>
      <c r="F40" s="6">
        <f si="0" t="shared"/>
        <v>182.32873396953528</v>
      </c>
      <c r="H40" s="12">
        <v>0.66666666666666663</v>
      </c>
      <c r="I40" s="9" t="n">
        <v>166.92120265960693</v>
      </c>
      <c r="J40" s="9" t="n">
        <v>15.144974708557129</v>
      </c>
      <c r="K40" s="9" t="n">
        <v>25.63723659515381</v>
      </c>
      <c r="L40" s="9" t="n">
        <v>0.0</v>
      </c>
      <c r="M40" s="14">
        <f si="1" t="shared"/>
        <v>242.93341159820557</v>
      </c>
    </row>
    <row r="41" spans="1:13" x14ac:dyDescent="0.25">
      <c r="A41" s="12">
        <v>0.6875</v>
      </c>
      <c r="B41" s="6" t="n">
        <v>160.36616649952387</v>
      </c>
      <c r="C41" s="6" t="n">
        <v>6.56290149439886</v>
      </c>
      <c r="D41" s="6" t="n">
        <v>10.237855552790748</v>
      </c>
      <c r="E41" s="6" t="n">
        <v>0.0</v>
      </c>
      <c r="F41" s="6">
        <f si="0" t="shared"/>
        <v>164.77998065075371</v>
      </c>
      <c r="H41" s="12">
        <v>0.6875</v>
      </c>
      <c r="I41" s="9" t="n">
        <v>129.12196731567383</v>
      </c>
      <c r="J41" s="9" t="n">
        <v>9.91028118133545</v>
      </c>
      <c r="K41" s="9" t="n">
        <v>16.865214347839355</v>
      </c>
      <c r="L41" s="9" t="n">
        <v>0.0</v>
      </c>
      <c r="M41" s="14">
        <f si="1" t="shared"/>
        <v>169.24385547637939</v>
      </c>
    </row>
    <row r="42" spans="1:13" x14ac:dyDescent="0.25">
      <c r="A42" s="12">
        <v>0.70833333333333337</v>
      </c>
      <c r="B42" s="6" t="n">
        <v>73.61728807510494</v>
      </c>
      <c r="C42" s="6" t="n">
        <v>2.0244495415515837</v>
      </c>
      <c r="D42" s="6" t="n">
        <v>4.620414294556344</v>
      </c>
      <c r="E42" s="6" t="n">
        <v>0.0</v>
      </c>
      <c r="F42" s="6">
        <f si="0" t="shared"/>
        <v>140.23212543073649</v>
      </c>
      <c r="H42" s="12">
        <v>0.70833333333333337</v>
      </c>
      <c r="I42" s="9" t="n">
        <v>98.04819011688232</v>
      </c>
      <c r="J42" s="9" t="n">
        <v>5.825491905212402</v>
      </c>
      <c r="K42" s="9" t="n">
        <v>10.12215805053711</v>
      </c>
      <c r="L42" s="9" t="n">
        <v>0.0</v>
      </c>
      <c r="M42" s="14">
        <f si="1" t="shared"/>
        <v>116.92003726959229</v>
      </c>
    </row>
    <row r="43" spans="1:13" x14ac:dyDescent="0.25">
      <c r="A43" s="12">
        <v>0.72916666666666663</v>
      </c>
      <c r="B43" s="6" t="n">
        <v>28.459012443600635</v>
      </c>
      <c r="C43" s="6" t="n">
        <v>0.4731485022427414</v>
      </c>
      <c r="D43" s="6" t="n">
        <v>1.6863358961572923</v>
      </c>
      <c r="E43" s="6" t="n">
        <v>0.0</v>
      </c>
      <c r="F43" s="6">
        <f si="0" t="shared"/>
        <v>102.86960924259158</v>
      </c>
      <c r="H43" s="12">
        <v>0.72916666666666663</v>
      </c>
      <c r="I43" s="9" t="n">
        <v>69.24475574493408</v>
      </c>
      <c r="J43" s="9" t="n">
        <v>3.000555992126465</v>
      </c>
      <c r="K43" s="9" t="n">
        <v>5.504124641418457</v>
      </c>
      <c r="L43" s="9" t="n">
        <v>0.0</v>
      </c>
      <c r="M43" s="14">
        <f si="1" t="shared"/>
        <v>77.034435272216797</v>
      </c>
    </row>
    <row r="44" spans="1:13" x14ac:dyDescent="0.25">
      <c r="A44" s="12">
        <v>0.75</v>
      </c>
      <c r="B44" s="6" t="n">
        <v>8.992534860023987</v>
      </c>
      <c r="C44" s="6" t="n">
        <v>0.07861098305762908</v>
      </c>
      <c r="D44" s="6" t="n">
        <v>0.48341958923333506</v>
      </c>
      <c r="E44" s="6" t="n">
        <v>0.0</v>
      </c>
      <c r="F44" s="6">
        <f si="0" t="shared"/>
        <v>62.79526289069419</v>
      </c>
      <c r="H44" s="12">
        <v>0.75</v>
      </c>
      <c r="I44" s="9" t="n">
        <v>43.954771995544434</v>
      </c>
      <c r="J44" s="9" t="n">
        <v>1.3264522552490234</v>
      </c>
      <c r="K44" s="9" t="n">
        <v>2.6930389404296875</v>
      </c>
      <c r="L44" s="9" t="n">
        <v>0.0</v>
      </c>
      <c r="M44" s="14">
        <f si="1" t="shared"/>
        <v>47.290019989013672</v>
      </c>
    </row>
    <row r="45" spans="1:13" x14ac:dyDescent="0.25">
      <c r="A45" s="12">
        <v>0.77083333333333337</v>
      </c>
      <c r="B45" s="6" t="n">
        <v>2.2466983450222404</v>
      </c>
      <c r="C45" s="6" t="n">
        <v>0.008265866646980856</v>
      </c>
      <c r="D45" s="6" t="n">
        <v>0.10467801996433758</v>
      </c>
      <c r="E45" s="6" t="n">
        <v>0.0</v>
      </c>
      <c r="F45" s="6">
        <f si="0" t="shared"/>
        <v>31.291787083131023</v>
      </c>
      <c r="H45" s="12">
        <v>0.77083333333333337</v>
      </c>
      <c r="I45" s="9" t="n">
        <v>24.508580207824707</v>
      </c>
      <c r="J45" s="9" t="n">
        <v>0.4936990737915039</v>
      </c>
      <c r="K45" s="9" t="n">
        <v>1.1792316436767578</v>
      </c>
      <c r="L45" s="9" t="n">
        <v>0.0</v>
      </c>
      <c r="M45" s="14">
        <f si="1" t="shared"/>
        <v>27.046208381652832</v>
      </c>
    </row>
    <row r="46" spans="1:13" x14ac:dyDescent="0.25">
      <c r="A46" s="12">
        <v>0.79166666666666663</v>
      </c>
      <c r="B46" s="6" t="n">
        <v>0.4247396252504286</v>
      </c>
      <c r="C46" s="6" t="n">
        <v>4.132933323490429E-4</v>
      </c>
      <c r="D46" s="6" t="n">
        <v>0.01609412598055099</v>
      </c>
      <c r="E46" s="6" t="n">
        <v>0.0</v>
      </c>
      <c r="F46" s="6">
        <f si="0" t="shared"/>
        <v>12.495608031689949</v>
      </c>
      <c r="H46" s="12">
        <v>0.79166666666666663</v>
      </c>
      <c r="I46" s="9" t="n">
        <v>11.771810531616211</v>
      </c>
      <c r="J46" s="9" t="n">
        <v>0.15150070190429688</v>
      </c>
      <c r="K46" s="9" t="n">
        <v>0.46022701263427734</v>
      </c>
      <c r="L46" s="9" t="n">
        <v>0.0</v>
      </c>
      <c r="M46" s="14">
        <f si="1" t="shared"/>
        <v>14.844918251037598</v>
      </c>
    </row>
    <row r="47" spans="1:13" x14ac:dyDescent="0.25">
      <c r="A47" s="12">
        <v>0.8125</v>
      </c>
      <c r="B47" s="6" t="n">
        <v>0.05680589507699686</v>
      </c>
      <c r="C47" s="6" t="n">
        <v>0.0</v>
      </c>
      <c r="D47" s="6" t="n">
        <v>0.0015660143545680252</v>
      </c>
      <c r="E47" s="6" t="n">
        <v>0.0</v>
      </c>
      <c r="F47" s="6">
        <f si="0" t="shared"/>
        <v>3.9009450572419953</v>
      </c>
      <c r="H47" s="12">
        <v>0.8125</v>
      </c>
      <c r="I47" s="9" t="n">
        <v>4.772988319396973</v>
      </c>
      <c r="J47" s="9" t="n">
        <v>0.03732109069824219</v>
      </c>
      <c r="K47" s="9" t="n">
        <v>0.1591033935546875</v>
      </c>
      <c r="L47" s="9" t="n">
        <v>0.0</v>
      </c>
      <c r="M47" s="14">
        <f si="1" t="shared"/>
        <v>8.2655572891235352</v>
      </c>
    </row>
    <row r="48" spans="1:13" x14ac:dyDescent="0.25">
      <c r="A48" s="12">
        <v>0.83333333333333337</v>
      </c>
      <c r="B48" s="6" t="n">
        <v>0.0047606520709874145</v>
      </c>
      <c r="C48" s="6" t="n">
        <v>0.0</v>
      </c>
      <c r="D48" s="6" t="n">
        <v>7.250552909909296E-5</v>
      </c>
      <c r="E48" s="6" t="n">
        <v>0.0</v>
      </c>
      <c r="F48" s="6">
        <f si="0" t="shared"/>
        <v>0.91724665281000572</v>
      </c>
      <c r="H48" s="12">
        <v>0.83333333333333337</v>
      </c>
      <c r="I48" s="9" t="n">
        <v>1.5955524444580078</v>
      </c>
      <c r="J48" s="9" t="n">
        <v>0.007102012634277344</v>
      </c>
      <c r="K48" s="9" t="n">
        <v>0.0480194091796875</v>
      </c>
      <c r="L48" s="9" t="n">
        <v>0.0</v>
      </c>
      <c r="M48" s="14">
        <f si="1" t="shared"/>
        <v>4.8561763763427734</v>
      </c>
    </row>
    <row r="49" spans="1:13" x14ac:dyDescent="0.25">
      <c r="A49" s="12">
        <v>0.85416666666666663</v>
      </c>
      <c r="B49" s="6" t="n">
        <v>1.8645661516667833E-4</v>
      </c>
      <c r="C49" s="6" t="n">
        <v>0.0</v>
      </c>
      <c r="D49" s="6" t="n">
        <v>0.0</v>
      </c>
      <c r="E49" s="6" t="n">
        <v>0.0</v>
      </c>
      <c r="F49" s="6">
        <f si="0" t="shared"/>
        <v>0.15280153518797465</v>
      </c>
      <c r="H49" s="12">
        <v>0.85416666666666663</v>
      </c>
      <c r="I49" s="9" t="n">
        <v>0.42674827575683594</v>
      </c>
      <c r="J49" s="9" t="n">
        <v>9.813308715820312E-4</v>
      </c>
      <c r="K49" s="9" t="n">
        <v>0.012282371520996094</v>
      </c>
      <c r="L49" s="9" t="n">
        <v>0.0</v>
      </c>
      <c r="M49" s="14">
        <f si="1" t="shared"/>
        <v>2.9257106781005859</v>
      </c>
    </row>
    <row r="50" spans="1:13" x14ac:dyDescent="0.25">
      <c r="A50" s="12">
        <v>0.875</v>
      </c>
      <c r="B50" s="6" t="n">
        <v>0.0</v>
      </c>
      <c r="C50" s="6" t="n">
        <v>0.0</v>
      </c>
      <c r="D50" s="6" t="n">
        <v>0.0</v>
      </c>
      <c r="E50" s="6" t="n">
        <v>0.0</v>
      </c>
      <c r="F50" s="6">
        <f si="0" t="shared"/>
        <v>1.607908683031458E-2</v>
      </c>
      <c r="H50" s="12">
        <v>0.875</v>
      </c>
      <c r="I50" s="9" t="n">
        <v>0.08758735656738281</v>
      </c>
      <c r="J50" s="9" t="n">
        <v>8.7738037109375E-5</v>
      </c>
      <c r="K50" s="9" t="n">
        <v>0.0025320053100585938</v>
      </c>
      <c r="L50" s="9" t="n">
        <v>0.0</v>
      </c>
      <c r="M50" s="14">
        <f si="1" t="shared"/>
        <v>1.6737079620361328</v>
      </c>
    </row>
    <row r="51" spans="1:13" x14ac:dyDescent="0.25">
      <c r="A51" s="12">
        <v>0.89583333333333337</v>
      </c>
      <c r="B51" s="6" t="n">
        <v>0.0</v>
      </c>
      <c r="C51" s="6" t="n">
        <v>0.0</v>
      </c>
      <c r="D51" s="6" t="n">
        <v>0.0</v>
      </c>
      <c r="E51" s="6" t="n">
        <v>0.0</v>
      </c>
      <c r="F51" s="6">
        <f si="0" t="shared"/>
        <v>8.0378193728349034E-4</v>
      </c>
      <c r="H51" s="12">
        <v>0.89583333333333337</v>
      </c>
      <c r="I51" s="9" t="n">
        <v>0.012929916381835938</v>
      </c>
      <c r="J51" s="9" t="n">
        <v>3.814697265625E-6</v>
      </c>
      <c r="K51" s="9" t="n">
        <v>3.8909912109375E-4</v>
      </c>
      <c r="L51" s="9" t="n">
        <v>0.0</v>
      </c>
      <c r="M51" s="14">
        <f si="1" t="shared"/>
        <v>0.84735393524169922</v>
      </c>
    </row>
    <row r="52" spans="1:13" x14ac:dyDescent="0.25">
      <c r="A52" s="12">
        <v>0.91666666666666663</v>
      </c>
      <c r="B52" s="6" t="n">
        <v>0.0</v>
      </c>
      <c r="C52" s="6" t="n">
        <v>0.0</v>
      </c>
      <c r="D52" s="6" t="n">
        <v>0.0</v>
      </c>
      <c r="E52" s="6" t="n">
        <v>0.0</v>
      </c>
      <c r="F52" s="6">
        <f si="0" t="shared"/>
        <v>0</v>
      </c>
      <c r="H52" s="12">
        <v>0.91666666666666663</v>
      </c>
      <c r="I52" s="9" t="n">
        <v>0.001220703125</v>
      </c>
      <c r="J52" s="9" t="n">
        <v>0.0</v>
      </c>
      <c r="K52" s="9" t="n">
        <v>3.910064697265625E-5</v>
      </c>
      <c r="L52" s="9" t="n">
        <v>0.0</v>
      </c>
      <c r="M52" s="14">
        <f si="1" t="shared"/>
        <v>0.36226272583007813</v>
      </c>
    </row>
    <row r="53" spans="1:13" x14ac:dyDescent="0.25">
      <c r="A53" s="12">
        <v>0.9375</v>
      </c>
      <c r="B53" s="6" t="n">
        <v>0.0</v>
      </c>
      <c r="C53" s="6" t="n">
        <v>0.0</v>
      </c>
      <c r="D53" s="6" t="n">
        <v>0.0</v>
      </c>
      <c r="E53" s="6" t="n">
        <v>0.0</v>
      </c>
      <c r="F53" s="6">
        <f si="0" t="shared"/>
        <v>0</v>
      </c>
      <c r="H53" s="12">
        <v>0.9375</v>
      </c>
      <c r="I53" s="9" t="n">
        <v>5.53131103515625E-5</v>
      </c>
      <c r="J53" s="9" t="n">
        <v>0.0</v>
      </c>
      <c r="K53" s="9" t="n">
        <v>1.9073486328125E-6</v>
      </c>
      <c r="L53" s="9" t="n">
        <v>0.0</v>
      </c>
      <c r="M53" s="14">
        <f si="1" t="shared"/>
        <v>0.12652397155761719</v>
      </c>
    </row>
    <row r="54" spans="1:13" x14ac:dyDescent="0.25">
      <c r="A54" s="12">
        <v>0.95833333333333337</v>
      </c>
      <c r="B54" s="6" t="n">
        <v>0.0</v>
      </c>
      <c r="C54" s="6" t="n">
        <v>0.0</v>
      </c>
      <c r="D54" s="6" t="n">
        <v>0.0</v>
      </c>
      <c r="E54" s="6" t="n">
        <v>0.0</v>
      </c>
      <c r="F54" s="6">
        <f si="0" t="shared"/>
        <v>0</v>
      </c>
      <c r="H54" s="12">
        <v>0.95833333333333337</v>
      </c>
      <c r="I54" s="9" t="n">
        <v>0.0</v>
      </c>
      <c r="J54" s="9" t="n">
        <v>0.0</v>
      </c>
      <c r="K54" s="9" t="n">
        <v>0.0</v>
      </c>
      <c r="L54" s="9" t="n">
        <v>0.0</v>
      </c>
      <c r="M54" s="14">
        <f si="1" t="shared"/>
        <v>3.4971237182617188E-2</v>
      </c>
    </row>
    <row r="55" spans="1:13" x14ac:dyDescent="0.25">
      <c r="A55" s="12">
        <v>0.97916666666666663</v>
      </c>
      <c r="B55" s="6" t="n">
        <v>0.0</v>
      </c>
      <c r="C55" s="6" t="n">
        <v>0.0</v>
      </c>
      <c r="D55" s="6" t="n">
        <v>0.0</v>
      </c>
      <c r="E55" s="6" t="n">
        <v>0.0</v>
      </c>
      <c r="F55" s="6">
        <f si="0" t="shared"/>
        <v>0</v>
      </c>
      <c r="H55" s="12">
        <v>0.97916666666666663</v>
      </c>
      <c r="I55" s="9" t="n">
        <v>0.0</v>
      </c>
      <c r="J55" s="9" t="n">
        <v>0.0</v>
      </c>
      <c r="K55" s="9" t="n">
        <v>0.0</v>
      </c>
      <c r="L55" s="9" t="n">
        <v>0.0</v>
      </c>
      <c r="M55" s="14">
        <f si="1" t="shared"/>
        <v>7.2431564331054688E-3</v>
      </c>
    </row>
    <row r="56" spans="1:13" x14ac:dyDescent="0.25">
      <c r="A56" s="21" t="s">
        <v>13</v>
      </c>
      <c r="B56" s="22" t="n">
        <v>0.0</v>
      </c>
      <c r="C56" s="22" t="n">
        <v>0.0</v>
      </c>
      <c r="D56" s="22" t="n">
        <v>0.0</v>
      </c>
      <c r="E56" s="22" t="n">
        <v>0.0</v>
      </c>
      <c r="F56" s="22">
        <f si="0" t="shared"/>
        <v>0</v>
      </c>
      <c r="G56" s="5"/>
      <c r="H56" s="21" t="s">
        <v>13</v>
      </c>
      <c r="I56" s="24" t="n">
        <v>0.0</v>
      </c>
      <c r="J56" s="24" t="n">
        <v>0.0</v>
      </c>
      <c r="K56" s="24" t="n">
        <v>0.0</v>
      </c>
      <c r="L56" s="24" t="n">
        <v>0.0</v>
      </c>
      <c r="M56" s="27">
        <f si="1" t="shared"/>
        <v>0</v>
      </c>
    </row>
    <row ht="15.75" r="57" spans="1:13" thickBot="1" x14ac:dyDescent="0.3">
      <c r="A57" s="1"/>
      <c r="B57" s="7">
        <f>SUM(B8:B56)</f>
        <v>737211.55154903443</v>
      </c>
      <c r="C57" s="7">
        <f>SUM(C8:C56)</f>
        <v>676567.16620063386</v>
      </c>
      <c r="D57" s="7">
        <f>SUM(D8:D56)</f>
        <v>2414791.2629554877</v>
      </c>
      <c r="E57" s="7">
        <f>SUM(E8:E56)</f>
        <v>259328.18520156018</v>
      </c>
      <c r="F57" s="7">
        <f>SUM(F8:F56)</f>
        <v>4087898.1659067171</v>
      </c>
      <c r="H57" s="1"/>
      <c r="I57" s="7">
        <f>SUM(I8:I56)</f>
        <v>724024.96195793152</v>
      </c>
      <c r="J57" s="7">
        <f>SUM(J8:J56)</f>
        <v>590446.25089645386</v>
      </c>
      <c r="K57" s="7">
        <f>SUM(K8:K56)</f>
        <v>2445214.1336202621</v>
      </c>
      <c r="L57" s="7">
        <f>SUM(L8:L56)</f>
        <v>269763.81121635437</v>
      </c>
      <c r="M57" s="7">
        <f>SUM(M8:M56)</f>
        <v>4029449.1576910019</v>
      </c>
    </row>
    <row ht="15.75" r="63" spans="1:13" thickBot="1" x14ac:dyDescent="0.3">
      <c r="A63" s="3" t="s">
        <v>50</v>
      </c>
      <c r="B63" s="1"/>
      <c r="C63" s="1"/>
      <c r="D63" s="1"/>
      <c r="E63" s="1"/>
      <c r="F63" s="1"/>
      <c r="H63" s="3" t="s">
        <v>15</v>
      </c>
      <c r="I63" s="1"/>
      <c r="J63" s="1"/>
      <c r="K63" s="1"/>
      <c r="L63" s="1"/>
      <c r="M63" s="1"/>
    </row>
    <row r="64" spans="1:13" x14ac:dyDescent="0.25">
      <c r="A64" s="2" t="s">
        <v>14</v>
      </c>
      <c r="B64" s="4" t="s">
        <v>48</v>
      </c>
      <c r="C64" s="4" t="s">
        <v>48</v>
      </c>
      <c r="D64" s="4" t="s">
        <v>48</v>
      </c>
      <c r="E64" s="4" t="s">
        <v>48</v>
      </c>
      <c r="F64" s="4" t="s">
        <v>0</v>
      </c>
      <c r="H64" s="2" t="s">
        <v>14</v>
      </c>
      <c r="I64" s="4" t="s">
        <v>35</v>
      </c>
      <c r="J64" s="4" t="s">
        <v>35</v>
      </c>
      <c r="K64" s="4" t="s">
        <v>35</v>
      </c>
      <c r="L64" s="4" t="s">
        <v>35</v>
      </c>
      <c r="M64" s="4" t="s">
        <v>0</v>
      </c>
    </row>
    <row r="65" spans="1:13" x14ac:dyDescent="0.25">
      <c r="A65" s="15">
        <v>0</v>
      </c>
      <c r="B65" s="18">
        <f>B8/B$57</f>
        <v>5.5121517320689983E-2</v>
      </c>
      <c r="C65" s="18">
        <f ref="C65:F65" si="2" t="shared">C8/C$57</f>
        <v>0.19793796761072643</v>
      </c>
      <c r="D65" s="18">
        <f si="2" t="shared"/>
        <v>0.31778332181217739</v>
      </c>
      <c r="E65" s="18">
        <f si="2" t="shared"/>
        <v>0.34803010126203854</v>
      </c>
      <c r="F65" s="18">
        <f si="2" t="shared"/>
        <v>0.2524986951306547</v>
      </c>
      <c r="G65" s="18"/>
      <c r="H65" s="15">
        <v>0</v>
      </c>
      <c r="I65" s="18">
        <f ref="I65:M65" si="3" t="shared">I8/I$57</f>
        <v>3.8866063296910246E-2</v>
      </c>
      <c r="J65" s="18">
        <f si="3" t="shared"/>
        <v>0.15241861534959997</v>
      </c>
      <c r="K65" s="18">
        <f si="3" t="shared"/>
        <v>0.31479247130817484</v>
      </c>
      <c r="L65" s="18">
        <f si="3" t="shared"/>
        <v>0.34418997708159227</v>
      </c>
      <c r="M65" s="18">
        <f si="3" t="shared"/>
        <v>0.24338810631922272</v>
      </c>
    </row>
    <row r="66" spans="1:13" x14ac:dyDescent="0.25">
      <c r="A66" s="12">
        <v>2.0833333333333332E-2</v>
      </c>
      <c r="B66" s="18">
        <f ref="B66:F66" si="4" t="shared">B9/B$57</f>
        <v>4.2280087087113144E-2</v>
      </c>
      <c r="C66" s="18">
        <f si="4" t="shared"/>
        <v>0.14030837695888757</v>
      </c>
      <c r="D66" s="18">
        <f si="4" t="shared"/>
        <v>0.23316804027444205</v>
      </c>
      <c r="E66" s="18">
        <f si="4" t="shared"/>
        <v>0.24832174671874546</v>
      </c>
      <c r="F66" s="18">
        <f si="4" t="shared"/>
        <v>0.18433589913194254</v>
      </c>
      <c r="G66" s="18"/>
      <c r="H66" s="12">
        <v>2.0833333333333332E-2</v>
      </c>
      <c r="I66" s="18">
        <f ref="I66:M66" si="5" t="shared">I9/I$57</f>
        <v>3.5034329415150611E-2</v>
      </c>
      <c r="J66" s="18">
        <f si="5" t="shared"/>
        <v>0.11889911838420075</v>
      </c>
      <c r="K66" s="18">
        <f si="5" t="shared"/>
        <v>0.23224085015748208</v>
      </c>
      <c r="L66" s="18">
        <f si="5" t="shared"/>
        <v>0.24780183432060987</v>
      </c>
      <c r="M66" s="18">
        <f si="5" t="shared"/>
        <v>0.18123962248654973</v>
      </c>
    </row>
    <row r="67" spans="1:13" x14ac:dyDescent="0.25">
      <c r="A67" s="12">
        <v>4.1666666666666664E-2</v>
      </c>
      <c r="B67" s="18">
        <f ref="B67:F67" si="6" t="shared">B10/B$57</f>
        <v>3.1939132801994903E-2</v>
      </c>
      <c r="C67" s="18">
        <f si="6" t="shared"/>
        <v>9.180291914867425E-2</v>
      </c>
      <c r="D67" s="18">
        <f si="6" t="shared"/>
        <v>0.15914012832189647</v>
      </c>
      <c r="E67" s="18">
        <f si="6" t="shared"/>
        <v>0.1622430087543332</v>
      </c>
      <c r="F67" s="18">
        <f si="6" t="shared"/>
        <v>0.12525290362048871</v>
      </c>
      <c r="G67" s="18"/>
      <c r="H67" s="12">
        <v>4.1666666666666664E-2</v>
      </c>
      <c r="I67" s="18">
        <f ref="I67:M67" si="7" t="shared">I10/I$57</f>
        <v>3.2177493078123343E-2</v>
      </c>
      <c r="J67" s="18">
        <f si="7" t="shared"/>
        <v>8.9593083873427334E-2</v>
      </c>
      <c r="K67" s="18">
        <f si="7" t="shared"/>
        <v>0.15993070477180638</v>
      </c>
      <c r="L67" s="18">
        <f si="7" t="shared"/>
        <v>0.16412208163271266</v>
      </c>
      <c r="M67" s="18">
        <f si="7" t="shared"/>
        <v>0.12694941829917647</v>
      </c>
    </row>
    <row r="68" spans="1:13" x14ac:dyDescent="0.25">
      <c r="A68" s="12">
        <v>6.25E-2</v>
      </c>
      <c r="B68" s="18">
        <f ref="B68:F68" si="8" t="shared">B11/B$57</f>
        <v>2.546042841741878E-2</v>
      </c>
      <c r="C68" s="18">
        <f si="8" t="shared"/>
        <v>5.7428231331991382E-2</v>
      </c>
      <c r="D68" s="18">
        <f si="8" t="shared"/>
        <v>0.10215949106673161</v>
      </c>
      <c r="E68" s="18">
        <f si="8" t="shared"/>
        <v>9.7933989006359121E-2</v>
      </c>
      <c r="F68" s="18">
        <f si="8" t="shared"/>
        <v>8.065628212396217E-2</v>
      </c>
      <c r="G68" s="18"/>
      <c r="H68" s="12">
        <v>6.25E-2</v>
      </c>
      <c r="I68" s="18">
        <f ref="I68:M68" si="9" t="shared">I11/I$57</f>
        <v>3.0847210712030771E-2</v>
      </c>
      <c r="J68" s="18">
        <f si="9" t="shared"/>
        <v>6.6958023438772912E-2</v>
      </c>
      <c r="K68" s="18">
        <f si="9" t="shared"/>
        <v>0.10403646524435667</v>
      </c>
      <c r="L68" s="18">
        <f si="9" t="shared"/>
        <v>0.10080481771778917</v>
      </c>
      <c r="M68" s="18">
        <f si="9" t="shared"/>
        <v>8.523601566172169E-2</v>
      </c>
    </row>
    <row r="69" spans="1:13" x14ac:dyDescent="0.25">
      <c r="A69" s="12">
        <v>8.3333333333333329E-2</v>
      </c>
      <c r="B69" s="18">
        <f ref="B69:F69" si="10" t="shared">B12/B$57</f>
        <v>2.274667943620862E-2</v>
      </c>
      <c r="C69" s="18">
        <f si="10" t="shared"/>
        <v>3.6871804111431129E-2</v>
      </c>
      <c r="D69" s="18">
        <f si="10" t="shared"/>
        <v>6.3062895089520857E-2</v>
      </c>
      <c r="E69" s="18">
        <f si="10" t="shared"/>
        <v>5.6037414411237038E-2</v>
      </c>
      <c r="F69" s="18">
        <f si="10" t="shared"/>
        <v>5.1011832354533652E-2</v>
      </c>
      <c r="G69" s="18"/>
      <c r="H69" s="12">
        <v>8.3333333333333329E-2</v>
      </c>
      <c r="I69" s="18">
        <f ref="I69:M69" si="11" t="shared">I12/I$57</f>
        <v>3.0990042759984737E-2</v>
      </c>
      <c r="J69" s="18">
        <f si="11" t="shared"/>
        <v>5.1162700404067896E-2</v>
      </c>
      <c r="K69" s="18">
        <f si="11" t="shared"/>
        <v>6.5276779246532343E-2</v>
      </c>
      <c r="L69" s="18">
        <f si="11" t="shared"/>
        <v>5.8655293414594731E-2</v>
      </c>
      <c r="M69" s="18">
        <f si="11" t="shared"/>
        <v>5.6604552869146535E-2</v>
      </c>
    </row>
    <row r="70" spans="1:13" x14ac:dyDescent="0.25">
      <c r="A70" s="12">
        <v>0.10416666666666667</v>
      </c>
      <c r="B70" s="18">
        <f ref="B70:F70" si="12" t="shared">B13/B$57</f>
        <v>2.2764923530181193E-2</v>
      </c>
      <c r="C70" s="18">
        <f si="12" t="shared"/>
        <v>2.6436050903955229E-2</v>
      </c>
      <c r="D70" s="18">
        <f si="12" t="shared"/>
        <v>3.8572643661097965E-2</v>
      </c>
      <c r="E70" s="18">
        <f si="12" t="shared"/>
        <v>3.1754413955459568E-2</v>
      </c>
      <c r="F70" s="18">
        <f si="12" t="shared"/>
        <v>3.3280678863768051E-2</v>
      </c>
      <c r="G70" s="18"/>
      <c r="H70" s="12">
        <v>0.10416666666666667</v>
      </c>
      <c r="I70" s="18">
        <f ref="I70:M70" si="13" t="shared">I13/I$57</f>
        <v>3.2059362523325294E-2</v>
      </c>
      <c r="J70" s="18">
        <f si="13" t="shared"/>
        <v>4.0881562326918003E-2</v>
      </c>
      <c r="K70" s="18">
        <f si="13" t="shared"/>
        <v>4.0497622498177122E-2</v>
      </c>
      <c r="L70" s="18">
        <f si="13" t="shared"/>
        <v>3.3514413915183727E-2</v>
      </c>
      <c r="M70" s="18">
        <f si="13" t="shared"/>
        <v>3.8570155074527851E-2</v>
      </c>
    </row>
    <row r="71" spans="1:13" x14ac:dyDescent="0.25">
      <c r="A71" s="12">
        <v>0.125</v>
      </c>
      <c r="B71" s="18">
        <f ref="B71:F71" si="14" t="shared">B14/B$57</f>
        <v>2.4295482400827198E-2</v>
      </c>
      <c r="C71" s="18">
        <f si="14" t="shared"/>
        <v>2.1973754458258037E-2</v>
      </c>
      <c r="D71" s="18">
        <f si="14" t="shared"/>
        <v>2.404894455247529E-2</v>
      </c>
      <c r="E71" s="18">
        <f si="14" t="shared"/>
        <v>1.866376577151024E-2</v>
      </c>
      <c r="F71" s="18">
        <f si="14" t="shared"/>
        <v>2.3408325959339199E-2</v>
      </c>
      <c r="G71" s="18"/>
      <c r="H71" s="12">
        <v>0.125</v>
      </c>
      <c r="I71" s="18">
        <f ref="I71:M71" si="15" t="shared">I14/I$57</f>
        <v>3.330684626908495E-2</v>
      </c>
      <c r="J71" s="18">
        <f si="15" t="shared"/>
        <v>3.4504733780071864E-2</v>
      </c>
      <c r="K71" s="18">
        <f si="15" t="shared"/>
        <v>2.5356952710966562E-2</v>
      </c>
      <c r="L71" s="18">
        <f si="15" t="shared"/>
        <v>1.9615655158113716E-2</v>
      </c>
      <c r="M71" s="18">
        <f si="15" t="shared"/>
        <v>2.774149703254878E-2</v>
      </c>
    </row>
    <row r="72" spans="1:13" x14ac:dyDescent="0.25">
      <c r="A72" s="12">
        <v>0.14583333333333334</v>
      </c>
      <c r="B72" s="18">
        <f ref="B72:F72" si="16" t="shared">B15/B$57</f>
        <v>2.6388919747064345E-2</v>
      </c>
      <c r="C72" s="18">
        <f si="16" t="shared"/>
        <v>2.0753290535816749E-2</v>
      </c>
      <c r="D72" s="18">
        <f si="16" t="shared"/>
        <v>1.5543133268886469E-2</v>
      </c>
      <c r="E72" s="18">
        <f si="16" t="shared"/>
        <v>1.1589050619662209E-2</v>
      </c>
      <c r="F72" s="18">
        <f si="16" t="shared"/>
        <v>1.8110529742914216E-2</v>
      </c>
      <c r="G72" s="18"/>
      <c r="H72" s="12">
        <v>0.14583333333333334</v>
      </c>
      <c r="I72" s="18">
        <f ref="I72:M72" si="17" t="shared">I15/I$57</f>
        <v>3.4121722523853371E-2</v>
      </c>
      <c r="J72" s="18">
        <f si="17" t="shared"/>
        <v>3.0859735902876179E-2</v>
      </c>
      <c r="K72" s="18">
        <f si="17" t="shared"/>
        <v>1.6201166470849841E-2</v>
      </c>
      <c r="L72" s="18">
        <f si="17" t="shared"/>
        <v>1.2069160783451022E-2</v>
      </c>
      <c r="M72" s="18">
        <f si="17" t="shared"/>
        <v>2.1292522850872204E-2</v>
      </c>
    </row>
    <row r="73" spans="1:13" x14ac:dyDescent="0.25">
      <c r="A73" s="12">
        <v>0.16666666666666666</v>
      </c>
      <c r="B73" s="18">
        <f ref="B73:F73" si="18" t="shared">B16/B$57</f>
        <v>2.8482613043965207E-2</v>
      </c>
      <c r="C73" s="18">
        <f si="18" t="shared"/>
        <v>2.1723945305456686E-2</v>
      </c>
      <c r="D73" s="18">
        <f si="18" t="shared"/>
        <v>1.0473065328554703E-2</v>
      </c>
      <c r="E73" s="18">
        <f si="18" t="shared"/>
        <v>7.4670609207357378E-3</v>
      </c>
      <c r="F73" s="18">
        <f si="18" t="shared"/>
        <v>1.5392287900470761E-2</v>
      </c>
      <c r="G73" s="18"/>
      <c r="H73" s="12">
        <v>0.16666666666666666</v>
      </c>
      <c r="I73" s="18">
        <f ref="I73:M73" si="19" t="shared">I16/I$57</f>
        <v>3.4326868605263884E-2</v>
      </c>
      <c r="J73" s="18">
        <f si="19" t="shared"/>
        <v>2.9264202660645781E-2</v>
      </c>
      <c r="K73" s="18">
        <f si="19" t="shared"/>
        <v>1.0608971217675891E-2</v>
      </c>
      <c r="L73" s="18">
        <f si="19" t="shared"/>
        <v>7.7188046552497721E-3</v>
      </c>
      <c r="M73" s="18">
        <f si="19" t="shared"/>
        <v>1.7410793948119025E-2</v>
      </c>
    </row>
    <row r="74" spans="1:13" x14ac:dyDescent="0.25">
      <c r="A74" s="12">
        <v>0.1875</v>
      </c>
      <c r="B74" s="18">
        <f ref="B74:F74" si="20" t="shared">B17/B$57</f>
        <v>3.0376884216044196E-2</v>
      </c>
      <c r="C74" s="18">
        <f si="20" t="shared"/>
        <v>2.4779574990669708E-2</v>
      </c>
      <c r="D74" s="18">
        <f si="20" t="shared"/>
        <v>7.3768096321124143E-3</v>
      </c>
      <c r="E74" s="18">
        <f si="20" t="shared"/>
        <v>4.8578279131299253E-3</v>
      </c>
      <c r="F74" s="18">
        <f si="20" t="shared"/>
        <v>1.4245086730813159E-2</v>
      </c>
      <c r="G74" s="18"/>
      <c r="H74" s="12">
        <v>0.1875</v>
      </c>
      <c r="I74" s="18">
        <f ref="I74:M74" si="21" t="shared">I17/I$57</f>
        <v>3.4331281067311294E-2</v>
      </c>
      <c r="J74" s="18">
        <f si="21" t="shared"/>
        <v>2.9284290614446623E-2</v>
      </c>
      <c r="K74" s="18">
        <f si="21" t="shared"/>
        <v>7.1481280560430627E-3</v>
      </c>
      <c r="L74" s="18">
        <f si="21" t="shared"/>
        <v>4.9174185935932108E-3</v>
      </c>
      <c r="M74" s="18">
        <f si="21" t="shared"/>
        <v>1.5126819329278998E-2</v>
      </c>
    </row>
    <row r="75" spans="1:13" x14ac:dyDescent="0.25">
      <c r="A75" s="12">
        <v>0.20833333333333334</v>
      </c>
      <c r="B75" s="18">
        <f ref="B75:F75" si="22" t="shared">B18/B$57</f>
        <v>3.2233283833094234E-2</v>
      </c>
      <c r="C75" s="18">
        <f si="22" t="shared"/>
        <v>2.9777325760341925E-2</v>
      </c>
      <c r="D75" s="18">
        <f si="22" t="shared"/>
        <v>5.4449589441340068E-3</v>
      </c>
      <c r="E75" s="18">
        <f si="22" t="shared"/>
        <v>3.1638117857845614E-3</v>
      </c>
      <c r="F75" s="18">
        <f si="22" t="shared"/>
        <v>1.4158379831890647E-2</v>
      </c>
      <c r="G75" s="18"/>
      <c r="H75" s="12">
        <v>0.20833333333333334</v>
      </c>
      <c r="I75" s="18">
        <f ref="I75:M75" si="23" t="shared">I18/I$57</f>
        <v>3.5029017309636881E-2</v>
      </c>
      <c r="J75" s="18">
        <f si="23" t="shared"/>
        <v>3.0547612468919263E-2</v>
      </c>
      <c r="K75" s="18">
        <f si="23" t="shared"/>
        <v>4.9862354425828388E-3</v>
      </c>
      <c r="L75" s="18">
        <f si="23" t="shared"/>
        <v>2.9679551102392305E-3</v>
      </c>
      <c r="M75" s="18">
        <f si="23" t="shared"/>
        <v>1.3994882236776479E-2</v>
      </c>
    </row>
    <row r="76" spans="1:13" x14ac:dyDescent="0.25">
      <c r="A76" s="12">
        <v>0.22916666666666666</v>
      </c>
      <c r="B76" s="18">
        <f ref="B76:F76" si="24" t="shared">B19/B$57</f>
        <v>3.4641358229023742E-2</v>
      </c>
      <c r="C76" s="18">
        <f si="24" t="shared"/>
        <v>3.5835225959447645E-2</v>
      </c>
      <c r="D76" s="18">
        <f si="24" t="shared"/>
        <v>4.2018091088931557E-3</v>
      </c>
      <c r="E76" s="18">
        <f si="24" t="shared"/>
        <v>2.1140660346159338E-3</v>
      </c>
      <c r="F76" s="18">
        <f si="24" t="shared"/>
        <v>1.4794320480541695E-2</v>
      </c>
      <c r="G76" s="18"/>
      <c r="H76" s="12">
        <v>0.22916666666666666</v>
      </c>
      <c r="I76" s="18">
        <f ref="I76:M76" si="25" t="shared">I19/I$57</f>
        <v>3.7429879510263657E-2</v>
      </c>
      <c r="J76" s="18">
        <f si="25" t="shared"/>
        <v>3.2639644803740722E-2</v>
      </c>
      <c r="K76" s="18">
        <f si="25" t="shared"/>
        <v>3.6246344078212193E-3</v>
      </c>
      <c r="L76" s="18">
        <f si="25" t="shared"/>
        <v>1.6274579518362232E-3</v>
      </c>
      <c r="M76" s="18">
        <f si="25" t="shared"/>
        <v>1.3816816482247092E-2</v>
      </c>
    </row>
    <row r="77" spans="1:13" x14ac:dyDescent="0.25">
      <c r="A77" s="12">
        <v>0.25</v>
      </c>
      <c r="B77" s="18">
        <f ref="B77:F77" si="26" t="shared">B20/B$57</f>
        <v>3.8631318386474947E-2</v>
      </c>
      <c r="C77" s="18">
        <f si="26" t="shared"/>
        <v>4.1248567480725619E-2</v>
      </c>
      <c r="D77" s="18">
        <f si="26" t="shared"/>
        <v>3.3609172251237896E-3</v>
      </c>
      <c r="E77" s="18">
        <f si="26" t="shared"/>
        <v>1.5303764985387751E-3</v>
      </c>
      <c r="F77" s="18">
        <f si="26" t="shared"/>
        <v>1.5876047115948571E-2</v>
      </c>
      <c r="G77" s="18"/>
      <c r="H77" s="12">
        <v>0.25</v>
      </c>
      <c r="I77" s="18">
        <f ref="I77:M77" si="27" t="shared">I20/I$57</f>
        <v>4.2170782689135107E-2</v>
      </c>
      <c r="J77" s="18">
        <f si="27" t="shared"/>
        <v>3.4984363325632144E-2</v>
      </c>
      <c r="K77" s="18">
        <f si="27" t="shared"/>
        <v>2.7557727628560748E-3</v>
      </c>
      <c r="L77" s="18">
        <f si="27" t="shared"/>
        <v>7.8755192084556066E-4</v>
      </c>
      <c r="M77" s="18">
        <f si="27" t="shared"/>
        <v>1.4428769476682424E-2</v>
      </c>
    </row>
    <row r="78" spans="1:13" x14ac:dyDescent="0.25">
      <c r="A78" s="12">
        <v>0.27083333333333331</v>
      </c>
      <c r="B78" s="18">
        <f ref="B78:F78" si="28" t="shared">B21/B$57</f>
        <v>4.5321251964770194E-2</v>
      </c>
      <c r="C78" s="18">
        <f si="28" t="shared"/>
        <v>4.4117161838774982E-2</v>
      </c>
      <c r="D78" s="18">
        <f si="28" t="shared"/>
        <v>2.7582246028693253E-3</v>
      </c>
      <c r="E78" s="18">
        <f si="28" t="shared"/>
        <v>1.2434026408417568E-3</v>
      </c>
      <c r="F78" s="18">
        <f si="28" t="shared"/>
        <v>1.7183050266172555E-2</v>
      </c>
      <c r="G78" s="18"/>
      <c r="H78" s="12">
        <v>0.27083333333333331</v>
      </c>
      <c r="I78" s="18">
        <f ref="I78:M78" si="29" t="shared">I21/I$57</f>
        <v>4.9131703602981469E-2</v>
      </c>
      <c r="J78" s="18">
        <f si="29" t="shared"/>
        <v>3.6781280783606568E-2</v>
      </c>
      <c r="K78" s="18">
        <f si="29" t="shared"/>
        <v>2.187053132088332E-3</v>
      </c>
      <c r="L78" s="18">
        <f si="29" t="shared"/>
        <v>3.3401253373671966E-4</v>
      </c>
      <c r="M78" s="18">
        <f si="29" t="shared"/>
        <v>1.5567355348771295E-2</v>
      </c>
    </row>
    <row r="79" spans="1:13" x14ac:dyDescent="0.25">
      <c r="A79" s="12">
        <v>0.29166666666666669</v>
      </c>
      <c r="B79" s="18">
        <f ref="B79:F79" si="30" t="shared">B22/B$57</f>
        <v>5.5008922792173835E-2</v>
      </c>
      <c r="C79" s="18">
        <f si="30" t="shared"/>
        <v>4.3316652557576413E-2</v>
      </c>
      <c r="D79" s="18">
        <f si="30" t="shared"/>
        <v>2.3021245919190953E-3</v>
      </c>
      <c r="E79" s="18">
        <f si="30" t="shared"/>
        <v>1.0915377849446991E-3</v>
      </c>
      <c r="F79" s="18">
        <f si="30" t="shared"/>
        <v>1.8518576535454169E-2</v>
      </c>
      <c r="G79" s="18"/>
      <c r="H79" s="12">
        <v>0.29166666666666669</v>
      </c>
      <c r="I79" s="18">
        <f ref="I79:M79" si="31" t="shared">I22/I$57</f>
        <v>5.7295765898375928E-2</v>
      </c>
      <c r="J79" s="18">
        <f si="31" t="shared"/>
        <v>3.7188488105000923E-2</v>
      </c>
      <c r="K79" s="18">
        <f si="31" t="shared"/>
        <v>1.798302858112152E-3</v>
      </c>
      <c r="L79" s="18">
        <f si="31" t="shared"/>
        <v>1.3395376644477255E-4</v>
      </c>
      <c r="M79" s="18">
        <f si="31" t="shared"/>
        <v>1.6844669554205303E-2</v>
      </c>
    </row>
    <row r="80" spans="1:13" x14ac:dyDescent="0.25">
      <c r="A80" s="12">
        <v>0.3125</v>
      </c>
      <c r="B80" s="18">
        <f ref="B80:F80" si="32" t="shared">B23/B$57</f>
        <v>6.615514025603951E-2</v>
      </c>
      <c r="C80" s="18">
        <f si="32" t="shared"/>
        <v>3.9096920988297743E-2</v>
      </c>
      <c r="D80" s="18">
        <f si="32" t="shared"/>
        <v>1.9366364332670575E-3</v>
      </c>
      <c r="E80" s="18">
        <f si="32" t="shared"/>
        <v>9.6270866921219342E-4</v>
      </c>
      <c r="F80" s="18">
        <f si="32" t="shared"/>
        <v>1.9606226380686625E-2</v>
      </c>
      <c r="G80" s="18"/>
      <c r="H80" s="12">
        <v>0.3125</v>
      </c>
      <c r="I80" s="18">
        <f ref="I80:M80" si="33" t="shared">I23/I$57</f>
        <v>6.487008616052424E-2</v>
      </c>
      <c r="J80" s="18">
        <f si="33" t="shared"/>
        <v>3.5718929474205685E-2</v>
      </c>
      <c r="K80" s="18">
        <f si="33" t="shared"/>
        <v>1.5172299707641107E-3</v>
      </c>
      <c r="L80" s="18">
        <f si="33" t="shared"/>
        <v>7.091189198385238E-5</v>
      </c>
      <c r="M80" s="18">
        <f si="33" t="shared"/>
        <v>1.7815524772746776E-2</v>
      </c>
    </row>
    <row r="81" spans="1:13" x14ac:dyDescent="0.25">
      <c r="A81" s="12">
        <v>0.33333333333333331</v>
      </c>
      <c r="B81" s="18">
        <f ref="B81:F81" si="34" t="shared">B24/B$57</f>
        <v>7.5294660043812439E-2</v>
      </c>
      <c r="C81" s="18">
        <f si="34" t="shared"/>
        <v>3.2829526454763308E-2</v>
      </c>
      <c r="D81" s="18">
        <f si="34" t="shared"/>
        <v>1.6256920049975362E-3</v>
      </c>
      <c r="E81" s="18">
        <f si="34" t="shared"/>
        <v>8.1880823084955396E-4</v>
      </c>
      <c r="F81" s="18">
        <f si="34" t="shared"/>
        <v>2.0024353938319434E-2</v>
      </c>
      <c r="G81" s="18"/>
      <c r="H81" s="12">
        <v>0.33333333333333331</v>
      </c>
      <c r="I81" s="18">
        <f ref="I81:M81" si="35" t="shared">I24/I$57</f>
        <v>6.9667482445627357E-2</v>
      </c>
      <c r="J81" s="18">
        <f si="35" t="shared"/>
        <v>3.2508489282700316E-2</v>
      </c>
      <c r="K81" s="18">
        <f si="35" t="shared"/>
        <v>1.3020159311293183E-3</v>
      </c>
      <c r="L81" s="18">
        <f si="35" t="shared"/>
        <v>6.7613903282579639E-5</v>
      </c>
      <c r="M81" s="18">
        <f si="35" t="shared"/>
        <v>1.8076282051825949E-2</v>
      </c>
    </row>
    <row r="82" spans="1:13" x14ac:dyDescent="0.25">
      <c r="A82" s="12">
        <v>0.35416666666666669</v>
      </c>
      <c r="B82" s="18">
        <f ref="B82:F82" si="36" t="shared">B25/B$57</f>
        <v>7.8506193647651698E-2</v>
      </c>
      <c r="C82" s="18">
        <f si="36" t="shared"/>
        <v>2.6137565385568447E-2</v>
      </c>
      <c r="D82" s="18">
        <f si="36" t="shared"/>
        <v>1.3510380077420712E-3</v>
      </c>
      <c r="E82" s="18">
        <f si="36" t="shared"/>
        <v>6.6971197666509019E-4</v>
      </c>
      <c r="F82" s="18">
        <f si="36" t="shared"/>
        <v>1.932426839710746E-2</v>
      </c>
      <c r="G82" s="18"/>
      <c r="H82" s="12">
        <v>0.35416666666666669</v>
      </c>
      <c r="I82" s="18">
        <f ref="I82:M82" si="37" t="shared">I25/I$57</f>
        <v>6.9770616297308283E-2</v>
      </c>
      <c r="J82" s="18">
        <f si="37" t="shared"/>
        <v>2.8180184482637521E-2</v>
      </c>
      <c r="K82" s="18">
        <f si="37" t="shared"/>
        <v>1.1267129153437062E-3</v>
      </c>
      <c r="L82" s="18">
        <f si="37" t="shared"/>
        <v>8.2691632609965604E-5</v>
      </c>
      <c r="M82" s="18">
        <f si="37" t="shared"/>
        <v>1.7355204373134821E-2</v>
      </c>
    </row>
    <row r="83" spans="1:13" x14ac:dyDescent="0.25">
      <c r="A83" s="12">
        <v>0.375</v>
      </c>
      <c r="B83" s="18">
        <f ref="B83:F83" si="38" t="shared">B26/B$57</f>
        <v>7.3684619195684989E-2</v>
      </c>
      <c r="C83" s="18">
        <f si="38" t="shared"/>
        <v>2.0109921614716839E-2</v>
      </c>
      <c r="D83" s="18">
        <f si="38" t="shared"/>
        <v>1.1097089900625049E-3</v>
      </c>
      <c r="E83" s="18">
        <f si="38" t="shared"/>
        <v>5.2859422236558912E-4</v>
      </c>
      <c r="F83" s="18">
        <f si="38" t="shared"/>
        <v>1.7305631697472929E-2</v>
      </c>
      <c r="G83" s="18"/>
      <c r="H83" s="12">
        <v>0.375</v>
      </c>
      <c r="I83" s="18">
        <f ref="I83:M83" si="39" t="shared">I26/I$57</f>
        <v>6.4348229685697256E-2</v>
      </c>
      <c r="J83" s="18">
        <f si="39" t="shared"/>
        <v>2.3436934257273917E-2</v>
      </c>
      <c r="K83" s="18">
        <f si="39" t="shared"/>
        <v>9.7219484827130184E-4</v>
      </c>
      <c r="L83" s="18">
        <f si="39" t="shared"/>
        <v>9.6622501342558069E-5</v>
      </c>
      <c r="M83" s="18">
        <f si="39" t="shared"/>
        <v>1.5593015792958338E-2</v>
      </c>
    </row>
    <row r="84" spans="1:13" x14ac:dyDescent="0.25">
      <c r="A84" s="12">
        <v>0.39583333333333331</v>
      </c>
      <c r="B84" s="18">
        <f ref="B84:F84" si="40" t="shared">B27/B$57</f>
        <v>6.1876588623570386E-2</v>
      </c>
      <c r="C84" s="18">
        <f si="40" t="shared"/>
        <v>1.5092791381306939E-2</v>
      </c>
      <c r="D84" s="18">
        <f si="40" t="shared"/>
        <v>9.0632140730777353E-4</v>
      </c>
      <c r="E84" s="18">
        <f si="40" t="shared"/>
        <v>3.9552534486001937E-4</v>
      </c>
      <c r="F84" s="18">
        <f si="40" t="shared"/>
        <v>1.4217225705142032E-2</v>
      </c>
      <c r="G84" s="18"/>
      <c r="H84" s="12">
        <v>0.39583333333333331</v>
      </c>
      <c r="I84" s="18">
        <f ref="I84:M84" si="41" t="shared">I27/I$57</f>
        <v>5.4197024244559987E-2</v>
      </c>
      <c r="J84" s="18">
        <f si="41" t="shared"/>
        <v>1.8760078728006918E-2</v>
      </c>
      <c r="K84" s="18">
        <f si="41" t="shared"/>
        <v>8.2488892298050753E-4</v>
      </c>
      <c r="L84" s="18">
        <f si="41" t="shared"/>
        <v>1.0116904123080469E-4</v>
      </c>
      <c r="M84" s="18">
        <f si="41" t="shared"/>
        <v>1.2994614479180433E-2</v>
      </c>
    </row>
    <row r="85" spans="1:13" x14ac:dyDescent="0.25">
      <c r="A85" s="12">
        <v>0.41666666666666669</v>
      </c>
      <c r="B85" s="18">
        <f ref="B85:F85" si="42" t="shared">B28/B$57</f>
        <v>4.6601987001611195E-2</v>
      </c>
      <c r="C85" s="18">
        <f si="42" t="shared"/>
        <v>1.0988341623947991E-2</v>
      </c>
      <c r="D85" s="18">
        <f si="42" t="shared"/>
        <v>7.4472475540687149E-4</v>
      </c>
      <c r="E85" s="18">
        <f si="42" t="shared"/>
        <v>2.7044176845608794E-4</v>
      </c>
      <c r="F85" s="18">
        <f si="42" t="shared"/>
        <v>1.0679904569609218E-2</v>
      </c>
      <c r="G85" s="18"/>
      <c r="H85" s="12">
        <v>0.41666666666666669</v>
      </c>
      <c r="I85" s="18">
        <f ref="I85:M85" si="43" t="shared">I28/I$57</f>
        <v>4.1536938256314104E-2</v>
      </c>
      <c r="J85" s="18">
        <f si="43" t="shared"/>
        <v>1.4403258941356455E-2</v>
      </c>
      <c r="K85" s="18">
        <f si="43" t="shared"/>
        <v>6.7932108755632806E-4</v>
      </c>
      <c r="L85" s="18">
        <f si="43" t="shared"/>
        <v>9.4623387679456414E-5</v>
      </c>
      <c r="M85" s="18">
        <f si="43" t="shared"/>
        <v>9.9926169305022527E-3</v>
      </c>
    </row>
    <row r="86" spans="1:13" x14ac:dyDescent="0.25">
      <c r="A86" s="12">
        <v>0.4375</v>
      </c>
      <c r="B86" s="18">
        <f ref="B86:F86" si="44" t="shared">B29/B$57</f>
        <v>3.1802531527731888E-2</v>
      </c>
      <c r="C86" s="18">
        <f si="44" t="shared"/>
        <v>7.6503665389131845E-3</v>
      </c>
      <c r="D86" s="18">
        <f si="44" t="shared"/>
        <v>6.2315576068672869E-4</v>
      </c>
      <c r="E86" s="18">
        <f si="44" t="shared"/>
        <v>1.6309277011323511E-4</v>
      </c>
      <c r="F86" s="18">
        <f si="44" t="shared"/>
        <v>7.3798966692564692E-3</v>
      </c>
      <c r="G86" s="18"/>
      <c r="H86" s="12">
        <v>0.4375</v>
      </c>
      <c r="I86" s="18">
        <f ref="I86:M86" si="45" t="shared">I29/I$57</f>
        <v>2.9051320310358217E-2</v>
      </c>
      <c r="J86" s="18">
        <f si="45" t="shared"/>
        <v>1.0539911497251401E-2</v>
      </c>
      <c r="K86" s="18">
        <f si="45" t="shared"/>
        <v>5.3832946418180502E-4</v>
      </c>
      <c r="L86" s="18">
        <f si="45" t="shared"/>
        <v>7.9414872902471532E-5</v>
      </c>
      <c r="M86" s="18">
        <f si="45" t="shared"/>
        <v>7.0964752910286288E-3</v>
      </c>
    </row>
    <row r="87" spans="1:13" x14ac:dyDescent="0.25">
      <c r="A87" s="12">
        <v>0.45833333333333331</v>
      </c>
      <c r="B87" s="18">
        <f ref="B87:F87" si="46" t="shared">B30/B$57</f>
        <v>2.0042358674926302E-2</v>
      </c>
      <c r="C87" s="18">
        <f si="46" t="shared"/>
        <v>5.0528874974421507E-3</v>
      </c>
      <c r="D87" s="18">
        <f si="46" t="shared"/>
        <v>5.3287749767295055E-4</v>
      </c>
      <c r="E87" s="18">
        <f si="46" t="shared"/>
        <v>8.5137769355160574E-5</v>
      </c>
      <c r="F87" s="18">
        <f si="46" t="shared"/>
        <v>4.7708973824740738E-3</v>
      </c>
      <c r="G87" s="18"/>
      <c r="H87" s="12">
        <v>0.45833333333333331</v>
      </c>
      <c r="I87" s="18">
        <f ref="I87:M87" si="47" t="shared">I30/I$57</f>
        <v>1.8767640243199355E-2</v>
      </c>
      <c r="J87" s="18">
        <f si="47" t="shared"/>
        <v>7.3365586473691019E-3</v>
      </c>
      <c r="K87" s="18">
        <f si="47" t="shared"/>
        <v>4.093684515538507E-4</v>
      </c>
      <c r="L87" s="18">
        <f si="47" t="shared"/>
        <v>5.9917588775353419E-5</v>
      </c>
      <c r="M87" s="18">
        <f si="47" t="shared"/>
        <v>4.6997095485130464E-3</v>
      </c>
    </row>
    <row r="88" spans="1:13" x14ac:dyDescent="0.25">
      <c r="A88" s="12">
        <v>0.47916666666666669</v>
      </c>
      <c r="B88" s="18">
        <f ref="B88:F88" si="48" t="shared">B31/B$57</f>
        <v>1.2001944164825437E-2</v>
      </c>
      <c r="C88" s="18">
        <f si="48" t="shared"/>
        <v>3.2104379715815882E-3</v>
      </c>
      <c r="D88" s="18">
        <f si="48" t="shared"/>
        <v>4.5988103081020452E-4</v>
      </c>
      <c r="E88" s="18">
        <f si="48" t="shared"/>
        <v>3.8710613691008086E-5</v>
      </c>
      <c r="F88" s="18">
        <f si="48" t="shared"/>
        <v>2.9698891106683992E-3</v>
      </c>
      <c r="G88" s="18"/>
      <c r="H88" s="12">
        <v>0.47916666666666669</v>
      </c>
      <c r="I88" s="18">
        <f ref="I88:M88" si="49" t="shared">I31/I$57</f>
        <v>1.1477737704482101E-2</v>
      </c>
      <c r="J88" s="18">
        <f si="49" t="shared"/>
        <v>4.8970785705381922E-3</v>
      </c>
      <c r="K88" s="18">
        <f si="49" t="shared"/>
        <v>2.9991983144100068E-4</v>
      </c>
      <c r="L88" s="18">
        <f si="49" t="shared"/>
        <v>4.050840232100204E-5</v>
      </c>
      <c r="M88" s="18">
        <f si="49" t="shared"/>
        <v>2.9646549023104522E-3</v>
      </c>
    </row>
    <row r="89" spans="1:13" x14ac:dyDescent="0.25">
      <c r="A89" s="12">
        <v>0.5</v>
      </c>
      <c r="B89" s="18">
        <f ref="B89:F89" si="50" t="shared">B32/B$57</f>
        <v>7.069602647705015E-3</v>
      </c>
      <c r="C89" s="18">
        <f si="50" t="shared"/>
        <v>2.0420052602423736E-3</v>
      </c>
      <c r="D89" s="18">
        <f si="50" t="shared"/>
        <v>3.9007892684437038E-4</v>
      </c>
      <c r="E89" s="18">
        <f si="50" t="shared"/>
        <v>1.5902536752225113E-5</v>
      </c>
      <c r="F89" s="18">
        <f si="50" t="shared"/>
        <v>1.8443291157105807E-3</v>
      </c>
      <c r="G89" s="18"/>
      <c r="H89" s="12">
        <v>0.5</v>
      </c>
      <c r="I89" s="18">
        <f ref="I89:M89" si="51" t="shared">I32/I$57</f>
        <v>6.9007754399423964E-3</v>
      </c>
      <c r="J89" s="18">
        <f si="51" t="shared"/>
        <v>3.1897041889159686E-3</v>
      </c>
      <c r="K89" s="18">
        <f si="51" t="shared"/>
        <v>2.1468550072051309E-4</v>
      </c>
      <c r="L89" s="18">
        <f si="51" t="shared"/>
        <v>2.433171462458457E-5</v>
      </c>
      <c r="M89" s="18">
        <f si="51" t="shared"/>
        <v>1.8392584449833862E-3</v>
      </c>
    </row>
    <row r="90" spans="1:13" x14ac:dyDescent="0.25">
      <c r="A90" s="12">
        <v>0.52083333333333337</v>
      </c>
      <c r="B90" s="18">
        <f ref="B90:F90" si="52" t="shared">B33/B$57</f>
        <v>4.2145505923889288E-3</v>
      </c>
      <c r="C90" s="18">
        <f si="52" t="shared"/>
        <v>1.3494604489842424E-3</v>
      </c>
      <c r="D90" s="18">
        <f si="52" t="shared"/>
        <v>3.1569411419198382E-4</v>
      </c>
      <c r="E90" s="18">
        <f si="52" t="shared"/>
        <v>6.2353787470215974E-6</v>
      </c>
      <c r="F90" s="18">
        <f si="52" t="shared"/>
        <v>1.170275828110489E-3</v>
      </c>
      <c r="G90" s="18"/>
      <c r="H90" s="12">
        <v>0.52083333333333337</v>
      </c>
      <c r="I90" s="18">
        <f ref="I90:M90" si="53" t="shared">I33/I$57</f>
        <v>4.2473388482020631E-3</v>
      </c>
      <c r="J90" s="18">
        <f si="53" t="shared"/>
        <v>2.0596963921689164E-3</v>
      </c>
      <c r="K90" s="18">
        <f si="53" t="shared"/>
        <v>1.5453429176660074E-4</v>
      </c>
      <c r="L90" s="18">
        <f si="53" t="shared"/>
        <v>1.281722152606715E-5</v>
      </c>
      <c r="M90" s="18">
        <f si="53" t="shared"/>
        <v>1.1596241160405577E-3</v>
      </c>
    </row>
    <row r="91" spans="1:13" x14ac:dyDescent="0.25">
      <c r="A91" s="12">
        <v>0.54166666666666663</v>
      </c>
      <c r="B91" s="18">
        <f ref="B91:F91" si="54" t="shared">B34/B$57</f>
        <v>2.5585992007368151E-3</v>
      </c>
      <c r="C91" s="18">
        <f si="54" t="shared"/>
        <v>9.1373912223430894E-4</v>
      </c>
      <c r="D91" s="18">
        <f si="54" t="shared"/>
        <v>2.3794541904407175E-4</v>
      </c>
      <c r="E91" s="18">
        <f si="54" t="shared"/>
        <v>2.3855567053328374E-6</v>
      </c>
      <c r="F91" s="18">
        <f si="54" t="shared"/>
        <v>7.5335583500768142E-4</v>
      </c>
      <c r="G91" s="18"/>
      <c r="H91" s="12">
        <v>0.54166666666666663</v>
      </c>
      <c r="I91" s="18">
        <f ref="I91:M91" si="55" t="shared">I34/I$57</f>
        <v>2.7295833325435663E-3</v>
      </c>
      <c r="J91" s="18">
        <f si="55" t="shared"/>
        <v>1.3160375566070891E-3</v>
      </c>
      <c r="K91" s="18">
        <f si="55" t="shared"/>
        <v>1.1631272660328171E-4</v>
      </c>
      <c r="L91" s="18">
        <f si="55" t="shared"/>
        <v>5.8236910018931663E-6</v>
      </c>
      <c r="M91" s="18">
        <f si="55" t="shared"/>
        <v>7.5427591588606555E-4</v>
      </c>
    </row>
    <row r="92" spans="1:13" x14ac:dyDescent="0.25">
      <c r="A92" s="12">
        <v>0.5625</v>
      </c>
      <c r="B92" s="18">
        <f ref="B92:F92" si="56" t="shared">B35/B$57</f>
        <v>1.5521985976476907E-3</v>
      </c>
      <c r="C92" s="18">
        <f si="56" t="shared"/>
        <v>5.9431631194967931E-4</v>
      </c>
      <c r="D92" s="18">
        <f si="56" t="shared"/>
        <v>1.6410606471685125E-4</v>
      </c>
      <c r="E92" s="18">
        <f si="56" t="shared"/>
        <v>8.4633042600702168E-7</v>
      </c>
      <c r="F92" s="18">
        <f si="56" t="shared"/>
        <v>4.7527969857474894E-4</v>
      </c>
      <c r="G92" s="18"/>
      <c r="H92" s="12">
        <v>0.5625</v>
      </c>
      <c r="I92" s="18">
        <f ref="I92:M92" si="57" t="shared">I35/I$57</f>
        <v>1.8048090631884468E-3</v>
      </c>
      <c r="J92" s="18">
        <f si="57" t="shared"/>
        <v>8.1175356039956369E-4</v>
      </c>
      <c r="K92" s="18">
        <f si="57" t="shared"/>
        <v>9.3609915681647359E-5</v>
      </c>
      <c r="L92" s="18">
        <f si="57" t="shared"/>
        <v>2.2370516191836978E-6</v>
      </c>
      <c r="M92" s="18">
        <f si="57" t="shared"/>
        <v>5.0019825173908301E-4</v>
      </c>
    </row>
    <row r="93" spans="1:13" x14ac:dyDescent="0.25">
      <c r="A93" s="12">
        <v>0.58333333333333337</v>
      </c>
      <c r="B93" s="18">
        <f ref="B93:F93" si="58" t="shared">B36/B$57</f>
        <v>9.1836635369253912E-4</v>
      </c>
      <c r="C93" s="18">
        <f si="58" t="shared"/>
        <v>3.4656536823908773E-4</v>
      </c>
      <c r="D93" s="18">
        <f si="58" t="shared"/>
        <v>1.0208425894014196E-4</v>
      </c>
      <c r="E93" s="18">
        <f si="58" t="shared"/>
        <v>2.5436335911537115E-7</v>
      </c>
      <c r="F93" s="18">
        <f si="58" t="shared"/>
        <v>2.8329550462132842E-4</v>
      </c>
      <c r="G93" s="18"/>
      <c r="H93" s="12">
        <v>0.58333333333333337</v>
      </c>
      <c r="I93" s="18">
        <f ref="I93:M93" si="59" t="shared">I36/I$57</f>
        <v>1.1896791454590622E-3</v>
      </c>
      <c r="J93" s="18">
        <f si="59" t="shared"/>
        <v>4.6610521272779049E-4</v>
      </c>
      <c r="K93" s="18">
        <f si="59" t="shared"/>
        <v>7.8879297411466563E-5</v>
      </c>
      <c r="L93" s="18">
        <f si="59" t="shared"/>
        <v>7.0889991298347164E-7</v>
      </c>
      <c r="M93" s="18">
        <f si="59" t="shared"/>
        <v>3.2997946612542287E-4</v>
      </c>
    </row>
    <row r="94" spans="1:13" x14ac:dyDescent="0.25">
      <c r="A94" s="12">
        <v>0.60416666666666663</v>
      </c>
      <c r="B94" s="18">
        <f ref="B94:F94" si="60" t="shared">B37/B$57</f>
        <v>5.3289084462235952E-4</v>
      </c>
      <c r="C94" s="18">
        <f si="60" t="shared"/>
        <v>1.7252241970845241E-4</v>
      </c>
      <c r="D94" s="18">
        <f si="60" t="shared"/>
        <v>5.6489015353957479E-5</v>
      </c>
      <c r="E94" s="18">
        <f si="60" t="shared"/>
        <v>5.9396873337540639E-8</v>
      </c>
      <c r="F94" s="18">
        <f si="60" t="shared"/>
        <v>1.580276339511816E-4</v>
      </c>
      <c r="G94" s="18"/>
      <c r="H94" s="12">
        <v>0.60416666666666663</v>
      </c>
      <c r="I94" s="18">
        <f ref="I94:M94" si="61" t="shared">I37/I$57</f>
        <v>7.6841864403903476E-4</v>
      </c>
      <c r="J94" s="18">
        <f si="61" t="shared"/>
        <v>2.4056450494207407E-4</v>
      </c>
      <c r="K94" s="18">
        <f si="61" t="shared"/>
        <v>6.6189435607915908E-5</v>
      </c>
      <c r="L94" s="18">
        <f si="61" t="shared"/>
        <v>1.7957148026428347E-7</v>
      </c>
      <c r="M94" s="18">
        <f si="61" t="shared"/>
        <v>2.135007643041302E-4</v>
      </c>
    </row>
    <row r="95" spans="1:13" x14ac:dyDescent="0.25">
      <c r="A95" s="12">
        <v>0.625</v>
      </c>
      <c r="B95" s="18">
        <f ref="B95:F95" si="62" t="shared">B38/B$57</f>
        <v>3.2866158303301401E-4</v>
      </c>
      <c r="C95" s="18">
        <f si="62" t="shared"/>
        <v>7.0938187430312702E-5</v>
      </c>
      <c r="D95" s="18">
        <f si="62" t="shared"/>
        <v>2.7470698699045316E-5</v>
      </c>
      <c r="E95" s="18">
        <f si="62" t="shared"/>
        <v>9.8994788895901043E-9</v>
      </c>
      <c r="F95" s="18">
        <f si="62" t="shared"/>
        <v>8.7239485905343437E-5</v>
      </c>
      <c r="G95" s="18"/>
      <c r="H95" s="12">
        <v>0.625</v>
      </c>
      <c r="I95" s="18">
        <f ref="I95:M95" si="63" t="shared">I38/I$57</f>
        <v>4.9370584895112835E-4</v>
      </c>
      <c r="J95" s="18">
        <f si="63" t="shared"/>
        <v>1.083796083301623E-4</v>
      </c>
      <c r="K95" s="18">
        <f si="63" t="shared"/>
        <v>5.293166465557511E-5</v>
      </c>
      <c r="L95" s="18">
        <f si="63" t="shared"/>
        <v>3.4804237094239011E-8</v>
      </c>
      <c r="M95" s="18">
        <f si="63" t="shared"/>
        <v>1.367150480907419E-4</v>
      </c>
    </row>
    <row r="96" spans="1:13" x14ac:dyDescent="0.25">
      <c r="A96" s="12">
        <v>0.64583333333333337</v>
      </c>
      <c r="B96" s="18">
        <f ref="B96:F96" si="64" t="shared">B39/B$57</f>
        <v>2.4694951057291153E-4</v>
      </c>
      <c r="C96" s="18">
        <f si="64" t="shared"/>
        <v>2.344726588815745E-5</v>
      </c>
      <c r="D96" s="18">
        <f si="64" t="shared"/>
        <v>1.1712656213224541E-5</v>
      </c>
      <c r="E96" s="18">
        <f si="64" t="shared"/>
        <v>1.0420504094305375E-9</v>
      </c>
      <c r="F96" s="18">
        <f si="64" t="shared"/>
        <v>5.5334444015779218E-5</v>
      </c>
      <c r="G96" s="18"/>
      <c r="H96" s="12">
        <v>0.64583333333333337</v>
      </c>
      <c r="I96" s="18">
        <f ref="I96:M96" si="65" t="shared">I39/I$57</f>
        <v>3.2840168179319165E-4</v>
      </c>
      <c r="J96" s="18">
        <f si="65" t="shared"/>
        <v>4.1543904716014736E-5</v>
      </c>
      <c r="K96" s="18">
        <f si="65" t="shared"/>
        <v>3.9481711030428888E-5</v>
      </c>
      <c r="L96" s="18">
        <f si="65" t="shared"/>
        <v>4.8255747723348152E-9</v>
      </c>
      <c r="M96" s="18">
        <f si="65" t="shared"/>
        <v>8.9055099967210515E-5</v>
      </c>
    </row>
    <row r="97" spans="1:13" x14ac:dyDescent="0.25">
      <c r="A97" s="12">
        <v>0.66666666666666663</v>
      </c>
      <c r="B97" s="18">
        <f ref="B97:F97" si="66" t="shared">B40/B$57</f>
        <v>2.2699341608517392E-4</v>
      </c>
      <c r="C97" s="18">
        <f si="66" t="shared"/>
        <v>6.048940844578649E-6</v>
      </c>
      <c r="D97" s="18">
        <f si="66" t="shared"/>
        <v>4.5113784349424216E-6</v>
      </c>
      <c r="E97" s="18">
        <f si="66" t="shared"/>
        <v>5.210252047152687E-11</v>
      </c>
      <c r="F97" s="18">
        <f si="66" t="shared"/>
        <v>4.4602073380928711E-5</v>
      </c>
      <c r="G97" s="18"/>
      <c r="H97" s="12">
        <v>0.66666666666666663</v>
      </c>
      <c r="I97" s="18">
        <f ref="I97:M97" si="67" t="shared">I40/I$57</f>
        <v>2.3207141634428986E-4</v>
      </c>
      <c r="J97" s="18">
        <f si="67" t="shared"/>
        <v>1.3200167110359688E-5</v>
      </c>
      <c r="K97" s="18">
        <f si="67" t="shared"/>
        <v>2.7447007058725745E-5</v>
      </c>
      <c r="L97" s="18">
        <f si="67" t="shared"/>
        <v>4.2422635361185185E-10</v>
      </c>
      <c r="M97" s="18">
        <f si="67" t="shared"/>
        <v>6.0289484267227703E-5</v>
      </c>
    </row>
    <row r="98" spans="1:13" x14ac:dyDescent="0.25">
      <c r="A98" s="12">
        <v>0.6875</v>
      </c>
      <c r="B98" s="18">
        <f ref="B98:F98" si="68" t="shared">B41/B$57</f>
        <v>2.1673872518196443E-4</v>
      </c>
      <c r="C98" s="18">
        <f si="68" t="shared"/>
        <v>1.1718706270033682E-6</v>
      </c>
      <c r="D98" s="18">
        <f si="68" t="shared"/>
        <v>1.7412849109724456E-6</v>
      </c>
      <c r="E98" s="18">
        <f si="68" t="shared"/>
        <v>0</v>
      </c>
      <c r="F98" s="18">
        <f si="68" t="shared"/>
        <v>4.0309218567386856E-5</v>
      </c>
      <c r="G98" s="18"/>
      <c r="H98" s="12">
        <v>0.6875</v>
      </c>
      <c r="I98" s="18">
        <f ref="I98:M98" si="69" t="shared">I41/I$57</f>
        <v>1.7018463796079732E-4</v>
      </c>
      <c r="J98" s="18">
        <f si="69" t="shared"/>
        <v>3.3697487140770512E-6</v>
      </c>
      <c r="K98" s="18">
        <f si="69" t="shared"/>
        <v>1.8009166797481798E-5</v>
      </c>
      <c r="L98" s="18">
        <f si="69" t="shared"/>
        <v>1.7676098067160494E-11</v>
      </c>
      <c r="M98" s="18">
        <f si="69" t="shared"/>
        <v>4.2001734940207392E-5</v>
      </c>
    </row>
    <row r="99" spans="1:13" x14ac:dyDescent="0.25">
      <c r="A99" s="12">
        <v>0.70833333333333337</v>
      </c>
      <c r="B99" s="18">
        <f ref="B99:F99" si="70" t="shared">B42/B$57</f>
        <v>1.874868771189663E-4</v>
      </c>
      <c r="C99" s="18">
        <f si="70" t="shared"/>
        <v>1.6120773734309276E-7</v>
      </c>
      <c r="D99" s="18">
        <f si="70" t="shared"/>
        <v>7.891224479684873E-7</v>
      </c>
      <c r="E99" s="18">
        <f si="70" t="shared"/>
        <v>0</v>
      </c>
      <c r="F99" s="18">
        <f si="70" t="shared"/>
        <v>3.4304212027657559E-5</v>
      </c>
      <c r="G99" s="18"/>
      <c r="H99" s="12">
        <v>0.70833333333333337</v>
      </c>
      <c r="I99" s="18">
        <f ref="I99:M99" si="71" t="shared">I42/I$57</f>
        <v>1.2269388713576415E-4</v>
      </c>
      <c r="J99" s="18">
        <f si="71" t="shared"/>
        <v>6.623027123106616E-7</v>
      </c>
      <c r="K99" s="18">
        <f si="71" t="shared"/>
        <v>1.1326429767197065E-5</v>
      </c>
      <c r="L99" s="18">
        <f si="71" t="shared"/>
        <v>0</v>
      </c>
      <c r="M99" s="18">
        <f si="71" t="shared"/>
        <v>2.9016382312809985E-5</v>
      </c>
    </row>
    <row r="100" spans="1:13" x14ac:dyDescent="0.25">
      <c r="A100" s="12">
        <v>0.72916666666666663</v>
      </c>
      <c r="B100" s="18">
        <f ref="B100:F100" si="72" t="shared">B43/B$57</f>
        <v>1.3812930041748336E-4</v>
      </c>
      <c r="C100" s="18">
        <f si="72" t="shared"/>
        <v>1.4438617631324418E-8</v>
      </c>
      <c r="D100" s="18">
        <f si="72" t="shared"/>
        <v>4.2625823962999528E-7</v>
      </c>
      <c r="E100" s="18">
        <f si="72" t="shared"/>
        <v>0</v>
      </c>
      <c r="F100" s="18">
        <f si="72" t="shared"/>
        <v>2.5164425596637768E-5</v>
      </c>
      <c r="G100" s="18"/>
      <c r="H100" s="12">
        <v>0.72916666666666663</v>
      </c>
      <c r="I100" s="18">
        <f ref="I100:M100" si="73" t="shared">I43/I$57</f>
        <v>8.3143992643637033E-5</v>
      </c>
      <c r="J100" s="18">
        <f si="73" t="shared"/>
        <v>9.3857848097482134E-8</v>
      </c>
      <c r="K100" s="18">
        <f si="73" t="shared"/>
        <v>6.8626673288551344E-6</v>
      </c>
      <c r="L100" s="18">
        <f si="73" t="shared"/>
        <v>0</v>
      </c>
      <c r="M100" s="18">
        <f si="73" t="shared"/>
        <v>1.9117857617133925E-5</v>
      </c>
    </row>
    <row r="101" spans="1:13" x14ac:dyDescent="0.25">
      <c r="A101" s="12">
        <v>0.75</v>
      </c>
      <c r="B101" s="18">
        <f ref="B101:F101" si="74" t="shared">B44/B$57</f>
        <v>8.4415281634685188E-5</v>
      </c>
      <c r="C101" s="18">
        <f si="74" t="shared"/>
        <v>7.3159315493916019E-10</v>
      </c>
      <c r="D101" s="18">
        <f si="74" t="shared"/>
        <v>2.3308315673739942E-7</v>
      </c>
      <c r="E101" s="18">
        <f si="74" t="shared"/>
        <v>0</v>
      </c>
      <c r="F101" s="18">
        <f si="74" t="shared"/>
        <v>1.5361259097501484E-5</v>
      </c>
      <c r="G101" s="18"/>
      <c r="H101" s="12">
        <v>0.75</v>
      </c>
      <c r="I101" s="18">
        <f ref="I101:M101" si="75" t="shared">I44/I$57</f>
        <v>5.1963928482986002E-5</v>
      </c>
      <c r="J101" s="18">
        <f si="75" t="shared"/>
        <v>8.520050743662334E-9</v>
      </c>
      <c r="K101" s="18">
        <f si="75" t="shared"/>
        <v>3.9513136625017065E-6</v>
      </c>
      <c r="L101" s="18">
        <f si="75" t="shared"/>
        <v>0</v>
      </c>
      <c r="M101" s="18">
        <f si="75" t="shared"/>
        <v>1.1736100429199188E-5</v>
      </c>
    </row>
    <row r="102" spans="1:13" x14ac:dyDescent="0.25">
      <c r="A102" s="12">
        <v>0.77083333333333337</v>
      </c>
      <c r="B102" s="18">
        <f ref="B102:F102" si="76" t="shared">B45/B$57</f>
        <v>4.2078459659243393E-5</v>
      </c>
      <c r="C102" s="18">
        <f si="76" t="shared"/>
        <v>1.6632122177991421E-11</v>
      </c>
      <c r="D102" s="18">
        <f si="76" t="shared"/>
        <v>1.1224543601637786E-7</v>
      </c>
      <c r="E102" s="18">
        <f si="76" t="shared"/>
        <v>0</v>
      </c>
      <c r="F102" s="18">
        <f si="76" t="shared"/>
        <v>7.6547374257280065E-6</v>
      </c>
      <c r="G102" s="18"/>
      <c r="H102" s="12">
        <v>0.77083333333333337</v>
      </c>
      <c r="I102" s="18">
        <f ref="I102:M102" si="77" t="shared">I45/I$57</f>
        <v>3.0263481704168556E-5</v>
      </c>
      <c r="J102" s="18">
        <f si="77" t="shared"/>
        <v>3.7149036417864207E-10</v>
      </c>
      <c r="K102" s="18">
        <f si="77" t="shared"/>
        <v>2.0998049931042312E-6</v>
      </c>
      <c r="L102" s="18">
        <f si="77" t="shared"/>
        <v>0</v>
      </c>
      <c r="M102" s="18">
        <f si="77" t="shared"/>
        <v>6.7121354118663558E-6</v>
      </c>
    </row>
    <row r="103" spans="1:13" x14ac:dyDescent="0.25">
      <c r="A103" s="12">
        <v>0.79166666666666663</v>
      </c>
      <c r="B103" s="18">
        <f ref="B103:F103" si="78" t="shared">B46/B$57</f>
        <v>1.6804368203581544E-5</v>
      </c>
      <c r="C103" s="18">
        <f si="78" t="shared"/>
        <v>0</v>
      </c>
      <c r="D103" s="18">
        <f si="78" t="shared"/>
        <v>4.440701652825092E-8</v>
      </c>
      <c r="E103" s="18">
        <f si="78" t="shared"/>
        <v>0</v>
      </c>
      <c r="F103" s="18">
        <f si="78" t="shared"/>
        <v>3.0567317297441431E-6</v>
      </c>
      <c r="G103" s="18"/>
      <c r="H103" s="12">
        <v>0.79166666666666663</v>
      </c>
      <c r="I103" s="18">
        <f ref="I103:M103" si="79" t="shared">I46/I$57</f>
        <v>1.7143509370902013E-5</v>
      </c>
      <c r="J103" s="18">
        <f si="79" t="shared"/>
        <v>0</v>
      </c>
      <c r="K103" s="18">
        <f si="79" t="shared"/>
        <v>9.9483701549821049E-7</v>
      </c>
      <c r="L103" s="18">
        <f si="79" t="shared"/>
        <v>0</v>
      </c>
      <c r="M103" s="18">
        <f si="79" t="shared"/>
        <v>3.6841061073330905E-6</v>
      </c>
    </row>
    <row r="104" spans="1:13" x14ac:dyDescent="0.25">
      <c r="A104" s="12">
        <v>0.8125</v>
      </c>
      <c r="B104" s="18">
        <f ref="B104:F104" si="80" t="shared">B47/B$57</f>
        <v>5.2461528792348836E-6</v>
      </c>
      <c r="C104" s="18">
        <f si="80" t="shared"/>
        <v>0</v>
      </c>
      <c r="D104" s="18">
        <f si="80" t="shared"/>
        <v>1.3839934734942213E-8</v>
      </c>
      <c r="E104" s="18">
        <f si="80" t="shared"/>
        <v>0</v>
      </c>
      <c r="F104" s="18">
        <f si="80" t="shared"/>
        <v>9.5426669132222499E-7</v>
      </c>
      <c r="G104" s="18"/>
      <c r="H104" s="12">
        <v>0.8125</v>
      </c>
      <c r="I104" s="18">
        <f ref="I104:M104" si="81" t="shared">I47/I$57</f>
        <v>1.0043787177481158E-5</v>
      </c>
      <c r="J104" s="18">
        <f si="81" t="shared"/>
        <v>0</v>
      </c>
      <c r="K104" s="18">
        <f si="81" t="shared"/>
        <v>4.0634668611337454E-7</v>
      </c>
      <c r="L104" s="18">
        <f si="81" t="shared"/>
        <v>0</v>
      </c>
      <c r="M104" s="18">
        <f si="81" t="shared"/>
        <v>2.0512871525744609E-6</v>
      </c>
    </row>
    <row r="105" spans="1:13" x14ac:dyDescent="0.25">
      <c r="A105" s="12">
        <v>0.83333333333333337</v>
      </c>
      <c r="B105" s="18">
        <f ref="B105:F105" si="82" t="shared">B48/B$57</f>
        <v>1.2335484419540979E-6</v>
      </c>
      <c r="C105" s="18">
        <f si="82" t="shared"/>
        <v>0</v>
      </c>
      <c r="D105" s="18">
        <f si="82" t="shared"/>
        <v>3.2551434679743682E-9</v>
      </c>
      <c r="E105" s="18">
        <f si="82" t="shared"/>
        <v>0</v>
      </c>
      <c r="F105" s="18">
        <f si="82" t="shared"/>
        <v>2.2438099374879013E-7</v>
      </c>
      <c r="G105" s="18"/>
      <c r="H105" s="12">
        <v>0.83333333333333337</v>
      </c>
      <c r="I105" s="18">
        <f ref="I105:M105" si="83" t="shared">I48/I$57</f>
        <v>6.2391793431997164E-6</v>
      </c>
      <c r="J105" s="18">
        <f si="83" t="shared"/>
        <v>0</v>
      </c>
      <c r="K105" s="18">
        <f si="83" t="shared"/>
        <v>1.3857877928760178E-7</v>
      </c>
      <c r="L105" s="18">
        <f si="83" t="shared"/>
        <v>0</v>
      </c>
      <c r="M105" s="18">
        <f si="83" t="shared"/>
        <v>1.2051712743598709E-6</v>
      </c>
    </row>
    <row r="106" spans="1:13" x14ac:dyDescent="0.25">
      <c r="A106" s="12">
        <v>0.85416666666666663</v>
      </c>
      <c r="B106" s="18">
        <f ref="B106:F106" si="84" t="shared">B49/B$57</f>
        <v>2.054925114353374E-7</v>
      </c>
      <c r="C106" s="18">
        <f si="84" t="shared"/>
        <v>0</v>
      </c>
      <c r="D106" s="18">
        <f si="84" t="shared"/>
        <v>5.4252391132906133E-10</v>
      </c>
      <c r="E106" s="18">
        <f si="84" t="shared"/>
        <v>0</v>
      </c>
      <c r="F106" s="18">
        <f si="84" t="shared"/>
        <v>3.7378997466802718E-8</v>
      </c>
      <c r="G106" s="18"/>
      <c r="H106" s="12">
        <v>0.85416666666666663</v>
      </c>
      <c r="I106" s="18">
        <f ref="I106:M106" si="85" t="shared">I49/I$57</f>
        <v>3.9121427609514555E-6</v>
      </c>
      <c r="J106" s="18">
        <f si="85" t="shared"/>
        <v>0</v>
      </c>
      <c r="K106" s="18">
        <f si="85" t="shared"/>
        <v>3.8124131194469907E-8</v>
      </c>
      <c r="L106" s="18">
        <f si="85" t="shared"/>
        <v>0</v>
      </c>
      <c r="M106" s="18">
        <f si="85" t="shared"/>
        <v>7.2608204337714195E-7</v>
      </c>
    </row>
    <row r="107" spans="1:13" x14ac:dyDescent="0.25">
      <c r="A107" s="12">
        <v>0.875</v>
      </c>
      <c r="B107" s="18">
        <f ref="B107:F107" si="86" t="shared">B50/B$57</f>
        <v>2.1623621372033891E-8</v>
      </c>
      <c r="C107" s="18">
        <f si="86" t="shared"/>
        <v>0</v>
      </c>
      <c r="D107" s="18">
        <f si="86" t="shared"/>
        <v>5.7107780139901207E-11</v>
      </c>
      <c r="E107" s="18">
        <f si="86" t="shared"/>
        <v>0</v>
      </c>
      <c r="F107" s="18">
        <f si="86" t="shared"/>
        <v>3.9333383997710603E-9</v>
      </c>
      <c r="G107" s="18"/>
      <c r="H107" s="12">
        <v>0.875</v>
      </c>
      <c r="I107" s="18">
        <f ref="I107:M107" si="87" t="shared">I50/I$57</f>
        <v>2.2843202952332118E-6</v>
      </c>
      <c r="J107" s="18">
        <f si="87" t="shared"/>
        <v>0</v>
      </c>
      <c r="K107" s="18">
        <f si="87" t="shared"/>
        <v>8.0986965140989009E-9</v>
      </c>
      <c r="L107" s="18">
        <f si="87" t="shared"/>
        <v>0</v>
      </c>
      <c r="M107" s="18">
        <f si="87" t="shared"/>
        <v>4.1536892427133113E-7</v>
      </c>
    </row>
    <row r="108" spans="1:13" x14ac:dyDescent="0.25">
      <c r="A108" s="12">
        <v>0.89583333333333337</v>
      </c>
      <c r="B108" s="18">
        <f ref="B108:F108" si="88" t="shared">B51/B$57</f>
        <v>1.080947208684719E-9</v>
      </c>
      <c r="C108" s="18">
        <f si="88" t="shared"/>
        <v>0</v>
      </c>
      <c r="D108" s="18">
        <f si="88" t="shared"/>
        <v>2.85538900699506E-12</v>
      </c>
      <c r="E108" s="18">
        <f si="88" t="shared"/>
        <v>0</v>
      </c>
      <c r="F108" s="18">
        <f si="88" t="shared"/>
        <v>1.9662474569133678E-10</v>
      </c>
      <c r="G108" s="18"/>
      <c r="H108" s="12">
        <v>0.89583333333333337</v>
      </c>
      <c r="I108" s="18">
        <f ref="I108:M108" si="89" t="shared">I51/I$57</f>
        <v>1.1661361949305567E-6</v>
      </c>
      <c r="J108" s="18">
        <f si="89" t="shared"/>
        <v>0</v>
      </c>
      <c r="K108" s="18">
        <f si="89" t="shared"/>
        <v>1.2441532328425472E-9</v>
      </c>
      <c r="L108" s="18">
        <f si="89" t="shared"/>
        <v>0</v>
      </c>
      <c r="M108" s="18">
        <f si="89" t="shared"/>
        <v>2.1029026600927731E-7</v>
      </c>
    </row>
    <row r="109" spans="1:13" x14ac:dyDescent="0.25">
      <c r="A109" s="12">
        <v>0.91666666666666663</v>
      </c>
      <c r="B109" s="18">
        <f ref="B109:F109" si="90" t="shared">B52/B$57</f>
        <v>0</v>
      </c>
      <c r="C109" s="18">
        <f si="90" t="shared"/>
        <v>0</v>
      </c>
      <c r="D109" s="18">
        <f si="90" t="shared"/>
        <v>0</v>
      </c>
      <c r="E109" s="18">
        <f si="90" t="shared"/>
        <v>0</v>
      </c>
      <c r="F109" s="18">
        <f si="90" t="shared"/>
        <v>0</v>
      </c>
      <c r="G109" s="18"/>
      <c r="H109" s="12">
        <v>0.91666666666666663</v>
      </c>
      <c r="I109" s="18">
        <f ref="I109:M109" si="91" t="shared">I52/I$57</f>
        <v>4.9993071708685297E-7</v>
      </c>
      <c r="J109" s="18">
        <f si="91" t="shared"/>
        <v>0</v>
      </c>
      <c r="K109" s="18">
        <f si="91" t="shared"/>
        <v>1.228552565346089E-10</v>
      </c>
      <c r="L109" s="18">
        <f si="91" t="shared"/>
        <v>0</v>
      </c>
      <c r="M109" s="18">
        <f si="91" t="shared"/>
        <v>8.9903783781122524E-8</v>
      </c>
    </row>
    <row r="110" spans="1:13" x14ac:dyDescent="0.25">
      <c r="A110" s="12">
        <v>0.9375</v>
      </c>
      <c r="B110" s="18">
        <f ref="B110:F110" si="92" t="shared">B53/B$57</f>
        <v>0</v>
      </c>
      <c r="C110" s="18">
        <f si="92" t="shared"/>
        <v>0</v>
      </c>
      <c r="D110" s="18">
        <f si="92" t="shared"/>
        <v>0</v>
      </c>
      <c r="E110" s="18">
        <f si="92" t="shared"/>
        <v>0</v>
      </c>
      <c r="F110" s="18">
        <f si="92" t="shared"/>
        <v>0</v>
      </c>
      <c r="G110" s="18"/>
      <c r="H110" s="12">
        <v>0.9375</v>
      </c>
      <c r="I110" s="18">
        <f ref="I110:M110" si="93" t="shared">I53/I$57</f>
        <v>1.7473108399572248E-7</v>
      </c>
      <c r="J110" s="18">
        <f si="93" t="shared"/>
        <v>0</v>
      </c>
      <c r="K110" s="18">
        <f si="93" t="shared"/>
        <v>5.8502503111718523E-12</v>
      </c>
      <c r="L110" s="18">
        <f si="93" t="shared"/>
        <v>0</v>
      </c>
      <c r="M110" s="18">
        <f si="93" t="shared"/>
        <v>3.1399818338971003E-8</v>
      </c>
    </row>
    <row r="111" spans="1:13" x14ac:dyDescent="0.25">
      <c r="A111" s="12">
        <v>0.95833333333333337</v>
      </c>
      <c r="B111" s="18">
        <f ref="B111:F111" si="94" t="shared">B54/B$57</f>
        <v>0</v>
      </c>
      <c r="C111" s="18">
        <f si="94" t="shared"/>
        <v>0</v>
      </c>
      <c r="D111" s="18">
        <f si="94" t="shared"/>
        <v>0</v>
      </c>
      <c r="E111" s="18">
        <f si="94" t="shared"/>
        <v>0</v>
      </c>
      <c r="F111" s="18">
        <f si="94" t="shared"/>
        <v>0</v>
      </c>
      <c r="G111" s="18"/>
      <c r="H111" s="12">
        <v>0.95833333333333337</v>
      </c>
      <c r="I111" s="18">
        <f ref="I111:M111" si="95" t="shared">I54/I$57</f>
        <v>4.830114846875838E-8</v>
      </c>
      <c r="J111" s="18">
        <f si="95" t="shared"/>
        <v>0</v>
      </c>
      <c r="K111" s="18">
        <f si="95" t="shared"/>
        <v>0</v>
      </c>
      <c r="L111" s="18">
        <f si="95" t="shared"/>
        <v>0</v>
      </c>
      <c r="M111" s="18">
        <f si="95" t="shared"/>
        <v>8.6789126290048001E-9</v>
      </c>
    </row>
    <row r="112" spans="1:13" x14ac:dyDescent="0.25">
      <c r="A112" s="12">
        <v>0.97916666666666663</v>
      </c>
      <c r="B112" s="18">
        <f ref="B112:F112" si="96" t="shared">B55/B$57</f>
        <v>0</v>
      </c>
      <c r="C112" s="18">
        <f si="96" t="shared"/>
        <v>0</v>
      </c>
      <c r="D112" s="18">
        <f si="96" t="shared"/>
        <v>0</v>
      </c>
      <c r="E112" s="18">
        <f si="96" t="shared"/>
        <v>0</v>
      </c>
      <c r="F112" s="18">
        <f si="96" t="shared"/>
        <v>0</v>
      </c>
      <c r="G112" s="18"/>
      <c r="H112" s="12">
        <v>0.97916666666666663</v>
      </c>
      <c r="I112" s="18">
        <f ref="I112:M112" si="97" t="shared">I55/I$57</f>
        <v>1.0004014797388053E-8</v>
      </c>
      <c r="J112" s="18">
        <f si="97" t="shared"/>
        <v>0</v>
      </c>
      <c r="K112" s="18">
        <f si="97" t="shared"/>
        <v>0</v>
      </c>
      <c r="L112" s="18">
        <f si="97" t="shared"/>
        <v>0</v>
      </c>
      <c r="M112" s="18">
        <f si="97" t="shared"/>
        <v>1.7975549881999305E-9</v>
      </c>
    </row>
    <row ht="15.75" r="113" spans="1:13" thickBot="1" x14ac:dyDescent="0.3">
      <c r="A113" s="13" t="s">
        <v>13</v>
      </c>
      <c r="B113" s="18">
        <f ref="B113:F113" si="98" t="shared">B56/B$57</f>
        <v>0</v>
      </c>
      <c r="C113" s="18">
        <f si="98" t="shared"/>
        <v>0</v>
      </c>
      <c r="D113" s="18">
        <f si="98" t="shared"/>
        <v>0</v>
      </c>
      <c r="E113" s="18">
        <f si="98" t="shared"/>
        <v>0</v>
      </c>
      <c r="F113" s="18">
        <f si="98" t="shared"/>
        <v>0</v>
      </c>
      <c r="G113" s="28"/>
      <c r="H113" s="13" t="s">
        <v>13</v>
      </c>
      <c r="I113" s="18">
        <f ref="I113:M113" si="99" t="shared">I56/I$57</f>
        <v>0</v>
      </c>
      <c r="J113" s="18">
        <f si="99" t="shared"/>
        <v>0</v>
      </c>
      <c r="K113" s="18">
        <f si="99" t="shared"/>
        <v>0</v>
      </c>
      <c r="L113" s="18">
        <f si="99" t="shared"/>
        <v>0</v>
      </c>
      <c r="M113" s="18">
        <f si="99" t="shared"/>
        <v>0</v>
      </c>
    </row>
  </sheetData>
  <pageMargins bottom="0.75" footer="0.3" header="0.3" left="0.7" right="0.7" top="0.75"/>
  <pageSetup orientation="portrait" r:id="rId1"/>
  <drawing r:id="rId2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4"/>
  <dimension ref="A1:AA58"/>
  <sheetViews>
    <sheetView workbookViewId="0">
      <selection activeCell="M8" sqref="M8:T58"/>
    </sheetView>
  </sheetViews>
  <sheetFormatPr defaultRowHeight="15" x14ac:dyDescent="0.25"/>
  <cols>
    <col min="1" max="1" customWidth="true" width="12.7109375" collapsed="true"/>
    <col min="2" max="10" customWidth="true" width="10.7109375" collapsed="true"/>
    <col min="11" max="11" customWidth="true" width="6.42578125" collapsed="true"/>
    <col min="12" max="12" customWidth="true" width="12.7109375" collapsed="true"/>
    <col min="13" max="21" customWidth="true" width="10.7109375" collapsed="true"/>
  </cols>
  <sheetData>
    <row r="1" spans="1:26" x14ac:dyDescent="0.25">
      <c r="A1" t="s">
        <v>25</v>
      </c>
    </row>
    <row r="2" spans="1:26" x14ac:dyDescent="0.25">
      <c r="A2" t="s">
        <v>59</v>
      </c>
    </row>
    <row r="3" spans="1:26" x14ac:dyDescent="0.25">
      <c r="A3" t="s">
        <v>7</v>
      </c>
    </row>
    <row r="4" spans="1:26" x14ac:dyDescent="0.25">
      <c r="A4" t="s">
        <v>8</v>
      </c>
    </row>
    <row r="5" spans="1:26" x14ac:dyDescent="0.25">
      <c r="W5" s="5"/>
      <c r="X5" s="5"/>
      <c r="Y5" s="5"/>
      <c r="Z5" s="5"/>
    </row>
    <row ht="15.75" r="6" spans="1:26" thickBot="1" x14ac:dyDescent="0.3">
      <c r="A6" s="3" t="s">
        <v>51</v>
      </c>
      <c r="B6" s="1"/>
      <c r="C6" s="1"/>
      <c r="D6" s="1"/>
      <c r="E6" s="1"/>
      <c r="F6" s="1"/>
      <c r="G6" s="1"/>
      <c r="H6" s="1"/>
      <c r="I6" s="1"/>
      <c r="J6" s="1"/>
      <c r="L6" s="3" t="s">
        <v>26</v>
      </c>
      <c r="M6" s="1"/>
      <c r="N6" s="1"/>
      <c r="O6" s="1"/>
      <c r="P6" s="1"/>
      <c r="Q6" s="1"/>
      <c r="R6" s="1"/>
      <c r="S6" s="1"/>
      <c r="T6" s="1"/>
      <c r="U6" s="1"/>
      <c r="W6" s="11"/>
      <c r="X6" s="5"/>
      <c r="Y6" s="5"/>
      <c r="Z6" s="5"/>
    </row>
    <row r="7" spans="1:26" x14ac:dyDescent="0.25">
      <c r="A7" s="2" t="s">
        <v>4</v>
      </c>
      <c r="B7" s="4" t="s">
        <v>17</v>
      </c>
      <c r="C7" s="4" t="s">
        <v>18</v>
      </c>
      <c r="D7" s="4" t="s">
        <v>19</v>
      </c>
      <c r="E7" s="4" t="s">
        <v>20</v>
      </c>
      <c r="F7" s="4" t="s">
        <v>21</v>
      </c>
      <c r="G7" s="4" t="s">
        <v>24</v>
      </c>
      <c r="H7" s="4" t="s">
        <v>22</v>
      </c>
      <c r="I7" s="4" t="s">
        <v>23</v>
      </c>
      <c r="J7" s="4" t="s">
        <v>0</v>
      </c>
      <c r="L7" s="2" t="s">
        <v>4</v>
      </c>
      <c r="M7" s="4" t="s">
        <v>17</v>
      </c>
      <c r="N7" s="4" t="s">
        <v>18</v>
      </c>
      <c r="O7" s="4" t="s">
        <v>19</v>
      </c>
      <c r="P7" s="4" t="s">
        <v>20</v>
      </c>
      <c r="Q7" s="4" t="s">
        <v>21</v>
      </c>
      <c r="R7" s="4" t="s">
        <v>24</v>
      </c>
      <c r="S7" s="4" t="s">
        <v>22</v>
      </c>
      <c r="T7" s="4" t="s">
        <v>23</v>
      </c>
      <c r="U7" s="4" t="s">
        <v>0</v>
      </c>
      <c r="W7" s="5"/>
      <c r="X7" s="14"/>
      <c r="Y7" s="14"/>
      <c r="Z7" s="5"/>
    </row>
    <row r="8" spans="1:26" x14ac:dyDescent="0.25">
      <c r="A8" t="s">
        <v>5</v>
      </c>
      <c r="B8" s="6" t="n">
        <v>0.0</v>
      </c>
      <c r="C8" s="6" t="n">
        <v>0.0</v>
      </c>
      <c r="D8" s="6" t="n">
        <v>0.0</v>
      </c>
      <c r="E8" s="6" t="n">
        <v>0.0</v>
      </c>
      <c r="F8" s="6" t="n">
        <v>0.0</v>
      </c>
      <c r="G8" s="6" t="n">
        <v>0.0</v>
      </c>
      <c r="H8" s="6" t="n">
        <v>0.0</v>
      </c>
      <c r="I8" s="6" t="n">
        <v>0.0</v>
      </c>
      <c r="J8" s="6">
        <f>SUM(B8:I8)</f>
        <v>51.785126183268503</v>
      </c>
      <c r="L8" t="s">
        <v>5</v>
      </c>
      <c r="M8" s="9" t="n">
        <v>471.0</v>
      </c>
      <c r="N8" s="9" t="n">
        <v>85.0</v>
      </c>
      <c r="O8" s="9" t="n">
        <v>0.0</v>
      </c>
      <c r="P8" s="9" t="n">
        <v>0.0</v>
      </c>
      <c r="Q8" s="9" t="n">
        <v>33.0</v>
      </c>
      <c r="R8" s="9" t="n">
        <v>21.0</v>
      </c>
      <c r="S8" s="9" t="n">
        <v>0.0</v>
      </c>
      <c r="T8" s="9" t="n">
        <v>0.0</v>
      </c>
      <c r="U8">
        <f>SUM(M8:T8)</f>
        <v>1590</v>
      </c>
      <c r="W8" s="5"/>
      <c r="X8" s="16"/>
      <c r="Y8" s="16"/>
      <c r="Z8" s="5"/>
    </row>
    <row r="9" spans="1:26" x14ac:dyDescent="0.25">
      <c r="A9" s="12">
        <v>0.125</v>
      </c>
      <c r="B9" s="6" t="n">
        <v>1235.2292762190161</v>
      </c>
      <c r="C9" s="6" t="n">
        <v>62.11612081522921</v>
      </c>
      <c r="D9" s="6" t="n">
        <v>0.48156348920504694</v>
      </c>
      <c r="E9" s="6" t="n">
        <v>44.52697706825259</v>
      </c>
      <c r="F9" s="6" t="n">
        <v>44.19839460515111</v>
      </c>
      <c r="G9" s="6" t="n">
        <v>0.0</v>
      </c>
      <c r="H9" s="6" t="n">
        <v>0.002891888187616863</v>
      </c>
      <c r="I9" s="6" t="n">
        <v>0.0</v>
      </c>
      <c r="J9" s="6">
        <f ref="J9:J58" si="0" t="shared">SUM(B9:I9)</f>
        <v>1200.6087067480396</v>
      </c>
      <c r="L9" s="12">
        <v>0.125</v>
      </c>
      <c r="M9" s="9" t="n">
        <v>1688.7593460083008</v>
      </c>
      <c r="N9" s="9" t="n">
        <v>116.2187271118164</v>
      </c>
      <c r="O9" s="9" t="n">
        <v>0.0</v>
      </c>
      <c r="P9" s="9" t="n">
        <v>0.0</v>
      </c>
      <c r="Q9" s="9" t="n">
        <v>30.44924831390381</v>
      </c>
      <c r="R9" s="9" t="n">
        <v>14.427695274353027</v>
      </c>
      <c r="S9" s="9" t="n">
        <v>0.0</v>
      </c>
      <c r="T9" s="9" t="n">
        <v>0.0</v>
      </c>
      <c r="U9">
        <f ref="U9:U58" si="1" t="shared">SUM(M9:T9)</f>
        <v>2385.7593202590942</v>
      </c>
      <c r="W9" s="5"/>
      <c r="X9" s="16"/>
      <c r="Y9" s="16"/>
      <c r="Z9" s="5"/>
    </row>
    <row r="10" spans="1:26" x14ac:dyDescent="0.25">
      <c r="A10" s="12">
        <v>0.14583333333333334</v>
      </c>
      <c r="B10" s="6" t="n">
        <v>3102.0078476567246</v>
      </c>
      <c r="C10" s="6" t="n">
        <v>147.56136203940142</v>
      </c>
      <c r="D10" s="6" t="n">
        <v>1.8357025269256855</v>
      </c>
      <c r="E10" s="6" t="n">
        <v>95.41008229528587</v>
      </c>
      <c r="F10" s="6" t="n">
        <v>80.57147403560717</v>
      </c>
      <c r="G10" s="6" t="n">
        <v>0.0</v>
      </c>
      <c r="H10" s="6" t="n">
        <v>0.027472937782360204</v>
      </c>
      <c r="I10" s="6" t="n">
        <v>0.0</v>
      </c>
      <c r="J10" s="6">
        <f si="0" t="shared"/>
        <v>2870.8023767440864</v>
      </c>
      <c r="L10" s="12">
        <v>0.14583333333333334</v>
      </c>
      <c r="M10" s="9" t="n">
        <v>3128.4211435317993</v>
      </c>
      <c r="N10" s="9" t="n">
        <v>167.06103324890137</v>
      </c>
      <c r="O10" s="9" t="n">
        <v>0.0</v>
      </c>
      <c r="P10" s="9" t="n">
        <v>0.0</v>
      </c>
      <c r="Q10" s="9" t="n">
        <v>32.99986743927002</v>
      </c>
      <c r="R10" s="9" t="n">
        <v>9.206977844238281</v>
      </c>
      <c r="S10" s="9" t="n">
        <v>0.0</v>
      </c>
      <c r="T10" s="9" t="n">
        <v>0.0</v>
      </c>
      <c r="U10">
        <f si="1" t="shared"/>
        <v>3427.6258850097656</v>
      </c>
      <c r="W10" s="5"/>
      <c r="X10" s="16"/>
      <c r="Y10" s="16"/>
      <c r="Z10" s="5"/>
    </row>
    <row r="11" spans="1:26" x14ac:dyDescent="0.25">
      <c r="A11" s="12">
        <v>0.16666666666666666</v>
      </c>
      <c r="B11" s="6" t="n">
        <v>6351.400362081925</v>
      </c>
      <c r="C11" s="6" t="n">
        <v>283.11909042313295</v>
      </c>
      <c r="D11" s="6" t="n">
        <v>5.60840312482323</v>
      </c>
      <c r="E11" s="6" t="n">
        <v>157.01278329466362</v>
      </c>
      <c r="F11" s="6" t="n">
        <v>105.03695853495265</v>
      </c>
      <c r="G11" s="6" t="n">
        <v>0.0</v>
      </c>
      <c r="H11" s="6" t="n">
        <v>0.16483762669416122</v>
      </c>
      <c r="I11" s="6" t="n">
        <v>0.0</v>
      </c>
      <c r="J11" s="6">
        <f si="0" t="shared"/>
        <v>5701.3151074662874</v>
      </c>
      <c r="L11" s="12">
        <v>0.16666666666666666</v>
      </c>
      <c r="M11" s="9" t="n">
        <v>5230.4109745025635</v>
      </c>
      <c r="N11" s="9" t="n">
        <v>268.2054452896118</v>
      </c>
      <c r="O11" s="9" t="n">
        <v>0.0</v>
      </c>
      <c r="P11" s="9" t="n">
        <v>0.0</v>
      </c>
      <c r="Q11" s="9" t="n">
        <v>47.34847545623779</v>
      </c>
      <c r="R11" s="9" t="n">
        <v>6.283448219299316</v>
      </c>
      <c r="S11" s="9" t="n">
        <v>0.0</v>
      </c>
      <c r="T11" s="9" t="n">
        <v>0.0</v>
      </c>
      <c r="U11">
        <f si="1" t="shared"/>
        <v>5179.3634080886841</v>
      </c>
      <c r="W11" s="5"/>
      <c r="X11" s="16"/>
      <c r="Y11" s="16"/>
      <c r="Z11" s="5"/>
    </row>
    <row r="12" spans="1:26" x14ac:dyDescent="0.25">
      <c r="A12" s="12">
        <v>0.1875</v>
      </c>
      <c r="B12" s="6" t="n">
        <v>11872.638688525776</v>
      </c>
      <c r="C12" s="6" t="n">
        <v>505.8680316301974</v>
      </c>
      <c r="D12" s="6" t="n">
        <v>14.58710220166041</v>
      </c>
      <c r="E12" s="6" t="n">
        <v>233.70005140781674</v>
      </c>
      <c r="F12" s="6" t="n">
        <v>121.10927632255135</v>
      </c>
      <c r="G12" s="6" t="n">
        <v>6.22355950836935E-5</v>
      </c>
      <c r="H12" s="6" t="n">
        <v>0.7005599134501851</v>
      </c>
      <c r="I12" s="6" t="n">
        <v>0.0</v>
      </c>
      <c r="J12" s="6">
        <f si="0" t="shared"/>
        <v>10431.357144005608</v>
      </c>
      <c r="L12" s="12">
        <v>0.1875</v>
      </c>
      <c r="M12" s="9" t="n">
        <v>8751.120176315308</v>
      </c>
      <c r="N12" s="9" t="n">
        <v>468.1665744781494</v>
      </c>
      <c r="O12" s="9" t="n">
        <v>0.0</v>
      </c>
      <c r="P12" s="9" t="n">
        <v>0.0</v>
      </c>
      <c r="Q12" s="9" t="n">
        <v>83.06765651702881</v>
      </c>
      <c r="R12" s="9" t="n">
        <v>6.1813554763793945</v>
      </c>
      <c r="S12" s="9" t="n">
        <v>0.0</v>
      </c>
      <c r="T12" s="9" t="n">
        <v>0.0</v>
      </c>
      <c r="U12">
        <f si="1" t="shared"/>
        <v>8424.1222190856934</v>
      </c>
      <c r="W12" s="5"/>
      <c r="X12" s="5"/>
      <c r="Y12" s="5"/>
      <c r="Z12" s="5"/>
    </row>
    <row r="13" spans="1:26" x14ac:dyDescent="0.25">
      <c r="A13" s="12">
        <v>0.20833333333333334</v>
      </c>
      <c r="B13" s="6" t="n">
        <v>20492.25189139021</v>
      </c>
      <c r="C13" s="6" t="n">
        <v>867.0260893047544</v>
      </c>
      <c r="D13" s="6" t="n">
        <v>32.8834222286264</v>
      </c>
      <c r="E13" s="6" t="n">
        <v>332.145722913266</v>
      </c>
      <c r="F13" s="6" t="n">
        <v>140.97688351621323</v>
      </c>
      <c r="G13" s="6" t="n">
        <v>0.0012447119016738698</v>
      </c>
      <c r="H13" s="6" t="n">
        <v>2.2417917230405924</v>
      </c>
      <c r="I13" s="6" t="n">
        <v>0.0</v>
      </c>
      <c r="J13" s="6">
        <f si="0" t="shared"/>
        <v>17699.112248258756</v>
      </c>
      <c r="L13" s="12">
        <v>0.20833333333333334</v>
      </c>
      <c r="M13" s="9" t="n">
        <v>14606.483865737915</v>
      </c>
      <c r="N13" s="9" t="n">
        <v>828.2271022796631</v>
      </c>
      <c r="O13" s="9" t="n">
        <v>0.0</v>
      </c>
      <c r="P13" s="9" t="n">
        <v>0.0</v>
      </c>
      <c r="Q13" s="9" t="n">
        <v>152.13178730010986</v>
      </c>
      <c r="R13" s="9" t="n">
        <v>9.330855369567871</v>
      </c>
      <c r="S13" s="9" t="n">
        <v>0.0</v>
      </c>
      <c r="T13" s="9" t="n">
        <v>0.0</v>
      </c>
      <c r="U13">
        <f si="1" t="shared"/>
        <v>14122.107172012329</v>
      </c>
    </row>
    <row r="14" spans="1:26" x14ac:dyDescent="0.25">
      <c r="A14" s="12">
        <v>0.22916666666666666</v>
      </c>
      <c r="B14" s="6" t="n">
        <v>32491.058281347472</v>
      </c>
      <c r="C14" s="6" t="n">
        <v>1419.0365838890887</v>
      </c>
      <c r="D14" s="6" t="n">
        <v>64.8729877563187</v>
      </c>
      <c r="E14" s="6" t="n">
        <v>456.7966128619328</v>
      </c>
      <c r="F14" s="6" t="n">
        <v>180.7951981295519</v>
      </c>
      <c r="G14" s="6" t="n">
        <v>0.011824763065901764</v>
      </c>
      <c r="H14" s="6" t="n">
        <v>5.604479307601482</v>
      </c>
      <c r="I14" s="6" t="n">
        <v>0.0</v>
      </c>
      <c r="J14" s="6">
        <f si="0" t="shared"/>
        <v>27710.459336080774</v>
      </c>
      <c r="L14" s="12">
        <v>0.22916666666666666</v>
      </c>
      <c r="M14" s="9" t="n">
        <v>23400.668429374695</v>
      </c>
      <c r="N14" s="9" t="n">
        <v>1398.4025621414185</v>
      </c>
      <c r="O14" s="9" t="n">
        <v>0.0</v>
      </c>
      <c r="P14" s="9" t="n">
        <v>0.0</v>
      </c>
      <c r="Q14" s="9" t="n">
        <v>264.871657371521</v>
      </c>
      <c r="R14" s="9" t="n">
        <v>16.2810115814209</v>
      </c>
      <c r="S14" s="9" t="n">
        <v>0.0</v>
      </c>
      <c r="T14" s="9" t="n">
        <v>0.0</v>
      </c>
      <c r="U14">
        <f si="1" t="shared"/>
        <v>22962.45813369751</v>
      </c>
    </row>
    <row r="15" spans="1:26" x14ac:dyDescent="0.25">
      <c r="A15" s="12">
        <v>0.25</v>
      </c>
      <c r="B15" s="6" t="n">
        <v>46984.55861880636</v>
      </c>
      <c r="C15" s="6" t="n">
        <v>2180.384550176878</v>
      </c>
      <c r="D15" s="6" t="n">
        <v>112.68761247045693</v>
      </c>
      <c r="E15" s="6" t="n">
        <v>599.5442729631618</v>
      </c>
      <c r="F15" s="6" t="n">
        <v>251.56531558112687</v>
      </c>
      <c r="G15" s="6" t="n">
        <v>0.07094857839541059</v>
      </c>
      <c r="H15" s="6" t="n">
        <v>11.208958615202963</v>
      </c>
      <c r="I15" s="6" t="n">
        <v>0.0</v>
      </c>
      <c r="J15" s="6">
        <f si="0" t="shared"/>
        <v>39886.706615328825</v>
      </c>
      <c r="L15" s="12">
        <v>0.25</v>
      </c>
      <c r="M15" s="9" t="n">
        <v>34791.3993396759</v>
      </c>
      <c r="N15" s="9" t="n">
        <v>2177.7194328308105</v>
      </c>
      <c r="O15" s="9" t="n">
        <v>0.0</v>
      </c>
      <c r="P15" s="9" t="n">
        <v>0.0</v>
      </c>
      <c r="Q15" s="9" t="n">
        <v>422.44094944000244</v>
      </c>
      <c r="R15" s="9" t="n">
        <v>27.386652946472168</v>
      </c>
      <c r="S15" s="9" t="n">
        <v>0.0</v>
      </c>
      <c r="T15" s="9" t="n">
        <v>0.0</v>
      </c>
      <c r="U15">
        <f si="1" t="shared"/>
        <v>34744.884295463562</v>
      </c>
    </row>
    <row r="16" spans="1:26" x14ac:dyDescent="0.25">
      <c r="A16" s="12">
        <v>0.27083333333333331</v>
      </c>
      <c r="B16" s="6" t="n">
        <v>61588.91698317576</v>
      </c>
      <c r="C16" s="6" t="n">
        <v>3094.5647854855415</v>
      </c>
      <c r="D16" s="6" t="n">
        <v>173.2952554050162</v>
      </c>
      <c r="E16" s="6" t="n">
        <v>735.1453862324345</v>
      </c>
      <c r="F16" s="6" t="n">
        <v>350.9828971292057</v>
      </c>
      <c r="G16" s="6" t="n">
        <v>0.30153145818049504</v>
      </c>
      <c r="H16" s="6" t="n">
        <v>18.21463609597047</v>
      </c>
      <c r="I16" s="6" t="n">
        <v>0.0</v>
      </c>
      <c r="J16" s="6">
        <f si="0" t="shared"/>
        <v>52634.39523273227</v>
      </c>
      <c r="L16" s="12">
        <v>0.27083333333333331</v>
      </c>
      <c r="M16" s="9" t="n">
        <v>47088.0891122818</v>
      </c>
      <c r="N16" s="9" t="n">
        <v>3079.06387424469</v>
      </c>
      <c r="O16" s="9" t="n">
        <v>0.0</v>
      </c>
      <c r="P16" s="9" t="n">
        <v>0.0</v>
      </c>
      <c r="Q16" s="9" t="n">
        <v>609.3448572158813</v>
      </c>
      <c r="R16" s="9" t="n">
        <v>42.04407501220703</v>
      </c>
      <c r="S16" s="9" t="n">
        <v>0.0</v>
      </c>
      <c r="T16" s="9" t="n">
        <v>0.0</v>
      </c>
      <c r="U16">
        <f si="1" t="shared"/>
        <v>47953.076267242432</v>
      </c>
    </row>
    <row r="17" spans="1:21" x14ac:dyDescent="0.25">
      <c r="A17" s="12">
        <v>0.29166666666666669</v>
      </c>
      <c r="B17" s="6" t="n">
        <v>72858.46548433756</v>
      </c>
      <c r="C17" s="6" t="n">
        <v>4015.4020216378567</v>
      </c>
      <c r="D17" s="6" t="n">
        <v>237.4933601134637</v>
      </c>
      <c r="E17" s="6" t="n">
        <v>831.0671173175449</v>
      </c>
      <c r="F17" s="6" t="n">
        <v>461.5737177183678</v>
      </c>
      <c r="G17" s="6" t="n">
        <v>0.9652508711256376</v>
      </c>
      <c r="H17" s="6" t="n">
        <v>24.287643924919458</v>
      </c>
      <c r="I17" s="6" t="n">
        <v>0.0</v>
      </c>
      <c r="J17" s="6">
        <f si="0" t="shared"/>
        <v>63453.7815100769</v>
      </c>
      <c r="L17" s="12">
        <v>0.29166666666666669</v>
      </c>
      <c r="M17" s="9" t="n">
        <v>57511.002636909485</v>
      </c>
      <c r="N17" s="9" t="n">
        <v>3928.4251260757446</v>
      </c>
      <c r="O17" s="9" t="n">
        <v>0.0</v>
      </c>
      <c r="P17" s="9" t="n">
        <v>0.0</v>
      </c>
      <c r="Q17" s="9" t="n">
        <v>791.9115037918091</v>
      </c>
      <c r="R17" s="9" t="n">
        <v>58.08204936981201</v>
      </c>
      <c r="S17" s="9" t="n">
        <v>0.0</v>
      </c>
      <c r="T17" s="9" t="n">
        <v>0.0</v>
      </c>
      <c r="U17">
        <f si="1" t="shared"/>
        <v>59920.057969093323</v>
      </c>
    </row>
    <row r="18" spans="1:21" x14ac:dyDescent="0.25">
      <c r="A18" s="12">
        <v>0.3125</v>
      </c>
      <c r="B18" s="6" t="n">
        <v>77583.17217614279</v>
      </c>
      <c r="C18" s="6" t="n">
        <v>4742.198160688926</v>
      </c>
      <c r="D18" s="6" t="n">
        <v>292.4874648945542</v>
      </c>
      <c r="E18" s="6" t="n">
        <v>865.3072428004136</v>
      </c>
      <c r="F18" s="6" t="n">
        <v>557.0388759830777</v>
      </c>
      <c r="G18" s="6" t="n">
        <v>2.419471329105237</v>
      </c>
      <c r="H18" s="6" t="n">
        <v>26.729570490040885</v>
      </c>
      <c r="I18" s="6" t="n">
        <v>0.0</v>
      </c>
      <c r="J18" s="6">
        <f si="0" t="shared"/>
        <v>69608.359688088647</v>
      </c>
      <c r="L18" s="12">
        <v>0.3125</v>
      </c>
      <c r="M18" s="9" t="n">
        <v>63199.803389549255</v>
      </c>
      <c r="N18" s="9" t="n">
        <v>4516.062839508057</v>
      </c>
      <c r="O18" s="9" t="n">
        <v>0.0</v>
      </c>
      <c r="P18" s="9" t="n">
        <v>0.0</v>
      </c>
      <c r="Q18" s="9" t="n">
        <v>926.9784393310547</v>
      </c>
      <c r="R18" s="9" t="n">
        <v>72.01456260681152</v>
      </c>
      <c r="S18" s="9" t="n">
        <v>0.0</v>
      </c>
      <c r="T18" s="9" t="n">
        <v>0.0</v>
      </c>
      <c r="U18">
        <f si="1" t="shared"/>
        <v>67698.8121509552</v>
      </c>
    </row>
    <row r="19" spans="1:21" x14ac:dyDescent="0.25">
      <c r="A19" s="12">
        <v>0.33333333333333331</v>
      </c>
      <c r="B19" s="6" t="n">
        <v>74333.56012854265</v>
      </c>
      <c r="C19" s="6" t="n">
        <v>5097.428864687279</v>
      </c>
      <c r="D19" s="6" t="n">
        <v>327.0718968957606</v>
      </c>
      <c r="E19" s="6" t="n">
        <v>837.0558276905135</v>
      </c>
      <c r="F19" s="6" t="n">
        <v>614.1547731221467</v>
      </c>
      <c r="G19" s="6" t="n">
        <v>4.895353565022202</v>
      </c>
      <c r="H19" s="6" t="n">
        <v>24.375391742449334</v>
      </c>
      <c r="I19" s="6" t="n">
        <v>0.0</v>
      </c>
      <c r="J19" s="6">
        <f si="0" t="shared"/>
        <v>69278.646420127261</v>
      </c>
      <c r="L19" s="12">
        <v>0.33333333333333331</v>
      </c>
      <c r="M19" s="9" t="n">
        <v>62510.099831581116</v>
      </c>
      <c r="N19" s="9" t="n">
        <v>4683.8097858428955</v>
      </c>
      <c r="O19" s="9" t="n">
        <v>0.0</v>
      </c>
      <c r="P19" s="9" t="n">
        <v>0.0</v>
      </c>
      <c r="Q19" s="9" t="n">
        <v>979.0297803878784</v>
      </c>
      <c r="R19" s="9" t="n">
        <v>80.33772945404053</v>
      </c>
      <c r="S19" s="9" t="n">
        <v>0.0</v>
      </c>
      <c r="T19" s="9" t="n">
        <v>0.0</v>
      </c>
      <c r="U19">
        <f si="1" t="shared"/>
        <v>69275.117473602295</v>
      </c>
    </row>
    <row r="20" spans="1:21" x14ac:dyDescent="0.25">
      <c r="A20" s="12">
        <v>0.35416666666666669</v>
      </c>
      <c r="B20" s="6" t="n">
        <v>64245.8771936744</v>
      </c>
      <c r="C20" s="6" t="n">
        <v>5007.606809525169</v>
      </c>
      <c r="D20" s="6" t="n">
        <v>336.43659660139343</v>
      </c>
      <c r="E20" s="6" t="n">
        <v>763.3157802513533</v>
      </c>
      <c r="F20" s="6" t="n">
        <v>623.9462701782351</v>
      </c>
      <c r="G20" s="6" t="n">
        <v>8.280008846512919</v>
      </c>
      <c r="H20" s="6" t="n">
        <v>18.594145406787195</v>
      </c>
      <c r="I20" s="6" t="n">
        <v>0.0</v>
      </c>
      <c r="J20" s="6">
        <f si="0" t="shared"/>
        <v>62590.365248326969</v>
      </c>
      <c r="L20" s="12">
        <v>0.35416666666666669</v>
      </c>
      <c r="M20" s="9" t="n">
        <v>55819.575733184814</v>
      </c>
      <c r="N20" s="9" t="n">
        <v>4400.862079620361</v>
      </c>
      <c r="O20" s="9" t="n">
        <v>0.0</v>
      </c>
      <c r="P20" s="9" t="n">
        <v>0.0</v>
      </c>
      <c r="Q20" s="9" t="n">
        <v>937.0077934265137</v>
      </c>
      <c r="R20" s="9" t="n">
        <v>81.22995853424072</v>
      </c>
      <c r="S20" s="9" t="n">
        <v>0.0</v>
      </c>
      <c r="T20" s="9" t="n">
        <v>0.0</v>
      </c>
      <c r="U20">
        <f si="1" t="shared"/>
        <v>64455.865316390991</v>
      </c>
    </row>
    <row r="21" spans="1:21" x14ac:dyDescent="0.25">
      <c r="A21" s="12">
        <v>0.375</v>
      </c>
      <c r="B21" s="6" t="n">
        <v>50455.14261267166</v>
      </c>
      <c r="C21" s="6" t="n">
        <v>4538.062437152339</v>
      </c>
      <c r="D21" s="6" t="n">
        <v>324.1578485060097</v>
      </c>
      <c r="E21" s="6" t="n">
        <v>667.9893871940058</v>
      </c>
      <c r="F21" s="6" t="n">
        <v>595.4246937837734</v>
      </c>
      <c r="G21" s="6" t="n">
        <v>12.395577281810558</v>
      </c>
      <c r="H21" s="6" t="n">
        <v>12.423639117866584</v>
      </c>
      <c r="I21" s="6" t="n">
        <v>0.0</v>
      </c>
      <c r="J21" s="6">
        <f si="0" t="shared"/>
        <v>51711.827284977546</v>
      </c>
      <c r="L21" s="12">
        <v>0.375</v>
      </c>
      <c r="M21" s="9" t="n">
        <v>45316.43414783478</v>
      </c>
      <c r="N21" s="9" t="n">
        <v>3779.218056678772</v>
      </c>
      <c r="O21" s="9" t="n">
        <v>0.0</v>
      </c>
      <c r="P21" s="9" t="n">
        <v>0.0</v>
      </c>
      <c r="Q21" s="9" t="n">
        <v>820.075834274292</v>
      </c>
      <c r="R21" s="9" t="n">
        <v>75.56355285644531</v>
      </c>
      <c r="S21" s="9" t="n">
        <v>0.0</v>
      </c>
      <c r="T21" s="9" t="n">
        <v>0.0</v>
      </c>
      <c r="U21">
        <f si="1" t="shared"/>
        <v>54914.018397331238</v>
      </c>
    </row>
    <row r="22" spans="1:21" x14ac:dyDescent="0.25">
      <c r="A22" s="12">
        <v>0.39583333333333331</v>
      </c>
      <c r="B22" s="6" t="n">
        <v>36557.21861177249</v>
      </c>
      <c r="C22" s="6" t="n">
        <v>3857.0754918041484</v>
      </c>
      <c r="D22" s="6" t="n">
        <v>300.4279475168039</v>
      </c>
      <c r="E22" s="6" t="n">
        <v>572.9302436949268</v>
      </c>
      <c r="F22" s="6" t="n">
        <v>548.9283518539685</v>
      </c>
      <c r="G22" s="6" t="n">
        <v>17.97238809239922</v>
      </c>
      <c r="H22" s="6" t="n">
        <v>8.641180564260537</v>
      </c>
      <c r="I22" s="6" t="n">
        <v>0.0</v>
      </c>
      <c r="J22" s="6">
        <f si="0" t="shared"/>
        <v>39795.669789765547</v>
      </c>
      <c r="L22" s="12">
        <v>0.39583333333333331</v>
      </c>
      <c r="M22" s="9" t="n">
        <v>33918.24432849884</v>
      </c>
      <c r="N22" s="9" t="n">
        <v>3017.2395582199097</v>
      </c>
      <c r="O22" s="9" t="n">
        <v>0.0</v>
      </c>
      <c r="P22" s="9" t="n">
        <v>0.0</v>
      </c>
      <c r="Q22" s="9" t="n">
        <v>668.033878326416</v>
      </c>
      <c r="R22" s="9" t="n">
        <v>66.51273345947266</v>
      </c>
      <c r="S22" s="9" t="n">
        <v>0.0</v>
      </c>
      <c r="T22" s="9" t="n">
        <v>0.0</v>
      </c>
      <c r="U22">
        <f si="1" t="shared"/>
        <v>43386.776733398438</v>
      </c>
    </row>
    <row r="23" spans="1:21" x14ac:dyDescent="0.25">
      <c r="A23" s="12">
        <v>0.41666666666666669</v>
      </c>
      <c r="B23" s="6" t="n">
        <v>25142.255660411887</v>
      </c>
      <c r="C23" s="6" t="n">
        <v>3151.6521142528213</v>
      </c>
      <c r="D23" s="6" t="n">
        <v>276.5088079880024</v>
      </c>
      <c r="E23" s="6" t="n">
        <v>494.07145334104916</v>
      </c>
      <c r="F23" s="6" t="n">
        <v>502.92672553049556</v>
      </c>
      <c r="G23" s="6" t="n">
        <v>27.36923007658404</v>
      </c>
      <c r="H23" s="6" t="n">
        <v>8.315229434777931</v>
      </c>
      <c r="I23" s="6" t="n">
        <v>0.0</v>
      </c>
      <c r="J23" s="6">
        <f si="0" t="shared"/>
        <v>29466.907619764654</v>
      </c>
      <c r="L23" s="12">
        <v>0.41666666666666669</v>
      </c>
      <c r="M23" s="9" t="n">
        <v>24026.37066936493</v>
      </c>
      <c r="N23" s="9" t="n">
        <v>2308.438730239868</v>
      </c>
      <c r="O23" s="9" t="n">
        <v>0.0</v>
      </c>
      <c r="P23" s="9" t="n">
        <v>0.0</v>
      </c>
      <c r="Q23" s="9" t="n">
        <v>522.6397294998169</v>
      </c>
      <c r="R23" s="9" t="n">
        <v>58.01157093048096</v>
      </c>
      <c r="S23" s="9" t="n">
        <v>0.0</v>
      </c>
      <c r="T23" s="9" t="n">
        <v>0.0</v>
      </c>
      <c r="U23">
        <f si="1" t="shared"/>
        <v>32520.741815567017</v>
      </c>
    </row>
    <row r="24" spans="1:21" x14ac:dyDescent="0.25">
      <c r="A24" s="12">
        <v>0.4375</v>
      </c>
      <c r="B24" s="6" t="n">
        <v>17212.69681931142</v>
      </c>
      <c r="C24" s="6" t="n">
        <v>2549.9622449419667</v>
      </c>
      <c r="D24" s="6" t="n">
        <v>257.45843248433346</v>
      </c>
      <c r="E24" s="6" t="n">
        <v>440.51669888071336</v>
      </c>
      <c r="F24" s="6" t="n">
        <v>464.27715661297395</v>
      </c>
      <c r="G24" s="6" t="n">
        <v>43.34473511558771</v>
      </c>
      <c r="H24" s="6" t="n">
        <v>10.570607044281285</v>
      </c>
      <c r="I24" s="6" t="n">
        <v>0.0</v>
      </c>
      <c r="J24" s="6">
        <f si="0" t="shared"/>
        <v>21894.47381875119</v>
      </c>
      <c r="L24" s="12">
        <v>0.4375</v>
      </c>
      <c r="M24" s="9" t="n">
        <v>16820.616397857666</v>
      </c>
      <c r="N24" s="9" t="n">
        <v>1771.8858661651611</v>
      </c>
      <c r="O24" s="9" t="n">
        <v>0.0</v>
      </c>
      <c r="P24" s="9" t="n">
        <v>0.0</v>
      </c>
      <c r="Q24" s="9" t="n">
        <v>411.7199001312256</v>
      </c>
      <c r="R24" s="9" t="n">
        <v>53.08478355407715</v>
      </c>
      <c r="S24" s="9" t="n">
        <v>0.0</v>
      </c>
      <c r="T24" s="9" t="n">
        <v>0.0</v>
      </c>
      <c r="U24">
        <f si="1" t="shared"/>
        <v>23990.241785049438</v>
      </c>
    </row>
    <row r="25" spans="1:21" x14ac:dyDescent="0.25">
      <c r="A25" s="12">
        <v>0.45833333333333331</v>
      </c>
      <c r="B25" s="6" t="n">
        <v>12505.028208133253</v>
      </c>
      <c r="C25" s="6" t="n">
        <v>2094.7612219757525</v>
      </c>
      <c r="D25" s="6" t="n">
        <v>238.56928172989768</v>
      </c>
      <c r="E25" s="6" t="n">
        <v>414.14563229197745</v>
      </c>
      <c r="F25" s="6" t="n">
        <v>430.7075678026564</v>
      </c>
      <c r="G25" s="6" t="n">
        <v>65.6687611637962</v>
      </c>
      <c r="H25" s="6" t="n">
        <v>13.331845671296387</v>
      </c>
      <c r="I25" s="6" t="n">
        <v>0.0</v>
      </c>
      <c r="J25" s="6">
        <f si="0" t="shared"/>
        <v>16901.701133628616</v>
      </c>
      <c r="L25" s="12">
        <v>0.45833333333333331</v>
      </c>
      <c r="M25" s="9" t="n">
        <v>12310.503958702087</v>
      </c>
      <c r="N25" s="9" t="n">
        <v>1436.386040687561</v>
      </c>
      <c r="O25" s="9" t="n">
        <v>0.0</v>
      </c>
      <c r="P25" s="9" t="n">
        <v>0.0</v>
      </c>
      <c r="Q25" s="9" t="n">
        <v>344.0401544570923</v>
      </c>
      <c r="R25" s="9" t="n">
        <v>53.018070220947266</v>
      </c>
      <c r="S25" s="9" t="n">
        <v>0.0</v>
      </c>
      <c r="T25" s="9" t="n">
        <v>0.0</v>
      </c>
      <c r="U25">
        <f si="1" t="shared"/>
        <v>18246.386370658875</v>
      </c>
    </row>
    <row r="26" spans="1:21" x14ac:dyDescent="0.25">
      <c r="A26" s="12">
        <v>0.47916666666666669</v>
      </c>
      <c r="B26" s="6" t="n">
        <v>10166.153364442234</v>
      </c>
      <c r="C26" s="6" t="n">
        <v>1768.7884055318705</v>
      </c>
      <c r="D26" s="6" t="n">
        <v>210.25349535299904</v>
      </c>
      <c r="E26" s="6" t="n">
        <v>409.02671102610316</v>
      </c>
      <c r="F26" s="6" t="n">
        <v>402.8844626934174</v>
      </c>
      <c r="G26" s="6" t="n">
        <v>88.51303769195955</v>
      </c>
      <c r="H26" s="6" t="n">
        <v>14.554903531427815</v>
      </c>
      <c r="I26" s="6" t="n">
        <v>0.0</v>
      </c>
      <c r="J26" s="6">
        <f si="0" t="shared"/>
        <v>13719.677520244066</v>
      </c>
      <c r="L26" s="12">
        <v>0.47916666666666669</v>
      </c>
      <c r="M26" s="9" t="n">
        <v>9849.032503128052</v>
      </c>
      <c r="N26" s="9" t="n">
        <v>1268.75767993927</v>
      </c>
      <c r="O26" s="9" t="n">
        <v>0.0</v>
      </c>
      <c r="P26" s="9" t="n">
        <v>0.0</v>
      </c>
      <c r="Q26" s="9" t="n">
        <v>314.06835746765137</v>
      </c>
      <c r="R26" s="9" t="n">
        <v>57.59053421020508</v>
      </c>
      <c r="S26" s="9" t="n">
        <v>0.0</v>
      </c>
      <c r="T26" s="9" t="n">
        <v>0.0</v>
      </c>
      <c r="U26">
        <f si="1" t="shared"/>
        <v>14834.008274078369</v>
      </c>
    </row>
    <row r="27" spans="1:21" x14ac:dyDescent="0.25">
      <c r="A27" s="12">
        <v>0.5</v>
      </c>
      <c r="B27" s="6" t="n">
        <v>9274.5744345805</v>
      </c>
      <c r="C27" s="6" t="n">
        <v>1537.8284319512618</v>
      </c>
      <c r="D27" s="6" t="n">
        <v>168.33393212962034</v>
      </c>
      <c r="E27" s="6" t="n">
        <v>412.1137163789232</v>
      </c>
      <c r="F27" s="6" t="n">
        <v>391.69585258717433</v>
      </c>
      <c r="G27" s="6" t="n">
        <v>102.49908344268592</v>
      </c>
      <c r="H27" s="6" t="n">
        <v>13.409253497483967</v>
      </c>
      <c r="I27" s="6" t="n">
        <v>0.0</v>
      </c>
      <c r="J27" s="6">
        <f si="0" t="shared"/>
        <v>11664.656055590376</v>
      </c>
      <c r="L27" s="12">
        <v>0.5</v>
      </c>
      <c r="M27" s="9" t="n">
        <v>8661.827416419983</v>
      </c>
      <c r="N27" s="9" t="n">
        <v>1213.7923698425293</v>
      </c>
      <c r="O27" s="9" t="n">
        <v>0.0</v>
      </c>
      <c r="P27" s="9" t="n">
        <v>0.0</v>
      </c>
      <c r="Q27" s="9" t="n">
        <v>310.16624450683594</v>
      </c>
      <c r="R27" s="9" t="n">
        <v>65.86801815032959</v>
      </c>
      <c r="S27" s="9" t="n">
        <v>0.0</v>
      </c>
      <c r="T27" s="9" t="n">
        <v>0.0</v>
      </c>
      <c r="U27">
        <f si="1" t="shared"/>
        <v>12938.762903213501</v>
      </c>
    </row>
    <row r="28" spans="1:21" x14ac:dyDescent="0.25">
      <c r="A28" s="12">
        <v>0.52083333333333337</v>
      </c>
      <c r="B28" s="6" t="n">
        <v>9068.40360867153</v>
      </c>
      <c r="C28" s="6" t="n">
        <v>1377.0724056613258</v>
      </c>
      <c r="D28" s="6" t="n">
        <v>119.88549331852045</v>
      </c>
      <c r="E28" s="6" t="n">
        <v>407.7103192586567</v>
      </c>
      <c r="F28" s="6" t="n">
        <v>409.81967768277224</v>
      </c>
      <c r="G28" s="6" t="n">
        <v>101.35119781135623</v>
      </c>
      <c r="H28" s="6" t="n">
        <v>10.761102964986751</v>
      </c>
      <c r="I28" s="6" t="n">
        <v>0.0</v>
      </c>
      <c r="J28" s="6">
        <f si="0" t="shared"/>
        <v>10348.651215900112</v>
      </c>
      <c r="L28" s="12">
        <v>0.52083333333333337</v>
      </c>
      <c r="M28" s="9" t="n">
        <v>8135.623893737793</v>
      </c>
      <c r="N28" s="9" t="n">
        <v>1220.764729499817</v>
      </c>
      <c r="O28" s="9" t="n">
        <v>0.0</v>
      </c>
      <c r="P28" s="9" t="n">
        <v>0.0</v>
      </c>
      <c r="Q28" s="9" t="n">
        <v>320.5824975967407</v>
      </c>
      <c r="R28" s="9" t="n">
        <v>76.87590312957764</v>
      </c>
      <c r="S28" s="9" t="n">
        <v>0.0</v>
      </c>
      <c r="T28" s="9" t="n">
        <v>0.0</v>
      </c>
      <c r="U28">
        <f si="1" t="shared"/>
        <v>11826.709604263306</v>
      </c>
    </row>
    <row r="29" spans="1:21" x14ac:dyDescent="0.25">
      <c r="A29" s="12">
        <v>0.54166666666666663</v>
      </c>
      <c r="B29" s="6" t="n">
        <v>9000.157100652015</v>
      </c>
      <c r="C29" s="6" t="n">
        <v>1271.8445872489408</v>
      </c>
      <c r="D29" s="6" t="n">
        <v>78.66095685034617</v>
      </c>
      <c r="E29" s="6" t="n">
        <v>385.1400868276375</v>
      </c>
      <c r="F29" s="6" t="n">
        <v>455.0391958819999</v>
      </c>
      <c r="G29" s="6" t="n">
        <v>87.76957430919549</v>
      </c>
      <c r="H29" s="6" t="n">
        <v>8.64418492973995</v>
      </c>
      <c r="I29" s="6" t="n">
        <v>0.0</v>
      </c>
      <c r="J29" s="6">
        <f si="0" t="shared"/>
        <v>9535.7550394171267</v>
      </c>
      <c r="L29" s="12">
        <v>0.54166666666666663</v>
      </c>
      <c r="M29" s="9" t="n">
        <v>7872.288281440735</v>
      </c>
      <c r="N29" s="9" t="n">
        <v>1251.6061544418335</v>
      </c>
      <c r="O29" s="9" t="n">
        <v>0.0</v>
      </c>
      <c r="P29" s="9" t="n">
        <v>0.0</v>
      </c>
      <c r="Q29" s="9" t="n">
        <v>335.7326202392578</v>
      </c>
      <c r="R29" s="9" t="n">
        <v>89.7663345336914</v>
      </c>
      <c r="S29" s="9" t="n">
        <v>0.0</v>
      </c>
      <c r="T29" s="9" t="n">
        <v>0.0</v>
      </c>
      <c r="U29">
        <f si="1" t="shared"/>
        <v>11028.567967414856</v>
      </c>
    </row>
    <row r="30" spans="1:21" x14ac:dyDescent="0.25">
      <c r="A30" s="12">
        <v>0.5625</v>
      </c>
      <c r="B30" s="6" t="n">
        <v>8743.096069225492</v>
      </c>
      <c r="C30" s="6" t="n">
        <v>1206.3328057343856</v>
      </c>
      <c r="D30" s="6" t="n">
        <v>54.88786343673908</v>
      </c>
      <c r="E30" s="6" t="n">
        <v>344.1875566529856</v>
      </c>
      <c r="F30" s="6" t="n">
        <v>505.09653890589425</v>
      </c>
      <c r="G30" s="6" t="n">
        <v>72.84610180095257</v>
      </c>
      <c r="H30" s="6" t="n">
        <v>9.154299823079313</v>
      </c>
      <c r="I30" s="6" t="n">
        <v>0.0</v>
      </c>
      <c r="J30" s="6">
        <f si="0" t="shared"/>
        <v>8975.1762619413566</v>
      </c>
      <c r="L30" s="12">
        <v>0.5625</v>
      </c>
      <c r="M30" s="9" t="n">
        <v>7636.922993659973</v>
      </c>
      <c r="N30" s="9" t="n">
        <v>1278.8837146759033</v>
      </c>
      <c r="O30" s="9" t="n">
        <v>0.0</v>
      </c>
      <c r="P30" s="9" t="n">
        <v>0.0</v>
      </c>
      <c r="Q30" s="9" t="n">
        <v>348.22814178466797</v>
      </c>
      <c r="R30" s="9" t="n">
        <v>103.52361488342285</v>
      </c>
      <c r="S30" s="9" t="n">
        <v>0.0</v>
      </c>
      <c r="T30" s="9" t="n">
        <v>0.0</v>
      </c>
      <c r="U30">
        <f si="1" t="shared"/>
        <v>10316.606016159058</v>
      </c>
    </row>
    <row r="31" spans="1:21" x14ac:dyDescent="0.25">
      <c r="A31" s="12">
        <v>0.58333333333333337</v>
      </c>
      <c r="B31" s="6" t="n">
        <v>8178.596474945394</v>
      </c>
      <c r="C31" s="6" t="n">
        <v>1157.8179143287105</v>
      </c>
      <c r="D31" s="6" t="n">
        <v>48.94260034703805</v>
      </c>
      <c r="E31" s="6" t="n">
        <v>293.448198489391</v>
      </c>
      <c r="F31" s="6" t="n">
        <v>532.947511313899</v>
      </c>
      <c r="G31" s="6" t="n">
        <v>69.00619920433408</v>
      </c>
      <c r="H31" s="6" t="n">
        <v>13.513070010724228</v>
      </c>
      <c r="I31" s="6" t="n">
        <v>0.0</v>
      </c>
      <c r="J31" s="6">
        <f si="0" t="shared"/>
        <v>8406.6376415190934</v>
      </c>
      <c r="L31" s="12">
        <v>0.58333333333333337</v>
      </c>
      <c r="M31" s="9" t="n">
        <v>7302.318064689636</v>
      </c>
      <c r="N31" s="9" t="n">
        <v>1282.5047311782837</v>
      </c>
      <c r="O31" s="9" t="n">
        <v>0.0</v>
      </c>
      <c r="P31" s="9" t="n">
        <v>0.0</v>
      </c>
      <c r="Q31" s="9" t="n">
        <v>352.52044105529785</v>
      </c>
      <c r="R31" s="9" t="n">
        <v>116.60080242156982</v>
      </c>
      <c r="S31" s="9" t="n">
        <v>0.0</v>
      </c>
      <c r="T31" s="9" t="n">
        <v>0.0</v>
      </c>
      <c r="U31">
        <f si="1" t="shared"/>
        <v>9601.705756187439</v>
      </c>
    </row>
    <row r="32" spans="1:21" x14ac:dyDescent="0.25">
      <c r="A32" s="12">
        <v>0.60416666666666663</v>
      </c>
      <c r="B32" s="6" t="n">
        <v>7351.875566823766</v>
      </c>
      <c r="C32" s="6" t="n">
        <v>1103.5487415398852</v>
      </c>
      <c r="D32" s="6" t="n">
        <v>53.00985753501722</v>
      </c>
      <c r="E32" s="6" t="n">
        <v>243.5810434548718</v>
      </c>
      <c r="F32" s="6" t="n">
        <v>527.9742133045648</v>
      </c>
      <c r="G32" s="6" t="n">
        <v>82.01321260690759</v>
      </c>
      <c r="H32" s="6" t="n">
        <v>21.60619433883255</v>
      </c>
      <c r="I32" s="6" t="n">
        <v>0.0</v>
      </c>
      <c r="J32" s="6">
        <f si="0" t="shared"/>
        <v>7683.191735032784</v>
      </c>
      <c r="L32" s="12">
        <v>0.60416666666666663</v>
      </c>
      <c r="M32" s="9" t="n">
        <v>6819.966299057007</v>
      </c>
      <c r="N32" s="9" t="n">
        <v>1249.2865657806396</v>
      </c>
      <c r="O32" s="9" t="n">
        <v>0.0</v>
      </c>
      <c r="P32" s="9" t="n">
        <v>0.0</v>
      </c>
      <c r="Q32" s="9" t="n">
        <v>345.0985565185547</v>
      </c>
      <c r="R32" s="9" t="n">
        <v>127.0040225982666</v>
      </c>
      <c r="S32" s="9" t="n">
        <v>0.0</v>
      </c>
      <c r="T32" s="9" t="n">
        <v>0.0</v>
      </c>
      <c r="U32">
        <f si="1" t="shared"/>
        <v>8848.565149307251</v>
      </c>
    </row>
    <row r="33" spans="1:21" x14ac:dyDescent="0.25">
      <c r="A33" s="12">
        <v>0.625</v>
      </c>
      <c r="B33" s="6" t="n">
        <v>6399.729245592194</v>
      </c>
      <c r="C33" s="6" t="n">
        <v>1034.1193764430263</v>
      </c>
      <c r="D33" s="6" t="n">
        <v>57.3794077018755</v>
      </c>
      <c r="E33" s="6" t="n">
        <v>201.8822635803083</v>
      </c>
      <c r="F33" s="6" t="n">
        <v>501.1125803545187</v>
      </c>
      <c r="G33" s="6" t="n">
        <v>107.83308678093886</v>
      </c>
      <c r="H33" s="6" t="n">
        <v>31.840498234859357</v>
      </c>
      <c r="I33" s="6" t="n">
        <v>0.0</v>
      </c>
      <c r="J33" s="6">
        <f si="0" t="shared"/>
        <v>6842.0423910840209</v>
      </c>
      <c r="L33" s="12">
        <v>0.625</v>
      </c>
      <c r="M33" s="9" t="n">
        <v>6206.1546058654785</v>
      </c>
      <c r="N33" s="9" t="n">
        <v>1175.2690076828003</v>
      </c>
      <c r="O33" s="9" t="n">
        <v>0.0</v>
      </c>
      <c r="P33" s="9" t="n">
        <v>0.0</v>
      </c>
      <c r="Q33" s="9" t="n">
        <v>325.23542499542236</v>
      </c>
      <c r="R33" s="9" t="n">
        <v>133.0163984298706</v>
      </c>
      <c r="S33" s="9" t="n">
        <v>0.0</v>
      </c>
      <c r="T33" s="9" t="n">
        <v>0.0</v>
      </c>
      <c r="U33">
        <f si="1" t="shared"/>
        <v>8042.1930551528931</v>
      </c>
    </row>
    <row r="34" spans="1:21" x14ac:dyDescent="0.25">
      <c r="A34" s="12">
        <v>0.64583333333333337</v>
      </c>
      <c r="B34" s="6" t="n">
        <v>5470.662950016875</v>
      </c>
      <c r="C34" s="6" t="n">
        <v>959.7863461424397</v>
      </c>
      <c r="D34" s="6" t="n">
        <v>55.900772928497275</v>
      </c>
      <c r="E34" s="6" t="n">
        <v>171.22882834527093</v>
      </c>
      <c r="F34" s="6" t="n">
        <v>469.85513480349766</v>
      </c>
      <c r="G34" s="6" t="n">
        <v>135.98367733109885</v>
      </c>
      <c r="H34" s="6" t="n">
        <v>41.30455602255817</v>
      </c>
      <c r="I34" s="6" t="n">
        <v>0.0</v>
      </c>
      <c r="J34" s="6">
        <f si="0" t="shared"/>
        <v>6034.785015248779</v>
      </c>
      <c r="L34" s="12">
        <v>0.64583333333333337</v>
      </c>
      <c r="M34" s="9" t="n">
        <v>5525.675121307373</v>
      </c>
      <c r="N34" s="9" t="n">
        <v>1067.8086986541748</v>
      </c>
      <c r="O34" s="9" t="n">
        <v>0.0</v>
      </c>
      <c r="P34" s="9" t="n">
        <v>0.0</v>
      </c>
      <c r="Q34" s="9" t="n">
        <v>295.5352363586426</v>
      </c>
      <c r="R34" s="9" t="n">
        <v>134.06005096435547</v>
      </c>
      <c r="S34" s="9" t="n">
        <v>0.0</v>
      </c>
      <c r="T34" s="9" t="n">
        <v>0.0</v>
      </c>
      <c r="U34">
        <f si="1" t="shared"/>
        <v>7191.0526704788208</v>
      </c>
    </row>
    <row r="35" spans="1:21" x14ac:dyDescent="0.25">
      <c r="A35" s="12">
        <v>0.66666666666666663</v>
      </c>
      <c r="B35" s="6" t="n">
        <v>4659.247881798547</v>
      </c>
      <c r="C35" s="6" t="n">
        <v>900.8849038264354</v>
      </c>
      <c r="D35" s="6" t="n">
        <v>47.717420423464624</v>
      </c>
      <c r="E35" s="6" t="n">
        <v>151.09291249798852</v>
      </c>
      <c r="F35" s="6" t="n">
        <v>440.8605988986635</v>
      </c>
      <c r="G35" s="6" t="n">
        <v>156.24992366041897</v>
      </c>
      <c r="H35" s="6" t="n">
        <v>46.58329382119206</v>
      </c>
      <c r="I35" s="6" t="n">
        <v>0.0</v>
      </c>
      <c r="J35" s="6">
        <f si="0" t="shared"/>
        <v>5380.5039678819612</v>
      </c>
      <c r="L35" s="12">
        <v>0.66666666666666663</v>
      </c>
      <c r="M35" s="9" t="n">
        <v>4862.98327255249</v>
      </c>
      <c r="N35" s="9" t="n">
        <v>943.3843660354614</v>
      </c>
      <c r="O35" s="9" t="n">
        <v>0.0</v>
      </c>
      <c r="P35" s="9" t="n">
        <v>0.0</v>
      </c>
      <c r="Q35" s="9" t="n">
        <v>261.1929683685303</v>
      </c>
      <c r="R35" s="9" t="n">
        <v>130.83508396148682</v>
      </c>
      <c r="S35" s="9" t="n">
        <v>0.0</v>
      </c>
      <c r="T35" s="9" t="n">
        <v>0.0</v>
      </c>
      <c r="U35">
        <f si="1" t="shared"/>
        <v>6334.0625524520874</v>
      </c>
    </row>
    <row r="36" spans="1:21" x14ac:dyDescent="0.25">
      <c r="A36" s="12">
        <v>0.6875</v>
      </c>
      <c r="B36" s="6" t="n">
        <v>3976.527549862345</v>
      </c>
      <c r="C36" s="6" t="n">
        <v>868.33961951481</v>
      </c>
      <c r="D36" s="6" t="n">
        <v>35.72209957855898</v>
      </c>
      <c r="E36" s="6" t="n">
        <v>138.14653868204536</v>
      </c>
      <c r="F36" s="6" t="n">
        <v>407.85313715764687</v>
      </c>
      <c r="G36" s="6" t="n">
        <v>163.58624001005842</v>
      </c>
      <c r="H36" s="6" t="n">
        <v>45.32431281381276</v>
      </c>
      <c r="I36" s="6" t="n">
        <v>0.0</v>
      </c>
      <c r="J36" s="6">
        <f si="0" t="shared"/>
        <v>4872.6538610133675</v>
      </c>
      <c r="L36" s="12">
        <v>0.6875</v>
      </c>
      <c r="M36" s="9" t="n">
        <v>4282.832514762878</v>
      </c>
      <c r="N36" s="9" t="n">
        <v>819.7769565582275</v>
      </c>
      <c r="O36" s="9" t="n">
        <v>0.0</v>
      </c>
      <c r="P36" s="9" t="n">
        <v>0.0</v>
      </c>
      <c r="Q36" s="9" t="n">
        <v>227.62622833251953</v>
      </c>
      <c r="R36" s="9" t="n">
        <v>124.47020626068115</v>
      </c>
      <c r="S36" s="9" t="n">
        <v>0.0</v>
      </c>
      <c r="T36" s="9" t="n">
        <v>0.0</v>
      </c>
      <c r="U36">
        <f si="1" t="shared"/>
        <v>5528.5912561416626</v>
      </c>
    </row>
    <row r="37" spans="1:21" x14ac:dyDescent="0.25">
      <c r="A37" s="12">
        <v>0.70833333333333337</v>
      </c>
      <c r="B37" s="6" t="n">
        <v>3370.2430938416155</v>
      </c>
      <c r="C37" s="6" t="n">
        <v>850.8343047272416</v>
      </c>
      <c r="D37" s="6" t="n">
        <v>23.843561899803326</v>
      </c>
      <c r="E37" s="6" t="n">
        <v>127.11462033093738</v>
      </c>
      <c r="F37" s="6" t="n">
        <v>363.28509300574694</v>
      </c>
      <c r="G37" s="6" t="n">
        <v>158.36602739240425</v>
      </c>
      <c r="H37" s="6" t="n">
        <v>37.7168308791171</v>
      </c>
      <c r="I37" s="6" t="n">
        <v>0.0</v>
      </c>
      <c r="J37" s="6">
        <f si="0" t="shared"/>
        <v>4406.837470262546</v>
      </c>
      <c r="L37" s="12">
        <v>0.70833333333333337</v>
      </c>
      <c r="M37" s="9" t="n">
        <v>3798.2450428009033</v>
      </c>
      <c r="N37" s="9" t="n">
        <v>707.0542688369751</v>
      </c>
      <c r="O37" s="9" t="n">
        <v>0.0</v>
      </c>
      <c r="P37" s="9" t="n">
        <v>0.0</v>
      </c>
      <c r="Q37" s="9" t="n">
        <v>197.77108192443848</v>
      </c>
      <c r="R37" s="9" t="n">
        <v>115.48148250579834</v>
      </c>
      <c r="S37" s="9" t="n">
        <v>0.0</v>
      </c>
      <c r="T37" s="9" t="n">
        <v>0.0</v>
      </c>
      <c r="U37">
        <f si="1" t="shared"/>
        <v>4822.9588079452515</v>
      </c>
    </row>
    <row r="38" spans="1:21" x14ac:dyDescent="0.25">
      <c r="A38" s="12">
        <v>0.72916666666666663</v>
      </c>
      <c r="B38" s="6" t="n">
        <v>2780.6903535344272</v>
      </c>
      <c r="C38" s="6" t="n">
        <v>819.6396386668679</v>
      </c>
      <c r="D38" s="6" t="n">
        <v>14.995168878363575</v>
      </c>
      <c r="E38" s="6" t="n">
        <v>113.06357970699264</v>
      </c>
      <c r="F38" s="6" t="n">
        <v>308.35525568930586</v>
      </c>
      <c r="G38" s="6" t="n">
        <v>143.89028255529996</v>
      </c>
      <c r="H38" s="6" t="n">
        <v>26.56828385923516</v>
      </c>
      <c r="I38" s="6" t="n">
        <v>0.0</v>
      </c>
      <c r="J38" s="6">
        <f si="0" t="shared"/>
        <v>3882.5963483521464</v>
      </c>
      <c r="L38" s="12">
        <v>0.72916666666666663</v>
      </c>
      <c r="M38" s="9" t="n">
        <v>3369.3284463882446</v>
      </c>
      <c r="N38" s="9" t="n">
        <v>604.5080623626709</v>
      </c>
      <c r="O38" s="9" t="n">
        <v>0.0</v>
      </c>
      <c r="P38" s="9" t="n">
        <v>0.0</v>
      </c>
      <c r="Q38" s="9" t="n">
        <v>171.12811756134033</v>
      </c>
      <c r="R38" s="9" t="n">
        <v>103.62890815734863</v>
      </c>
      <c r="S38" s="9" t="n">
        <v>0.0</v>
      </c>
      <c r="T38" s="9" t="n">
        <v>0.0</v>
      </c>
      <c r="U38">
        <f si="1" t="shared"/>
        <v>4234.6729373931885</v>
      </c>
    </row>
    <row r="39" spans="1:21" x14ac:dyDescent="0.25">
      <c r="A39" s="12">
        <v>0.75</v>
      </c>
      <c r="B39" s="6" t="n">
        <v>2190.5394808518936</v>
      </c>
      <c r="C39" s="6" t="n">
        <v>746.9087504298617</v>
      </c>
      <c r="D39" s="6" t="n">
        <v>10.253768017683761</v>
      </c>
      <c r="E39" s="6" t="n">
        <v>93.94214986281352</v>
      </c>
      <c r="F39" s="6" t="n">
        <v>251.46532660239063</v>
      </c>
      <c r="G39" s="6" t="n">
        <v>124.71289804508945</v>
      </c>
      <c r="H39" s="6" t="n">
        <v>15.649478671077896</v>
      </c>
      <c r="I39" s="6" t="n">
        <v>0.0</v>
      </c>
      <c r="J39" s="6">
        <f si="0" t="shared"/>
        <v>3279.4768092435224</v>
      </c>
      <c r="L39" s="12">
        <v>0.75</v>
      </c>
      <c r="M39" s="9" t="n">
        <v>2938.4108686447144</v>
      </c>
      <c r="N39" s="9" t="n">
        <v>506.0576362609863</v>
      </c>
      <c r="O39" s="9" t="n">
        <v>0.0</v>
      </c>
      <c r="P39" s="9" t="n">
        <v>0.0</v>
      </c>
      <c r="Q39" s="9" t="n">
        <v>145.3688259124756</v>
      </c>
      <c r="R39" s="9" t="n">
        <v>88.8486213684082</v>
      </c>
      <c r="S39" s="9" t="n">
        <v>0.0</v>
      </c>
      <c r="T39" s="9" t="n">
        <v>0.0</v>
      </c>
      <c r="U39">
        <f si="1" t="shared"/>
        <v>3748.8711786270142</v>
      </c>
    </row>
    <row r="40" spans="1:21" x14ac:dyDescent="0.25">
      <c r="A40" s="12">
        <v>0.77083333333333337</v>
      </c>
      <c r="B40" s="6" t="n">
        <v>1633.2003887205904</v>
      </c>
      <c r="C40" s="6" t="n">
        <v>623.786605465891</v>
      </c>
      <c r="D40" s="6" t="n">
        <v>8.953311529033206</v>
      </c>
      <c r="E40" s="6" t="n">
        <v>71.24858330297285</v>
      </c>
      <c r="F40" s="6" t="n">
        <v>199.77101572856307</v>
      </c>
      <c r="G40" s="6" t="n">
        <v>106.02483417708277</v>
      </c>
      <c r="H40" s="6" t="n">
        <v>7.593321731147395</v>
      </c>
      <c r="I40" s="6" t="n">
        <v>0.0</v>
      </c>
      <c r="J40" s="6">
        <f si="0" t="shared"/>
        <v>2651.4536317620823</v>
      </c>
      <c r="L40" s="12">
        <v>0.77083333333333337</v>
      </c>
      <c r="M40" s="9" t="n">
        <v>2476.7262983322144</v>
      </c>
      <c r="N40" s="9" t="n">
        <v>408.8678894042969</v>
      </c>
      <c r="O40" s="9" t="n">
        <v>0.0</v>
      </c>
      <c r="P40" s="9" t="n">
        <v>0.0</v>
      </c>
      <c r="Q40" s="9" t="n">
        <v>119.0633897781372</v>
      </c>
      <c r="R40" s="9" t="n">
        <v>72.28325843811035</v>
      </c>
      <c r="S40" s="9" t="n">
        <v>0.0</v>
      </c>
      <c r="T40" s="9" t="n">
        <v>0.0</v>
      </c>
      <c r="U40">
        <f si="1" t="shared"/>
        <v>3332.9706716537476</v>
      </c>
    </row>
    <row r="41" spans="1:21" x14ac:dyDescent="0.25">
      <c r="A41" s="12">
        <v>0.79166666666666663</v>
      </c>
      <c r="B41" s="6" t="n">
        <v>1161.7910629321013</v>
      </c>
      <c r="C41" s="6" t="n">
        <v>466.4603769744384</v>
      </c>
      <c r="D41" s="6" t="n">
        <v>9.332959992694715</v>
      </c>
      <c r="E41" s="6" t="n">
        <v>48.53420996115061</v>
      </c>
      <c r="F41" s="6" t="n">
        <v>154.4324395437664</v>
      </c>
      <c r="G41" s="6" t="n">
        <v>91.77724806436441</v>
      </c>
      <c r="H41" s="6" t="n">
        <v>2.9768314258019126</v>
      </c>
      <c r="I41" s="6" t="n">
        <v>0.0</v>
      </c>
      <c r="J41" s="6">
        <f si="0" t="shared"/>
        <v>2067.1185212254418</v>
      </c>
      <c r="L41" s="12">
        <v>0.79166666666666663</v>
      </c>
      <c r="M41" s="9" t="n">
        <v>2005.5776481628418</v>
      </c>
      <c r="N41" s="9" t="n">
        <v>317.3234567642212</v>
      </c>
      <c r="O41" s="9" t="n">
        <v>0.0</v>
      </c>
      <c r="P41" s="9" t="n">
        <v>0.0</v>
      </c>
      <c r="Q41" s="9" t="n">
        <v>93.16555213928223</v>
      </c>
      <c r="R41" s="9" t="n">
        <v>56.2699499130249</v>
      </c>
      <c r="S41" s="9" t="n">
        <v>0.0</v>
      </c>
      <c r="T41" s="9" t="n">
        <v>0.0</v>
      </c>
      <c r="U41">
        <f si="1" t="shared"/>
        <v>2954.9115753173828</v>
      </c>
    </row>
    <row r="42" spans="1:21" x14ac:dyDescent="0.25">
      <c r="A42" s="12">
        <v>0.8125</v>
      </c>
      <c r="B42" s="6" t="n">
        <v>810.8916378584836</v>
      </c>
      <c r="C42" s="6" t="n">
        <v>306.92215930321936</v>
      </c>
      <c r="D42" s="6" t="n">
        <v>9.525112819356398</v>
      </c>
      <c r="E42" s="6" t="n">
        <v>29.250547168041834</v>
      </c>
      <c r="F42" s="6" t="n">
        <v>113.33987630638714</v>
      </c>
      <c r="G42" s="6" t="n">
        <v>81.9269380840685</v>
      </c>
      <c r="H42" s="6" t="n">
        <v>0.9182208646512589</v>
      </c>
      <c r="I42" s="6" t="n">
        <v>0.0</v>
      </c>
      <c r="J42" s="6">
        <f si="0" t="shared"/>
        <v>1562.9901157053844</v>
      </c>
      <c r="L42" s="12">
        <v>0.8125</v>
      </c>
      <c r="M42" s="9" t="n">
        <v>1576.1944875717163</v>
      </c>
      <c r="N42" s="9" t="n">
        <v>239.54534721374512</v>
      </c>
      <c r="O42" s="9" t="n">
        <v>0.0</v>
      </c>
      <c r="P42" s="9" t="n">
        <v>0.0</v>
      </c>
      <c r="Q42" s="9" t="n">
        <v>70.19135665893555</v>
      </c>
      <c r="R42" s="9" t="n">
        <v>43.14538383483887</v>
      </c>
      <c r="S42" s="9" t="n">
        <v>0.0</v>
      </c>
      <c r="T42" s="9" t="n">
        <v>0.0</v>
      </c>
      <c r="U42">
        <f si="1" t="shared"/>
        <v>2596.207594871521</v>
      </c>
    </row>
    <row r="43" spans="1:21" x14ac:dyDescent="0.25">
      <c r="A43" s="12">
        <v>0.83333333333333337</v>
      </c>
      <c r="B43" s="6" t="n">
        <v>579.5122752648308</v>
      </c>
      <c r="C43" s="6" t="n">
        <v>175.2795947905002</v>
      </c>
      <c r="D43" s="6" t="n">
        <v>8.48775305669067</v>
      </c>
      <c r="E43" s="6" t="n">
        <v>15.322920218105535</v>
      </c>
      <c r="F43" s="6" t="n">
        <v>76.08906139913154</v>
      </c>
      <c r="G43" s="6" t="n">
        <v>72.45380991391211</v>
      </c>
      <c r="H43" s="6" t="n">
        <v>0.21433841589550887</v>
      </c>
      <c r="I43" s="6" t="n">
        <v>0.0</v>
      </c>
      <c r="J43" s="6">
        <f si="0" t="shared"/>
        <v>1144.5540037288335</v>
      </c>
      <c r="L43" s="12">
        <v>0.83333333333333337</v>
      </c>
      <c r="M43" s="9" t="n">
        <v>1228.7462844848633</v>
      </c>
      <c r="N43" s="9" t="n">
        <v>180.68271160125732</v>
      </c>
      <c r="O43" s="9" t="n">
        <v>0.0</v>
      </c>
      <c r="P43" s="9" t="n">
        <v>0.0</v>
      </c>
      <c r="Q43" s="9" t="n">
        <v>52.17162036895752</v>
      </c>
      <c r="R43" s="9" t="n">
        <v>33.88209533691406</v>
      </c>
      <c r="S43" s="9" t="n">
        <v>0.0</v>
      </c>
      <c r="T43" s="9" t="n">
        <v>0.0</v>
      </c>
      <c r="U43">
        <f si="1" t="shared"/>
        <v>2256.2248516082764</v>
      </c>
    </row>
    <row r="44" spans="1:21" x14ac:dyDescent="0.25">
      <c r="A44" s="12">
        <v>0.85416666666666663</v>
      </c>
      <c r="B44" s="6" t="n">
        <v>438.8824101639084</v>
      </c>
      <c r="C44" s="6" t="n">
        <v>85.95301489383674</v>
      </c>
      <c r="D44" s="6" t="n">
        <v>6.3350710794370215</v>
      </c>
      <c r="E44" s="6" t="n">
        <v>6.826123443418966</v>
      </c>
      <c r="F44" s="6" t="n">
        <v>45.1399872343589</v>
      </c>
      <c r="G44" s="6" t="n">
        <v>59.33735041854323</v>
      </c>
      <c r="H44" s="6" t="n">
        <v>0.035567686868434784</v>
      </c>
      <c r="I44" s="6" t="n">
        <v>0.0</v>
      </c>
      <c r="J44" s="6">
        <f si="0" t="shared"/>
        <v>811.53762600932271</v>
      </c>
      <c r="L44" s="12">
        <v>0.85416666666666663</v>
      </c>
      <c r="M44" s="9" t="n">
        <v>966.8188705444336</v>
      </c>
      <c r="N44" s="9" t="n">
        <v>139.33707237243652</v>
      </c>
      <c r="O44" s="9" t="n">
        <v>0.0</v>
      </c>
      <c r="P44" s="9" t="n">
        <v>0.0</v>
      </c>
      <c r="Q44" s="9" t="n">
        <v>39.327219009399414</v>
      </c>
      <c r="R44" s="9" t="n">
        <v>27.731157302856445</v>
      </c>
      <c r="S44" s="9" t="n">
        <v>0.0</v>
      </c>
      <c r="T44" s="9" t="n">
        <v>0.0</v>
      </c>
      <c r="U44">
        <f si="1" t="shared"/>
        <v>1946.5985107421875</v>
      </c>
    </row>
    <row r="45" spans="1:21" x14ac:dyDescent="0.25">
      <c r="A45" s="12">
        <v>0.875</v>
      </c>
      <c r="B45" s="6" t="n">
        <v>351.14518671503595</v>
      </c>
      <c r="C45" s="6" t="n">
        <v>35.923179496259486</v>
      </c>
      <c r="D45" s="6" t="n">
        <v>3.8945216904787032</v>
      </c>
      <c r="E45" s="6" t="n">
        <v>2.517801224552122</v>
      </c>
      <c r="F45" s="6" t="n">
        <v>23.065765579029282</v>
      </c>
      <c r="G45" s="6" t="n">
        <v>42.51642662413166</v>
      </c>
      <c r="H45" s="6" t="n">
        <v>0.003737221954078274</v>
      </c>
      <c r="I45" s="6" t="n">
        <v>0.0</v>
      </c>
      <c r="J45" s="6">
        <f si="0" t="shared"/>
        <v>567.40988613519846</v>
      </c>
      <c r="L45" s="12">
        <v>0.875</v>
      </c>
      <c r="M45" s="9" t="n">
        <v>764.8101282119751</v>
      </c>
      <c r="N45" s="9" t="n">
        <v>109.53676414489746</v>
      </c>
      <c r="O45" s="9" t="n">
        <v>0.0</v>
      </c>
      <c r="P45" s="9" t="n">
        <v>0.0</v>
      </c>
      <c r="Q45" s="9" t="n">
        <v>30.369805335998535</v>
      </c>
      <c r="R45" s="9" t="n">
        <v>23.083287239074707</v>
      </c>
      <c r="S45" s="9" t="n">
        <v>0.0</v>
      </c>
      <c r="T45" s="9" t="n">
        <v>0.0</v>
      </c>
      <c r="U45">
        <f si="1" t="shared"/>
        <v>1678.4552383422852</v>
      </c>
    </row>
    <row r="46" spans="1:21" x14ac:dyDescent="0.25">
      <c r="A46" s="12">
        <v>0.89583333333333337</v>
      </c>
      <c r="B46" s="6" t="n">
        <v>285.1980765370272</v>
      </c>
      <c r="C46" s="6" t="n">
        <v>12.757265048166898</v>
      </c>
      <c r="D46" s="6" t="n">
        <v>1.9469309012690954</v>
      </c>
      <c r="E46" s="6" t="n">
        <v>0.7437249496571987</v>
      </c>
      <c r="F46" s="6" t="n">
        <v>9.974356923222361</v>
      </c>
      <c r="G46" s="6" t="n">
        <v>25.682048664593932</v>
      </c>
      <c r="H46" s="6" t="n">
        <v>1.868610977039137E-4</v>
      </c>
      <c r="I46" s="6" t="n">
        <v>0.0</v>
      </c>
      <c r="J46" s="6">
        <f si="0" t="shared"/>
        <v>406.71407784068606</v>
      </c>
      <c r="L46" s="12">
        <v>0.89583333333333337</v>
      </c>
      <c r="M46" s="9" t="n">
        <v>594.1695470809937</v>
      </c>
      <c r="N46" s="9" t="n">
        <v>85.42320442199707</v>
      </c>
      <c r="O46" s="9" t="n">
        <v>0.0</v>
      </c>
      <c r="P46" s="9" t="n">
        <v>0.0</v>
      </c>
      <c r="Q46" s="9" t="n">
        <v>23.714813232421875</v>
      </c>
      <c r="R46" s="9" t="n">
        <v>18.69010066986084</v>
      </c>
      <c r="S46" s="9" t="n">
        <v>0.0</v>
      </c>
      <c r="T46" s="9" t="n">
        <v>0.0</v>
      </c>
      <c r="U46">
        <f si="1" t="shared"/>
        <v>1450.264368057251</v>
      </c>
    </row>
    <row r="47" spans="1:21" x14ac:dyDescent="0.25">
      <c r="A47" s="12">
        <v>0.91666666666666663</v>
      </c>
      <c r="B47" s="6" t="n">
        <v>224.12559399386868</v>
      </c>
      <c r="C47" s="6" t="n">
        <v>3.859213175244149</v>
      </c>
      <c r="D47" s="6" t="n">
        <v>0.7787593109064889</v>
      </c>
      <c r="E47" s="6" t="n">
        <v>0.1682738972842007</v>
      </c>
      <c r="F47" s="6" t="n">
        <v>3.6046291079196715</v>
      </c>
      <c r="G47" s="6" t="n">
        <v>12.751658914082752</v>
      </c>
      <c r="H47" s="6" t="n">
        <v>0.0</v>
      </c>
      <c r="I47" s="6" t="n">
        <v>0.0</v>
      </c>
      <c r="J47" s="6">
        <f si="0" t="shared"/>
        <v>305.59596327444928</v>
      </c>
      <c r="L47" s="12">
        <v>0.91666666666666663</v>
      </c>
      <c r="M47" s="9" t="n">
        <v>442.2306308746338</v>
      </c>
      <c r="N47" s="9" t="n">
        <v>64.26936531066895</v>
      </c>
      <c r="O47" s="9" t="n">
        <v>0.0</v>
      </c>
      <c r="P47" s="9" t="n">
        <v>0.0</v>
      </c>
      <c r="Q47" s="9" t="n">
        <v>18.362080574035645</v>
      </c>
      <c r="R47" s="9" t="n">
        <v>14.252102851867676</v>
      </c>
      <c r="S47" s="9" t="n">
        <v>0.0</v>
      </c>
      <c r="T47" s="9" t="n">
        <v>0.0</v>
      </c>
      <c r="U47">
        <f si="1" t="shared"/>
        <v>1245.185980796814</v>
      </c>
    </row>
    <row r="48" spans="1:21" x14ac:dyDescent="0.25">
      <c r="A48" s="12">
        <v>0.9375</v>
      </c>
      <c r="B48" s="6" t="n">
        <v>164.5683505513042</v>
      </c>
      <c r="C48" s="6" t="n">
        <v>1.0004479379470346</v>
      </c>
      <c r="D48" s="6" t="n">
        <v>0.24336228465827778</v>
      </c>
      <c r="E48" s="6" t="n">
        <v>0.027280359526988804</v>
      </c>
      <c r="F48" s="6" t="n">
        <v>1.0771951633267771</v>
      </c>
      <c r="G48" s="6" t="n">
        <v>5.088785036694423</v>
      </c>
      <c r="H48" s="6" t="n">
        <v>0.0</v>
      </c>
      <c r="I48" s="6" t="n">
        <v>0.0</v>
      </c>
      <c r="J48" s="6">
        <f si="0" t="shared"/>
        <v>232.3956510319521</v>
      </c>
      <c r="L48" s="12">
        <v>0.9375</v>
      </c>
      <c r="M48" s="9" t="n">
        <v>311.55601024627686</v>
      </c>
      <c r="N48" s="9" t="n">
        <v>46.11625957489014</v>
      </c>
      <c r="O48" s="9" t="n">
        <v>0.0</v>
      </c>
      <c r="P48" s="9" t="n">
        <v>0.0</v>
      </c>
      <c r="Q48" s="9" t="n">
        <v>13.93894100189209</v>
      </c>
      <c r="R48" s="9" t="n">
        <v>10.142993927001953</v>
      </c>
      <c r="S48" s="9" t="n">
        <v>0.0</v>
      </c>
      <c r="T48" s="9" t="n">
        <v>0.0</v>
      </c>
      <c r="U48">
        <f si="1" t="shared"/>
        <v>1040.687894821167</v>
      </c>
    </row>
    <row r="49" spans="1:21" x14ac:dyDescent="0.25">
      <c r="A49" s="12">
        <v>0.95833333333333337</v>
      </c>
      <c r="B49" s="6" t="n">
        <v>110.86089550890227</v>
      </c>
      <c r="C49" s="6" t="n">
        <v>0.2220014753236254</v>
      </c>
      <c r="D49" s="6" t="n">
        <v>0.05726171403724183</v>
      </c>
      <c r="E49" s="6" t="n">
        <v>0.0028141298175649765</v>
      </c>
      <c r="F49" s="6" t="n">
        <v>0.2627469544581715</v>
      </c>
      <c r="G49" s="6" t="n">
        <v>1.5892383357919608</v>
      </c>
      <c r="H49" s="6" t="n">
        <v>0.0</v>
      </c>
      <c r="I49" s="6" t="n">
        <v>0.0</v>
      </c>
      <c r="J49" s="6">
        <f si="0" t="shared"/>
        <v>166.60272800153007</v>
      </c>
      <c r="L49" s="12">
        <v>0.95833333333333337</v>
      </c>
      <c r="M49" s="9" t="n">
        <v>208.07508850097656</v>
      </c>
      <c r="N49" s="9" t="n">
        <v>31.667113304138184</v>
      </c>
      <c r="O49" s="9" t="n">
        <v>0.0</v>
      </c>
      <c r="P49" s="9" t="n">
        <v>0.0</v>
      </c>
      <c r="Q49" s="9" t="n">
        <v>10.309179306030273</v>
      </c>
      <c r="R49" s="9" t="n">
        <v>6.793936729431152</v>
      </c>
      <c r="S49" s="9" t="n">
        <v>0.0</v>
      </c>
      <c r="T49" s="9" t="n">
        <v>0.0</v>
      </c>
      <c r="U49">
        <f si="1" t="shared"/>
        <v>823.88609409332275</v>
      </c>
    </row>
    <row r="50" spans="1:21" x14ac:dyDescent="0.25">
      <c r="A50" s="12">
        <v>0.97916666666666663</v>
      </c>
      <c r="B50" s="6" t="n">
        <v>68.12409589303135</v>
      </c>
      <c r="C50" s="6" t="n">
        <v>0.04099018853804821</v>
      </c>
      <c r="D50" s="6" t="n">
        <v>0.009543619006206972</v>
      </c>
      <c r="E50" s="6" t="n">
        <v>1.385305487640524E-4</v>
      </c>
      <c r="F50" s="6" t="n">
        <v>0.05107597115305607</v>
      </c>
      <c r="G50" s="6" t="n">
        <v>0.37389753755658034</v>
      </c>
      <c r="H50" s="6" t="n">
        <v>0.0</v>
      </c>
      <c r="I50" s="6" t="n">
        <v>0.0</v>
      </c>
      <c r="J50" s="6">
        <f si="0" t="shared"/>
        <v>105.84604256556186</v>
      </c>
      <c r="L50" s="12">
        <v>0.97916666666666663</v>
      </c>
      <c r="M50" s="9" t="n">
        <v>132.3952465057373</v>
      </c>
      <c r="N50" s="9" t="n">
        <v>20.883625984191895</v>
      </c>
      <c r="O50" s="9" t="n">
        <v>0.0</v>
      </c>
      <c r="P50" s="9" t="n">
        <v>0.0</v>
      </c>
      <c r="Q50" s="9" t="n">
        <v>7.325566291809082</v>
      </c>
      <c r="R50" s="9" t="n">
        <v>4.333495140075684</v>
      </c>
      <c r="S50" s="9" t="n">
        <v>0.0</v>
      </c>
      <c r="T50" s="9" t="n">
        <v>0.0</v>
      </c>
      <c r="U50">
        <f si="1" t="shared"/>
        <v>601.13569736480713</v>
      </c>
    </row>
    <row r="51" spans="1:21" x14ac:dyDescent="0.25">
      <c r="A51" s="12">
        <v>1</v>
      </c>
      <c r="B51" s="6" t="n">
        <v>38.198588439539115</v>
      </c>
      <c r="C51" s="6" t="n">
        <v>0.00583827787085211</v>
      </c>
      <c r="D51" s="6" t="n">
        <v>0.001004591474337576</v>
      </c>
      <c r="E51" s="6" t="n">
        <v>0.0</v>
      </c>
      <c r="F51" s="6" t="n">
        <v>0.007515767708753905</v>
      </c>
      <c r="G51" s="6" t="n">
        <v>0.06231625625943005</v>
      </c>
      <c r="H51" s="6" t="n">
        <v>0.0</v>
      </c>
      <c r="I51" s="6" t="n">
        <v>0.0</v>
      </c>
      <c r="J51" s="6">
        <f si="0" t="shared"/>
        <v>57.27840012568965</v>
      </c>
      <c r="L51" s="12">
        <v>1</v>
      </c>
      <c r="M51" s="9" t="n">
        <v>79.82846546173096</v>
      </c>
      <c r="N51" s="9" t="n">
        <v>13.068470001220703</v>
      </c>
      <c r="O51" s="9" t="n">
        <v>0.0</v>
      </c>
      <c r="P51" s="9" t="n">
        <v>0.0</v>
      </c>
      <c r="Q51" s="9" t="n">
        <v>4.865582466125488</v>
      </c>
      <c r="R51" s="9" t="n">
        <v>2.6280384063720703</v>
      </c>
      <c r="S51" s="9" t="n">
        <v>0.0</v>
      </c>
      <c r="T51" s="9" t="n">
        <v>0.0</v>
      </c>
      <c r="U51">
        <f si="1" t="shared"/>
        <v>394.49652671813965</v>
      </c>
    </row>
    <row r="52" spans="1:21" x14ac:dyDescent="0.25">
      <c r="A52" s="12">
        <v>1.0208333333333333</v>
      </c>
      <c r="B52" s="6" t="n">
        <v>19.50956984135211</v>
      </c>
      <c r="C52" s="6" t="n">
        <v>5.548499445282862E-4</v>
      </c>
      <c r="D52" s="6" t="n">
        <v>5.02295737168788E-5</v>
      </c>
      <c r="E52" s="6" t="n">
        <v>0.0</v>
      </c>
      <c r="F52" s="6" t="n">
        <v>7.4690248369594E-4</v>
      </c>
      <c r="G52" s="6" t="n">
        <v>0.00655960592204527</v>
      </c>
      <c r="H52" s="6" t="n">
        <v>0.0</v>
      </c>
      <c r="I52" s="6" t="n">
        <v>0.0</v>
      </c>
      <c r="J52" s="6">
        <f si="0" t="shared"/>
        <v>25.732667810733833</v>
      </c>
      <c r="L52" s="12">
        <v>1.0208333333333333</v>
      </c>
      <c r="M52" s="9" t="n">
        <v>44.593871116638184</v>
      </c>
      <c r="N52" s="9" t="n">
        <v>7.528919219970703</v>
      </c>
      <c r="O52" s="9" t="n">
        <v>0.0</v>
      </c>
      <c r="P52" s="9" t="n">
        <v>0.0</v>
      </c>
      <c r="Q52" s="9" t="n">
        <v>2.916105270385742</v>
      </c>
      <c r="R52" s="9" t="n">
        <v>1.481536865234375</v>
      </c>
      <c r="S52" s="9" t="n">
        <v>0.0</v>
      </c>
      <c r="T52" s="9" t="n">
        <v>0.0</v>
      </c>
      <c r="U52">
        <f si="1" t="shared"/>
        <v>227.9082202911377</v>
      </c>
    </row>
    <row r="53" spans="1:21" x14ac:dyDescent="0.25">
      <c r="A53" s="12">
        <v>4.1666666666666664E-2</v>
      </c>
      <c r="B53" s="6" t="n">
        <v>8.972518990174244</v>
      </c>
      <c r="C53" s="6" t="n">
        <v>2.564013237659664E-5</v>
      </c>
      <c r="D53" s="6" t="n">
        <v>0.0</v>
      </c>
      <c r="E53" s="6" t="n">
        <v>0.0</v>
      </c>
      <c r="F53" s="6" t="n">
        <v>3.7345124184797004E-5</v>
      </c>
      <c r="G53" s="6" t="n">
        <v>3.2798029610226344E-4</v>
      </c>
      <c r="H53" s="6" t="n">
        <v>0.0</v>
      </c>
      <c r="I53" s="6" t="n">
        <v>0.0</v>
      </c>
      <c r="J53" s="6">
        <f si="0" t="shared"/>
        <v>9.3947457861720984</v>
      </c>
      <c r="L53" s="12">
        <v>4.1666666666666664E-2</v>
      </c>
      <c r="M53" s="9" t="n">
        <v>22.294540405273438</v>
      </c>
      <c r="N53" s="9" t="n">
        <v>3.8426904678344727</v>
      </c>
      <c r="O53" s="9" t="n">
        <v>0.0</v>
      </c>
      <c r="P53" s="9" t="n">
        <v>0.0</v>
      </c>
      <c r="Q53" s="9" t="n">
        <v>1.5233268737792969</v>
      </c>
      <c r="R53" s="9" t="n">
        <v>0.7485160827636719</v>
      </c>
      <c r="S53" s="9" t="n">
        <v>0.0</v>
      </c>
      <c r="T53" s="9" t="n">
        <v>0.0</v>
      </c>
      <c r="U53">
        <f si="1" t="shared"/>
        <v>113.60166072845459</v>
      </c>
    </row>
    <row r="54" spans="1:21" x14ac:dyDescent="0.25">
      <c r="A54" s="12">
        <v>6.25E-2</v>
      </c>
      <c r="B54" s="6" t="n">
        <v>3.6264913356094617</v>
      </c>
      <c r="C54" s="6" t="n">
        <v>0.0</v>
      </c>
      <c r="D54" s="6" t="n">
        <v>0.0</v>
      </c>
      <c r="E54" s="6" t="n">
        <v>0.0</v>
      </c>
      <c r="F54" s="6" t="n">
        <v>0.0</v>
      </c>
      <c r="G54" s="6" t="n">
        <v>0.0</v>
      </c>
      <c r="H54" s="6" t="n">
        <v>0.0</v>
      </c>
      <c r="I54" s="6" t="n">
        <v>0.0</v>
      </c>
      <c r="J54" s="6">
        <f si="0" t="shared"/>
        <v>2.7216494688029051</v>
      </c>
      <c r="L54" s="12">
        <v>6.25E-2</v>
      </c>
      <c r="M54" s="9" t="n">
        <v>9.608046531677246</v>
      </c>
      <c r="N54" s="9" t="n">
        <v>1.6740789413452148</v>
      </c>
      <c r="O54" s="9" t="n">
        <v>0.0</v>
      </c>
      <c r="P54" s="9" t="n">
        <v>0.0</v>
      </c>
      <c r="Q54" s="9" t="n">
        <v>0.6724319458007812</v>
      </c>
      <c r="R54" s="9" t="n">
        <v>0.3258533477783203</v>
      </c>
      <c r="S54" s="9" t="n">
        <v>0.0</v>
      </c>
      <c r="T54" s="9" t="n">
        <v>0.0</v>
      </c>
      <c r="U54">
        <f si="1" t="shared"/>
        <v>47.848601341247559</v>
      </c>
    </row>
    <row r="55" spans="1:21" x14ac:dyDescent="0.25">
      <c r="A55" s="12">
        <v>8.3333333333333329E-2</v>
      </c>
      <c r="B55" s="6" t="n">
        <v>1.2438135430356327</v>
      </c>
      <c r="C55" s="6" t="n">
        <v>0.0</v>
      </c>
      <c r="D55" s="6" t="n">
        <v>0.0</v>
      </c>
      <c r="E55" s="6" t="n">
        <v>0.0</v>
      </c>
      <c r="F55" s="6" t="n">
        <v>0.0</v>
      </c>
      <c r="G55" s="6" t="n">
        <v>0.0</v>
      </c>
      <c r="H55" s="6" t="n">
        <v>0.0</v>
      </c>
      <c r="I55" s="6" t="n">
        <v>0.0</v>
      </c>
      <c r="J55" s="6">
        <f si="0" t="shared"/>
        <v>0.60588456322824857</v>
      </c>
      <c r="L55" s="12">
        <v>8.3333333333333329E-2</v>
      </c>
      <c r="M55" s="9" t="n">
        <v>3.4419498443603516</v>
      </c>
      <c r="N55" s="9" t="n">
        <v>0.6016216278076172</v>
      </c>
      <c r="O55" s="9" t="n">
        <v>0.0</v>
      </c>
      <c r="P55" s="9" t="n">
        <v>0.0</v>
      </c>
      <c r="Q55" s="9" t="n">
        <v>0.2435903549194336</v>
      </c>
      <c r="R55" s="9" t="n">
        <v>0.11775875091552734</v>
      </c>
      <c r="S55" s="9" t="n">
        <v>0.0</v>
      </c>
      <c r="T55" s="9" t="n">
        <v>0.0</v>
      </c>
      <c r="U55">
        <f si="1" t="shared"/>
        <v>16.627488136291504</v>
      </c>
    </row>
    <row r="56" spans="1:21" x14ac:dyDescent="0.25">
      <c r="A56" s="12">
        <v>0.10416666666666667</v>
      </c>
      <c r="B56" s="6" t="n">
        <v>0.3467797519231943</v>
      </c>
      <c r="C56" s="6" t="n">
        <v>0.0</v>
      </c>
      <c r="D56" s="6" t="n">
        <v>0.0</v>
      </c>
      <c r="E56" s="6" t="n">
        <v>0.0</v>
      </c>
      <c r="F56" s="6" t="n">
        <v>0.0</v>
      </c>
      <c r="G56" s="6" t="n">
        <v>0.0</v>
      </c>
      <c r="H56" s="6" t="n">
        <v>0.0</v>
      </c>
      <c r="I56" s="6" t="n">
        <v>0.0</v>
      </c>
      <c r="J56" s="6">
        <f si="0" t="shared"/>
        <v>9.879316788044841E-2</v>
      </c>
      <c r="L56" s="12">
        <v>0.10416666666666667</v>
      </c>
      <c r="M56" s="9" t="n">
        <v>0.987217903137207</v>
      </c>
      <c r="N56" s="9" t="n">
        <v>0.1721820831298828</v>
      </c>
      <c r="O56" s="9" t="n">
        <v>0.0</v>
      </c>
      <c r="P56" s="9" t="n">
        <v>0.0</v>
      </c>
      <c r="Q56" s="9" t="n">
        <v>0.07011032104492188</v>
      </c>
      <c r="R56" s="9" t="n">
        <v>0.03401660919189453</v>
      </c>
      <c r="S56" s="9" t="n">
        <v>0.0</v>
      </c>
      <c r="T56" s="9" t="n">
        <v>0.0</v>
      </c>
      <c r="U56">
        <f si="1" t="shared"/>
        <v>4.6244955062866211</v>
      </c>
    </row>
    <row r="57" spans="1:21" x14ac:dyDescent="0.25">
      <c r="A57" s="12">
        <v>0.125</v>
      </c>
      <c r="B57" s="6" t="n">
        <v>0.0734950796908505</v>
      </c>
      <c r="C57" s="6" t="n">
        <v>0.0</v>
      </c>
      <c r="D57" s="6" t="n">
        <v>0.0</v>
      </c>
      <c r="E57" s="6" t="n">
        <v>0.0</v>
      </c>
      <c r="F57" s="6" t="n">
        <v>0.0</v>
      </c>
      <c r="G57" s="6" t="n">
        <v>0.0</v>
      </c>
      <c r="H57" s="6" t="n">
        <v>0.0</v>
      </c>
      <c r="I57" s="6" t="n">
        <v>0.0</v>
      </c>
      <c r="J57" s="6">
        <f si="0" t="shared"/>
        <v>1.0886144957250746E-2</v>
      </c>
      <c r="L57" s="12">
        <v>0.125</v>
      </c>
      <c r="M57" s="9" t="n">
        <v>0.2133798599243164</v>
      </c>
      <c r="N57" s="9" t="n">
        <v>0.03701305389404297</v>
      </c>
      <c r="O57" s="9" t="n">
        <v>0.0</v>
      </c>
      <c r="P57" s="9" t="n">
        <v>0.0</v>
      </c>
      <c r="Q57" s="9" t="n">
        <v>0.015140533447265625</v>
      </c>
      <c r="R57" s="9" t="n">
        <v>0.007391929626464844</v>
      </c>
      <c r="S57" s="9" t="n">
        <v>0.0</v>
      </c>
      <c r="T57" s="9" t="n">
        <v>0.0</v>
      </c>
      <c r="U57">
        <f si="1" t="shared"/>
        <v>0.97263336181640625</v>
      </c>
    </row>
    <row ht="15.75" r="58" spans="1:21" thickBot="1" x14ac:dyDescent="0.3">
      <c r="A58" s="13" t="s">
        <v>6</v>
      </c>
      <c r="B58" s="7" t="n">
        <v>0.0</v>
      </c>
      <c r="C58" s="7" t="n">
        <v>0.0</v>
      </c>
      <c r="D58" s="7" t="n">
        <v>0.0</v>
      </c>
      <c r="E58" s="7" t="n">
        <v>0.0</v>
      </c>
      <c r="F58" s="7" t="n">
        <v>0.0</v>
      </c>
      <c r="G58" s="7" t="n">
        <v>0.0</v>
      </c>
      <c r="H58" s="7" t="n">
        <v>0.0</v>
      </c>
      <c r="I58" s="7" t="n">
        <v>0.0</v>
      </c>
      <c r="J58" s="7">
        <f si="0" t="shared"/>
        <v>0</v>
      </c>
      <c r="L58" s="13" t="s">
        <v>6</v>
      </c>
      <c r="M58" s="10" t="n">
        <v>0.0</v>
      </c>
      <c r="N58" s="10" t="n">
        <v>0.0</v>
      </c>
      <c r="O58" s="10" t="n">
        <v>0.0</v>
      </c>
      <c r="P58" s="10" t="n">
        <v>0.0</v>
      </c>
      <c r="Q58" s="10" t="n">
        <v>0.0</v>
      </c>
      <c r="R58" s="10" t="n">
        <v>0.0</v>
      </c>
      <c r="S58" s="10" t="n">
        <v>0.0</v>
      </c>
      <c r="T58" s="10" t="n">
        <v>0.0</v>
      </c>
      <c r="U58" s="1">
        <f si="1" t="shared"/>
        <v>0</v>
      </c>
    </row>
  </sheetData>
  <pageMargins bottom="0.75" footer="0.3" header="0.3" left="0.7" right="0.7" top="0.75"/>
  <pageSetup orientation="portrait" r:id="rId1"/>
  <drawing r:id="rId2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5"/>
  <dimension ref="A1:AA58"/>
  <sheetViews>
    <sheetView workbookViewId="0">
      <selection activeCell="P27" sqref="P27"/>
    </sheetView>
  </sheetViews>
  <sheetFormatPr defaultRowHeight="15" x14ac:dyDescent="0.25"/>
  <cols>
    <col min="1" max="1" customWidth="true" width="12.7109375" collapsed="true"/>
    <col min="2" max="10" customWidth="true" width="10.7109375" collapsed="true"/>
    <col min="11" max="11" customWidth="true" width="6.42578125" collapsed="true"/>
    <col min="12" max="12" customWidth="true" width="12.7109375" collapsed="true"/>
    <col min="13" max="21" customWidth="true" width="10.7109375" collapsed="true"/>
  </cols>
  <sheetData>
    <row r="1" spans="1:26" x14ac:dyDescent="0.25">
      <c r="A1" t="s">
        <v>32</v>
      </c>
    </row>
    <row r="2" spans="1:26" x14ac:dyDescent="0.25">
      <c r="A2" t="s">
        <v>60</v>
      </c>
    </row>
    <row r="3" spans="1:26" x14ac:dyDescent="0.25">
      <c r="A3" t="s">
        <v>7</v>
      </c>
    </row>
    <row r="4" spans="1:26" x14ac:dyDescent="0.25">
      <c r="A4" t="s">
        <v>8</v>
      </c>
    </row>
    <row r="5" spans="1:26" x14ac:dyDescent="0.25">
      <c r="W5" s="5"/>
      <c r="X5" s="5"/>
      <c r="Y5" s="5"/>
      <c r="Z5" s="5"/>
    </row>
    <row ht="15.75" r="6" spans="1:26" thickBot="1" x14ac:dyDescent="0.3">
      <c r="A6" s="3" t="s">
        <v>52</v>
      </c>
      <c r="B6" s="1"/>
      <c r="C6" s="1"/>
      <c r="D6" s="1"/>
      <c r="E6" s="1"/>
      <c r="F6" s="1"/>
      <c r="G6" s="1"/>
      <c r="H6" s="1"/>
      <c r="I6" s="1"/>
      <c r="J6" s="1"/>
      <c r="L6" s="3" t="s">
        <v>27</v>
      </c>
      <c r="M6" s="1"/>
      <c r="N6" s="1"/>
      <c r="O6" s="1"/>
      <c r="P6" s="1"/>
      <c r="Q6" s="1"/>
      <c r="R6" s="1"/>
      <c r="S6" s="1"/>
      <c r="T6" s="1"/>
      <c r="U6" s="1"/>
      <c r="W6" s="11"/>
      <c r="X6" s="5"/>
      <c r="Y6" s="5"/>
      <c r="Z6" s="5"/>
    </row>
    <row r="7" spans="1:26" x14ac:dyDescent="0.25">
      <c r="A7" s="2" t="s">
        <v>4</v>
      </c>
      <c r="B7" s="4" t="s">
        <v>17</v>
      </c>
      <c r="C7" s="4" t="s">
        <v>18</v>
      </c>
      <c r="D7" s="4" t="s">
        <v>19</v>
      </c>
      <c r="E7" s="4" t="s">
        <v>20</v>
      </c>
      <c r="F7" s="4" t="s">
        <v>21</v>
      </c>
      <c r="G7" s="4" t="s">
        <v>24</v>
      </c>
      <c r="H7" s="4" t="s">
        <v>22</v>
      </c>
      <c r="I7" s="4" t="s">
        <v>23</v>
      </c>
      <c r="J7" s="4" t="s">
        <v>0</v>
      </c>
      <c r="L7" s="2" t="s">
        <v>4</v>
      </c>
      <c r="M7" s="4" t="s">
        <v>17</v>
      </c>
      <c r="N7" s="4" t="s">
        <v>18</v>
      </c>
      <c r="O7" s="4" t="s">
        <v>19</v>
      </c>
      <c r="P7" s="4" t="s">
        <v>20</v>
      </c>
      <c r="Q7" s="4" t="s">
        <v>21</v>
      </c>
      <c r="R7" s="4" t="s">
        <v>24</v>
      </c>
      <c r="S7" s="4" t="s">
        <v>22</v>
      </c>
      <c r="T7" s="4" t="s">
        <v>23</v>
      </c>
      <c r="U7" s="4" t="s">
        <v>0</v>
      </c>
      <c r="W7" s="5"/>
      <c r="X7" s="14"/>
      <c r="Y7" s="14"/>
      <c r="Z7" s="5"/>
    </row>
    <row r="8" spans="1:26" x14ac:dyDescent="0.25">
      <c r="A8" t="s">
        <v>5</v>
      </c>
      <c r="B8" s="6" t="n">
        <v>0.0</v>
      </c>
      <c r="C8" s="6" t="n">
        <v>0.0</v>
      </c>
      <c r="D8" s="6" t="n">
        <v>0.0</v>
      </c>
      <c r="E8" s="6" t="n">
        <v>0.0</v>
      </c>
      <c r="F8" s="6" t="n">
        <v>0.0</v>
      </c>
      <c r="G8" s="6" t="n">
        <v>0.0</v>
      </c>
      <c r="H8" s="6" t="n">
        <v>0.0</v>
      </c>
      <c r="I8" s="6" t="n">
        <v>0.0</v>
      </c>
      <c r="J8" s="6">
        <f>SUM(B8:I8)</f>
        <v>0</v>
      </c>
      <c r="L8" t="s">
        <v>5</v>
      </c>
      <c r="M8" s="9" t="n">
        <v>0.0</v>
      </c>
      <c r="N8" s="9" t="n">
        <v>0.0</v>
      </c>
      <c r="O8" s="9" t="n">
        <v>0.0</v>
      </c>
      <c r="P8" s="9" t="n">
        <v>0.0</v>
      </c>
      <c r="Q8" s="9" t="n">
        <v>0.0</v>
      </c>
      <c r="R8" s="9" t="n">
        <v>0.0</v>
      </c>
      <c r="S8" s="9" t="n">
        <v>0.0</v>
      </c>
      <c r="T8" s="9" t="n">
        <v>0.0</v>
      </c>
      <c r="U8">
        <f>SUM(M8:T8)</f>
        <v>20</v>
      </c>
      <c r="W8" s="5"/>
      <c r="X8" s="16"/>
      <c r="Y8" s="16"/>
      <c r="Z8" s="5"/>
    </row>
    <row r="9" spans="1:26" x14ac:dyDescent="0.25">
      <c r="A9" s="12">
        <v>0.125</v>
      </c>
      <c r="B9" s="6" t="n">
        <v>0.17929327487275132</v>
      </c>
      <c r="C9" s="6" t="n">
        <v>0.009975275761998827</v>
      </c>
      <c r="D9" s="6" t="n">
        <v>0.0</v>
      </c>
      <c r="E9" s="6" t="n">
        <v>0.038558190950754724</v>
      </c>
      <c r="F9" s="6" t="n">
        <v>5.207354105974125</v>
      </c>
      <c r="G9" s="6" t="n">
        <v>10.200609481536953</v>
      </c>
      <c r="H9" s="6" t="n">
        <v>32.92274158810818</v>
      </c>
      <c r="I9" s="6" t="n">
        <v>0.0</v>
      </c>
      <c r="J9" s="6">
        <f ref="J9:J58" si="0" t="shared">SUM(B9:I9)</f>
        <v>42.974043692305472</v>
      </c>
      <c r="L9" s="12">
        <v>0.125</v>
      </c>
      <c r="M9" s="9" t="n">
        <v>0.49986743927001953</v>
      </c>
      <c r="N9" s="9" t="n">
        <v>0.0</v>
      </c>
      <c r="O9" s="9" t="n">
        <v>0.0</v>
      </c>
      <c r="P9" s="9" t="n">
        <v>0.0</v>
      </c>
      <c r="Q9" s="9" t="n">
        <v>0.9798469543457031</v>
      </c>
      <c r="R9" s="9" t="n">
        <v>6.896283149719238</v>
      </c>
      <c r="S9" s="9" t="n">
        <v>29.230127334594727</v>
      </c>
      <c r="T9" s="9" t="n">
        <v>0.0</v>
      </c>
      <c r="U9">
        <f ref="U9:U58" si="1" t="shared">SUM(M9:T9)</f>
        <v>63.090839385986328</v>
      </c>
      <c r="W9" s="5"/>
      <c r="X9" s="16"/>
      <c r="Y9" s="16"/>
      <c r="Z9" s="5"/>
    </row>
    <row r="10" spans="1:26" x14ac:dyDescent="0.25">
      <c r="A10" s="12">
        <v>0.14583333333333334</v>
      </c>
      <c r="B10" s="6" t="n">
        <v>1.0952086965614622</v>
      </c>
      <c r="C10" s="6" t="n">
        <v>0.060934280247200344</v>
      </c>
      <c r="D10" s="6" t="n">
        <v>0.0</v>
      </c>
      <c r="E10" s="6" t="n">
        <v>0.23313463931001197</v>
      </c>
      <c r="F10" s="6" t="n">
        <v>16.284370293288113</v>
      </c>
      <c r="G10" s="6" t="n">
        <v>47.28862637993061</v>
      </c>
      <c r="H10" s="6" t="n">
        <v>164.13722001910972</v>
      </c>
      <c r="I10" s="6" t="n">
        <v>0.0</v>
      </c>
      <c r="J10" s="6">
        <f si="0" t="shared"/>
        <v>186.31276458020028</v>
      </c>
      <c r="L10" s="12">
        <v>0.14583333333333334</v>
      </c>
      <c r="M10" s="9" t="n">
        <v>2.4354209899902344</v>
      </c>
      <c r="N10" s="9" t="n">
        <v>0.0</v>
      </c>
      <c r="O10" s="9" t="n">
        <v>0.0</v>
      </c>
      <c r="P10" s="9" t="n">
        <v>0.0</v>
      </c>
      <c r="Q10" s="9" t="n">
        <v>4.757699012756348</v>
      </c>
      <c r="R10" s="9" t="n">
        <v>29.381752014160156</v>
      </c>
      <c r="S10" s="9" t="n">
        <v>127.10119533538818</v>
      </c>
      <c r="T10" s="9" t="n">
        <v>0.0</v>
      </c>
      <c r="U10">
        <f si="1" t="shared"/>
        <v>214.87783432006836</v>
      </c>
      <c r="W10" s="5"/>
      <c r="X10" s="16"/>
      <c r="Y10" s="16"/>
      <c r="Z10" s="5"/>
    </row>
    <row r="11" spans="1:26" x14ac:dyDescent="0.25">
      <c r="A11" s="12">
        <v>0.16666666666666666</v>
      </c>
      <c r="B11" s="6" t="n">
        <v>4.735611378074281</v>
      </c>
      <c r="C11" s="6" t="n">
        <v>0.26598116778746006</v>
      </c>
      <c r="D11" s="6" t="n">
        <v>2.7177380046839428E-5</v>
      </c>
      <c r="E11" s="6" t="n">
        <v>0.9964045543721771</v>
      </c>
      <c r="F11" s="6" t="n">
        <v>40.717897205337316</v>
      </c>
      <c r="G11" s="6" t="n">
        <v>167.49019243582705</v>
      </c>
      <c r="H11" s="6" t="n">
        <v>623.0757993275212</v>
      </c>
      <c r="I11" s="6" t="n">
        <v>0.0</v>
      </c>
      <c r="J11" s="6">
        <f si="0" t="shared"/>
        <v>673.00567327156898</v>
      </c>
      <c r="L11" s="12">
        <v>0.16666666666666666</v>
      </c>
      <c r="M11" s="9" t="n">
        <v>9.362092971801758</v>
      </c>
      <c r="N11" s="9" t="n">
        <v>0.0</v>
      </c>
      <c r="O11" s="9" t="n">
        <v>0.0</v>
      </c>
      <c r="P11" s="9" t="n">
        <v>0.0</v>
      </c>
      <c r="Q11" s="9" t="n">
        <v>18.261574745178223</v>
      </c>
      <c r="R11" s="9" t="n">
        <v>101.57190895080566</v>
      </c>
      <c r="S11" s="9" t="n">
        <v>451.03655529022217</v>
      </c>
      <c r="T11" s="9" t="n">
        <v>0.0</v>
      </c>
      <c r="U11">
        <f si="1" t="shared"/>
        <v>697.87660121917725</v>
      </c>
      <c r="W11" s="5"/>
      <c r="X11" s="16"/>
      <c r="Y11" s="16"/>
      <c r="Z11" s="5"/>
    </row>
    <row r="12" spans="1:26" x14ac:dyDescent="0.25">
      <c r="A12" s="12">
        <v>0.1875</v>
      </c>
      <c r="B12" s="6" t="n">
        <v>15.527314743117849</v>
      </c>
      <c r="C12" s="6" t="n">
        <v>0.8936896564831691</v>
      </c>
      <c r="D12" s="6" t="n">
        <v>5.435476009367885E-4</v>
      </c>
      <c r="E12" s="6" t="n">
        <v>3.2246622457699754</v>
      </c>
      <c r="F12" s="6" t="n">
        <v>88.85166777119093</v>
      </c>
      <c r="G12" s="6" t="n">
        <v>475.9170489160566</v>
      </c>
      <c r="H12" s="6" t="n">
        <v>1887.7678699885118</v>
      </c>
      <c r="I12" s="6" t="n">
        <v>0.0</v>
      </c>
      <c r="J12" s="6">
        <f si="0" t="shared"/>
        <v>2048.2274901968735</v>
      </c>
      <c r="L12" s="12">
        <v>0.1875</v>
      </c>
      <c r="M12" s="9" t="n">
        <v>29.364216804504395</v>
      </c>
      <c r="N12" s="9" t="n">
        <v>0.0</v>
      </c>
      <c r="O12" s="9" t="n">
        <v>0.0</v>
      </c>
      <c r="P12" s="9" t="n">
        <v>0.0</v>
      </c>
      <c r="Q12" s="9" t="n">
        <v>57.2535343170166</v>
      </c>
      <c r="R12" s="9" t="n">
        <v>292.9374418258667</v>
      </c>
      <c r="S12" s="9" t="n">
        <v>1333.940655708313</v>
      </c>
      <c r="T12" s="9" t="n">
        <v>0.0</v>
      </c>
      <c r="U12">
        <f si="1" t="shared"/>
        <v>1958.5294485092163</v>
      </c>
      <c r="W12" s="5"/>
      <c r="X12" s="5"/>
      <c r="Y12" s="5"/>
      <c r="Z12" s="5"/>
    </row>
    <row r="13" spans="1:26" x14ac:dyDescent="0.25">
      <c r="A13" s="12">
        <v>0.20833333333333334</v>
      </c>
      <c r="B13" s="6" t="n">
        <v>40.22245651851914</v>
      </c>
      <c r="C13" s="6" t="n">
        <v>2.423078717750342</v>
      </c>
      <c r="D13" s="6" t="n">
        <v>0.005205656742035191</v>
      </c>
      <c r="E13" s="6" t="n">
        <v>8.232481410863084</v>
      </c>
      <c r="F13" s="6" t="n">
        <v>174.54931293135516</v>
      </c>
      <c r="G13" s="6" t="n">
        <v>1108.7586589907037</v>
      </c>
      <c r="H13" s="6" t="n">
        <v>4667.746657032622</v>
      </c>
      <c r="I13" s="6" t="n">
        <v>0.0</v>
      </c>
      <c r="J13" s="6">
        <f si="0" t="shared"/>
        <v>5235.7714566044269</v>
      </c>
      <c r="L13" s="12">
        <v>0.20833333333333334</v>
      </c>
      <c r="M13" s="9" t="n">
        <v>76.15103530883789</v>
      </c>
      <c r="N13" s="9" t="n">
        <v>0.0</v>
      </c>
      <c r="O13" s="9" t="n">
        <v>0.0</v>
      </c>
      <c r="P13" s="9" t="n">
        <v>0.0</v>
      </c>
      <c r="Q13" s="9" t="n">
        <v>148.45304203033447</v>
      </c>
      <c r="R13" s="9" t="n">
        <v>706.9269857406616</v>
      </c>
      <c r="S13" s="9" t="n">
        <v>3292.643867492676</v>
      </c>
      <c r="T13" s="9" t="n">
        <v>0.0</v>
      </c>
      <c r="U13">
        <f si="1" t="shared"/>
        <v>4699.4055318832397</v>
      </c>
    </row>
    <row r="14" spans="1:26" x14ac:dyDescent="0.25">
      <c r="A14" s="12">
        <v>0.22916666666666666</v>
      </c>
      <c r="B14" s="6" t="n">
        <v>84.83489066547551</v>
      </c>
      <c r="C14" s="6" t="n">
        <v>5.491943090353634</v>
      </c>
      <c r="D14" s="6" t="n">
        <v>0.03182130391611094</v>
      </c>
      <c r="E14" s="6" t="n">
        <v>17.090995213955168</v>
      </c>
      <c r="F14" s="6" t="n">
        <v>313.55725463588345</v>
      </c>
      <c r="G14" s="6" t="n">
        <v>2150.2800168608615</v>
      </c>
      <c r="H14" s="6" t="n">
        <v>9567.398853019446</v>
      </c>
      <c r="I14" s="6" t="n">
        <v>0.0</v>
      </c>
      <c r="J14" s="6">
        <f si="0" t="shared"/>
        <v>11299.808164103149</v>
      </c>
      <c r="L14" s="12">
        <v>0.22916666666666666</v>
      </c>
      <c r="M14" s="9" t="n">
        <v>165.2938470840454</v>
      </c>
      <c r="N14" s="9" t="n">
        <v>0.0</v>
      </c>
      <c r="O14" s="9" t="n">
        <v>0.0</v>
      </c>
      <c r="P14" s="9" t="n">
        <v>0.0</v>
      </c>
      <c r="Q14" s="9" t="n">
        <v>322.07084465026855</v>
      </c>
      <c r="R14" s="9" t="n">
        <v>1435.0789813995361</v>
      </c>
      <c r="S14" s="9" t="n">
        <v>6824.361652374268</v>
      </c>
      <c r="T14" s="9" t="n">
        <v>0.0</v>
      </c>
      <c r="U14">
        <f si="1" t="shared"/>
        <v>9691.9252729415894</v>
      </c>
    </row>
    <row r="15" spans="1:26" x14ac:dyDescent="0.25">
      <c r="A15" s="12">
        <v>0.25</v>
      </c>
      <c r="B15" s="6" t="n">
        <v>149.39682274029605</v>
      </c>
      <c r="C15" s="6" t="n">
        <v>10.681690549921017</v>
      </c>
      <c r="D15" s="6" t="n">
        <v>0.13964576762272</v>
      </c>
      <c r="E15" s="6" t="n">
        <v>29.627180846230026</v>
      </c>
      <c r="F15" s="6" t="n">
        <v>515.9221192682022</v>
      </c>
      <c r="G15" s="6" t="n">
        <v>3508.9224519932245</v>
      </c>
      <c r="H15" s="6" t="n">
        <v>16438.833430346174</v>
      </c>
      <c r="I15" s="6" t="n">
        <v>0.0</v>
      </c>
      <c r="J15" s="6">
        <f si="0" t="shared"/>
        <v>20740.382664427445</v>
      </c>
      <c r="L15" s="12">
        <v>0.25</v>
      </c>
      <c r="M15" s="9" t="n">
        <v>303.6476020812988</v>
      </c>
      <c r="N15" s="9" t="n">
        <v>0.0</v>
      </c>
      <c r="O15" s="9" t="n">
        <v>0.0</v>
      </c>
      <c r="P15" s="9" t="n">
        <v>0.0</v>
      </c>
      <c r="Q15" s="9" t="n">
        <v>590.8978824615479</v>
      </c>
      <c r="R15" s="9" t="n">
        <v>2465.966408729553</v>
      </c>
      <c r="S15" s="9" t="n">
        <v>11965.291200637817</v>
      </c>
      <c r="T15" s="9" t="n">
        <v>0.0</v>
      </c>
      <c r="U15">
        <f si="1" t="shared"/>
        <v>17294.045929908752</v>
      </c>
    </row>
    <row r="16" spans="1:26" x14ac:dyDescent="0.25">
      <c r="A16" s="12">
        <v>0.27083333333333331</v>
      </c>
      <c r="B16" s="6" t="n">
        <v>224.89543513183818</v>
      </c>
      <c r="C16" s="6" t="n">
        <v>18.1301134430587</v>
      </c>
      <c r="D16" s="6" t="n">
        <v>0.46918626802089636</v>
      </c>
      <c r="E16" s="6" t="n">
        <v>44.07540003428986</v>
      </c>
      <c r="F16" s="6" t="n">
        <v>772.282989977078</v>
      </c>
      <c r="G16" s="6" t="n">
        <v>4854.352993660829</v>
      </c>
      <c r="H16" s="6" t="n">
        <v>23868.85065932484</v>
      </c>
      <c r="I16" s="6" t="n">
        <v>0.0</v>
      </c>
      <c r="J16" s="6">
        <f si="0" t="shared"/>
        <v>32604.510074415924</v>
      </c>
      <c r="L16" s="12">
        <v>0.27083333333333331</v>
      </c>
      <c r="M16" s="9" t="n">
        <v>476.65136909484863</v>
      </c>
      <c r="N16" s="9" t="n">
        <v>0.0</v>
      </c>
      <c r="O16" s="9" t="n">
        <v>0.0</v>
      </c>
      <c r="P16" s="9" t="n">
        <v>0.0</v>
      </c>
      <c r="Q16" s="9" t="n">
        <v>925.3860311508179</v>
      </c>
      <c r="R16" s="9" t="n">
        <v>3608.8807888031006</v>
      </c>
      <c r="S16" s="9" t="n">
        <v>17876.133533477783</v>
      </c>
      <c r="T16" s="9" t="n">
        <v>0.0</v>
      </c>
      <c r="U16">
        <f si="1" t="shared"/>
        <v>26856.359386444092</v>
      </c>
    </row>
    <row r="17" spans="1:21" x14ac:dyDescent="0.25">
      <c r="A17" s="12">
        <v>0.29166666666666669</v>
      </c>
      <c r="B17" s="6" t="n">
        <v>296.14045173732785</v>
      </c>
      <c r="C17" s="6" t="n">
        <v>27.039679800998446</v>
      </c>
      <c r="D17" s="6" t="n">
        <v>1.256664963657962</v>
      </c>
      <c r="E17" s="6" t="n">
        <v>58.092966304427556</v>
      </c>
      <c r="F17" s="6" t="n">
        <v>1043.6976185134836</v>
      </c>
      <c r="G17" s="6" t="n">
        <v>5721.984790474325</v>
      </c>
      <c r="H17" s="6" t="n">
        <v>29453.82297336513</v>
      </c>
      <c r="I17" s="6" t="n">
        <v>0.0</v>
      </c>
      <c r="J17" s="6">
        <f si="0" t="shared"/>
        <v>44178.801035167904</v>
      </c>
      <c r="L17" s="12">
        <v>0.29166666666666669</v>
      </c>
      <c r="M17" s="9" t="n">
        <v>644.5566740036011</v>
      </c>
      <c r="N17" s="9" t="n">
        <v>0.0</v>
      </c>
      <c r="O17" s="9" t="n">
        <v>0.0</v>
      </c>
      <c r="P17" s="9" t="n">
        <v>0.0</v>
      </c>
      <c r="Q17" s="9" t="n">
        <v>1246.8347549438477</v>
      </c>
      <c r="R17" s="9" t="n">
        <v>4523.397798538208</v>
      </c>
      <c r="S17" s="9" t="n">
        <v>22904.79508113861</v>
      </c>
      <c r="T17" s="9" t="n">
        <v>0.0</v>
      </c>
      <c r="U17">
        <f si="1" t="shared"/>
        <v>36477.710866928101</v>
      </c>
    </row>
    <row r="18" spans="1:21" x14ac:dyDescent="0.25">
      <c r="A18" s="12">
        <v>0.3125</v>
      </c>
      <c r="B18" s="6" t="n">
        <v>348.37552076964954</v>
      </c>
      <c r="C18" s="6" t="n">
        <v>35.3747455374732</v>
      </c>
      <c r="D18" s="6" t="n">
        <v>2.7573289696323373</v>
      </c>
      <c r="E18" s="6" t="n">
        <v>70.39080342709411</v>
      </c>
      <c r="F18" s="6" t="n">
        <v>1269.1820610966029</v>
      </c>
      <c r="G18" s="6" t="n">
        <v>5764.557413615428</v>
      </c>
      <c r="H18" s="6" t="n">
        <v>31007.582044541457</v>
      </c>
      <c r="I18" s="6" t="n">
        <v>0.0</v>
      </c>
      <c r="J18" s="6">
        <f si="0" t="shared"/>
        <v>51906.801148461935</v>
      </c>
      <c r="L18" s="12">
        <v>0.3125</v>
      </c>
      <c r="M18" s="9" t="n">
        <v>755.7716827392578</v>
      </c>
      <c r="N18" s="9" t="n">
        <v>0.0</v>
      </c>
      <c r="O18" s="9" t="n">
        <v>0.0</v>
      </c>
      <c r="P18" s="9" t="n">
        <v>0.0</v>
      </c>
      <c r="Q18" s="9" t="n">
        <v>1454.7499380111694</v>
      </c>
      <c r="R18" s="9" t="n">
        <v>4879.6295337677</v>
      </c>
      <c r="S18" s="9" t="n">
        <v>25309.407647132874</v>
      </c>
      <c r="T18" s="9" t="n">
        <v>0.0</v>
      </c>
      <c r="U18">
        <f si="1" t="shared"/>
        <v>43527.673254013062</v>
      </c>
    </row>
    <row r="19" spans="1:21" x14ac:dyDescent="0.25">
      <c r="A19" s="12">
        <v>0.33333333333333331</v>
      </c>
      <c r="B19" s="6" t="n">
        <v>371.72817765706714</v>
      </c>
      <c r="C19" s="6" t="n">
        <v>40.295887073758614</v>
      </c>
      <c r="D19" s="6" t="n">
        <v>5.051200002149172</v>
      </c>
      <c r="E19" s="6" t="n">
        <v>81.36903618274222</v>
      </c>
      <c r="F19" s="6" t="n">
        <v>1392.6669640153882</v>
      </c>
      <c r="G19" s="6" t="n">
        <v>4972.410948021942</v>
      </c>
      <c r="H19" s="6" t="n">
        <v>27914.952027669704</v>
      </c>
      <c r="I19" s="6" t="n">
        <v>0.0</v>
      </c>
      <c r="J19" s="6">
        <f si="0" t="shared"/>
        <v>53228.686547579237</v>
      </c>
      <c r="L19" s="12">
        <v>0.33333333333333331</v>
      </c>
      <c r="M19" s="9" t="n">
        <v>772.4024429321289</v>
      </c>
      <c r="N19" s="9" t="n">
        <v>0.0</v>
      </c>
      <c r="O19" s="9" t="n">
        <v>0.0</v>
      </c>
      <c r="P19" s="9" t="n">
        <v>0.0</v>
      </c>
      <c r="Q19" s="9" t="n">
        <v>1477.6812543869019</v>
      </c>
      <c r="R19" s="9" t="n">
        <v>4548.998274803162</v>
      </c>
      <c r="S19" s="9" t="n">
        <v>24227.449642181396</v>
      </c>
      <c r="T19" s="9" t="n">
        <v>0.0</v>
      </c>
      <c r="U19">
        <f si="1" t="shared"/>
        <v>45847.154664993286</v>
      </c>
    </row>
    <row r="20" spans="1:21" x14ac:dyDescent="0.25">
      <c r="A20" s="12">
        <v>0.35416666666666669</v>
      </c>
      <c r="B20" s="6" t="n">
        <v>361.77605128879475</v>
      </c>
      <c r="C20" s="6" t="n">
        <v>39.567994591321266</v>
      </c>
      <c r="D20" s="6" t="n">
        <v>7.831500354492513</v>
      </c>
      <c r="E20" s="6" t="n">
        <v>92.24348362944008</v>
      </c>
      <c r="F20" s="6" t="n">
        <v>1391.1592288136812</v>
      </c>
      <c r="G20" s="6" t="n">
        <v>3678.607408242128</v>
      </c>
      <c r="H20" s="6" t="n">
        <v>21516.40096434706</v>
      </c>
      <c r="I20" s="6" t="n">
        <v>0.0</v>
      </c>
      <c r="J20" s="6">
        <f si="0" t="shared"/>
        <v>48071.215373445404</v>
      </c>
      <c r="L20" s="12">
        <v>0.35416666666666669</v>
      </c>
      <c r="M20" s="9" t="n">
        <v>691.1346502304077</v>
      </c>
      <c r="N20" s="9" t="n">
        <v>0.0</v>
      </c>
      <c r="O20" s="9" t="n">
        <v>0.0</v>
      </c>
      <c r="P20" s="9" t="n">
        <v>0.0</v>
      </c>
      <c r="Q20" s="9" t="n">
        <v>1313.1299858093262</v>
      </c>
      <c r="R20" s="9" t="n">
        <v>3676.8944149017334</v>
      </c>
      <c r="S20" s="9" t="n">
        <v>20164.128805160522</v>
      </c>
      <c r="T20" s="9" t="n">
        <v>0.0</v>
      </c>
      <c r="U20">
        <f si="1" t="shared"/>
        <v>42914.691114425659</v>
      </c>
    </row>
    <row r="21" spans="1:21" x14ac:dyDescent="0.25">
      <c r="A21" s="12">
        <v>0.375</v>
      </c>
      <c r="B21" s="6" t="n">
        <v>319.93982926263703</v>
      </c>
      <c r="C21" s="6" t="n">
        <v>33.13449408566766</v>
      </c>
      <c r="D21" s="6" t="n">
        <v>10.395111899848109</v>
      </c>
      <c r="E21" s="6" t="n">
        <v>103.70658024660631</v>
      </c>
      <c r="F21" s="6" t="n">
        <v>1282.6549791664452</v>
      </c>
      <c r="G21" s="6" t="n">
        <v>2346.1446242111115</v>
      </c>
      <c r="H21" s="6" t="n">
        <v>14205.530777304599</v>
      </c>
      <c r="I21" s="6" t="n">
        <v>0.0</v>
      </c>
      <c r="J21" s="6">
        <f si="0" t="shared"/>
        <v>38819.856945222826</v>
      </c>
      <c r="L21" s="12">
        <v>0.375</v>
      </c>
      <c r="M21" s="9" t="n">
        <v>544.3597135543823</v>
      </c>
      <c r="N21" s="9" t="n">
        <v>0.0</v>
      </c>
      <c r="O21" s="9" t="n">
        <v>0.0</v>
      </c>
      <c r="P21" s="9" t="n">
        <v>0.0</v>
      </c>
      <c r="Q21" s="9" t="n">
        <v>1027.1277627944946</v>
      </c>
      <c r="R21" s="9" t="n">
        <v>2583.748056411743</v>
      </c>
      <c r="S21" s="9" t="n">
        <v>14637.37964630127</v>
      </c>
      <c r="T21" s="9" t="n">
        <v>0.0</v>
      </c>
      <c r="U21">
        <f si="1" t="shared"/>
        <v>36135.182166099548</v>
      </c>
    </row>
    <row r="22" spans="1:21" x14ac:dyDescent="0.25">
      <c r="A22" s="12">
        <v>0.39583333333333331</v>
      </c>
      <c r="B22" s="6" t="n">
        <v>255.2648274422126</v>
      </c>
      <c r="C22" s="6" t="n">
        <v>23.430835371863083</v>
      </c>
      <c r="D22" s="6" t="n">
        <v>12.00490260709242</v>
      </c>
      <c r="E22" s="6" t="n">
        <v>115.03072522058864</v>
      </c>
      <c r="F22" s="6" t="n">
        <v>1111.3802848481894</v>
      </c>
      <c r="G22" s="6" t="n">
        <v>1316.1316748586496</v>
      </c>
      <c r="H22" s="6" t="n">
        <v>8038.8713733814575</v>
      </c>
      <c r="I22" s="6" t="n">
        <v>0.0</v>
      </c>
      <c r="J22" s="6">
        <f si="0" t="shared"/>
        <v>28824.668711046834</v>
      </c>
      <c r="L22" s="12">
        <v>0.39583333333333331</v>
      </c>
      <c r="M22" s="9" t="n">
        <v>381.2837829589844</v>
      </c>
      <c r="N22" s="9" t="n">
        <v>0.0</v>
      </c>
      <c r="O22" s="9" t="n">
        <v>0.0</v>
      </c>
      <c r="P22" s="9" t="n">
        <v>0.0</v>
      </c>
      <c r="Q22" s="9" t="n">
        <v>715.2015800476074</v>
      </c>
      <c r="R22" s="9" t="n">
        <v>1582.9487743377686</v>
      </c>
      <c r="S22" s="9" t="n">
        <v>9303.586807250977</v>
      </c>
      <c r="T22" s="9" t="n">
        <v>0.0</v>
      </c>
      <c r="U22">
        <f si="1" t="shared"/>
        <v>28016.092457771301</v>
      </c>
    </row>
    <row r="23" spans="1:21" x14ac:dyDescent="0.25">
      <c r="A23" s="12">
        <v>0.41666666666666669</v>
      </c>
      <c r="B23" s="6" t="n">
        <v>183.70926380201468</v>
      </c>
      <c r="C23" s="6" t="n">
        <v>14.00102740988283</v>
      </c>
      <c r="D23" s="6" t="n">
        <v>12.513229598687339</v>
      </c>
      <c r="E23" s="6" t="n">
        <v>123.55771132433175</v>
      </c>
      <c r="F23" s="6" t="n">
        <v>926.1903340763871</v>
      </c>
      <c r="G23" s="6" t="n">
        <v>693.8774599175711</v>
      </c>
      <c r="H23" s="6" t="n">
        <v>3916.9824187296053</v>
      </c>
      <c r="I23" s="6" t="n">
        <v>0.0</v>
      </c>
      <c r="J23" s="6">
        <f si="0" t="shared"/>
        <v>20636.313148620953</v>
      </c>
      <c r="L23" s="12">
        <v>0.41666666666666669</v>
      </c>
      <c r="M23" s="9" t="n">
        <v>243.23457145690918</v>
      </c>
      <c r="N23" s="9" t="n">
        <v>0.0</v>
      </c>
      <c r="O23" s="9" t="n">
        <v>0.0</v>
      </c>
      <c r="P23" s="9" t="n">
        <v>0.0</v>
      </c>
      <c r="Q23" s="9" t="n">
        <v>454.61612129211426</v>
      </c>
      <c r="R23" s="9" t="n">
        <v>850.1586236953735</v>
      </c>
      <c r="S23" s="9" t="n">
        <v>5218.692485809326</v>
      </c>
      <c r="T23" s="9" t="n">
        <v>0.0</v>
      </c>
      <c r="U23">
        <f si="1" t="shared"/>
        <v>20848.89075756073</v>
      </c>
    </row>
    <row r="24" spans="1:21" x14ac:dyDescent="0.25">
      <c r="A24" s="12">
        <v>0.4375</v>
      </c>
      <c r="B24" s="6" t="n">
        <v>122.32093031235493</v>
      </c>
      <c r="C24" s="6" t="n">
        <v>7.689799584420853</v>
      </c>
      <c r="D24" s="6" t="n">
        <v>12.796081125574226</v>
      </c>
      <c r="E24" s="6" t="n">
        <v>124.91759410583974</v>
      </c>
      <c r="F24" s="6" t="n">
        <v>765.6117398288131</v>
      </c>
      <c r="G24" s="6" t="n">
        <v>399.41517475480737</v>
      </c>
      <c r="H24" s="6" t="n">
        <v>1682.4419631634782</v>
      </c>
      <c r="I24" s="6" t="n">
        <v>0.0</v>
      </c>
      <c r="J24" s="6">
        <f si="0" t="shared"/>
        <v>15168.374570511107</v>
      </c>
      <c r="L24" s="12">
        <v>0.4375</v>
      </c>
      <c r="M24" s="9" t="n">
        <v>149.16420936584473</v>
      </c>
      <c r="N24" s="9" t="n">
        <v>0.0</v>
      </c>
      <c r="O24" s="9" t="n">
        <v>0.0</v>
      </c>
      <c r="P24" s="9" t="n">
        <v>0.0</v>
      </c>
      <c r="Q24" s="9" t="n">
        <v>278.68213081359863</v>
      </c>
      <c r="R24" s="9" t="n">
        <v>406.26765632629395</v>
      </c>
      <c r="S24" s="9" t="n">
        <v>2635.2924661636353</v>
      </c>
      <c r="T24" s="9" t="n">
        <v>0.0</v>
      </c>
      <c r="U24">
        <f si="1" t="shared"/>
        <v>15811.734156608582</v>
      </c>
    </row>
    <row r="25" spans="1:21" x14ac:dyDescent="0.25">
      <c r="A25" s="12">
        <v>0.45833333333333331</v>
      </c>
      <c r="B25" s="6" t="n">
        <v>82.02183406886166</v>
      </c>
      <c r="C25" s="6" t="n">
        <v>5.943990260348361</v>
      </c>
      <c r="D25" s="6" t="n">
        <v>14.489024556887795</v>
      </c>
      <c r="E25" s="6" t="n">
        <v>115.07561644660507</v>
      </c>
      <c r="F25" s="6" t="n">
        <v>649.8245711681476</v>
      </c>
      <c r="G25" s="6" t="n">
        <v>287.0651512411275</v>
      </c>
      <c r="H25" s="6" t="n">
        <v>704.6714963033392</v>
      </c>
      <c r="I25" s="6" t="n">
        <v>0.0</v>
      </c>
      <c r="J25" s="6">
        <f si="0" t="shared"/>
        <v>12026.322400046207</v>
      </c>
      <c r="L25" s="12">
        <v>0.45833333333333331</v>
      </c>
      <c r="M25" s="9" t="n">
        <v>96.83501434326172</v>
      </c>
      <c r="N25" s="9" t="n">
        <v>0.0</v>
      </c>
      <c r="O25" s="9" t="n">
        <v>0.0</v>
      </c>
      <c r="P25" s="9" t="n">
        <v>0.0</v>
      </c>
      <c r="Q25" s="9" t="n">
        <v>181.3454761505127</v>
      </c>
      <c r="R25" s="9" t="n">
        <v>180.2148780822754</v>
      </c>
      <c r="S25" s="9" t="n">
        <v>1258.6825647354126</v>
      </c>
      <c r="T25" s="9" t="n">
        <v>0.0</v>
      </c>
      <c r="U25">
        <f si="1" t="shared"/>
        <v>12920.557379722595</v>
      </c>
    </row>
    <row r="26" spans="1:21" x14ac:dyDescent="0.25">
      <c r="A26" s="12">
        <v>0.47916666666666669</v>
      </c>
      <c r="B26" s="6" t="n">
        <v>64.40679084796662</v>
      </c>
      <c r="C26" s="6" t="n">
        <v>9.193178125976097</v>
      </c>
      <c r="D26" s="6" t="n">
        <v>18.942222795628698</v>
      </c>
      <c r="E26" s="6" t="n">
        <v>93.70451494821143</v>
      </c>
      <c r="F26" s="6" t="n">
        <v>576.6287391603073</v>
      </c>
      <c r="G26" s="6" t="n">
        <v>237.67764223395565</v>
      </c>
      <c r="H26" s="6" t="n">
        <v>381.3212869955223</v>
      </c>
      <c r="I26" s="6" t="n">
        <v>0.0</v>
      </c>
      <c r="J26" s="6">
        <f si="0" t="shared"/>
        <v>10367.72320954689</v>
      </c>
      <c r="L26" s="12">
        <v>0.47916666666666669</v>
      </c>
      <c r="M26" s="9" t="n">
        <v>73.41854953765869</v>
      </c>
      <c r="N26" s="9" t="n">
        <v>0.0</v>
      </c>
      <c r="O26" s="9" t="n">
        <v>0.0</v>
      </c>
      <c r="P26" s="9" t="n">
        <v>0.0</v>
      </c>
      <c r="Q26" s="9" t="n">
        <v>138.06023597717285</v>
      </c>
      <c r="R26" s="9" t="n">
        <v>82.5459976196289</v>
      </c>
      <c r="S26" s="9" t="n">
        <v>630.0341005325317</v>
      </c>
      <c r="T26" s="9" t="n">
        <v>0.0</v>
      </c>
      <c r="U26">
        <f si="1" t="shared"/>
        <v>11551.408376693726</v>
      </c>
    </row>
    <row r="27" spans="1:21" x14ac:dyDescent="0.25">
      <c r="A27" s="12">
        <v>0.5</v>
      </c>
      <c r="B27" s="6" t="n">
        <v>63.52045021166019</v>
      </c>
      <c r="C27" s="6" t="n">
        <v>16.992453414286395</v>
      </c>
      <c r="D27" s="6" t="n">
        <v>25.993733617582777</v>
      </c>
      <c r="E27" s="6" t="n">
        <v>65.80555412678994</v>
      </c>
      <c r="F27" s="6" t="n">
        <v>524.9866583214626</v>
      </c>
      <c r="G27" s="6" t="n">
        <v>192.06754886666525</v>
      </c>
      <c r="H27" s="6" t="n">
        <v>328.5485407899903</v>
      </c>
      <c r="I27" s="6" t="n">
        <v>0.0</v>
      </c>
      <c r="J27" s="6">
        <f si="0" t="shared"/>
        <v>9544.2734528375331</v>
      </c>
      <c r="L27" s="12">
        <v>0.5</v>
      </c>
      <c r="M27" s="9" t="n">
        <v>65.80652618408203</v>
      </c>
      <c r="N27" s="9" t="n">
        <v>0.0</v>
      </c>
      <c r="O27" s="9" t="n">
        <v>0.0</v>
      </c>
      <c r="P27" s="9" t="n">
        <v>0.0</v>
      </c>
      <c r="Q27" s="9" t="n">
        <v>124.48599338531494</v>
      </c>
      <c r="R27" s="9" t="n">
        <v>46.98924160003662</v>
      </c>
      <c r="S27" s="9" t="n">
        <v>378.30895709991455</v>
      </c>
      <c r="T27" s="9" t="n">
        <v>0.0</v>
      </c>
      <c r="U27">
        <f si="1" t="shared"/>
        <v>10997.341861724854</v>
      </c>
    </row>
    <row r="28" spans="1:21" x14ac:dyDescent="0.25">
      <c r="A28" s="12">
        <v>0.52083333333333337</v>
      </c>
      <c r="B28" s="6" t="n">
        <v>70.13395274515854</v>
      </c>
      <c r="C28" s="6" t="n">
        <v>27.359060936242557</v>
      </c>
      <c r="D28" s="6" t="n">
        <v>33.534503920400134</v>
      </c>
      <c r="E28" s="6" t="n">
        <v>39.3979902298241</v>
      </c>
      <c r="F28" s="6" t="n">
        <v>469.32169144199605</v>
      </c>
      <c r="G28" s="6" t="n">
        <v>141.52889031157463</v>
      </c>
      <c r="H28" s="6" t="n">
        <v>353.2159970301992</v>
      </c>
      <c r="I28" s="6" t="n">
        <v>0.0</v>
      </c>
      <c r="J28" s="6">
        <f si="0" t="shared"/>
        <v>9243.6423452485578</v>
      </c>
      <c r="L28" s="12">
        <v>0.52083333333333337</v>
      </c>
      <c r="M28" s="9" t="n">
        <v>65.51531219482422</v>
      </c>
      <c r="N28" s="9" t="n">
        <v>0.0</v>
      </c>
      <c r="O28" s="9" t="n">
        <v>0.0</v>
      </c>
      <c r="P28" s="9" t="n">
        <v>0.0</v>
      </c>
      <c r="Q28" s="9" t="n">
        <v>124.61657428741455</v>
      </c>
      <c r="R28" s="9" t="n">
        <v>37.84301567077637</v>
      </c>
      <c r="S28" s="9" t="n">
        <v>288.72440338134766</v>
      </c>
      <c r="T28" s="9" t="n">
        <v>0.0</v>
      </c>
      <c r="U28">
        <f si="1" t="shared"/>
        <v>10758.206677436829</v>
      </c>
    </row>
    <row r="29" spans="1:21" x14ac:dyDescent="0.25">
      <c r="A29" s="12">
        <v>0.54166666666666663</v>
      </c>
      <c r="B29" s="6" t="n">
        <v>76.74243741776152</v>
      </c>
      <c r="C29" s="6" t="n">
        <v>36.53206212042558</v>
      </c>
      <c r="D29" s="6" t="n">
        <v>38.45796707674499</v>
      </c>
      <c r="E29" s="6" t="n">
        <v>21.343606160486193</v>
      </c>
      <c r="F29" s="6" t="n">
        <v>396.79266162561794</v>
      </c>
      <c r="G29" s="6" t="n">
        <v>101.18388584447445</v>
      </c>
      <c r="H29" s="6" t="n">
        <v>371.0888930826511</v>
      </c>
      <c r="I29" s="6" t="n">
        <v>0.0</v>
      </c>
      <c r="J29" s="6">
        <f si="0" t="shared"/>
        <v>9316.2984709469729</v>
      </c>
      <c r="L29" s="12">
        <v>0.54166666666666663</v>
      </c>
      <c r="M29" s="9" t="n">
        <v>68.86892986297607</v>
      </c>
      <c r="N29" s="9" t="n">
        <v>0.0</v>
      </c>
      <c r="O29" s="9" t="n">
        <v>0.0</v>
      </c>
      <c r="P29" s="9" t="n">
        <v>0.0</v>
      </c>
      <c r="Q29" s="9" t="n">
        <v>130.63164520263672</v>
      </c>
      <c r="R29" s="9" t="n">
        <v>40.77008056640625</v>
      </c>
      <c r="S29" s="9" t="n">
        <v>266.1284294128418</v>
      </c>
      <c r="T29" s="9" t="n">
        <v>0.0</v>
      </c>
      <c r="U29">
        <f si="1" t="shared"/>
        <v>10583.561363220215</v>
      </c>
    </row>
    <row r="30" spans="1:21" x14ac:dyDescent="0.25">
      <c r="A30" s="12">
        <v>0.5625</v>
      </c>
      <c r="B30" s="6" t="n">
        <v>82.65525405358645</v>
      </c>
      <c r="C30" s="6" t="n">
        <v>40.657473447009046</v>
      </c>
      <c r="D30" s="6" t="n">
        <v>38.54229549619903</v>
      </c>
      <c r="E30" s="6" t="n">
        <v>15.333090049381616</v>
      </c>
      <c r="F30" s="6" t="n">
        <v>313.9939369603985</v>
      </c>
      <c r="G30" s="6" t="n">
        <v>85.19088170338918</v>
      </c>
      <c r="H30" s="6" t="n">
        <v>353.91582093954787</v>
      </c>
      <c r="I30" s="6" t="n">
        <v>0.0</v>
      </c>
      <c r="J30" s="6">
        <f si="0" t="shared"/>
        <v>9593.161387813625</v>
      </c>
      <c r="L30" s="12">
        <v>0.5625</v>
      </c>
      <c r="M30" s="9" t="n">
        <v>75.40140533447266</v>
      </c>
      <c r="N30" s="9" t="n">
        <v>0.0</v>
      </c>
      <c r="O30" s="9" t="n">
        <v>0.0</v>
      </c>
      <c r="P30" s="9" t="n">
        <v>0.0</v>
      </c>
      <c r="Q30" s="9" t="n">
        <v>140.0425672531128</v>
      </c>
      <c r="R30" s="9" t="n">
        <v>52.172974586486816</v>
      </c>
      <c r="S30" s="9" t="n">
        <v>278.770959854126</v>
      </c>
      <c r="T30" s="9" t="n">
        <v>0.0</v>
      </c>
      <c r="U30">
        <f si="1" t="shared"/>
        <v>10410.216426849365</v>
      </c>
    </row>
    <row r="31" spans="1:21" x14ac:dyDescent="0.25">
      <c r="A31" s="12">
        <v>0.58333333333333337</v>
      </c>
      <c r="B31" s="6" t="n">
        <v>97.31218200165304</v>
      </c>
      <c r="C31" s="6" t="n">
        <v>38.86314923333053</v>
      </c>
      <c r="D31" s="6" t="n">
        <v>33.876614798710364</v>
      </c>
      <c r="E31" s="6" t="n">
        <v>22.939079431735127</v>
      </c>
      <c r="F31" s="6" t="n">
        <v>238.87646765886242</v>
      </c>
      <c r="G31" s="6" t="n">
        <v>94.19449296120533</v>
      </c>
      <c r="H31" s="6" t="n">
        <v>307.66912959625404</v>
      </c>
      <c r="I31" s="6" t="n">
        <v>0.0</v>
      </c>
      <c r="J31" s="6">
        <f si="0" t="shared"/>
        <v>9845.7341923586027</v>
      </c>
      <c r="L31" s="12">
        <v>0.58333333333333337</v>
      </c>
      <c r="M31" s="9" t="n">
        <v>86.45261764526367</v>
      </c>
      <c r="N31" s="9" t="n">
        <v>0.0</v>
      </c>
      <c r="O31" s="9" t="n">
        <v>0.0</v>
      </c>
      <c r="P31" s="9" t="n">
        <v>0.0</v>
      </c>
      <c r="Q31" s="9" t="n">
        <v>153.38771724700928</v>
      </c>
      <c r="R31" s="9" t="n">
        <v>72.47316455841064</v>
      </c>
      <c r="S31" s="9" t="n">
        <v>320.0386781692505</v>
      </c>
      <c r="T31" s="9" t="n">
        <v>0.0</v>
      </c>
      <c r="U31">
        <f si="1" t="shared"/>
        <v>10287.465147972107</v>
      </c>
    </row>
    <row r="32" spans="1:21" x14ac:dyDescent="0.25">
      <c r="A32" s="12">
        <v>0.60416666666666663</v>
      </c>
      <c r="B32" s="6" t="n">
        <v>138.10740518410242</v>
      </c>
      <c r="C32" s="6" t="n">
        <v>35.137847601391776</v>
      </c>
      <c r="D32" s="6" t="n">
        <v>26.63781505354051</v>
      </c>
      <c r="E32" s="6" t="n">
        <v>44.73703958302263</v>
      </c>
      <c r="F32" s="6" t="n">
        <v>187.2199516517149</v>
      </c>
      <c r="G32" s="6" t="n">
        <v>116.97676635629334</v>
      </c>
      <c r="H32" s="6" t="n">
        <v>259.6461707583818</v>
      </c>
      <c r="I32" s="6" t="n">
        <v>0.0</v>
      </c>
      <c r="J32" s="6">
        <f si="0" t="shared"/>
        <v>9861.2885430556526</v>
      </c>
      <c r="L32" s="12">
        <v>0.60416666666666663</v>
      </c>
      <c r="M32" s="9" t="n">
        <v>104.2065200805664</v>
      </c>
      <c r="N32" s="9" t="n">
        <v>0.0</v>
      </c>
      <c r="O32" s="9" t="n">
        <v>0.0</v>
      </c>
      <c r="P32" s="9" t="n">
        <v>0.0</v>
      </c>
      <c r="Q32" s="9" t="n">
        <v>172.66247177124023</v>
      </c>
      <c r="R32" s="9" t="n">
        <v>102.28058624267578</v>
      </c>
      <c r="S32" s="9" t="n">
        <v>388.8816137313843</v>
      </c>
      <c r="T32" s="9" t="n">
        <v>0.0</v>
      </c>
      <c r="U32">
        <f si="1" t="shared"/>
        <v>10306.515560150146</v>
      </c>
    </row>
    <row r="33" spans="1:21" x14ac:dyDescent="0.25">
      <c r="A33" s="12">
        <v>0.625</v>
      </c>
      <c r="B33" s="6" t="n">
        <v>220.1894670005088</v>
      </c>
      <c r="C33" s="6" t="n">
        <v>36.87473605618061</v>
      </c>
      <c r="D33" s="6" t="n">
        <v>19.468244332855036</v>
      </c>
      <c r="E33" s="6" t="n">
        <v>78.92826161409181</v>
      </c>
      <c r="F33" s="6" t="n">
        <v>165.12468172610994</v>
      </c>
      <c r="G33" s="6" t="n">
        <v>140.74027604530772</v>
      </c>
      <c r="H33" s="6" t="n">
        <v>243.0964273474935</v>
      </c>
      <c r="I33" s="6" t="n">
        <v>0.0</v>
      </c>
      <c r="J33" s="6">
        <f si="0" t="shared"/>
        <v>9540.9379115027987</v>
      </c>
      <c r="L33" s="12">
        <v>0.625</v>
      </c>
      <c r="M33" s="9" t="n">
        <v>130.61607551574707</v>
      </c>
      <c r="N33" s="9" t="n">
        <v>0.0</v>
      </c>
      <c r="O33" s="9" t="n">
        <v>0.0</v>
      </c>
      <c r="P33" s="9" t="n">
        <v>0.0</v>
      </c>
      <c r="Q33" s="9" t="n">
        <v>199.46975135803223</v>
      </c>
      <c r="R33" s="9" t="n">
        <v>139.60246467590332</v>
      </c>
      <c r="S33" s="9" t="n">
        <v>479.6862735748291</v>
      </c>
      <c r="T33" s="9" t="n">
        <v>0.0</v>
      </c>
      <c r="U33">
        <f si="1" t="shared"/>
        <v>10522.883086204529</v>
      </c>
    </row>
    <row r="34" spans="1:21" x14ac:dyDescent="0.25">
      <c r="A34" s="12">
        <v>0.64583333333333337</v>
      </c>
      <c r="B34" s="6" t="n">
        <v>341.76966011399776</v>
      </c>
      <c r="C34" s="6" t="n">
        <v>50.40301200745867</v>
      </c>
      <c r="D34" s="6" t="n">
        <v>13.975634074297416</v>
      </c>
      <c r="E34" s="6" t="n">
        <v>118.83760639953783</v>
      </c>
      <c r="F34" s="6" t="n">
        <v>169.6907000223889</v>
      </c>
      <c r="G34" s="6" t="n">
        <v>160.09382540639865</v>
      </c>
      <c r="H34" s="6" t="n">
        <v>281.414720353261</v>
      </c>
      <c r="I34" s="6" t="n">
        <v>0.0</v>
      </c>
      <c r="J34" s="6">
        <f si="0" t="shared"/>
        <v>8946.3682722916419</v>
      </c>
      <c r="L34" s="12">
        <v>0.64583333333333337</v>
      </c>
      <c r="M34" s="9" t="n">
        <v>166.04073905944824</v>
      </c>
      <c r="N34" s="9" t="n">
        <v>0.0</v>
      </c>
      <c r="O34" s="9" t="n">
        <v>0.0</v>
      </c>
      <c r="P34" s="9" t="n">
        <v>0.0</v>
      </c>
      <c r="Q34" s="9" t="n">
        <v>232.7170124053955</v>
      </c>
      <c r="R34" s="9" t="n">
        <v>178.21495246887207</v>
      </c>
      <c r="S34" s="9" t="n">
        <v>577.0570125579834</v>
      </c>
      <c r="T34" s="9" t="n">
        <v>0.0</v>
      </c>
      <c r="U34">
        <f si="1" t="shared"/>
        <v>10885.098223686218</v>
      </c>
    </row>
    <row r="35" spans="1:21" x14ac:dyDescent="0.25">
      <c r="A35" s="12">
        <v>0.66666666666666663</v>
      </c>
      <c r="B35" s="6" t="n">
        <v>475.85698480280075</v>
      </c>
      <c r="C35" s="6" t="n">
        <v>76.04136797463792</v>
      </c>
      <c r="D35" s="6" t="n">
        <v>10.490626455854745</v>
      </c>
      <c r="E35" s="6" t="n">
        <v>153.03252984600232</v>
      </c>
      <c r="F35" s="6" t="n">
        <v>192.0307451432369</v>
      </c>
      <c r="G35" s="6" t="n">
        <v>176.82550715161176</v>
      </c>
      <c r="H35" s="6" t="n">
        <v>376.46670539473104</v>
      </c>
      <c r="I35" s="6" t="n">
        <v>0.0</v>
      </c>
      <c r="J35" s="6">
        <f si="0" t="shared"/>
        <v>8255.817924066876</v>
      </c>
      <c r="L35" s="12">
        <v>0.66666666666666663</v>
      </c>
      <c r="M35" s="9" t="n">
        <v>208.10646724700928</v>
      </c>
      <c r="N35" s="9" t="n">
        <v>0.0</v>
      </c>
      <c r="O35" s="9" t="n">
        <v>0.0</v>
      </c>
      <c r="P35" s="9" t="n">
        <v>0.0</v>
      </c>
      <c r="Q35" s="9" t="n">
        <v>267.1718397140503</v>
      </c>
      <c r="R35" s="9" t="n">
        <v>208.6592149734497</v>
      </c>
      <c r="S35" s="9" t="n">
        <v>656.8041400909424</v>
      </c>
      <c r="T35" s="9" t="n">
        <v>0.0</v>
      </c>
      <c r="U35">
        <f si="1" t="shared"/>
        <v>11216.484217643738</v>
      </c>
    </row>
    <row r="36" spans="1:21" x14ac:dyDescent="0.25">
      <c r="A36" s="12">
        <v>0.6875</v>
      </c>
      <c r="B36" s="6" t="n">
        <v>579.012664140505</v>
      </c>
      <c r="C36" s="6" t="n">
        <v>106.02137702645692</v>
      </c>
      <c r="D36" s="6" t="n">
        <v>8.70718695784919</v>
      </c>
      <c r="E36" s="6" t="n">
        <v>169.7493825401893</v>
      </c>
      <c r="F36" s="6" t="n">
        <v>218.50357997022945</v>
      </c>
      <c r="G36" s="6" t="n">
        <v>191.71197217062</v>
      </c>
      <c r="H36" s="6" t="n">
        <v>503.47604588520187</v>
      </c>
      <c r="I36" s="6" t="n">
        <v>0.0</v>
      </c>
      <c r="J36" s="6">
        <f si="0" t="shared"/>
        <v>7639.4125935759866</v>
      </c>
      <c r="L36" s="12">
        <v>0.6875</v>
      </c>
      <c r="M36" s="9" t="n">
        <v>251.279860496521</v>
      </c>
      <c r="N36" s="9" t="n">
        <v>0.0</v>
      </c>
      <c r="O36" s="9" t="n">
        <v>0.0</v>
      </c>
      <c r="P36" s="9" t="n">
        <v>0.0</v>
      </c>
      <c r="Q36" s="9" t="n">
        <v>294.34488010406494</v>
      </c>
      <c r="R36" s="9" t="n">
        <v>222.06637573242188</v>
      </c>
      <c r="S36" s="9" t="n">
        <v>694.1706657409668</v>
      </c>
      <c r="T36" s="9" t="n">
        <v>0.0</v>
      </c>
      <c r="U36">
        <f si="1" t="shared"/>
        <v>11281.165165901184</v>
      </c>
    </row>
    <row r="37" spans="1:21" x14ac:dyDescent="0.25">
      <c r="A37" s="12">
        <v>0.70833333333333337</v>
      </c>
      <c r="B37" s="6" t="n">
        <v>614.9280254995954</v>
      </c>
      <c r="C37" s="6" t="n">
        <v>127.64413081511775</v>
      </c>
      <c r="D37" s="6" t="n">
        <v>8.143338765581436</v>
      </c>
      <c r="E37" s="6" t="n">
        <v>163.06340657252147</v>
      </c>
      <c r="F37" s="6" t="n">
        <v>232.78342637199646</v>
      </c>
      <c r="G37" s="6" t="n">
        <v>198.43050626873804</v>
      </c>
      <c r="H37" s="6" t="n">
        <v>615.9244841029606</v>
      </c>
      <c r="I37" s="6" t="n">
        <v>0.0</v>
      </c>
      <c r="J37" s="6">
        <f si="0" t="shared"/>
        <v>7131.9671694063491</v>
      </c>
      <c r="L37" s="12">
        <v>0.70833333333333337</v>
      </c>
      <c r="M37" s="9" t="n">
        <v>287.25903606414795</v>
      </c>
      <c r="N37" s="9" t="n">
        <v>0.0</v>
      </c>
      <c r="O37" s="9" t="n">
        <v>0.0</v>
      </c>
      <c r="P37" s="9" t="n">
        <v>0.0</v>
      </c>
      <c r="Q37" s="9" t="n">
        <v>305.5245723724365</v>
      </c>
      <c r="R37" s="9" t="n">
        <v>214.42232036590576</v>
      </c>
      <c r="S37" s="9" t="n">
        <v>674.8628358840942</v>
      </c>
      <c r="T37" s="9" t="n">
        <v>0.0</v>
      </c>
      <c r="U37">
        <f si="1" t="shared"/>
        <v>10898.737740516663</v>
      </c>
    </row>
    <row r="38" spans="1:21" x14ac:dyDescent="0.25">
      <c r="A38" s="12">
        <v>0.72916666666666663</v>
      </c>
      <c r="B38" s="6" t="n">
        <v>575.6251723163091</v>
      </c>
      <c r="C38" s="6" t="n">
        <v>130.6368002357908</v>
      </c>
      <c r="D38" s="6" t="n">
        <v>8.12716021278819</v>
      </c>
      <c r="E38" s="6" t="n">
        <v>136.19013374158686</v>
      </c>
      <c r="F38" s="6" t="n">
        <v>222.33814009057633</v>
      </c>
      <c r="G38" s="6" t="n">
        <v>187.40143531662454</v>
      </c>
      <c r="H38" s="6" t="n">
        <v>663.9514726912529</v>
      </c>
      <c r="I38" s="6" t="n">
        <v>0.0</v>
      </c>
      <c r="J38" s="6">
        <f si="0" t="shared"/>
        <v>6607.331656488047</v>
      </c>
      <c r="L38" s="12">
        <v>0.72916666666666663</v>
      </c>
      <c r="M38" s="9" t="n">
        <v>306.57203102111816</v>
      </c>
      <c r="N38" s="9" t="n">
        <v>0.0</v>
      </c>
      <c r="O38" s="9" t="n">
        <v>0.0</v>
      </c>
      <c r="P38" s="9" t="n">
        <v>0.0</v>
      </c>
      <c r="Q38" s="9" t="n">
        <v>295.2178564071655</v>
      </c>
      <c r="R38" s="9" t="n">
        <v>188.19947624206543</v>
      </c>
      <c r="S38" s="9" t="n">
        <v>601.2627124786377</v>
      </c>
      <c r="T38" s="9" t="n">
        <v>0.0</v>
      </c>
      <c r="U38">
        <f si="1" t="shared"/>
        <v>10027.430109977722</v>
      </c>
    </row>
    <row r="39" spans="1:21" x14ac:dyDescent="0.25">
      <c r="A39" s="12">
        <v>0.75</v>
      </c>
      <c r="B39" s="6" t="n">
        <v>483.15705260445947</v>
      </c>
      <c r="C39" s="6" t="n">
        <v>113.59366208736135</v>
      </c>
      <c r="D39" s="6" t="n">
        <v>7.848712949509438</v>
      </c>
      <c r="E39" s="6" t="n">
        <v>99.37376770547795</v>
      </c>
      <c r="F39" s="6" t="n">
        <v>186.02202503541116</v>
      </c>
      <c r="G39" s="6" t="n">
        <v>155.50171571209262</v>
      </c>
      <c r="H39" s="6" t="n">
        <v>620.677757447329</v>
      </c>
      <c r="I39" s="6" t="n">
        <v>0.0</v>
      </c>
      <c r="J39" s="6">
        <f si="0" t="shared"/>
        <v>5885.1025240129702</v>
      </c>
      <c r="L39" s="12">
        <v>0.75</v>
      </c>
      <c r="M39" s="9" t="n">
        <v>302.0435857772827</v>
      </c>
      <c r="N39" s="9" t="n">
        <v>0.0</v>
      </c>
      <c r="O39" s="9" t="n">
        <v>0.0</v>
      </c>
      <c r="P39" s="9" t="n">
        <v>0.0</v>
      </c>
      <c r="Q39" s="9" t="n">
        <v>263.3829584121704</v>
      </c>
      <c r="R39" s="9" t="n">
        <v>150.5661964416504</v>
      </c>
      <c r="S39" s="9" t="n">
        <v>490.154580116272</v>
      </c>
      <c r="T39" s="9" t="n">
        <v>0.0</v>
      </c>
      <c r="U39">
        <f si="1" t="shared"/>
        <v>8767.6669263839722</v>
      </c>
    </row>
    <row r="40" spans="1:21" x14ac:dyDescent="0.25">
      <c r="A40" s="12">
        <v>0.77083333333333337</v>
      </c>
      <c r="B40" s="6" t="n">
        <v>372.0211488459508</v>
      </c>
      <c r="C40" s="6" t="n">
        <v>84.25313672004968</v>
      </c>
      <c r="D40" s="6" t="n">
        <v>6.770261714120297</v>
      </c>
      <c r="E40" s="6" t="n">
        <v>64.00739117805283</v>
      </c>
      <c r="F40" s="6" t="n">
        <v>135.012535167794</v>
      </c>
      <c r="G40" s="6" t="n">
        <v>110.62231664613088</v>
      </c>
      <c r="H40" s="6" t="n">
        <v>498.88240972173514</v>
      </c>
      <c r="I40" s="6" t="n">
        <v>0.0</v>
      </c>
      <c r="J40" s="6">
        <f si="0" t="shared"/>
        <v>4882.5120511636442</v>
      </c>
      <c r="L40" s="12">
        <v>0.77083333333333337</v>
      </c>
      <c r="M40" s="9" t="n">
        <v>273.1606197357178</v>
      </c>
      <c r="N40" s="9" t="n">
        <v>0.0</v>
      </c>
      <c r="O40" s="9" t="n">
        <v>0.0</v>
      </c>
      <c r="P40" s="9" t="n">
        <v>0.0</v>
      </c>
      <c r="Q40" s="9" t="n">
        <v>215.78897190093994</v>
      </c>
      <c r="R40" s="9" t="n">
        <v>110.01089763641357</v>
      </c>
      <c r="S40" s="9" t="n">
        <v>364.9628391265869</v>
      </c>
      <c r="T40" s="9" t="n">
        <v>0.0</v>
      </c>
      <c r="U40">
        <f si="1" t="shared"/>
        <v>7304.6649551391602</v>
      </c>
    </row>
    <row r="41" spans="1:21" x14ac:dyDescent="0.25">
      <c r="A41" s="12">
        <v>0.79166666666666663</v>
      </c>
      <c r="B41" s="6" t="n">
        <v>268.8406249606106</v>
      </c>
      <c r="C41" s="6" t="n">
        <v>53.67233778764526</v>
      </c>
      <c r="D41" s="6" t="n">
        <v>4.979885199095923</v>
      </c>
      <c r="E41" s="6" t="n">
        <v>37.261711948925786</v>
      </c>
      <c r="F41" s="6" t="n">
        <v>85.04568367922137</v>
      </c>
      <c r="G41" s="6" t="n">
        <v>66.40242699730224</v>
      </c>
      <c r="H41" s="6" t="n">
        <v>343.04356379785537</v>
      </c>
      <c r="I41" s="6" t="n">
        <v>0.0</v>
      </c>
      <c r="J41" s="6">
        <f si="0" t="shared"/>
        <v>3685.6562949886834</v>
      </c>
      <c r="L41" s="12">
        <v>0.79166666666666663</v>
      </c>
      <c r="M41" s="9" t="n">
        <v>227.85302543640137</v>
      </c>
      <c r="N41" s="9" t="n">
        <v>0.0</v>
      </c>
      <c r="O41" s="9" t="n">
        <v>0.0</v>
      </c>
      <c r="P41" s="9" t="n">
        <v>0.0</v>
      </c>
      <c r="Q41" s="9" t="n">
        <v>162.23409461975098</v>
      </c>
      <c r="R41" s="9" t="n">
        <v>73.54636192321777</v>
      </c>
      <c r="S41" s="9" t="n">
        <v>247.70288562774658</v>
      </c>
      <c r="T41" s="9" t="n">
        <v>0.0</v>
      </c>
      <c r="U41">
        <f si="1" t="shared"/>
        <v>5835.9461545944214</v>
      </c>
    </row>
    <row r="42" spans="1:21" x14ac:dyDescent="0.25">
      <c r="A42" s="12">
        <v>0.8125</v>
      </c>
      <c r="B42" s="6" t="n">
        <v>184.48683057164288</v>
      </c>
      <c r="C42" s="6" t="n">
        <v>29.673605099992535</v>
      </c>
      <c r="D42" s="6" t="n">
        <v>3.0445038063232177</v>
      </c>
      <c r="E42" s="6" t="n">
        <v>20.4823623462466</v>
      </c>
      <c r="F42" s="6" t="n">
        <v>46.93384410800704</v>
      </c>
      <c r="G42" s="6" t="n">
        <v>33.204150785070034</v>
      </c>
      <c r="H42" s="6" t="n">
        <v>201.87898203404222</v>
      </c>
      <c r="I42" s="6" t="n">
        <v>0.0</v>
      </c>
      <c r="J42" s="6">
        <f si="0" t="shared"/>
        <v>2494.4518572714383</v>
      </c>
      <c r="L42" s="12">
        <v>0.8125</v>
      </c>
      <c r="M42" s="9" t="n">
        <v>178.88347244262695</v>
      </c>
      <c r="N42" s="9" t="n">
        <v>0.0</v>
      </c>
      <c r="O42" s="9" t="n">
        <v>0.0</v>
      </c>
      <c r="P42" s="9" t="n">
        <v>0.0</v>
      </c>
      <c r="Q42" s="9" t="n">
        <v>112.86561298370361</v>
      </c>
      <c r="R42" s="9" t="n">
        <v>45.28428936004639</v>
      </c>
      <c r="S42" s="9" t="n">
        <v>153.42541599273682</v>
      </c>
      <c r="T42" s="9" t="n">
        <v>0.0</v>
      </c>
      <c r="U42">
        <f si="1" t="shared"/>
        <v>4512.7117586135864</v>
      </c>
    </row>
    <row r="43" spans="1:21" x14ac:dyDescent="0.25">
      <c r="A43" s="12">
        <v>0.83333333333333337</v>
      </c>
      <c r="B43" s="6" t="n">
        <v>119.16751629983398</v>
      </c>
      <c r="C43" s="6" t="n">
        <v>14.430947005171607</v>
      </c>
      <c r="D43" s="6" t="n">
        <v>1.5193135710875612</v>
      </c>
      <c r="E43" s="6" t="n">
        <v>11.217953859243112</v>
      </c>
      <c r="F43" s="6" t="n">
        <v>23.051951500996733</v>
      </c>
      <c r="G43" s="6" t="n">
        <v>13.642826235489434</v>
      </c>
      <c r="H43" s="6" t="n">
        <v>103.31065725026897</v>
      </c>
      <c r="I43" s="6" t="n">
        <v>0.0</v>
      </c>
      <c r="J43" s="6">
        <f si="0" t="shared"/>
        <v>1503.3416621672325</v>
      </c>
      <c r="L43" s="12">
        <v>0.83333333333333337</v>
      </c>
      <c r="M43" s="9" t="n">
        <v>136.80726718902588</v>
      </c>
      <c r="N43" s="9" t="n">
        <v>0.0</v>
      </c>
      <c r="O43" s="9" t="n">
        <v>0.0</v>
      </c>
      <c r="P43" s="9" t="n">
        <v>0.0</v>
      </c>
      <c r="Q43" s="9" t="n">
        <v>74.27120590209961</v>
      </c>
      <c r="R43" s="9" t="n">
        <v>26.200572967529297</v>
      </c>
      <c r="S43" s="9" t="n">
        <v>87.76720905303955</v>
      </c>
      <c r="T43" s="9" t="n">
        <v>0.0</v>
      </c>
      <c r="U43">
        <f si="1" t="shared"/>
        <v>3407.7695608139038</v>
      </c>
    </row>
    <row r="44" spans="1:21" x14ac:dyDescent="0.25">
      <c r="A44" s="12">
        <v>0.85416666666666663</v>
      </c>
      <c r="B44" s="6" t="n">
        <v>70.50643195051192</v>
      </c>
      <c r="C44" s="6" t="n">
        <v>6.247742735724284</v>
      </c>
      <c r="D44" s="6" t="n">
        <v>0.6074511841081134</v>
      </c>
      <c r="E44" s="6" t="n">
        <v>6.265112009280038</v>
      </c>
      <c r="F44" s="6" t="n">
        <v>10.216557746264089</v>
      </c>
      <c r="G44" s="6" t="n">
        <v>4.524915675888129</v>
      </c>
      <c r="H44" s="6" t="n">
        <v>48.6705129791508</v>
      </c>
      <c r="I44" s="6" t="n">
        <v>0.0</v>
      </c>
      <c r="J44" s="6">
        <f si="0" t="shared"/>
        <v>811.76813084372588</v>
      </c>
      <c r="L44" s="12">
        <v>0.85416666666666663</v>
      </c>
      <c r="M44" s="9" t="n">
        <v>105.13850212097168</v>
      </c>
      <c r="N44" s="9" t="n">
        <v>0.0</v>
      </c>
      <c r="O44" s="9" t="n">
        <v>0.0</v>
      </c>
      <c r="P44" s="9" t="n">
        <v>0.0</v>
      </c>
      <c r="Q44" s="9" t="n">
        <v>47.781880378723145</v>
      </c>
      <c r="R44" s="9" t="n">
        <v>14.840729713439941</v>
      </c>
      <c r="S44" s="9" t="n">
        <v>47.8744535446167</v>
      </c>
      <c r="T44" s="9" t="n">
        <v>0.0</v>
      </c>
      <c r="U44">
        <f si="1" t="shared"/>
        <v>2519.1711759567261</v>
      </c>
    </row>
    <row r="45" spans="1:21" x14ac:dyDescent="0.25">
      <c r="A45" s="12">
        <v>0.875</v>
      </c>
      <c r="B45" s="6" t="n">
        <v>36.892794849200754</v>
      </c>
      <c r="C45" s="6" t="n">
        <v>2.41040081100313</v>
      </c>
      <c r="D45" s="6" t="n">
        <v>0.1898162519834769</v>
      </c>
      <c r="E45" s="6" t="n">
        <v>3.443812848024403</v>
      </c>
      <c r="F45" s="6" t="n">
        <v>4.078005907643002</v>
      </c>
      <c r="G45" s="6" t="n">
        <v>1.1813587354770354</v>
      </c>
      <c r="H45" s="6" t="n">
        <v>23.847030945494826</v>
      </c>
      <c r="I45" s="6" t="n">
        <v>0.0</v>
      </c>
      <c r="J45" s="6">
        <f si="0" t="shared"/>
        <v>409.52408917955353</v>
      </c>
      <c r="L45" s="12">
        <v>0.875</v>
      </c>
      <c r="M45" s="9" t="n">
        <v>81.24609470367432</v>
      </c>
      <c r="N45" s="9" t="n">
        <v>0.0</v>
      </c>
      <c r="O45" s="9" t="n">
        <v>0.0</v>
      </c>
      <c r="P45" s="9" t="n">
        <v>0.0</v>
      </c>
      <c r="Q45" s="9" t="n">
        <v>30.85769557952881</v>
      </c>
      <c r="R45" s="9" t="n">
        <v>8.644615173339844</v>
      </c>
      <c r="S45" s="9" t="n">
        <v>26.178393363952637</v>
      </c>
      <c r="T45" s="9" t="n">
        <v>0.0</v>
      </c>
      <c r="U45">
        <f si="1" t="shared"/>
        <v>1805.7592248916626</v>
      </c>
    </row>
    <row r="46" spans="1:21" x14ac:dyDescent="0.25">
      <c r="A46" s="12">
        <v>0.89583333333333337</v>
      </c>
      <c r="B46" s="6" t="n">
        <v>16.490324491584364</v>
      </c>
      <c r="C46" s="6" t="n">
        <v>0.8129782322607995</v>
      </c>
      <c r="D46" s="6" t="n">
        <v>0.04466264752552397</v>
      </c>
      <c r="E46" s="6" t="n">
        <v>1.7451210915339845</v>
      </c>
      <c r="F46" s="6" t="n">
        <v>1.427064851334452</v>
      </c>
      <c r="G46" s="6" t="n">
        <v>0.23373759266533034</v>
      </c>
      <c r="H46" s="6" t="n">
        <v>13.49957689575794</v>
      </c>
      <c r="I46" s="6" t="n">
        <v>0.0</v>
      </c>
      <c r="J46" s="6">
        <f si="0" t="shared"/>
        <v>218.65486278499426</v>
      </c>
      <c r="L46" s="12">
        <v>0.89583333333333337</v>
      </c>
      <c r="M46" s="9" t="n">
        <v>61.01146984100342</v>
      </c>
      <c r="N46" s="9" t="n">
        <v>0.0</v>
      </c>
      <c r="O46" s="9" t="n">
        <v>0.0</v>
      </c>
      <c r="P46" s="9" t="n">
        <v>0.0</v>
      </c>
      <c r="Q46" s="9" t="n">
        <v>19.93526554107666</v>
      </c>
      <c r="R46" s="9" t="n">
        <v>5.2538957595825195</v>
      </c>
      <c r="S46" s="9" t="n">
        <v>14.864154815673828</v>
      </c>
      <c r="T46" s="9" t="n">
        <v>0.0</v>
      </c>
      <c r="U46">
        <f si="1" t="shared"/>
        <v>1229.2745685577393</v>
      </c>
    </row>
    <row r="47" spans="1:21" x14ac:dyDescent="0.25">
      <c r="A47" s="12">
        <v>0.91666666666666663</v>
      </c>
      <c r="B47" s="6" t="n">
        <v>6.091721781366983</v>
      </c>
      <c r="C47" s="6" t="n">
        <v>0.23008041062889728</v>
      </c>
      <c r="D47" s="6" t="n">
        <v>0.007443774587587329</v>
      </c>
      <c r="E47" s="6" t="n">
        <v>0.7695700428294681</v>
      </c>
      <c r="F47" s="6" t="n">
        <v>0.41697200112175914</v>
      </c>
      <c r="G47" s="6" t="n">
        <v>0.03294235517904995</v>
      </c>
      <c r="H47" s="6" t="n">
        <v>8.300555916061342</v>
      </c>
      <c r="I47" s="6" t="n">
        <v>0.0</v>
      </c>
      <c r="J47" s="6">
        <f si="0" t="shared"/>
        <v>147.39855672015935</v>
      </c>
      <c r="L47" s="12">
        <v>0.91666666666666663</v>
      </c>
      <c r="M47" s="9" t="n">
        <v>42.57636260986328</v>
      </c>
      <c r="N47" s="9" t="n">
        <v>0.0</v>
      </c>
      <c r="O47" s="9" t="n">
        <v>0.0</v>
      </c>
      <c r="P47" s="9" t="n">
        <v>0.0</v>
      </c>
      <c r="Q47" s="9" t="n">
        <v>12.450636863708496</v>
      </c>
      <c r="R47" s="9" t="n">
        <v>3.1902055740356445</v>
      </c>
      <c r="S47" s="9" t="n">
        <v>8.589096069335938</v>
      </c>
      <c r="T47" s="9" t="n">
        <v>0.0</v>
      </c>
      <c r="U47">
        <f si="1" t="shared"/>
        <v>774.42394256591797</v>
      </c>
    </row>
    <row r="48" spans="1:21" x14ac:dyDescent="0.25">
      <c r="A48" s="12">
        <v>0.9375</v>
      </c>
      <c r="B48" s="6" t="n">
        <v>1.7957504932727852</v>
      </c>
      <c r="C48" s="6" t="n">
        <v>0.05148451125775813</v>
      </c>
      <c r="D48" s="6" t="n">
        <v>7.835552197460348E-4</v>
      </c>
      <c r="E48" s="6" t="n">
        <v>0.2829622207522766</v>
      </c>
      <c r="F48" s="6" t="n">
        <v>0.09548526436862671</v>
      </c>
      <c r="G48" s="6" t="n">
        <v>0.0029466742958097897</v>
      </c>
      <c r="H48" s="6" t="n">
        <v>4.787328712575481</v>
      </c>
      <c r="I48" s="6" t="n">
        <v>0.0</v>
      </c>
      <c r="J48" s="6">
        <f si="0" t="shared"/>
        <v>124.75720829078152</v>
      </c>
      <c r="L48" s="12">
        <v>0.9375</v>
      </c>
      <c r="M48" s="9" t="n">
        <v>26.68055534362793</v>
      </c>
      <c r="N48" s="9" t="n">
        <v>0.0</v>
      </c>
      <c r="O48" s="9" t="n">
        <v>0.0</v>
      </c>
      <c r="P48" s="9" t="n">
        <v>0.0</v>
      </c>
      <c r="Q48" s="9" t="n">
        <v>7.196808815002441</v>
      </c>
      <c r="R48" s="9" t="n">
        <v>1.8089580535888672</v>
      </c>
      <c r="S48" s="9" t="n">
        <v>4.743319511413574</v>
      </c>
      <c r="T48" s="9" t="n">
        <v>0.0</v>
      </c>
      <c r="U48">
        <f si="1" t="shared"/>
        <v>440.50806999206543</v>
      </c>
    </row>
    <row r="49" spans="1:21" x14ac:dyDescent="0.25">
      <c r="A49" s="12">
        <v>0.95833333333333337</v>
      </c>
      <c r="B49" s="6" t="n">
        <v>0.4042280003988503</v>
      </c>
      <c r="C49" s="6" t="n">
        <v>0.008400901643543304</v>
      </c>
      <c r="D49" s="6" t="n">
        <v>3.917776098730173E-5</v>
      </c>
      <c r="E49" s="6" t="n">
        <v>0.08355131795139316</v>
      </c>
      <c r="F49" s="6" t="n">
        <v>0.01580020945435357</v>
      </c>
      <c r="G49" s="6" t="n">
        <v>1.2573426829770278E-4</v>
      </c>
      <c r="H49" s="6" t="n">
        <v>2.3507766529856924</v>
      </c>
      <c r="I49" s="6" t="n">
        <v>0.0</v>
      </c>
      <c r="J49" s="6">
        <f si="0" t="shared"/>
        <v>110.30437960664048</v>
      </c>
      <c r="L49" s="12">
        <v>0.95833333333333337</v>
      </c>
      <c r="M49" s="9" t="n">
        <v>14.737929344177246</v>
      </c>
      <c r="N49" s="9" t="n">
        <v>0.0</v>
      </c>
      <c r="O49" s="9" t="n">
        <v>0.0</v>
      </c>
      <c r="P49" s="9" t="n">
        <v>0.0</v>
      </c>
      <c r="Q49" s="9" t="n">
        <v>3.710355758666992</v>
      </c>
      <c r="R49" s="9" t="n">
        <v>0.9061174392700195</v>
      </c>
      <c r="S49" s="9" t="n">
        <v>2.3520030975341797</v>
      </c>
      <c r="T49" s="9" t="n">
        <v>0.0</v>
      </c>
      <c r="U49">
        <f si="1" t="shared"/>
        <v>221.92927837371826</v>
      </c>
    </row>
    <row r="50" spans="1:21" x14ac:dyDescent="0.25">
      <c r="A50" s="12">
        <v>0.97916666666666663</v>
      </c>
      <c r="B50" s="6" t="n">
        <v>0.06507502637751675</v>
      </c>
      <c r="C50" s="6" t="n">
        <v>8.78824307244911E-4</v>
      </c>
      <c r="D50" s="6" t="n">
        <v>0.0</v>
      </c>
      <c r="E50" s="6" t="n">
        <v>0.018952848545944694</v>
      </c>
      <c r="F50" s="6" t="n">
        <v>0.001663179942563534</v>
      </c>
      <c r="G50" s="6" t="n">
        <v>0.0</v>
      </c>
      <c r="H50" s="6" t="n">
        <v>0.9361765715909903</v>
      </c>
      <c r="I50" s="6" t="n">
        <v>0.0</v>
      </c>
      <c r="J50" s="6">
        <f si="0" t="shared"/>
        <v>89.185506550292374</v>
      </c>
      <c r="L50" s="12">
        <v>0.97916666666666663</v>
      </c>
      <c r="M50" s="9" t="n">
        <v>7.148260116577148</v>
      </c>
      <c r="N50" s="9" t="n">
        <v>0.0</v>
      </c>
      <c r="O50" s="9" t="n">
        <v>0.0</v>
      </c>
      <c r="P50" s="9" t="n">
        <v>0.0</v>
      </c>
      <c r="Q50" s="9" t="n">
        <v>1.6586427688598633</v>
      </c>
      <c r="R50" s="9" t="n">
        <v>0.38574981689453125</v>
      </c>
      <c r="S50" s="9" t="n">
        <v>1.000880241394043</v>
      </c>
      <c r="T50" s="9" t="n">
        <v>0.0</v>
      </c>
      <c r="U50">
        <f si="1" t="shared"/>
        <v>98.052921295166016</v>
      </c>
    </row>
    <row r="51" spans="1:21" x14ac:dyDescent="0.25">
      <c r="A51" s="12">
        <v>1</v>
      </c>
      <c r="B51" s="6" t="n">
        <v>0.0066612255054491355</v>
      </c>
      <c r="C51" s="6" t="n">
        <v>4.394121536224556E-5</v>
      </c>
      <c r="D51" s="6" t="n">
        <v>0.0</v>
      </c>
      <c r="E51" s="6" t="n">
        <v>0.003092661306803691</v>
      </c>
      <c r="F51" s="6" t="n">
        <v>8.315899712817669E-5</v>
      </c>
      <c r="G51" s="6" t="n">
        <v>0.0</v>
      </c>
      <c r="H51" s="6" t="n">
        <v>0.2922947749135967</v>
      </c>
      <c r="I51" s="6" t="n">
        <v>0.0</v>
      </c>
      <c r="J51" s="6">
        <f si="0" t="shared"/>
        <v>62.334882572932166</v>
      </c>
      <c r="L51" s="12">
        <v>1</v>
      </c>
      <c r="M51" s="9" t="n">
        <v>3.075711250305176</v>
      </c>
      <c r="N51" s="9" t="n">
        <v>0.0</v>
      </c>
      <c r="O51" s="9" t="n">
        <v>0.0</v>
      </c>
      <c r="P51" s="9" t="n">
        <v>0.0</v>
      </c>
      <c r="Q51" s="9" t="n">
        <v>0.6282520294189453</v>
      </c>
      <c r="R51" s="9" t="n">
        <v>0.13533878326416016</v>
      </c>
      <c r="S51" s="9" t="n">
        <v>0.3531923294067383</v>
      </c>
      <c r="T51" s="9" t="n">
        <v>0.0</v>
      </c>
      <c r="U51">
        <f si="1" t="shared"/>
        <v>38.270354270935059</v>
      </c>
    </row>
    <row r="52" spans="1:21" x14ac:dyDescent="0.25">
      <c r="A52" s="12">
        <v>1.0208333333333333</v>
      </c>
      <c r="B52" s="6" t="n">
        <v>3.254557355739721E-4</v>
      </c>
      <c r="C52" s="6" t="n">
        <v>0.0</v>
      </c>
      <c r="D52" s="6" t="n">
        <v>0.0</v>
      </c>
      <c r="E52" s="6" t="n">
        <v>3.225592300009708E-4</v>
      </c>
      <c r="F52" s="6" t="n">
        <v>0.0</v>
      </c>
      <c r="G52" s="6" t="n">
        <v>0.0</v>
      </c>
      <c r="H52" s="6" t="n">
        <v>0.06876695917514661</v>
      </c>
      <c r="I52" s="6" t="n">
        <v>0.0</v>
      </c>
      <c r="J52" s="6">
        <f si="0" t="shared"/>
        <v>36.684894541399338</v>
      </c>
      <c r="L52" s="12">
        <v>1.0208333333333333</v>
      </c>
      <c r="M52" s="9" t="n">
        <v>1.2004528045654297</v>
      </c>
      <c r="N52" s="9" t="n">
        <v>0.0</v>
      </c>
      <c r="O52" s="9" t="n">
        <v>0.0</v>
      </c>
      <c r="P52" s="9" t="n">
        <v>0.0</v>
      </c>
      <c r="Q52" s="9" t="n">
        <v>0.19747066497802734</v>
      </c>
      <c r="R52" s="9" t="n">
        <v>0.037891387939453125</v>
      </c>
      <c r="S52" s="9" t="n">
        <v>0.09991264343261719</v>
      </c>
      <c r="T52" s="9" t="n">
        <v>0.0</v>
      </c>
      <c r="U52">
        <f si="1" t="shared"/>
        <v>13.690485954284668</v>
      </c>
    </row>
    <row r="53" spans="1:21" x14ac:dyDescent="0.25">
      <c r="A53" s="12">
        <v>4.1666666666666664E-2</v>
      </c>
      <c r="B53" s="6" t="n">
        <v>0.0</v>
      </c>
      <c r="C53" s="6" t="n">
        <v>0.0</v>
      </c>
      <c r="D53" s="6" t="n">
        <v>0.0</v>
      </c>
      <c r="E53" s="6" t="n">
        <v>1.6127961500048542E-5</v>
      </c>
      <c r="F53" s="6" t="n">
        <v>0.0</v>
      </c>
      <c r="G53" s="6" t="n">
        <v>0.0</v>
      </c>
      <c r="H53" s="6" t="n">
        <v>0.011461159862524436</v>
      </c>
      <c r="I53" s="6" t="n">
        <v>0.0</v>
      </c>
      <c r="J53" s="6">
        <f si="0" t="shared"/>
        <v>17.82729765970134</v>
      </c>
      <c r="L53" s="12">
        <v>4.1666666666666664E-2</v>
      </c>
      <c r="M53" s="9" t="n">
        <v>0.4343585968017578</v>
      </c>
      <c r="N53" s="9" t="n">
        <v>0.0</v>
      </c>
      <c r="O53" s="9" t="n">
        <v>0.0</v>
      </c>
      <c r="P53" s="9" t="n">
        <v>0.0</v>
      </c>
      <c r="Q53" s="9" t="n">
        <v>0.050513267517089844</v>
      </c>
      <c r="R53" s="9" t="n">
        <v>0.008115768432617188</v>
      </c>
      <c r="S53" s="9" t="n">
        <v>0.021701812744140625</v>
      </c>
      <c r="T53" s="9" t="n">
        <v>0.0</v>
      </c>
      <c r="U53">
        <f si="1" t="shared"/>
        <v>4.7857809066772461</v>
      </c>
    </row>
    <row r="54" spans="1:21" x14ac:dyDescent="0.25">
      <c r="A54" s="12">
        <v>6.25E-2</v>
      </c>
      <c r="B54" s="6" t="n">
        <v>0.0</v>
      </c>
      <c r="C54" s="6" t="n">
        <v>0.0</v>
      </c>
      <c r="D54" s="6" t="n">
        <v>0.0</v>
      </c>
      <c r="E54" s="6" t="n">
        <v>0.0</v>
      </c>
      <c r="F54" s="6" t="n">
        <v>0.0</v>
      </c>
      <c r="G54" s="6" t="n">
        <v>0.0</v>
      </c>
      <c r="H54" s="6" t="n">
        <v>0.0012064378802657298</v>
      </c>
      <c r="I54" s="6" t="n">
        <v>0.0</v>
      </c>
      <c r="J54" s="6">
        <f si="0" t="shared"/>
        <v>7.0043548934679656</v>
      </c>
      <c r="L54" s="12">
        <v>6.25E-2</v>
      </c>
      <c r="M54" s="9" t="n">
        <v>0.14532852172851562</v>
      </c>
      <c r="N54" s="9" t="n">
        <v>0.0</v>
      </c>
      <c r="O54" s="9" t="n">
        <v>0.0</v>
      </c>
      <c r="P54" s="9" t="n">
        <v>0.0</v>
      </c>
      <c r="Q54" s="9" t="n">
        <v>0.010339736938476562</v>
      </c>
      <c r="R54" s="9" t="n">
        <v>0.0012464523315429688</v>
      </c>
      <c r="S54" s="9" t="n">
        <v>0.0033903121948242188</v>
      </c>
      <c r="T54" s="9" t="n">
        <v>0.0</v>
      </c>
      <c r="U54">
        <f si="1" t="shared"/>
        <v>1.6949367523193359</v>
      </c>
    </row>
    <row r="55" spans="1:21" x14ac:dyDescent="0.25">
      <c r="A55" s="12">
        <v>8.3333333333333329E-2</v>
      </c>
      <c r="B55" s="6" t="n">
        <v>0.0</v>
      </c>
      <c r="C55" s="6" t="n">
        <v>0.0</v>
      </c>
      <c r="D55" s="6" t="n">
        <v>0.0</v>
      </c>
      <c r="E55" s="6" t="n">
        <v>0.0</v>
      </c>
      <c r="F55" s="6" t="n">
        <v>0.0</v>
      </c>
      <c r="G55" s="6" t="n">
        <v>0.0</v>
      </c>
      <c r="H55" s="6" t="n">
        <v>6.03218940132865E-5</v>
      </c>
      <c r="I55" s="6" t="n">
        <v>0.0</v>
      </c>
      <c r="J55" s="6">
        <f si="0" t="shared"/>
        <v>2.1651210492276771</v>
      </c>
      <c r="L55" s="12">
        <v>8.3333333333333329E-2</v>
      </c>
      <c r="M55" s="9" t="n">
        <v>0.04320526123046875</v>
      </c>
      <c r="N55" s="9" t="n">
        <v>0.0</v>
      </c>
      <c r="O55" s="9" t="n">
        <v>0.0</v>
      </c>
      <c r="P55" s="9" t="n">
        <v>0.0</v>
      </c>
      <c r="Q55" s="9" t="n">
        <v>0.0016717910766601562</v>
      </c>
      <c r="R55" s="9" t="n">
        <v>1.220703125E-4</v>
      </c>
      <c r="S55" s="9" t="n">
        <v>3.3855438232421875E-4</v>
      </c>
      <c r="T55" s="9" t="n">
        <v>0.0</v>
      </c>
      <c r="U55">
        <f si="1" t="shared"/>
        <v>0.57673931121826172</v>
      </c>
    </row>
    <row r="56" spans="1:21" x14ac:dyDescent="0.25">
      <c r="A56" s="12">
        <v>0.10416666666666667</v>
      </c>
      <c r="B56" s="6" t="n">
        <v>0.0</v>
      </c>
      <c r="C56" s="6" t="n">
        <v>0.0</v>
      </c>
      <c r="D56" s="6" t="n">
        <v>0.0</v>
      </c>
      <c r="E56" s="6" t="n">
        <v>0.0</v>
      </c>
      <c r="F56" s="6" t="n">
        <v>0.0</v>
      </c>
      <c r="G56" s="6" t="n">
        <v>0.0</v>
      </c>
      <c r="H56" s="6" t="n">
        <v>0.0</v>
      </c>
      <c r="I56" s="6" t="n">
        <v>0.0</v>
      </c>
      <c r="J56" s="6">
        <f si="0" t="shared"/>
        <v>0.50625367420450251</v>
      </c>
      <c r="L56" s="12">
        <v>0.10416666666666667</v>
      </c>
      <c r="M56" s="9" t="n">
        <v>0.010697364807128906</v>
      </c>
      <c r="N56" s="9" t="n">
        <v>0.0</v>
      </c>
      <c r="O56" s="9" t="n">
        <v>0.0</v>
      </c>
      <c r="P56" s="9" t="n">
        <v>0.0</v>
      </c>
      <c r="Q56" s="9" t="n">
        <v>2.09808349609375E-4</v>
      </c>
      <c r="R56" s="9" t="n">
        <v>5.7220458984375E-6</v>
      </c>
      <c r="S56" s="9" t="n">
        <v>1.621246337890625E-5</v>
      </c>
      <c r="T56" s="9" t="n">
        <v>0.0</v>
      </c>
      <c r="U56">
        <f si="1" t="shared"/>
        <v>0.16954898834228516</v>
      </c>
    </row>
    <row r="57" spans="1:21" x14ac:dyDescent="0.25">
      <c r="A57" s="12">
        <v>0.125</v>
      </c>
      <c r="B57" s="6" t="n">
        <v>0.0</v>
      </c>
      <c r="C57" s="6" t="n">
        <v>0.0</v>
      </c>
      <c r="D57" s="6" t="n">
        <v>0.0</v>
      </c>
      <c r="E57" s="6" t="n">
        <v>0.0</v>
      </c>
      <c r="F57" s="6" t="n">
        <v>0.0</v>
      </c>
      <c r="G57" s="6" t="n">
        <v>0.0</v>
      </c>
      <c r="H57" s="6" t="n">
        <v>0.0</v>
      </c>
      <c r="I57" s="6" t="n">
        <v>0.0</v>
      </c>
      <c r="J57" s="6">
        <f si="0" t="shared"/>
        <v>8.3661190571987842E-2</v>
      </c>
      <c r="L57" s="12">
        <v>0.125</v>
      </c>
      <c r="M57" s="9" t="n">
        <v>0.0020265579223632812</v>
      </c>
      <c r="N57" s="9" t="n">
        <v>0.0</v>
      </c>
      <c r="O57" s="9" t="n">
        <v>0.0</v>
      </c>
      <c r="P57" s="9" t="n">
        <v>0.0</v>
      </c>
      <c r="Q57" s="9" t="n">
        <v>1.9073486328125E-5</v>
      </c>
      <c r="R57" s="9" t="n">
        <v>0.0</v>
      </c>
      <c r="S57" s="9" t="n">
        <v>0.0</v>
      </c>
      <c r="T57" s="9" t="n">
        <v>0.0</v>
      </c>
      <c r="U57">
        <f si="1" t="shared"/>
        <v>3.8385391235351563E-2</v>
      </c>
    </row>
    <row ht="15.75" r="58" spans="1:21" thickBot="1" x14ac:dyDescent="0.3">
      <c r="A58" s="13" t="s">
        <v>6</v>
      </c>
      <c r="B58" s="7" t="n">
        <v>0.0</v>
      </c>
      <c r="C58" s="7" t="n">
        <v>0.0</v>
      </c>
      <c r="D58" s="7" t="n">
        <v>0.0</v>
      </c>
      <c r="E58" s="7" t="n">
        <v>0.0</v>
      </c>
      <c r="F58" s="7" t="n">
        <v>0.0</v>
      </c>
      <c r="G58" s="7" t="n">
        <v>0.0</v>
      </c>
      <c r="H58" s="7" t="n">
        <v>0.0</v>
      </c>
      <c r="I58" s="7" t="n">
        <v>0.0</v>
      </c>
      <c r="J58" s="7">
        <f si="0" t="shared"/>
        <v>0</v>
      </c>
      <c r="L58" s="13" t="s">
        <v>6</v>
      </c>
      <c r="M58" s="10" t="n">
        <v>0.0</v>
      </c>
      <c r="N58" s="10" t="n">
        <v>0.0</v>
      </c>
      <c r="O58" s="10" t="n">
        <v>0.0</v>
      </c>
      <c r="P58" s="10" t="n">
        <v>0.0</v>
      </c>
      <c r="Q58" s="10" t="n">
        <v>0.0</v>
      </c>
      <c r="R58" s="10" t="n">
        <v>0.0</v>
      </c>
      <c r="S58" s="10" t="n">
        <v>0.0</v>
      </c>
      <c r="T58" s="10" t="n">
        <v>0.0</v>
      </c>
      <c r="U58" s="1">
        <f si="1" t="shared"/>
        <v>0</v>
      </c>
    </row>
  </sheetData>
  <pageMargins bottom="0.75" footer="0.3" header="0.3" left="0.7" right="0.7" top="0.75"/>
  <pageSetup orientation="portrait" r:id="rId1"/>
  <drawing r:id="rId2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6"/>
  <dimension ref="A1:AA58"/>
  <sheetViews>
    <sheetView workbookViewId="0">
      <selection activeCell="A3" sqref="A3"/>
    </sheetView>
  </sheetViews>
  <sheetFormatPr defaultRowHeight="15" x14ac:dyDescent="0.25"/>
  <cols>
    <col min="1" max="1" customWidth="true" width="12.7109375" collapsed="true"/>
    <col min="2" max="10" customWidth="true" width="10.7109375" collapsed="true"/>
    <col min="11" max="11" customWidth="true" width="6.42578125" collapsed="true"/>
    <col min="12" max="12" customWidth="true" width="12.7109375" collapsed="true"/>
    <col min="13" max="21" customWidth="true" width="10.7109375" collapsed="true"/>
  </cols>
  <sheetData>
    <row r="1" spans="1:26" x14ac:dyDescent="0.25">
      <c r="A1" t="s">
        <v>29</v>
      </c>
    </row>
    <row r="2" spans="1:26" x14ac:dyDescent="0.25">
      <c r="A2" t="s">
        <v>59</v>
      </c>
    </row>
    <row r="3" spans="1:26" x14ac:dyDescent="0.25">
      <c r="A3" t="s">
        <v>7</v>
      </c>
    </row>
    <row r="4" spans="1:26" x14ac:dyDescent="0.25">
      <c r="A4" t="s">
        <v>8</v>
      </c>
    </row>
    <row r="5" spans="1:26" x14ac:dyDescent="0.25">
      <c r="W5" s="5"/>
      <c r="X5" s="5"/>
      <c r="Y5" s="5"/>
      <c r="Z5" s="5"/>
    </row>
    <row ht="15.75" r="6" spans="1:26" thickBot="1" x14ac:dyDescent="0.3">
      <c r="A6" s="3" t="s">
        <v>53</v>
      </c>
      <c r="B6" s="1"/>
      <c r="C6" s="1"/>
      <c r="D6" s="1"/>
      <c r="E6" s="1"/>
      <c r="F6" s="1"/>
      <c r="G6" s="1"/>
      <c r="H6" s="1"/>
      <c r="I6" s="1"/>
      <c r="J6" s="1"/>
      <c r="L6" s="3" t="s">
        <v>28</v>
      </c>
      <c r="M6" s="1"/>
      <c r="N6" s="1"/>
      <c r="O6" s="1"/>
      <c r="P6" s="1"/>
      <c r="Q6" s="1"/>
      <c r="R6" s="1"/>
      <c r="S6" s="1"/>
      <c r="T6" s="1"/>
      <c r="U6" s="1"/>
      <c r="W6" s="11"/>
      <c r="X6" s="5"/>
      <c r="Y6" s="5"/>
      <c r="Z6" s="5"/>
    </row>
    <row r="7" spans="1:26" x14ac:dyDescent="0.25">
      <c r="A7" s="2" t="s">
        <v>4</v>
      </c>
      <c r="B7" s="4" t="s">
        <v>17</v>
      </c>
      <c r="C7" s="4" t="s">
        <v>18</v>
      </c>
      <c r="D7" s="4" t="s">
        <v>19</v>
      </c>
      <c r="E7" s="4" t="s">
        <v>20</v>
      </c>
      <c r="F7" s="4" t="s">
        <v>21</v>
      </c>
      <c r="G7" s="4" t="s">
        <v>24</v>
      </c>
      <c r="H7" s="4" t="s">
        <v>22</v>
      </c>
      <c r="I7" s="4" t="s">
        <v>23</v>
      </c>
      <c r="J7" s="4" t="s">
        <v>0</v>
      </c>
      <c r="L7" s="2" t="s">
        <v>4</v>
      </c>
      <c r="M7" s="4" t="s">
        <v>17</v>
      </c>
      <c r="N7" s="4" t="s">
        <v>18</v>
      </c>
      <c r="O7" s="4" t="s">
        <v>19</v>
      </c>
      <c r="P7" s="4" t="s">
        <v>20</v>
      </c>
      <c r="Q7" s="4" t="s">
        <v>21</v>
      </c>
      <c r="R7" s="4" t="s">
        <v>24</v>
      </c>
      <c r="S7" s="4" t="s">
        <v>22</v>
      </c>
      <c r="T7" s="4" t="s">
        <v>23</v>
      </c>
      <c r="U7" s="4" t="s">
        <v>0</v>
      </c>
      <c r="W7" s="5"/>
      <c r="X7" s="14"/>
      <c r="Y7" s="14"/>
      <c r="Z7" s="5"/>
    </row>
    <row r="8" spans="1:26" x14ac:dyDescent="0.25">
      <c r="A8" t="s">
        <v>5</v>
      </c>
      <c r="B8" s="6" t="n">
        <v>599.8669071110935</v>
      </c>
      <c r="C8" s="6" t="n">
        <v>0.0</v>
      </c>
      <c r="D8" s="6" t="n">
        <v>0.0</v>
      </c>
      <c r="E8" s="6" t="n">
        <v>203.31337039770568</v>
      </c>
      <c r="F8" s="6" t="n">
        <v>200.3335767904445</v>
      </c>
      <c r="G8" s="6" t="n">
        <v>0.0</v>
      </c>
      <c r="H8" s="6" t="n">
        <v>0.0</v>
      </c>
      <c r="I8" s="6" t="n">
        <v>0.0</v>
      </c>
      <c r="J8" s="6">
        <f>SUM(B8:I8)</f>
        <v>1835.0248544454512</v>
      </c>
      <c r="L8" t="s">
        <v>5</v>
      </c>
      <c r="M8" s="9" t="n">
        <v>103.0</v>
      </c>
      <c r="N8" s="9" t="n">
        <v>19.0</v>
      </c>
      <c r="O8" s="9" t="n">
        <v>7.0</v>
      </c>
      <c r="P8" s="9" t="n">
        <v>16.0</v>
      </c>
      <c r="Q8" s="9" t="n">
        <v>15.0</v>
      </c>
      <c r="R8" s="9" t="n">
        <v>13.0</v>
      </c>
      <c r="S8" s="9" t="n">
        <v>17.0</v>
      </c>
      <c r="T8" s="9" t="n">
        <v>0.0</v>
      </c>
      <c r="U8">
        <f>SUM(M8:T8)</f>
        <v>3085</v>
      </c>
      <c r="W8" s="5"/>
      <c r="X8" s="16"/>
      <c r="Y8" s="16"/>
      <c r="Z8" s="5"/>
    </row>
    <row r="9" spans="1:26" x14ac:dyDescent="0.25">
      <c r="A9" s="12">
        <v>0.125</v>
      </c>
      <c r="B9" s="6" t="n">
        <v>451.2502584712514</v>
      </c>
      <c r="C9" s="6" t="n">
        <v>7.865949361190859</v>
      </c>
      <c r="D9" s="6" t="n">
        <v>22.161480154947075</v>
      </c>
      <c r="E9" s="6" t="n">
        <v>164.3079049205743</v>
      </c>
      <c r="F9" s="6" t="n">
        <v>137.21735367549906</v>
      </c>
      <c r="G9" s="6" t="n">
        <v>0.037747172518580056</v>
      </c>
      <c r="H9" s="6" t="n">
        <v>3.1857906738936412</v>
      </c>
      <c r="I9" s="6" t="n">
        <v>0.0</v>
      </c>
      <c r="J9" s="6">
        <f ref="J9:J58" si="0" t="shared">SUM(B9:I9)</f>
        <v>2091.0892951519404</v>
      </c>
      <c r="L9" s="12">
        <v>0.125</v>
      </c>
      <c r="M9" s="9" t="n">
        <v>257.4767999649048</v>
      </c>
      <c r="N9" s="9" t="n">
        <v>42.12106418609619</v>
      </c>
      <c r="O9" s="9" t="n">
        <v>65.39033031463623</v>
      </c>
      <c r="P9" s="9" t="n">
        <v>73.5176134109497</v>
      </c>
      <c r="Q9" s="9" t="n">
        <v>13.489051818847656</v>
      </c>
      <c r="R9" s="9" t="n">
        <v>12.547009468078613</v>
      </c>
      <c r="S9" s="9" t="n">
        <v>32.5084867477417</v>
      </c>
      <c r="T9" s="9" t="n">
        <v>0.0</v>
      </c>
      <c r="U9">
        <f ref="U9:U58" si="1" t="shared">SUM(M9:T9)</f>
        <v>3393.9071035385132</v>
      </c>
      <c r="W9" s="5"/>
      <c r="X9" s="16"/>
      <c r="Y9" s="16"/>
      <c r="Z9" s="5"/>
    </row>
    <row r="10" spans="1:26" x14ac:dyDescent="0.25">
      <c r="A10" s="12">
        <v>0.14583333333333334</v>
      </c>
      <c r="B10" s="6" t="n">
        <v>372.79475938146174</v>
      </c>
      <c r="C10" s="6" t="n">
        <v>19.149072580905944</v>
      </c>
      <c r="D10" s="6" t="n">
        <v>64.1579486553232</v>
      </c>
      <c r="E10" s="6" t="n">
        <v>158.15435519312743</v>
      </c>
      <c r="F10" s="6" t="n">
        <v>84.8889585521685</v>
      </c>
      <c r="G10" s="6" t="n">
        <v>0.25466863306589105</v>
      </c>
      <c r="H10" s="6" t="n">
        <v>11.649501870789269</v>
      </c>
      <c r="I10" s="6" t="n">
        <v>0.0</v>
      </c>
      <c r="J10" s="6">
        <f si="0" t="shared"/>
        <v>2632.2960572251604</v>
      </c>
      <c r="L10" s="12">
        <v>0.14583333333333334</v>
      </c>
      <c r="M10" s="9" t="n">
        <v>413.6897954940796</v>
      </c>
      <c r="N10" s="9" t="n">
        <v>68.10530471801758</v>
      </c>
      <c r="O10" s="9" t="n">
        <v>132.30918884277344</v>
      </c>
      <c r="P10" s="9" t="n">
        <v>139.2746057510376</v>
      </c>
      <c r="Q10" s="9" t="n">
        <v>13.7510347366333</v>
      </c>
      <c r="R10" s="9" t="n">
        <v>13.149087905883789</v>
      </c>
      <c r="S10" s="9" t="n">
        <v>48.81429958343506</v>
      </c>
      <c r="T10" s="9" t="n">
        <v>0.0</v>
      </c>
      <c r="U10">
        <f si="1" t="shared"/>
        <v>3724.0996026992798</v>
      </c>
      <c r="W10" s="5"/>
      <c r="X10" s="16"/>
      <c r="Y10" s="16"/>
      <c r="Z10" s="5"/>
    </row>
    <row r="11" spans="1:26" x14ac:dyDescent="0.25">
      <c r="A11" s="12">
        <v>0.16666666666666666</v>
      </c>
      <c r="B11" s="6" t="n">
        <v>431.70103631598727</v>
      </c>
      <c r="C11" s="6" t="n">
        <v>43.20395290703526</v>
      </c>
      <c r="D11" s="6" t="n">
        <v>149.29060350880735</v>
      </c>
      <c r="E11" s="6" t="n">
        <v>223.54602981854964</v>
      </c>
      <c r="F11" s="6" t="n">
        <v>51.83117819679388</v>
      </c>
      <c r="G11" s="6" t="n">
        <v>1.211704606645635</v>
      </c>
      <c r="H11" s="6" t="n">
        <v>33.6493216129516</v>
      </c>
      <c r="I11" s="6" t="n">
        <v>0.0</v>
      </c>
      <c r="J11" s="6">
        <f si="0" t="shared"/>
        <v>3672.6359236084172</v>
      </c>
      <c r="L11" s="12">
        <v>0.16666666666666666</v>
      </c>
      <c r="M11" s="9" t="n">
        <v>608.4154748916626</v>
      </c>
      <c r="N11" s="9" t="n">
        <v>106.75345516204834</v>
      </c>
      <c r="O11" s="9" t="n">
        <v>234.91764545440674</v>
      </c>
      <c r="P11" s="9" t="n">
        <v>239.9600076675415</v>
      </c>
      <c r="Q11" s="9" t="n">
        <v>18.326577186584473</v>
      </c>
      <c r="R11" s="9" t="n">
        <v>16.421483993530273</v>
      </c>
      <c r="S11" s="9" t="n">
        <v>72.39635467529297</v>
      </c>
      <c r="T11" s="9" t="n">
        <v>0.0</v>
      </c>
      <c r="U11">
        <f si="1" t="shared"/>
        <v>4217.1666240692139</v>
      </c>
      <c r="W11" s="5"/>
      <c r="X11" s="16"/>
      <c r="Y11" s="16"/>
      <c r="Z11" s="5"/>
    </row>
    <row r="12" spans="1:26" x14ac:dyDescent="0.25">
      <c r="A12" s="12">
        <v>0.1875</v>
      </c>
      <c r="B12" s="6" t="n">
        <v>691.79196957499</v>
      </c>
      <c r="C12" s="6" t="n">
        <v>102.61344351091068</v>
      </c>
      <c r="D12" s="6" t="n">
        <v>302.8221548648087</v>
      </c>
      <c r="E12" s="6" t="n">
        <v>417.495813369553</v>
      </c>
      <c r="F12" s="6" t="n">
        <v>45.117654336828394</v>
      </c>
      <c r="G12" s="6" t="n">
        <v>4.343161239282185</v>
      </c>
      <c r="H12" s="6" t="n">
        <v>81.8377026491318</v>
      </c>
      <c r="I12" s="6" t="n">
        <v>0.0</v>
      </c>
      <c r="J12" s="6">
        <f si="0" t="shared"/>
        <v>5346.4943136813599</v>
      </c>
      <c r="L12" s="12">
        <v>0.1875</v>
      </c>
      <c r="M12" s="9" t="n">
        <v>922.5309000015259</v>
      </c>
      <c r="N12" s="9" t="n">
        <v>178.20937538146973</v>
      </c>
      <c r="O12" s="9" t="n">
        <v>429.28282928466797</v>
      </c>
      <c r="P12" s="9" t="n">
        <v>431.1320810317993</v>
      </c>
      <c r="Q12" s="9" t="n">
        <v>31.150814056396484</v>
      </c>
      <c r="R12" s="9" t="n">
        <v>24.89457416534424</v>
      </c>
      <c r="S12" s="9" t="n">
        <v>117.32089233398438</v>
      </c>
      <c r="T12" s="9" t="n">
        <v>0.0</v>
      </c>
      <c r="U12">
        <f si="1" t="shared"/>
        <v>5208.0075550079346</v>
      </c>
      <c r="W12" s="5"/>
      <c r="X12" s="5"/>
      <c r="Y12" s="5"/>
      <c r="Z12" s="5"/>
    </row>
    <row r="13" spans="1:26" x14ac:dyDescent="0.25">
      <c r="A13" s="12">
        <v>0.20833333333333334</v>
      </c>
      <c r="B13" s="6" t="n">
        <v>1209.6304054853006</v>
      </c>
      <c r="C13" s="6" t="n">
        <v>237.31824101635405</v>
      </c>
      <c r="D13" s="6" t="n">
        <v>544.6996608005899</v>
      </c>
      <c r="E13" s="6" t="n">
        <v>825.5519877705506</v>
      </c>
      <c r="F13" s="6" t="n">
        <v>72.86872238905131</v>
      </c>
      <c r="G13" s="6" t="n">
        <v>12.177404842584561</v>
      </c>
      <c r="H13" s="6" t="n">
        <v>170.93756696593567</v>
      </c>
      <c r="I13" s="6" t="n">
        <v>0.0</v>
      </c>
      <c r="J13" s="6">
        <f si="0" t="shared"/>
        <v>7810.5297760027088</v>
      </c>
      <c r="L13" s="12">
        <v>0.20833333333333334</v>
      </c>
      <c r="M13" s="9" t="n">
        <v>1451.8029479980469</v>
      </c>
      <c r="N13" s="9" t="n">
        <v>309.729642868042</v>
      </c>
      <c r="O13" s="9" t="n">
        <v>794.6152477264404</v>
      </c>
      <c r="P13" s="9" t="n">
        <v>791.7439365386963</v>
      </c>
      <c r="Q13" s="9" t="n">
        <v>57.52110004425049</v>
      </c>
      <c r="R13" s="9" t="n">
        <v>41.81575870513916</v>
      </c>
      <c r="S13" s="9" t="n">
        <v>201.68728160858154</v>
      </c>
      <c r="T13" s="9" t="n">
        <v>0.0</v>
      </c>
      <c r="U13">
        <f si="1" t="shared"/>
        <v>7208.9478826522827</v>
      </c>
    </row>
    <row r="14" spans="1:26" x14ac:dyDescent="0.25">
      <c r="A14" s="12">
        <v>0.22916666666666666</v>
      </c>
      <c r="B14" s="6" t="n">
        <v>2013.4825948630587</v>
      </c>
      <c r="C14" s="6" t="n">
        <v>494.6394351209939</v>
      </c>
      <c r="D14" s="6" t="n">
        <v>882.8308176539033</v>
      </c>
      <c r="E14" s="6" t="n">
        <v>1543.6810580974936</v>
      </c>
      <c r="F14" s="6" t="n">
        <v>142.6642127909923</v>
      </c>
      <c r="G14" s="6" t="n">
        <v>27.370813672321347</v>
      </c>
      <c r="H14" s="6" t="n">
        <v>309.4964880104666</v>
      </c>
      <c r="I14" s="6" t="n">
        <v>0.0</v>
      </c>
      <c r="J14" s="6">
        <f si="0" t="shared"/>
        <v>11400.213062718152</v>
      </c>
      <c r="L14" s="12">
        <v>0.22916666666666666</v>
      </c>
      <c r="M14" s="9" t="n">
        <v>2250.37889957428</v>
      </c>
      <c r="N14" s="9" t="n">
        <v>524.9074659347534</v>
      </c>
      <c r="O14" s="9" t="n">
        <v>1407.684416770935</v>
      </c>
      <c r="P14" s="9" t="n">
        <v>1398.4240198135376</v>
      </c>
      <c r="Q14" s="9" t="n">
        <v>102.78253173828125</v>
      </c>
      <c r="R14" s="9" t="n">
        <v>70.12813377380371</v>
      </c>
      <c r="S14" s="9" t="n">
        <v>339.7875061035156</v>
      </c>
      <c r="T14" s="9" t="n">
        <v>0.0</v>
      </c>
      <c r="U14">
        <f si="1" t="shared"/>
        <v>10781.543617248535</v>
      </c>
    </row>
    <row r="15" spans="1:26" x14ac:dyDescent="0.25">
      <c r="A15" s="12">
        <v>0.25</v>
      </c>
      <c r="B15" s="6" t="n">
        <v>3059.708144387153</v>
      </c>
      <c r="C15" s="6" t="n">
        <v>898.3124312239255</v>
      </c>
      <c r="D15" s="6" t="n">
        <v>1317.373196546549</v>
      </c>
      <c r="E15" s="6" t="n">
        <v>2614.650410645143</v>
      </c>
      <c r="F15" s="6" t="n">
        <v>253.30566673944995</v>
      </c>
      <c r="G15" s="6" t="n">
        <v>50.132881419647056</v>
      </c>
      <c r="H15" s="6" t="n">
        <v>487.02178434733526</v>
      </c>
      <c r="I15" s="6" t="n">
        <v>0.0</v>
      </c>
      <c r="J15" s="6">
        <f si="0" t="shared"/>
        <v>16639.993247633251</v>
      </c>
      <c r="L15" s="12">
        <v>0.25</v>
      </c>
      <c r="M15" s="9" t="n">
        <v>3279.1387901306152</v>
      </c>
      <c r="N15" s="9" t="n">
        <v>828.8824310302734</v>
      </c>
      <c r="O15" s="9" t="n">
        <v>2302.6109075546265</v>
      </c>
      <c r="P15" s="9" t="n">
        <v>2284.69655418396</v>
      </c>
      <c r="Q15" s="9" t="n">
        <v>169.7427453994751</v>
      </c>
      <c r="R15" s="9" t="n">
        <v>110.84946918487549</v>
      </c>
      <c r="S15" s="9" t="n">
        <v>533.4877672195435</v>
      </c>
      <c r="T15" s="9" t="n">
        <v>0.0</v>
      </c>
      <c r="U15">
        <f si="1" t="shared"/>
        <v>16308.607878684998</v>
      </c>
    </row>
    <row r="16" spans="1:26" x14ac:dyDescent="0.25">
      <c r="A16" s="12">
        <v>0.27083333333333331</v>
      </c>
      <c r="B16" s="6" t="n">
        <v>4192.367602485325</v>
      </c>
      <c r="C16" s="6" t="n">
        <v>1410.6994082412607</v>
      </c>
      <c r="D16" s="6" t="n">
        <v>1858.2516940297005</v>
      </c>
      <c r="E16" s="6" t="n">
        <v>3949.672037030154</v>
      </c>
      <c r="F16" s="6" t="n">
        <v>386.1856072899261</v>
      </c>
      <c r="G16" s="6" t="n">
        <v>75.6461524113929</v>
      </c>
      <c r="H16" s="6" t="n">
        <v>665.7348066198999</v>
      </c>
      <c r="I16" s="6" t="n">
        <v>0.0</v>
      </c>
      <c r="J16" s="6">
        <f si="0" t="shared"/>
        <v>23926.799298981667</v>
      </c>
      <c r="L16" s="12">
        <v>0.27083333333333331</v>
      </c>
      <c r="M16" s="9" t="n">
        <v>4394.603672981262</v>
      </c>
      <c r="N16" s="9" t="n">
        <v>1197.5122365951538</v>
      </c>
      <c r="O16" s="9" t="n">
        <v>3433.292187690735</v>
      </c>
      <c r="P16" s="9" t="n">
        <v>3403.5018434524536</v>
      </c>
      <c r="Q16" s="9" t="n">
        <v>255.91596221923828</v>
      </c>
      <c r="R16" s="9" t="n">
        <v>161.68835639953613</v>
      </c>
      <c r="S16" s="9" t="n">
        <v>767.3920679092407</v>
      </c>
      <c r="T16" s="9" t="n">
        <v>0.0</v>
      </c>
      <c r="U16">
        <f si="1" t="shared"/>
        <v>23733.915848731995</v>
      </c>
    </row>
    <row r="17" spans="1:21" x14ac:dyDescent="0.25">
      <c r="A17" s="12">
        <v>0.29166666666666669</v>
      </c>
      <c r="B17" s="6" t="n">
        <v>5160.3712232579455</v>
      </c>
      <c r="C17" s="6" t="n">
        <v>1924.1460993072865</v>
      </c>
      <c r="D17" s="6" t="n">
        <v>2538.5969863496607</v>
      </c>
      <c r="E17" s="6" t="n">
        <v>5311.855415620556</v>
      </c>
      <c r="F17" s="6" t="n">
        <v>507.3220314825603</v>
      </c>
      <c r="G17" s="6" t="n">
        <v>94.69752086068095</v>
      </c>
      <c r="H17" s="6" t="n">
        <v>790.7255985634362</v>
      </c>
      <c r="I17" s="6" t="n">
        <v>0.0</v>
      </c>
      <c r="J17" s="6">
        <f si="0" t="shared"/>
        <v>33004.862324827409</v>
      </c>
      <c r="L17" s="12">
        <v>0.29166666666666669</v>
      </c>
      <c r="M17" s="9" t="n">
        <v>5393.599068641663</v>
      </c>
      <c r="N17" s="9" t="n">
        <v>1579.0338230133057</v>
      </c>
      <c r="O17" s="9" t="n">
        <v>4663.798274040222</v>
      </c>
      <c r="P17" s="9" t="n">
        <v>4619.302352905273</v>
      </c>
      <c r="Q17" s="9" t="n">
        <v>352.4632577896118</v>
      </c>
      <c r="R17" s="9" t="n">
        <v>216.94179153442383</v>
      </c>
      <c r="S17" s="9" t="n">
        <v>1011.4325113296509</v>
      </c>
      <c r="T17" s="9" t="n">
        <v>0.0</v>
      </c>
      <c r="U17">
        <f si="1" t="shared"/>
        <v>32401.899385452271</v>
      </c>
    </row>
    <row r="18" spans="1:21" x14ac:dyDescent="0.25">
      <c r="A18" s="12">
        <v>0.3125</v>
      </c>
      <c r="B18" s="6" t="n">
        <v>5721.372994694285</v>
      </c>
      <c r="C18" s="6" t="n">
        <v>2306.8629948096764</v>
      </c>
      <c r="D18" s="6" t="n">
        <v>3399.0082108505267</v>
      </c>
      <c r="E18" s="6" t="n">
        <v>6411.741996710362</v>
      </c>
      <c r="F18" s="6" t="n">
        <v>583.4887547202329</v>
      </c>
      <c r="G18" s="6" t="n">
        <v>98.86307773088599</v>
      </c>
      <c r="H18" s="6" t="n">
        <v>821.1193904407896</v>
      </c>
      <c r="I18" s="6" t="n">
        <v>0.0</v>
      </c>
      <c r="J18" s="6">
        <f si="0" t="shared"/>
        <v>42688.960668249783</v>
      </c>
      <c r="L18" s="12">
        <v>0.3125</v>
      </c>
      <c r="M18" s="9" t="n">
        <v>6095.6014766693115</v>
      </c>
      <c r="N18" s="9" t="n">
        <v>1911.1598491668701</v>
      </c>
      <c r="O18" s="9" t="n">
        <v>5805.629041671753</v>
      </c>
      <c r="P18" s="9" t="n">
        <v>5747.438695907593</v>
      </c>
      <c r="Q18" s="9" t="n">
        <v>446.3736267089844</v>
      </c>
      <c r="R18" s="9" t="n">
        <v>269.2077102661133</v>
      </c>
      <c r="S18" s="9" t="n">
        <v>1231.269076347351</v>
      </c>
      <c r="T18" s="9" t="n">
        <v>0.0</v>
      </c>
      <c r="U18">
        <f si="1" t="shared"/>
        <v>41154.73961353302</v>
      </c>
    </row>
    <row r="19" spans="1:21" x14ac:dyDescent="0.25">
      <c r="A19" s="12">
        <v>0.33333333333333331</v>
      </c>
      <c r="B19" s="6" t="n">
        <v>5778.219742975383</v>
      </c>
      <c r="C19" s="6" t="n">
        <v>2480.16382359274</v>
      </c>
      <c r="D19" s="6" t="n">
        <v>4443.3441834678215</v>
      </c>
      <c r="E19" s="6" t="n">
        <v>7064.5103997410515</v>
      </c>
      <c r="F19" s="6" t="n">
        <v>601.7511243347928</v>
      </c>
      <c r="G19" s="6" t="n">
        <v>86.85362609163043</v>
      </c>
      <c r="H19" s="6" t="n">
        <v>761.5149603961172</v>
      </c>
      <c r="I19" s="6" t="n">
        <v>0.0</v>
      </c>
      <c r="J19" s="6">
        <f si="0" t="shared"/>
        <v>51243.382529099261</v>
      </c>
      <c r="L19" s="12">
        <v>0.33333333333333331</v>
      </c>
      <c r="M19" s="9" t="n">
        <v>6419.617790222168</v>
      </c>
      <c r="N19" s="9" t="n">
        <v>2146.70001411438</v>
      </c>
      <c r="O19" s="9" t="n">
        <v>6693.514235496521</v>
      </c>
      <c r="P19" s="9" t="n">
        <v>6629.550356864929</v>
      </c>
      <c r="Q19" s="9" t="n">
        <v>525.6135292053223</v>
      </c>
      <c r="R19" s="9" t="n">
        <v>312.331223487854</v>
      </c>
      <c r="S19" s="9" t="n">
        <v>1402.101951599121</v>
      </c>
      <c r="T19" s="9" t="n">
        <v>0.0</v>
      </c>
      <c r="U19">
        <f si="1" t="shared"/>
        <v>48739.2524766922</v>
      </c>
    </row>
    <row r="20" spans="1:21" x14ac:dyDescent="0.25">
      <c r="A20" s="12">
        <v>0.35416666666666669</v>
      </c>
      <c r="B20" s="6" t="n">
        <v>5438.084851681888</v>
      </c>
      <c r="C20" s="6" t="n">
        <v>2465.689183146868</v>
      </c>
      <c r="D20" s="6" t="n">
        <v>5603.980134965547</v>
      </c>
      <c r="E20" s="6" t="n">
        <v>7284.222614817667</v>
      </c>
      <c r="F20" s="6" t="n">
        <v>576.796237536623</v>
      </c>
      <c r="G20" s="6" t="n">
        <v>66.41363999124313</v>
      </c>
      <c r="H20" s="6" t="n">
        <v>663.6532145763967</v>
      </c>
      <c r="I20" s="6" t="n">
        <v>0.0</v>
      </c>
      <c r="J20" s="6">
        <f si="0" t="shared"/>
        <v>57276.494419497525</v>
      </c>
      <c r="L20" s="12">
        <v>0.35416666666666669</v>
      </c>
      <c r="M20" s="9" t="n">
        <v>6411.682389259338</v>
      </c>
      <c r="N20" s="9" t="n">
        <v>2272.8522272109985</v>
      </c>
      <c r="O20" s="9" t="n">
        <v>7256.450483322144</v>
      </c>
      <c r="P20" s="9" t="n">
        <v>7200.789342880249</v>
      </c>
      <c r="Q20" s="9" t="n">
        <v>584.3753318786621</v>
      </c>
      <c r="R20" s="9" t="n">
        <v>343.9134178161621</v>
      </c>
      <c r="S20" s="9" t="n">
        <v>1517.9386510849</v>
      </c>
      <c r="T20" s="9" t="n">
        <v>0.0</v>
      </c>
      <c r="U20">
        <f si="1" t="shared"/>
        <v>54334.509682655334</v>
      </c>
    </row>
    <row r="21" spans="1:21" x14ac:dyDescent="0.25">
      <c r="A21" s="12">
        <v>0.375</v>
      </c>
      <c r="B21" s="6" t="n">
        <v>4938.9737534992455</v>
      </c>
      <c r="C21" s="6" t="n">
        <v>2363.266947756486</v>
      </c>
      <c r="D21" s="6" t="n">
        <v>6750.654142072301</v>
      </c>
      <c r="E21" s="6" t="n">
        <v>7236.089636801664</v>
      </c>
      <c r="F21" s="6" t="n">
        <v>540.7080209026192</v>
      </c>
      <c r="G21" s="6" t="n">
        <v>49.84842941702111</v>
      </c>
      <c r="H21" s="6" t="n">
        <v>591.3162518825648</v>
      </c>
      <c r="I21" s="6" t="n">
        <v>0.0</v>
      </c>
      <c r="J21" s="6">
        <f si="0" t="shared"/>
        <v>60464.228765177228</v>
      </c>
      <c r="L21" s="12">
        <v>0.375</v>
      </c>
      <c r="M21" s="9" t="n">
        <v>6206.443620681763</v>
      </c>
      <c r="N21" s="9" t="n">
        <v>2311.1495304107666</v>
      </c>
      <c r="O21" s="9" t="n">
        <v>7532.698409080505</v>
      </c>
      <c r="P21" s="9" t="n">
        <v>7500.502774238586</v>
      </c>
      <c r="Q21" s="9" t="n">
        <v>624.5651597976685</v>
      </c>
      <c r="R21" s="9" t="n">
        <v>365.6626262664795</v>
      </c>
      <c r="S21" s="9" t="n">
        <v>1589.962568283081</v>
      </c>
      <c r="T21" s="9" t="n">
        <v>0.0</v>
      </c>
      <c r="U21">
        <f si="1" t="shared"/>
        <v>57840.896158218384</v>
      </c>
    </row>
    <row r="22" spans="1:21" x14ac:dyDescent="0.25">
      <c r="A22" s="12">
        <v>0.39583333333333331</v>
      </c>
      <c r="B22" s="6" t="n">
        <v>4506.260737904953</v>
      </c>
      <c r="C22" s="6" t="n">
        <v>2281.789645661409</v>
      </c>
      <c r="D22" s="6" t="n">
        <v>7729.641778089785</v>
      </c>
      <c r="E22" s="6" t="n">
        <v>7095.252321486503</v>
      </c>
      <c r="F22" s="6" t="n">
        <v>524.0735530781915</v>
      </c>
      <c r="G22" s="6" t="n">
        <v>46.843946814803985</v>
      </c>
      <c r="H22" s="6" t="n">
        <v>576.4632567458544</v>
      </c>
      <c r="I22" s="6" t="n">
        <v>0.0</v>
      </c>
      <c r="J22" s="6">
        <f si="0" t="shared"/>
        <v>61511.945323140098</v>
      </c>
      <c r="L22" s="12">
        <v>0.39583333333333331</v>
      </c>
      <c r="M22" s="9" t="n">
        <v>5949.35479927063</v>
      </c>
      <c r="N22" s="9" t="n">
        <v>2298.8163805007935</v>
      </c>
      <c r="O22" s="9" t="n">
        <v>7618.837857246399</v>
      </c>
      <c r="P22" s="9" t="n">
        <v>7620.633723258972</v>
      </c>
      <c r="Q22" s="9" t="n">
        <v>652.3859090805054</v>
      </c>
      <c r="R22" s="9" t="n">
        <v>381.3819999694824</v>
      </c>
      <c r="S22" s="9" t="n">
        <v>1635.5569105148315</v>
      </c>
      <c r="T22" s="9" t="n">
        <v>0.0</v>
      </c>
      <c r="U22">
        <f si="1" t="shared"/>
        <v>59724.281320571899</v>
      </c>
    </row>
    <row r="23" spans="1:21" x14ac:dyDescent="0.25">
      <c r="A23" s="12">
        <v>0.41666666666666669</v>
      </c>
      <c r="B23" s="6" t="n">
        <v>4253.626025347439</v>
      </c>
      <c r="C23" s="6" t="n">
        <v>2278.627491263179</v>
      </c>
      <c r="D23" s="6" t="n">
        <v>8396.73256534864</v>
      </c>
      <c r="E23" s="6" t="n">
        <v>6938.495523492835</v>
      </c>
      <c r="F23" s="6" t="n">
        <v>541.7571132681795</v>
      </c>
      <c r="G23" s="6" t="n">
        <v>59.62010218050871</v>
      </c>
      <c r="H23" s="6" t="n">
        <v>603.251212268633</v>
      </c>
      <c r="I23" s="6" t="n">
        <v>0.0</v>
      </c>
      <c r="J23" s="6">
        <f si="0" t="shared"/>
        <v>61470.241766086612</v>
      </c>
      <c r="L23" s="12">
        <v>0.41666666666666669</v>
      </c>
      <c r="M23" s="9" t="n">
        <v>5734.162069320679</v>
      </c>
      <c r="N23" s="9" t="n">
        <v>2267.4652881622314</v>
      </c>
      <c r="O23" s="9" t="n">
        <v>7601.348502159119</v>
      </c>
      <c r="P23" s="9" t="n">
        <v>7641.428472518921</v>
      </c>
      <c r="Q23" s="9" t="n">
        <v>673.4557332992554</v>
      </c>
      <c r="R23" s="9" t="n">
        <v>394.38172912597656</v>
      </c>
      <c r="S23" s="9" t="n">
        <v>1667.640079498291</v>
      </c>
      <c r="T23" s="9" t="n">
        <v>0.0</v>
      </c>
      <c r="U23">
        <f si="1" t="shared"/>
        <v>60597.704939842224</v>
      </c>
    </row>
    <row r="24" spans="1:21" x14ac:dyDescent="0.25">
      <c r="A24" s="12">
        <v>0.4375</v>
      </c>
      <c r="B24" s="6" t="n">
        <v>4182.139008331305</v>
      </c>
      <c r="C24" s="6" t="n">
        <v>2342.517514237081</v>
      </c>
      <c r="D24" s="6" t="n">
        <v>8642.695049846741</v>
      </c>
      <c r="E24" s="6" t="n">
        <v>6749.570606610224</v>
      </c>
      <c r="F24" s="6" t="n">
        <v>590.06868399185</v>
      </c>
      <c r="G24" s="6" t="n">
        <v>82.52082582974566</v>
      </c>
      <c r="H24" s="6" t="n">
        <v>630.3654957604481</v>
      </c>
      <c r="I24" s="6" t="n">
        <v>0.0</v>
      </c>
      <c r="J24" s="6">
        <f si="0" t="shared"/>
        <v>61067.652578306079</v>
      </c>
      <c r="L24" s="12">
        <v>0.4375</v>
      </c>
      <c r="M24" s="9" t="n">
        <v>5594.6986627578735</v>
      </c>
      <c r="N24" s="9" t="n">
        <v>2235.630440711975</v>
      </c>
      <c r="O24" s="9" t="n">
        <v>7529.692363739014</v>
      </c>
      <c r="P24" s="9" t="n">
        <v>7610.527493476868</v>
      </c>
      <c r="Q24" s="9" t="n">
        <v>691.1537055969238</v>
      </c>
      <c r="R24" s="9" t="n">
        <v>406.4914798736572</v>
      </c>
      <c r="S24" s="9" t="n">
        <v>1693.0774059295654</v>
      </c>
      <c r="T24" s="9" t="n">
        <v>0.0</v>
      </c>
      <c r="U24">
        <f si="1" t="shared"/>
        <v>60921.512150764465</v>
      </c>
    </row>
    <row r="25" spans="1:21" x14ac:dyDescent="0.25">
      <c r="A25" s="12">
        <v>0.45833333333333331</v>
      </c>
      <c r="B25" s="6" t="n">
        <v>4240.421006151976</v>
      </c>
      <c r="C25" s="6" t="n">
        <v>2418.391573068946</v>
      </c>
      <c r="D25" s="6" t="n">
        <v>8437.73999242402</v>
      </c>
      <c r="E25" s="6" t="n">
        <v>6507.497392157983</v>
      </c>
      <c r="F25" s="6" t="n">
        <v>653.2425618367847</v>
      </c>
      <c r="G25" s="6" t="n">
        <v>105.43683382578038</v>
      </c>
      <c r="H25" s="6" t="n">
        <v>629.7729500353862</v>
      </c>
      <c r="I25" s="6" t="n">
        <v>0.0</v>
      </c>
      <c r="J25" s="6">
        <f si="0" t="shared"/>
        <v>60551.351183167113</v>
      </c>
      <c r="L25" s="12">
        <v>0.45833333333333331</v>
      </c>
      <c r="M25" s="9" t="n">
        <v>5539.52370929718</v>
      </c>
      <c r="N25" s="9" t="n">
        <v>2215.6042613983154</v>
      </c>
      <c r="O25" s="9" t="n">
        <v>7437.246325492859</v>
      </c>
      <c r="P25" s="9" t="n">
        <v>7567.132170677185</v>
      </c>
      <c r="Q25" s="9" t="n">
        <v>708.7305850982666</v>
      </c>
      <c r="R25" s="9" t="n">
        <v>419.0229330062866</v>
      </c>
      <c r="S25" s="9" t="n">
        <v>1718.8137407302856</v>
      </c>
      <c r="T25" s="9" t="n">
        <v>0.0</v>
      </c>
      <c r="U25">
        <f si="1" t="shared"/>
        <v>60987.904386520386</v>
      </c>
    </row>
    <row r="26" spans="1:21" x14ac:dyDescent="0.25">
      <c r="A26" s="12">
        <v>0.47916666666666669</v>
      </c>
      <c r="B26" s="6" t="n">
        <v>4379.696900161139</v>
      </c>
      <c r="C26" s="6" t="n">
        <v>2452.980819763432</v>
      </c>
      <c r="D26" s="6" t="n">
        <v>7880.765873274447</v>
      </c>
      <c r="E26" s="6" t="n">
        <v>6264.740825824067</v>
      </c>
      <c r="F26" s="6" t="n">
        <v>713.26941159321</v>
      </c>
      <c r="G26" s="6" t="n">
        <v>119.89020091204091</v>
      </c>
      <c r="H26" s="6" t="n">
        <v>610.4794903431795</v>
      </c>
      <c r="I26" s="6" t="n">
        <v>0.0</v>
      </c>
      <c r="J26" s="6">
        <f si="0" t="shared"/>
        <v>59958.856470899154</v>
      </c>
      <c r="L26" s="12">
        <v>0.47916666666666669</v>
      </c>
      <c r="M26" s="9" t="n">
        <v>5582.299856185913</v>
      </c>
      <c r="N26" s="9" t="n">
        <v>2220.2939414978027</v>
      </c>
      <c r="O26" s="9" t="n">
        <v>7363.6507396698</v>
      </c>
      <c r="P26" s="9" t="n">
        <v>7561.622556686401</v>
      </c>
      <c r="Q26" s="9" t="n">
        <v>731.0238742828369</v>
      </c>
      <c r="R26" s="9" t="n">
        <v>434.0219478607178</v>
      </c>
      <c r="S26" s="9" t="n">
        <v>1756.510087966919</v>
      </c>
      <c r="T26" s="9" t="n">
        <v>0.0</v>
      </c>
      <c r="U26">
        <f si="1" t="shared"/>
        <v>61024.912838935852</v>
      </c>
    </row>
    <row r="27" spans="1:21" x14ac:dyDescent="0.25">
      <c r="A27" s="12">
        <v>0.5</v>
      </c>
      <c r="B27" s="6" t="n">
        <v>4573.665621335096</v>
      </c>
      <c r="C27" s="6" t="n">
        <v>2433.1256911711134</v>
      </c>
      <c r="D27" s="6" t="n">
        <v>7188.429243297365</v>
      </c>
      <c r="E27" s="6" t="n">
        <v>6152.306417369818</v>
      </c>
      <c r="F27" s="6" t="n">
        <v>757.9688941519596</v>
      </c>
      <c r="G27" s="6" t="n">
        <v>126.08467660525298</v>
      </c>
      <c r="H27" s="6" t="n">
        <v>611.5292039755552</v>
      </c>
      <c r="I27" s="6" t="n">
        <v>0.0</v>
      </c>
      <c r="J27" s="6">
        <f si="0" t="shared"/>
        <v>59439.427155255689</v>
      </c>
      <c r="L27" s="12">
        <v>0.5</v>
      </c>
      <c r="M27" s="9" t="n">
        <v>5736.981132507324</v>
      </c>
      <c r="N27" s="9" t="n">
        <v>2259.1947021484375</v>
      </c>
      <c r="O27" s="9" t="n">
        <v>7341.491596221924</v>
      </c>
      <c r="P27" s="9" t="n">
        <v>7634.803505897522</v>
      </c>
      <c r="Q27" s="9" t="n">
        <v>762.379979133606</v>
      </c>
      <c r="R27" s="9" t="n">
        <v>454.288818359375</v>
      </c>
      <c r="S27" s="9" t="n">
        <v>1820.0512771606445</v>
      </c>
      <c r="T27" s="9" t="n">
        <v>0.0</v>
      </c>
      <c r="U27">
        <f si="1" t="shared"/>
        <v>61207.334785461426</v>
      </c>
    </row>
    <row r="28" spans="1:21" x14ac:dyDescent="0.25">
      <c r="A28" s="12">
        <v>0.52083333333333337</v>
      </c>
      <c r="B28" s="6" t="n">
        <v>4814.99072573675</v>
      </c>
      <c r="C28" s="6" t="n">
        <v>2391.598541440293</v>
      </c>
      <c r="D28" s="6" t="n">
        <v>6594.681744319459</v>
      </c>
      <c r="E28" s="6" t="n">
        <v>6313.6749203754025</v>
      </c>
      <c r="F28" s="6" t="n">
        <v>784.4713280639577</v>
      </c>
      <c r="G28" s="6" t="n">
        <v>137.37298773943917</v>
      </c>
      <c r="H28" s="6" t="n">
        <v>673.2175334572262</v>
      </c>
      <c r="I28" s="6" t="n">
        <v>0.0</v>
      </c>
      <c r="J28" s="6">
        <f si="0" t="shared"/>
        <v>59349.893831949375</v>
      </c>
      <c r="L28" s="12">
        <v>0.52083333333333337</v>
      </c>
      <c r="M28" s="9" t="n">
        <v>5993.815058708191</v>
      </c>
      <c r="N28" s="9" t="n">
        <v>2328.7001752853394</v>
      </c>
      <c r="O28" s="9" t="n">
        <v>7363.792784690857</v>
      </c>
      <c r="P28" s="9" t="n">
        <v>7779.18298625946</v>
      </c>
      <c r="Q28" s="9" t="n">
        <v>802.7042722702026</v>
      </c>
      <c r="R28" s="9" t="n">
        <v>482.6383399963379</v>
      </c>
      <c r="S28" s="9" t="n">
        <v>1920.2875137329102</v>
      </c>
      <c r="T28" s="9" t="n">
        <v>0.0</v>
      </c>
      <c r="U28">
        <f si="1" t="shared"/>
        <v>61576.172852516174</v>
      </c>
    </row>
    <row r="29" spans="1:21" x14ac:dyDescent="0.25">
      <c r="A29" s="12">
        <v>0.54166666666666663</v>
      </c>
      <c r="B29" s="6" t="n">
        <v>5106.494488201282</v>
      </c>
      <c r="C29" s="6" t="n">
        <v>2378.031480460785</v>
      </c>
      <c r="D29" s="6" t="n">
        <v>6228.234690665803</v>
      </c>
      <c r="E29" s="6" t="n">
        <v>6805.361753980844</v>
      </c>
      <c r="F29" s="6" t="n">
        <v>797.8924483184094</v>
      </c>
      <c r="G29" s="6" t="n">
        <v>177.37668691657535</v>
      </c>
      <c r="H29" s="6" t="n">
        <v>811.4605610650495</v>
      </c>
      <c r="I29" s="6" t="n">
        <v>0.0</v>
      </c>
      <c r="J29" s="6">
        <f si="0" t="shared"/>
        <v>60072.774401790026</v>
      </c>
      <c r="L29" s="12">
        <v>0.54166666666666663</v>
      </c>
      <c r="M29" s="9" t="n">
        <v>6315.926981925964</v>
      </c>
      <c r="N29" s="9" t="n">
        <v>2410.6566019058228</v>
      </c>
      <c r="O29" s="9" t="n">
        <v>7377.454733848572</v>
      </c>
      <c r="P29" s="9" t="n">
        <v>7932.8668756484985</v>
      </c>
      <c r="Q29" s="9" t="n">
        <v>846.6831436157227</v>
      </c>
      <c r="R29" s="9" t="n">
        <v>522.1691799163818</v>
      </c>
      <c r="S29" s="9" t="n">
        <v>2065.520435333252</v>
      </c>
      <c r="T29" s="9" t="n">
        <v>0.0</v>
      </c>
      <c r="U29">
        <f si="1" t="shared"/>
        <v>62017.391238212585</v>
      </c>
    </row>
    <row r="30" spans="1:21" x14ac:dyDescent="0.25">
      <c r="A30" s="12">
        <v>0.5625</v>
      </c>
      <c r="B30" s="6" t="n">
        <v>5452.298266461304</v>
      </c>
      <c r="C30" s="6" t="n">
        <v>2422.354635752783</v>
      </c>
      <c r="D30" s="6" t="n">
        <v>6069.219754861448</v>
      </c>
      <c r="E30" s="6" t="n">
        <v>7516.911271169129</v>
      </c>
      <c r="F30" s="6" t="n">
        <v>807.5202512503329</v>
      </c>
      <c r="G30" s="6" t="n">
        <v>267.68515932738984</v>
      </c>
      <c r="H30" s="6" t="n">
        <v>1015.9984363859439</v>
      </c>
      <c r="I30" s="6" t="n">
        <v>0.0</v>
      </c>
      <c r="J30" s="6">
        <f si="0" t="shared"/>
        <v>61686.991426024761</v>
      </c>
      <c r="L30" s="12">
        <v>0.5625</v>
      </c>
      <c r="M30" s="9" t="n">
        <v>6673.017285346985</v>
      </c>
      <c r="N30" s="9" t="n">
        <v>2484.507677078247</v>
      </c>
      <c r="O30" s="9" t="n">
        <v>7319.860688209534</v>
      </c>
      <c r="P30" s="9" t="n">
        <v>8022.0676345825195</v>
      </c>
      <c r="Q30" s="9" t="n">
        <v>888.1943416595459</v>
      </c>
      <c r="R30" s="9" t="n">
        <v>578.1330080032349</v>
      </c>
      <c r="S30" s="9" t="n">
        <v>2269.64746761322</v>
      </c>
      <c r="T30" s="9" t="n">
        <v>0.0</v>
      </c>
      <c r="U30">
        <f si="1" t="shared"/>
        <v>62376.159634590149</v>
      </c>
    </row>
    <row r="31" spans="1:21" x14ac:dyDescent="0.25">
      <c r="A31" s="12">
        <v>0.58333333333333337</v>
      </c>
      <c r="B31" s="6" t="n">
        <v>5858.114629239042</v>
      </c>
      <c r="C31" s="6" t="n">
        <v>2521.2915812663396</v>
      </c>
      <c r="D31" s="6" t="n">
        <v>6009.249014052773</v>
      </c>
      <c r="E31" s="6" t="n">
        <v>8176.719331400263</v>
      </c>
      <c r="F31" s="6" t="n">
        <v>823.1145659561091</v>
      </c>
      <c r="G31" s="6" t="n">
        <v>411.4999249989531</v>
      </c>
      <c r="H31" s="6" t="n">
        <v>1270.863829959953</v>
      </c>
      <c r="I31" s="6" t="n">
        <v>0.0</v>
      </c>
      <c r="J31" s="6">
        <f si="0" t="shared"/>
        <v>63772.522156062638</v>
      </c>
      <c r="L31" s="12">
        <v>0.58333333333333337</v>
      </c>
      <c r="M31" s="9" t="n">
        <v>7086.852229118347</v>
      </c>
      <c r="N31" s="9" t="n">
        <v>2543.3295726776123</v>
      </c>
      <c r="O31" s="9" t="n">
        <v>7167.695899963379</v>
      </c>
      <c r="P31" s="9" t="n">
        <v>8014.541115760803</v>
      </c>
      <c r="Q31" s="9" t="n">
        <v>926.205418586731</v>
      </c>
      <c r="R31" s="9" t="n">
        <v>659.3171195983887</v>
      </c>
      <c r="S31" s="9" t="n">
        <v>2558.870376586914</v>
      </c>
      <c r="T31" s="9" t="n">
        <v>0.0</v>
      </c>
      <c r="U31">
        <f si="1" t="shared"/>
        <v>62621.501088142395</v>
      </c>
    </row>
    <row r="32" spans="1:21" x14ac:dyDescent="0.25">
      <c r="A32" s="12">
        <v>0.60416666666666663</v>
      </c>
      <c r="B32" s="6" t="n">
        <v>6361.951969882617</v>
      </c>
      <c r="C32" s="6" t="n">
        <v>2650.7536268657836</v>
      </c>
      <c r="D32" s="6" t="n">
        <v>5945.391931696158</v>
      </c>
      <c r="E32" s="6" t="n">
        <v>8479.48618450715</v>
      </c>
      <c r="F32" s="6" t="n">
        <v>851.7217940595685</v>
      </c>
      <c r="G32" s="6" t="n">
        <v>585.9976921094251</v>
      </c>
      <c r="H32" s="6" t="n">
        <v>1575.0502670140145</v>
      </c>
      <c r="I32" s="6" t="n">
        <v>0.0</v>
      </c>
      <c r="J32" s="6">
        <f si="0" t="shared"/>
        <v>65606.936148141613</v>
      </c>
      <c r="L32" s="12">
        <v>0.60416666666666663</v>
      </c>
      <c r="M32" s="9" t="n">
        <v>7646.836452484131</v>
      </c>
      <c r="N32" s="9" t="n">
        <v>2599.25990486145</v>
      </c>
      <c r="O32" s="9" t="n">
        <v>6952.468079566956</v>
      </c>
      <c r="P32" s="9" t="n">
        <v>7934.292428016663</v>
      </c>
      <c r="Q32" s="9" t="n">
        <v>966.4140758514404</v>
      </c>
      <c r="R32" s="9" t="n">
        <v>775.6389503479004</v>
      </c>
      <c r="S32" s="9" t="n">
        <v>2963.655390739441</v>
      </c>
      <c r="T32" s="9" t="n">
        <v>0.0</v>
      </c>
      <c r="U32">
        <f si="1" t="shared"/>
        <v>62914.307398796082</v>
      </c>
    </row>
    <row r="33" spans="1:21" x14ac:dyDescent="0.25">
      <c r="A33" s="12">
        <v>0.625</v>
      </c>
      <c r="B33" s="6" t="n">
        <v>7092.531424566803</v>
      </c>
      <c r="C33" s="6" t="n">
        <v>2783.521903198273</v>
      </c>
      <c r="D33" s="6" t="n">
        <v>5832.309608503624</v>
      </c>
      <c r="E33" s="6" t="n">
        <v>8270.790170433977</v>
      </c>
      <c r="F33" s="6" t="n">
        <v>894.7439322629989</v>
      </c>
      <c r="G33" s="6" t="n">
        <v>754.2255531153155</v>
      </c>
      <c r="H33" s="6" t="n">
        <v>1943.8720851249127</v>
      </c>
      <c r="I33" s="6" t="n">
        <v>0.0</v>
      </c>
      <c r="J33" s="6">
        <f si="0" t="shared"/>
        <v>66671.139474110649</v>
      </c>
      <c r="L33" s="12">
        <v>0.625</v>
      </c>
      <c r="M33" s="9" t="n">
        <v>8477.460740089417</v>
      </c>
      <c r="N33" s="9" t="n">
        <v>2673.4274797439575</v>
      </c>
      <c r="O33" s="9" t="n">
        <v>6729.014662742615</v>
      </c>
      <c r="P33" s="9" t="n">
        <v>7826.939779281616</v>
      </c>
      <c r="Q33" s="9" t="n">
        <v>1016.6331777572632</v>
      </c>
      <c r="R33" s="9" t="n">
        <v>931.1617488861084</v>
      </c>
      <c r="S33" s="9" t="n">
        <v>3492.799729347229</v>
      </c>
      <c r="T33" s="9" t="n">
        <v>0.0</v>
      </c>
      <c r="U33">
        <f si="1" t="shared"/>
        <v>63510.022702217102</v>
      </c>
    </row>
    <row r="34" spans="1:21" x14ac:dyDescent="0.25">
      <c r="A34" s="12">
        <v>0.64583333333333337</v>
      </c>
      <c r="B34" s="6" t="n">
        <v>8294.166140165036</v>
      </c>
      <c r="C34" s="6" t="n">
        <v>2897.007408907762</v>
      </c>
      <c r="D34" s="6" t="n">
        <v>5680.365444887094</v>
      </c>
      <c r="E34" s="6" t="n">
        <v>7646.721617292522</v>
      </c>
      <c r="F34" s="6" t="n">
        <v>947.4446158405542</v>
      </c>
      <c r="G34" s="6" t="n">
        <v>891.6093439854528</v>
      </c>
      <c r="H34" s="6" t="n">
        <v>2393.893228957634</v>
      </c>
      <c r="I34" s="6" t="n">
        <v>0.0</v>
      </c>
      <c r="J34" s="6">
        <f si="0" t="shared"/>
        <v>67002.541849110814</v>
      </c>
      <c r="L34" s="12">
        <v>0.64583333333333337</v>
      </c>
      <c r="M34" s="9" t="n">
        <v>9677.66965675354</v>
      </c>
      <c r="N34" s="9" t="n">
        <v>2779.02391910553</v>
      </c>
      <c r="O34" s="9" t="n">
        <v>6526.799259185791</v>
      </c>
      <c r="P34" s="9" t="n">
        <v>7711.422595024109</v>
      </c>
      <c r="Q34" s="9" t="n">
        <v>1079.6419591903687</v>
      </c>
      <c r="R34" s="9" t="n">
        <v>1116.661729812622</v>
      </c>
      <c r="S34" s="9" t="n">
        <v>4105.946178436279</v>
      </c>
      <c r="T34" s="9" t="n">
        <v>0.0</v>
      </c>
      <c r="U34">
        <f si="1" t="shared"/>
        <v>64561.638073921204</v>
      </c>
    </row>
    <row r="35" spans="1:21" x14ac:dyDescent="0.25">
      <c r="A35" s="12">
        <v>0.66666666666666663</v>
      </c>
      <c r="B35" s="6" t="n">
        <v>10235.508644179281</v>
      </c>
      <c r="C35" s="6" t="n">
        <v>2974.1349366712575</v>
      </c>
      <c r="D35" s="6" t="n">
        <v>5529.204753322101</v>
      </c>
      <c r="E35" s="6" t="n">
        <v>6882.920457505146</v>
      </c>
      <c r="F35" s="6" t="n">
        <v>1003.1269182277929</v>
      </c>
      <c r="G35" s="6" t="n">
        <v>1004.1336569215675</v>
      </c>
      <c r="H35" s="6" t="n">
        <v>2928.295777256664</v>
      </c>
      <c r="I35" s="6" t="n">
        <v>0.0</v>
      </c>
      <c r="J35" s="6">
        <f si="0" t="shared"/>
        <v>67017.171203049948</v>
      </c>
      <c r="L35" s="12">
        <v>0.66666666666666663</v>
      </c>
      <c r="M35" s="9" t="n">
        <v>11266.729803085327</v>
      </c>
      <c r="N35" s="9" t="n">
        <v>2910.6275177001953</v>
      </c>
      <c r="O35" s="9" t="n">
        <v>6326.475441932678</v>
      </c>
      <c r="P35" s="9" t="n">
        <v>7561.729055404663</v>
      </c>
      <c r="Q35" s="9" t="n">
        <v>1149.3243045806885</v>
      </c>
      <c r="R35" s="9" t="n">
        <v>1308.1327285766602</v>
      </c>
      <c r="S35" s="9" t="n">
        <v>4709.983328819275</v>
      </c>
      <c r="T35" s="9" t="n">
        <v>0.0</v>
      </c>
      <c r="U35">
        <f si="1" t="shared"/>
        <v>65959.42599773407</v>
      </c>
    </row>
    <row r="36" spans="1:21" x14ac:dyDescent="0.25">
      <c r="A36" s="12">
        <v>0.6875</v>
      </c>
      <c r="B36" s="6" t="n">
        <v>12994.038757755268</v>
      </c>
      <c r="C36" s="6" t="n">
        <v>3004.2464915976407</v>
      </c>
      <c r="D36" s="6" t="n">
        <v>5414.1590838141055</v>
      </c>
      <c r="E36" s="6" t="n">
        <v>6252.780742777781</v>
      </c>
      <c r="F36" s="6" t="n">
        <v>1058.330941901683</v>
      </c>
      <c r="G36" s="6" t="n">
        <v>1116.6844676325286</v>
      </c>
      <c r="H36" s="6" t="n">
        <v>3527.504469388368</v>
      </c>
      <c r="I36" s="6" t="n">
        <v>0.0</v>
      </c>
      <c r="J36" s="6">
        <f si="0" t="shared"/>
        <v>66964.222378946317</v>
      </c>
      <c r="L36" s="12">
        <v>0.6875</v>
      </c>
      <c r="M36" s="9" t="n">
        <v>13151.160663604736</v>
      </c>
      <c r="N36" s="9" t="n">
        <v>3044.9579515457153</v>
      </c>
      <c r="O36" s="9" t="n">
        <v>6076.542419433594</v>
      </c>
      <c r="P36" s="9" t="n">
        <v>7328.283926010132</v>
      </c>
      <c r="Q36" s="9" t="n">
        <v>1212.4821300506592</v>
      </c>
      <c r="R36" s="9" t="n">
        <v>1473.514042854309</v>
      </c>
      <c r="S36" s="9" t="n">
        <v>5188.1149978637695</v>
      </c>
      <c r="T36" s="9" t="n">
        <v>0.0</v>
      </c>
      <c r="U36">
        <f si="1" t="shared"/>
        <v>67291.071653366089</v>
      </c>
    </row>
    <row r="37" spans="1:21" x14ac:dyDescent="0.25">
      <c r="A37" s="12">
        <v>0.70833333333333337</v>
      </c>
      <c r="B37" s="6" t="n">
        <v>16240.428435510607</v>
      </c>
      <c r="C37" s="6" t="n">
        <v>2981.2105774180213</v>
      </c>
      <c r="D37" s="6" t="n">
        <v>5326.795957808648</v>
      </c>
      <c r="E37" s="6" t="n">
        <v>5872.9854077148575</v>
      </c>
      <c r="F37" s="6" t="n">
        <v>1111.3524987315086</v>
      </c>
      <c r="G37" s="6" t="n">
        <v>1237.4337907085699</v>
      </c>
      <c r="H37" s="6" t="n">
        <v>4133.734963368546</v>
      </c>
      <c r="I37" s="6" t="n">
        <v>0.0</v>
      </c>
      <c r="J37" s="6">
        <f si="0" t="shared"/>
        <v>66554.499145761001</v>
      </c>
      <c r="L37" s="12">
        <v>0.70833333333333337</v>
      </c>
      <c r="M37" s="9" t="n">
        <v>15108.06855392456</v>
      </c>
      <c r="N37" s="9" t="n">
        <v>3147.6511430740356</v>
      </c>
      <c r="O37" s="9" t="n">
        <v>5728.049029350281</v>
      </c>
      <c r="P37" s="9" t="n">
        <v>6971.063552856445</v>
      </c>
      <c r="Q37" s="9" t="n">
        <v>1253.6673793792725</v>
      </c>
      <c r="R37" s="9" t="n">
        <v>1583.142978668213</v>
      </c>
      <c r="S37" s="9" t="n">
        <v>5442.0880670547485</v>
      </c>
      <c r="T37" s="9" t="n">
        <v>0.0</v>
      </c>
      <c r="U37">
        <f si="1" t="shared"/>
        <v>67907.966084480286</v>
      </c>
    </row>
    <row r="38" spans="1:21" x14ac:dyDescent="0.25">
      <c r="A38" s="12">
        <v>0.72916666666666663</v>
      </c>
      <c r="B38" s="6" t="n">
        <v>19216.615163207764</v>
      </c>
      <c r="C38" s="6" t="n">
        <v>2895.175984207541</v>
      </c>
      <c r="D38" s="6" t="n">
        <v>5187.502076143284</v>
      </c>
      <c r="E38" s="6" t="n">
        <v>5665.750985049255</v>
      </c>
      <c r="F38" s="6" t="n">
        <v>1153.3098301573946</v>
      </c>
      <c r="G38" s="6" t="n">
        <v>1332.4935600979695</v>
      </c>
      <c r="H38" s="6" t="n">
        <v>4632.3123354539075</v>
      </c>
      <c r="I38" s="6" t="n">
        <v>0.0</v>
      </c>
      <c r="J38" s="6">
        <f si="0" t="shared"/>
        <v>65086.646521159651</v>
      </c>
      <c r="L38" s="12">
        <v>0.72916666666666663</v>
      </c>
      <c r="M38" s="9" t="n">
        <v>16798.382529258728</v>
      </c>
      <c r="N38" s="9" t="n">
        <v>3180.1127042770386</v>
      </c>
      <c r="O38" s="9" t="n">
        <v>5257.481140136719</v>
      </c>
      <c r="P38" s="9" t="n">
        <v>6475.055551528931</v>
      </c>
      <c r="Q38" s="9" t="n">
        <v>1259.3890857696533</v>
      </c>
      <c r="R38" s="9" t="n">
        <v>1617.769941329956</v>
      </c>
      <c r="S38" s="9" t="n">
        <v>5420.609615325928</v>
      </c>
      <c r="T38" s="9" t="n">
        <v>0.0</v>
      </c>
      <c r="U38">
        <f si="1" t="shared"/>
        <v>67073.090229034424</v>
      </c>
    </row>
    <row r="39" spans="1:21" x14ac:dyDescent="0.25">
      <c r="A39" s="12">
        <v>0.75</v>
      </c>
      <c r="B39" s="6" t="n">
        <v>21006.422994862718</v>
      </c>
      <c r="C39" s="6" t="n">
        <v>2727.2132396866386</v>
      </c>
      <c r="D39" s="6" t="n">
        <v>4866.525441232355</v>
      </c>
      <c r="E39" s="6" t="n">
        <v>5434.646821606382</v>
      </c>
      <c r="F39" s="6" t="n">
        <v>1162.3915945735653</v>
      </c>
      <c r="G39" s="6" t="n">
        <v>1340.5444659543662</v>
      </c>
      <c r="H39" s="6" t="n">
        <v>4864.31558341521</v>
      </c>
      <c r="I39" s="6" t="n">
        <v>0.0</v>
      </c>
      <c r="J39" s="6">
        <f si="0" t="shared"/>
        <v>61895.106730799002</v>
      </c>
      <c r="L39" s="12">
        <v>0.75</v>
      </c>
      <c r="M39" s="9" t="n">
        <v>17847.117257118225</v>
      </c>
      <c r="N39" s="9" t="n">
        <v>3108.4280004501343</v>
      </c>
      <c r="O39" s="9" t="n">
        <v>4670.748491287231</v>
      </c>
      <c r="P39" s="9" t="n">
        <v>5848.210112571716</v>
      </c>
      <c r="Q39" s="9" t="n">
        <v>1221.211106300354</v>
      </c>
      <c r="R39" s="9" t="n">
        <v>1572.4145307540894</v>
      </c>
      <c r="S39" s="9" t="n">
        <v>5126.648359298706</v>
      </c>
      <c r="T39" s="9" t="n">
        <v>0.0</v>
      </c>
      <c r="U39">
        <f si="1" t="shared"/>
        <v>64210.905451774597</v>
      </c>
    </row>
    <row r="40" spans="1:21" x14ac:dyDescent="0.25">
      <c r="A40" s="12">
        <v>0.77083333333333337</v>
      </c>
      <c r="B40" s="6" t="n">
        <v>20973.674992668726</v>
      </c>
      <c r="C40" s="6" t="n">
        <v>2459.6168305616434</v>
      </c>
      <c r="D40" s="6" t="n">
        <v>4264.033564654352</v>
      </c>
      <c r="E40" s="6" t="n">
        <v>4995.3985851026855</v>
      </c>
      <c r="F40" s="6" t="n">
        <v>1111.7839314986763</v>
      </c>
      <c r="G40" s="6" t="n">
        <v>1219.1531155915218</v>
      </c>
      <c r="H40" s="6" t="n">
        <v>4696.789464270036</v>
      </c>
      <c r="I40" s="6" t="n">
        <v>0.0</v>
      </c>
      <c r="J40" s="6">
        <f si="0" t="shared"/>
        <v>56727.133192649017</v>
      </c>
      <c r="L40" s="12">
        <v>0.77083333333333337</v>
      </c>
      <c r="M40" s="9" t="n">
        <v>17986.81603527069</v>
      </c>
      <c r="N40" s="9" t="n">
        <v>2917.1222372055054</v>
      </c>
      <c r="O40" s="9" t="n">
        <v>3999.8112077713013</v>
      </c>
      <c r="P40" s="9" t="n">
        <v>5119.337490081787</v>
      </c>
      <c r="Q40" s="9" t="n">
        <v>1138.7512817382812</v>
      </c>
      <c r="R40" s="9" t="n">
        <v>1457.3039226531982</v>
      </c>
      <c r="S40" s="9" t="n">
        <v>4612.736963272095</v>
      </c>
      <c r="T40" s="9" t="n">
        <v>0.0</v>
      </c>
      <c r="U40">
        <f si="1" t="shared"/>
        <v>59207.281122207642</v>
      </c>
    </row>
    <row r="41" spans="1:21" x14ac:dyDescent="0.25">
      <c r="A41" s="12">
        <v>0.79166666666666663</v>
      </c>
      <c r="B41" s="6" t="n">
        <v>19080.90364950848</v>
      </c>
      <c r="C41" s="6" t="n">
        <v>2097.2696556072824</v>
      </c>
      <c r="D41" s="6" t="n">
        <v>3398.65758928696</v>
      </c>
      <c r="E41" s="6" t="n">
        <v>4286.362527207257</v>
      </c>
      <c r="F41" s="6" t="n">
        <v>987.9102259046032</v>
      </c>
      <c r="G41" s="6" t="n">
        <v>982.1014519864216</v>
      </c>
      <c r="H41" s="6" t="n">
        <v>4113.972434597581</v>
      </c>
      <c r="I41" s="6" t="n">
        <v>0.0</v>
      </c>
      <c r="J41" s="6">
        <f si="0" t="shared"/>
        <v>49833.700180545871</v>
      </c>
      <c r="L41" s="12">
        <v>0.79166666666666663</v>
      </c>
      <c r="M41" s="9" t="n">
        <v>17174.151188850403</v>
      </c>
      <c r="N41" s="9" t="n">
        <v>2619.828610420227</v>
      </c>
      <c r="O41" s="9" t="n">
        <v>3297.062957763672</v>
      </c>
      <c r="P41" s="9" t="n">
        <v>4338.422441482544</v>
      </c>
      <c r="Q41" s="9" t="n">
        <v>1020.9645166397095</v>
      </c>
      <c r="R41" s="9" t="n">
        <v>1294.9595212936401</v>
      </c>
      <c r="S41" s="9" t="n">
        <v>3967.240584373474</v>
      </c>
      <c r="T41" s="9" t="n">
        <v>0.0</v>
      </c>
      <c r="U41">
        <f si="1" t="shared"/>
        <v>52543.152756690979</v>
      </c>
    </row>
    <row r="42" spans="1:21" x14ac:dyDescent="0.25">
      <c r="A42" s="12">
        <v>0.8125</v>
      </c>
      <c r="B42" s="6" t="n">
        <v>15874.183104856413</v>
      </c>
      <c r="C42" s="6" t="n">
        <v>1679.0467003500723</v>
      </c>
      <c r="D42" s="6" t="n">
        <v>2424.729958620813</v>
      </c>
      <c r="E42" s="6" t="n">
        <v>3395.773609557636</v>
      </c>
      <c r="F42" s="6" t="n">
        <v>803.8091934707458</v>
      </c>
      <c r="G42" s="6" t="n">
        <v>695.1290733363746</v>
      </c>
      <c r="H42" s="6" t="n">
        <v>3248.946946477402</v>
      </c>
      <c r="I42" s="6" t="n">
        <v>0.0</v>
      </c>
      <c r="J42" s="6">
        <f si="0" t="shared"/>
        <v>41824.884167148746</v>
      </c>
      <c r="L42" s="12">
        <v>0.8125</v>
      </c>
      <c r="M42" s="9" t="n">
        <v>15579.956986427307</v>
      </c>
      <c r="N42" s="9" t="n">
        <v>2254.327048301697</v>
      </c>
      <c r="O42" s="9" t="n">
        <v>2621.4418897628784</v>
      </c>
      <c r="P42" s="9" t="n">
        <v>3565.731004714966</v>
      </c>
      <c r="Q42" s="9" t="n">
        <v>882.7522306442261</v>
      </c>
      <c r="R42" s="9" t="n">
        <v>1111.6945724487305</v>
      </c>
      <c r="S42" s="9" t="n">
        <v>3286.8927526474</v>
      </c>
      <c r="T42" s="9" t="n">
        <v>0.0</v>
      </c>
      <c r="U42">
        <f si="1" t="shared"/>
        <v>45076.073884963989</v>
      </c>
    </row>
    <row r="43" spans="1:21" x14ac:dyDescent="0.25">
      <c r="A43" s="12">
        <v>0.83333333333333337</v>
      </c>
      <c r="B43" s="6" t="n">
        <v>12172.65384870068</v>
      </c>
      <c r="C43" s="6" t="n">
        <v>1265.2979968676273</v>
      </c>
      <c r="D43" s="6" t="n">
        <v>1550.1856981957449</v>
      </c>
      <c r="E43" s="6" t="n">
        <v>2494.9654690865104</v>
      </c>
      <c r="F43" s="6" t="n">
        <v>595.683054416681</v>
      </c>
      <c r="G43" s="6" t="n">
        <v>436.11254228352027</v>
      </c>
      <c r="H43" s="6" t="n">
        <v>2318.058215160074</v>
      </c>
      <c r="I43" s="6" t="n">
        <v>0.0</v>
      </c>
      <c r="J43" s="6">
        <f si="0" t="shared"/>
        <v>33449.503271363428</v>
      </c>
      <c r="L43" s="12">
        <v>0.83333333333333337</v>
      </c>
      <c r="M43" s="9" t="n">
        <v>13465.861105918884</v>
      </c>
      <c r="N43" s="9" t="n">
        <v>1863.1709899902344</v>
      </c>
      <c r="O43" s="9" t="n">
        <v>2017.7125406265259</v>
      </c>
      <c r="P43" s="9" t="n">
        <v>2848.7120180130005</v>
      </c>
      <c r="Q43" s="9" t="n">
        <v>738.060772895813</v>
      </c>
      <c r="R43" s="9" t="n">
        <v>927.033932685852</v>
      </c>
      <c r="S43" s="9" t="n">
        <v>2643.293109893799</v>
      </c>
      <c r="T43" s="9" t="n">
        <v>0.0</v>
      </c>
      <c r="U43">
        <f si="1" t="shared"/>
        <v>37597.121162414551</v>
      </c>
    </row>
    <row r="44" spans="1:21" x14ac:dyDescent="0.25">
      <c r="A44" s="12">
        <v>0.85416666666666663</v>
      </c>
      <c r="B44" s="6" t="n">
        <v>8697.937617688074</v>
      </c>
      <c r="C44" s="6" t="n">
        <v>909.4958758556487</v>
      </c>
      <c r="D44" s="6" t="n">
        <v>917.848530023912</v>
      </c>
      <c r="E44" s="6" t="n">
        <v>1733.7983648331337</v>
      </c>
      <c r="F44" s="6" t="n">
        <v>404.7589905385887</v>
      </c>
      <c r="G44" s="6" t="n">
        <v>253.9523402887915</v>
      </c>
      <c r="H44" s="6" t="n">
        <v>1509.5600332283673</v>
      </c>
      <c r="I44" s="6" t="n">
        <v>0.0</v>
      </c>
      <c r="J44" s="6">
        <f si="0" t="shared"/>
        <v>25416.124343867908</v>
      </c>
      <c r="L44" s="12">
        <v>0.85416666666666663</v>
      </c>
      <c r="M44" s="9" t="n">
        <v>11068.03176021576</v>
      </c>
      <c r="N44" s="9" t="n">
        <v>1476.9242582321167</v>
      </c>
      <c r="O44" s="9" t="n">
        <v>1503.9384937286377</v>
      </c>
      <c r="P44" s="9" t="n">
        <v>2206.9893741607666</v>
      </c>
      <c r="Q44" s="9" t="n">
        <v>595.1839952468872</v>
      </c>
      <c r="R44" s="9" t="n">
        <v>749.0000858306885</v>
      </c>
      <c r="S44" s="9" t="n">
        <v>2065.9639797210693</v>
      </c>
      <c r="T44" s="9" t="n">
        <v>0.0</v>
      </c>
      <c r="U44">
        <f si="1" t="shared"/>
        <v>30531.258158683777</v>
      </c>
    </row>
    <row r="45" spans="1:21" x14ac:dyDescent="0.25">
      <c r="A45" s="12">
        <v>0.875</v>
      </c>
      <c r="B45" s="6" t="n">
        <v>5861.265118342102</v>
      </c>
      <c r="C45" s="6" t="n">
        <v>635.5057981801933</v>
      </c>
      <c r="D45" s="6" t="n">
        <v>544.8644038254208</v>
      </c>
      <c r="E45" s="6" t="n">
        <v>1174.8637832440945</v>
      </c>
      <c r="F45" s="6" t="n">
        <v>257.9333666889652</v>
      </c>
      <c r="G45" s="6" t="n">
        <v>154.07233651955747</v>
      </c>
      <c r="H45" s="6" t="n">
        <v>912.2609042123636</v>
      </c>
      <c r="I45" s="6" t="n">
        <v>0.0</v>
      </c>
      <c r="J45" s="6">
        <f si="0" t="shared"/>
        <v>18287.332716936697</v>
      </c>
      <c r="L45" s="12">
        <v>0.875</v>
      </c>
      <c r="M45" s="9" t="n">
        <v>8577.022377967834</v>
      </c>
      <c r="N45" s="9" t="n">
        <v>1113.089635848999</v>
      </c>
      <c r="O45" s="9" t="n">
        <v>1077.3429584503174</v>
      </c>
      <c r="P45" s="9" t="n">
        <v>1640.4500637054443</v>
      </c>
      <c r="Q45" s="9" t="n">
        <v>458.06118392944336</v>
      </c>
      <c r="R45" s="9" t="n">
        <v>578.8038892745972</v>
      </c>
      <c r="S45" s="9" t="n">
        <v>1554.4057970046997</v>
      </c>
      <c r="T45" s="9" t="n">
        <v>0.0</v>
      </c>
      <c r="U45">
        <f si="1" t="shared"/>
        <v>23993.147664070129</v>
      </c>
    </row>
    <row r="46" spans="1:21" x14ac:dyDescent="0.25">
      <c r="A46" s="12">
        <v>0.89583333333333337</v>
      </c>
      <c r="B46" s="6" t="n">
        <v>3761.8807100970625</v>
      </c>
      <c r="C46" s="6" t="n">
        <v>436.0479062791007</v>
      </c>
      <c r="D46" s="6" t="n">
        <v>354.4289539712487</v>
      </c>
      <c r="E46" s="6" t="n">
        <v>797.7134622614847</v>
      </c>
      <c r="F46" s="6" t="n">
        <v>160.05195905849698</v>
      </c>
      <c r="G46" s="6" t="n">
        <v>111.58374951952919</v>
      </c>
      <c r="H46" s="6" t="n">
        <v>520.0893954293557</v>
      </c>
      <c r="I46" s="6" t="n">
        <v>0.0</v>
      </c>
      <c r="J46" s="6">
        <f si="0" t="shared"/>
        <v>12426.464616716879</v>
      </c>
      <c r="L46" s="12">
        <v>0.89583333333333337</v>
      </c>
      <c r="M46" s="9" t="n">
        <v>6180.911229133606</v>
      </c>
      <c r="N46" s="9" t="n">
        <v>785.5614748001099</v>
      </c>
      <c r="O46" s="9" t="n">
        <v>730.1509122848511</v>
      </c>
      <c r="P46" s="9" t="n">
        <v>1149.4900217056274</v>
      </c>
      <c r="Q46" s="9" t="n">
        <v>330.91050910949707</v>
      </c>
      <c r="R46" s="9" t="n">
        <v>419.3567247390747</v>
      </c>
      <c r="S46" s="9" t="n">
        <v>1104.7868280410767</v>
      </c>
      <c r="T46" s="9" t="n">
        <v>0.0</v>
      </c>
      <c r="U46">
        <f si="1" t="shared"/>
        <v>18043.936200141907</v>
      </c>
    </row>
    <row r="47" spans="1:21" x14ac:dyDescent="0.25">
      <c r="A47" s="12">
        <v>0.91666666666666663</v>
      </c>
      <c r="B47" s="6" t="n">
        <v>2308.9131120889087</v>
      </c>
      <c r="C47" s="6" t="n">
        <v>289.7297102257806</v>
      </c>
      <c r="D47" s="6" t="n">
        <v>252.18128951992782</v>
      </c>
      <c r="E47" s="6" t="n">
        <v>545.2967003307688</v>
      </c>
      <c r="F47" s="6" t="n">
        <v>100.10144213833364</v>
      </c>
      <c r="G47" s="6" t="n">
        <v>94.54782145226667</v>
      </c>
      <c r="H47" s="6" t="n">
        <v>281.23656416097344</v>
      </c>
      <c r="I47" s="6" t="n">
        <v>0.0</v>
      </c>
      <c r="J47" s="6">
        <f si="0" t="shared"/>
        <v>7973.6496948953854</v>
      </c>
      <c r="L47" s="12">
        <v>0.91666666666666663</v>
      </c>
      <c r="M47" s="9" t="n">
        <v>4079.7124605178833</v>
      </c>
      <c r="N47" s="9" t="n">
        <v>510.1880416870117</v>
      </c>
      <c r="O47" s="9" t="n">
        <v>459.16035556793213</v>
      </c>
      <c r="P47" s="9" t="n">
        <v>744.8678932189941</v>
      </c>
      <c r="Q47" s="9" t="n">
        <v>220.4863748550415</v>
      </c>
      <c r="R47" s="9" t="n">
        <v>278.9682283401489</v>
      </c>
      <c r="S47" s="9" t="n">
        <v>725.6270389556885</v>
      </c>
      <c r="T47" s="9" t="n">
        <v>0.0</v>
      </c>
      <c r="U47">
        <f si="1" t="shared"/>
        <v>12848.009676933289</v>
      </c>
    </row>
    <row r="48" spans="1:21" x14ac:dyDescent="0.25">
      <c r="A48" s="12">
        <v>0.9375</v>
      </c>
      <c r="B48" s="6" t="n">
        <v>1350.035120297618</v>
      </c>
      <c r="C48" s="6" t="n">
        <v>179.7067581306468</v>
      </c>
      <c r="D48" s="6" t="n">
        <v>179.5339651758374</v>
      </c>
      <c r="E48" s="6" t="n">
        <v>366.8794434437457</v>
      </c>
      <c r="F48" s="6" t="n">
        <v>63.220409907076046</v>
      </c>
      <c r="G48" s="6" t="n">
        <v>80.72768353429001</v>
      </c>
      <c r="H48" s="6" t="n">
        <v>142.28284538211108</v>
      </c>
      <c r="I48" s="6" t="n">
        <v>0.0</v>
      </c>
      <c r="J48" s="6">
        <f si="0" t="shared"/>
        <v>4853.3512491412203</v>
      </c>
      <c r="L48" s="12">
        <v>0.9375</v>
      </c>
      <c r="M48" s="9" t="n">
        <v>2435.253254890442</v>
      </c>
      <c r="N48" s="9" t="n">
        <v>300.3018846511841</v>
      </c>
      <c r="O48" s="9" t="n">
        <v>263.20421028137207</v>
      </c>
      <c r="P48" s="9" t="n">
        <v>439.49220275878906</v>
      </c>
      <c r="Q48" s="9" t="n">
        <v>133.66794395446777</v>
      </c>
      <c r="R48" s="9" t="n">
        <v>167.51444244384766</v>
      </c>
      <c r="S48" s="9" t="n">
        <v>432.1242275238037</v>
      </c>
      <c r="T48" s="9" t="n">
        <v>0.0</v>
      </c>
      <c r="U48">
        <f si="1" t="shared"/>
        <v>8612.0614719390869</v>
      </c>
    </row>
    <row r="49" spans="1:21" x14ac:dyDescent="0.25">
      <c r="A49" s="12">
        <v>0.95833333333333337</v>
      </c>
      <c r="B49" s="6" t="n">
        <v>744.5225008170084</v>
      </c>
      <c r="C49" s="6" t="n">
        <v>99.58103528388273</v>
      </c>
      <c r="D49" s="6" t="n">
        <v>118.87922071657398</v>
      </c>
      <c r="E49" s="6" t="n">
        <v>234.47328240867162</v>
      </c>
      <c r="F49" s="6" t="n">
        <v>38.92555049371716</v>
      </c>
      <c r="G49" s="6" t="n">
        <v>62.2361063681126</v>
      </c>
      <c r="H49" s="6" t="n">
        <v>65.3377606076454</v>
      </c>
      <c r="I49" s="6" t="n">
        <v>0.0</v>
      </c>
      <c r="J49" s="6">
        <f si="0" t="shared"/>
        <v>2828.15792114955</v>
      </c>
      <c r="L49" s="12">
        <v>0.95833333333333337</v>
      </c>
      <c r="M49" s="9" t="n">
        <v>1305.6073112487793</v>
      </c>
      <c r="N49" s="9" t="n">
        <v>158.69811534881592</v>
      </c>
      <c r="O49" s="9" t="n">
        <v>135.89855003356934</v>
      </c>
      <c r="P49" s="9" t="n">
        <v>234.2770013809204</v>
      </c>
      <c r="Q49" s="9" t="n">
        <v>73.30077457427979</v>
      </c>
      <c r="R49" s="9" t="n">
        <v>89.89410972595215</v>
      </c>
      <c r="S49" s="9" t="n">
        <v>230.55432987213135</v>
      </c>
      <c r="T49" s="9" t="n">
        <v>0.0</v>
      </c>
      <c r="U49">
        <f si="1" t="shared"/>
        <v>5433.0094528198242</v>
      </c>
    </row>
    <row r="50" spans="1:21" x14ac:dyDescent="0.25">
      <c r="A50" s="12">
        <v>0.97916666666666663</v>
      </c>
      <c r="B50" s="6" t="n">
        <v>382.60727145893713</v>
      </c>
      <c r="C50" s="6" t="n">
        <v>47.4001646627907</v>
      </c>
      <c r="D50" s="6" t="n">
        <v>71.76886953133067</v>
      </c>
      <c r="E50" s="6" t="n">
        <v>137.7164397957315</v>
      </c>
      <c r="F50" s="6" t="n">
        <v>22.34170001473932</v>
      </c>
      <c r="G50" s="6" t="n">
        <v>41.27081776681548</v>
      </c>
      <c r="H50" s="6" t="n">
        <v>26.225270053963648</v>
      </c>
      <c r="I50" s="6" t="n">
        <v>0.0</v>
      </c>
      <c r="J50" s="6">
        <f si="0" t="shared"/>
        <v>1592.265316493812</v>
      </c>
      <c r="L50" s="12">
        <v>0.97916666666666663</v>
      </c>
      <c r="M50" s="9" t="n">
        <v>630.173134803772</v>
      </c>
      <c r="N50" s="9" t="n">
        <v>75.27751636505127</v>
      </c>
      <c r="O50" s="9" t="n">
        <v>63.02489376068115</v>
      </c>
      <c r="P50" s="9" t="n">
        <v>113.16806125640869</v>
      </c>
      <c r="Q50" s="9" t="n">
        <v>36.52950954437256</v>
      </c>
      <c r="R50" s="9" t="n">
        <v>43.10309982299805</v>
      </c>
      <c r="S50" s="9" t="n">
        <v>110.02306270599365</v>
      </c>
      <c r="T50" s="9" t="n">
        <v>0.0</v>
      </c>
      <c r="U50">
        <f si="1" t="shared"/>
        <v>3229.709997177124</v>
      </c>
    </row>
    <row r="51" spans="1:21" x14ac:dyDescent="0.25">
      <c r="A51" s="12">
        <v>1</v>
      </c>
      <c r="B51" s="6" t="n">
        <v>181.1956492598151</v>
      </c>
      <c r="C51" s="6" t="n">
        <v>18.75255804908329</v>
      </c>
      <c r="D51" s="6" t="n">
        <v>40.05562280460006</v>
      </c>
      <c r="E51" s="6" t="n">
        <v>72.45150762633432</v>
      </c>
      <c r="F51" s="6" t="n">
        <v>11.568448373348678</v>
      </c>
      <c r="G51" s="6" t="n">
        <v>23.018210139809668</v>
      </c>
      <c r="H51" s="6" t="n">
        <v>8.849175024844257</v>
      </c>
      <c r="I51" s="6" t="n">
        <v>0.0</v>
      </c>
      <c r="J51" s="6">
        <f si="0" t="shared"/>
        <v>865.63956339267804</v>
      </c>
      <c r="L51" s="12">
        <v>1</v>
      </c>
      <c r="M51" s="9" t="n">
        <v>277.6809997558594</v>
      </c>
      <c r="N51" s="9" t="n">
        <v>32.428893089294434</v>
      </c>
      <c r="O51" s="9" t="n">
        <v>26.49299907684326</v>
      </c>
      <c r="P51" s="9" t="n">
        <v>50.2890739440918</v>
      </c>
      <c r="Q51" s="9" t="n">
        <v>16.79324436187744</v>
      </c>
      <c r="R51" s="9" t="n">
        <v>18.69253444671631</v>
      </c>
      <c r="S51" s="9" t="n">
        <v>47.503167152404785</v>
      </c>
      <c r="T51" s="9" t="n">
        <v>0.0</v>
      </c>
      <c r="U51">
        <f si="1" t="shared"/>
        <v>1801.1959028244019</v>
      </c>
    </row>
    <row r="52" spans="1:21" x14ac:dyDescent="0.25">
      <c r="A52" s="12">
        <v>1.0208333333333333</v>
      </c>
      <c r="B52" s="6" t="n">
        <v>78.2497059427231</v>
      </c>
      <c r="C52" s="6" t="n">
        <v>5.979265722157166</v>
      </c>
      <c r="D52" s="6" t="n">
        <v>21.011599139620813</v>
      </c>
      <c r="E52" s="6" t="n">
        <v>33.45210897545381</v>
      </c>
      <c r="F52" s="6" t="n">
        <v>5.29837920954571</v>
      </c>
      <c r="G52" s="6" t="n">
        <v>10.618921214715803</v>
      </c>
      <c r="H52" s="6" t="n">
        <v>2.410417517873092</v>
      </c>
      <c r="I52" s="6" t="n">
        <v>0.0</v>
      </c>
      <c r="J52" s="6">
        <f si="0" t="shared"/>
        <v>446.3953073585696</v>
      </c>
      <c r="L52" s="12">
        <v>1.0208333333333333</v>
      </c>
      <c r="M52" s="9" t="n">
        <v>114.1512393951416</v>
      </c>
      <c r="N52" s="9" t="n">
        <v>12.962789535522461</v>
      </c>
      <c r="O52" s="9" t="n">
        <v>10.295578956604004</v>
      </c>
      <c r="P52" s="9" t="n">
        <v>20.991619110107422</v>
      </c>
      <c r="Q52" s="9" t="n">
        <v>7.244899749755859</v>
      </c>
      <c r="R52" s="9" t="n">
        <v>7.497433662414551</v>
      </c>
      <c r="S52" s="9" t="n">
        <v>18.987815856933594</v>
      </c>
      <c r="T52" s="9" t="n">
        <v>0.0</v>
      </c>
      <c r="U52">
        <f si="1" t="shared"/>
        <v>927.84024238586426</v>
      </c>
    </row>
    <row r="53" spans="1:21" x14ac:dyDescent="0.25">
      <c r="A53" s="12">
        <v>4.1666666666666664E-2</v>
      </c>
      <c r="B53" s="6" t="n">
        <v>30.39192839240832</v>
      </c>
      <c r="C53" s="6" t="n">
        <v>1.4841926334049247</v>
      </c>
      <c r="D53" s="6" t="n">
        <v>10.27201979582682</v>
      </c>
      <c r="E53" s="6" t="n">
        <v>13.29916126566373</v>
      </c>
      <c r="F53" s="6" t="n">
        <v>2.113345180221356</v>
      </c>
      <c r="G53" s="6" t="n">
        <v>3.9752783015939723</v>
      </c>
      <c r="H53" s="6" t="n">
        <v>0.5050744767622698</v>
      </c>
      <c r="I53" s="6" t="n">
        <v>0.0</v>
      </c>
      <c r="J53" s="6">
        <f si="0" t="shared"/>
        <v>211.2314581180336</v>
      </c>
      <c r="L53" s="12">
        <v>4.1666666666666664E-2</v>
      </c>
      <c r="M53" s="9" t="n">
        <v>44.35161113739014</v>
      </c>
      <c r="N53" s="9" t="n">
        <v>4.88820743560791</v>
      </c>
      <c r="O53" s="9" t="n">
        <v>3.7654638290405273</v>
      </c>
      <c r="P53" s="9" t="n">
        <v>8.300569534301758</v>
      </c>
      <c r="Q53" s="9" t="n">
        <v>2.9392051696777344</v>
      </c>
      <c r="R53" s="9" t="n">
        <v>2.8311195373535156</v>
      </c>
      <c r="S53" s="9" t="n">
        <v>7.168534278869629</v>
      </c>
      <c r="T53" s="9" t="n">
        <v>0.0</v>
      </c>
      <c r="U53">
        <f si="1" t="shared"/>
        <v>429.92269039154053</v>
      </c>
    </row>
    <row r="54" spans="1:21" x14ac:dyDescent="0.25">
      <c r="A54" s="12">
        <v>6.25E-2</v>
      </c>
      <c r="B54" s="6" t="n">
        <v>10.387033727283162</v>
      </c>
      <c r="C54" s="6" t="n">
        <v>0.27378896458093716</v>
      </c>
      <c r="D54" s="6" t="n">
        <v>4.504117872378562</v>
      </c>
      <c r="E54" s="6" t="n">
        <v>4.4538153681314885</v>
      </c>
      <c r="F54" s="6" t="n">
        <v>0.7190762985928614</v>
      </c>
      <c r="G54" s="6" t="n">
        <v>1.176439103531116</v>
      </c>
      <c r="H54" s="6" t="n">
        <v>0.07602032716958797</v>
      </c>
      <c r="I54" s="6" t="n">
        <v>0.0</v>
      </c>
      <c r="J54" s="6">
        <f si="0" t="shared"/>
        <v>88.119963736525989</v>
      </c>
      <c r="L54" s="12">
        <v>6.25E-2</v>
      </c>
      <c r="M54" s="9" t="n">
        <v>16.026741981506348</v>
      </c>
      <c r="N54" s="9" t="n">
        <v>1.7202844619750977</v>
      </c>
      <c r="O54" s="9" t="n">
        <v>1.2878646850585938</v>
      </c>
      <c r="P54" s="9" t="n">
        <v>3.041346549987793</v>
      </c>
      <c r="Q54" s="9" t="n">
        <v>1.0927000045776367</v>
      </c>
      <c r="R54" s="9" t="n">
        <v>0.9965915679931641</v>
      </c>
      <c r="S54" s="9" t="n">
        <v>2.537318229675293</v>
      </c>
      <c r="T54" s="9" t="n">
        <v>0.0</v>
      </c>
      <c r="U54">
        <f si="1" t="shared"/>
        <v>173.38910579681396</v>
      </c>
    </row>
    <row r="55" spans="1:21" x14ac:dyDescent="0.25">
      <c r="A55" s="12">
        <v>8.3333333333333329E-2</v>
      </c>
      <c r="B55" s="6" t="n">
        <v>3.0232764365389073</v>
      </c>
      <c r="C55" s="6" t="n">
        <v>0.03492948611365413</v>
      </c>
      <c r="D55" s="6" t="n">
        <v>1.6820168234129627</v>
      </c>
      <c r="E55" s="6" t="n">
        <v>1.2202966938483277</v>
      </c>
      <c r="F55" s="6" t="n">
        <v>0.20206598767569117</v>
      </c>
      <c r="G55" s="6" t="n">
        <v>0.26474385588807847</v>
      </c>
      <c r="H55" s="6" t="n">
        <v>0.007291497512234337</v>
      </c>
      <c r="I55" s="6" t="n">
        <v>0.0</v>
      </c>
      <c r="J55" s="6">
        <f si="0" t="shared"/>
        <v>31.110880775170976</v>
      </c>
      <c r="L55" s="12">
        <v>8.3333333333333329E-2</v>
      </c>
      <c r="M55" s="9" t="n">
        <v>5.138916969299316</v>
      </c>
      <c r="N55" s="9" t="n">
        <v>0.5403652191162109</v>
      </c>
      <c r="O55" s="9" t="n">
        <v>0.39545631408691406</v>
      </c>
      <c r="P55" s="9" t="n">
        <v>0.9822874069213867</v>
      </c>
      <c r="Q55" s="9" t="n">
        <v>0.3547992706298828</v>
      </c>
      <c r="R55" s="9" t="n">
        <v>0.3127565383911133</v>
      </c>
      <c r="S55" s="9" t="n">
        <v>0.8059577941894531</v>
      </c>
      <c r="T55" s="9" t="n">
        <v>0.0</v>
      </c>
      <c r="U55">
        <f si="1" t="shared"/>
        <v>58.734817504882813</v>
      </c>
    </row>
    <row r="56" spans="1:21" x14ac:dyDescent="0.25">
      <c r="A56" s="12">
        <v>0.10416666666666667</v>
      </c>
      <c r="B56" s="6" t="n">
        <v>0.716766621025343</v>
      </c>
      <c r="C56" s="6" t="n">
        <v>0.0027047373391531214</v>
      </c>
      <c r="D56" s="6" t="n">
        <v>0.5077038725780828</v>
      </c>
      <c r="E56" s="6" t="n">
        <v>0.26214533295249515</v>
      </c>
      <c r="F56" s="6" t="n">
        <v>0.04466098685052629</v>
      </c>
      <c r="G56" s="6" t="n">
        <v>0.04255251654423813</v>
      </c>
      <c r="H56" s="6" t="n">
        <v>3.339905585448656E-4</v>
      </c>
      <c r="I56" s="6" t="n">
        <v>0.0</v>
      </c>
      <c r="J56" s="6">
        <f si="0" t="shared"/>
        <v>8.9107891910312986</v>
      </c>
      <c r="L56" s="12">
        <v>0.10416666666666667</v>
      </c>
      <c r="M56" s="9" t="n">
        <v>1.3746452331542969</v>
      </c>
      <c r="N56" s="9" t="n">
        <v>0.14224815368652344</v>
      </c>
      <c r="O56" s="9" t="n">
        <v>0.10242176055908203</v>
      </c>
      <c r="P56" s="9" t="n">
        <v>0.2631044387817383</v>
      </c>
      <c r="Q56" s="9" t="n">
        <v>0.0951080322265625</v>
      </c>
      <c r="R56" s="9" t="n">
        <v>0.08209800720214844</v>
      </c>
      <c r="S56" s="9" t="n">
        <v>0.21545886993408203</v>
      </c>
      <c r="T56" s="9" t="n">
        <v>0.0</v>
      </c>
      <c r="U56">
        <f si="1" t="shared"/>
        <v>16.073808670043945</v>
      </c>
    </row>
    <row r="57" spans="1:21" x14ac:dyDescent="0.25">
      <c r="A57" s="12">
        <v>0.125</v>
      </c>
      <c r="B57" s="6" t="n">
        <v>0.12922775755831456</v>
      </c>
      <c r="C57" s="6" t="n">
        <v>9.289008985269919E-5</v>
      </c>
      <c r="D57" s="6" t="n">
        <v>0.11539904520011185</v>
      </c>
      <c r="E57" s="6" t="n">
        <v>0.04107375786782701</v>
      </c>
      <c r="F57" s="6" t="n">
        <v>0.007174729856205593</v>
      </c>
      <c r="G57" s="6" t="n">
        <v>0.00434985933482292</v>
      </c>
      <c r="H57" s="6" t="n">
        <v>0.0</v>
      </c>
      <c r="I57" s="6" t="n">
        <v>0.0</v>
      </c>
      <c r="J57" s="6">
        <f si="0" t="shared"/>
        <v>1.9399963934298852</v>
      </c>
      <c r="L57" s="12">
        <v>0.125</v>
      </c>
      <c r="M57" s="9" t="n">
        <v>0.2831764221191406</v>
      </c>
      <c r="N57" s="9" t="n">
        <v>0.028909683227539062</v>
      </c>
      <c r="O57" s="9" t="n">
        <v>0.020586013793945312</v>
      </c>
      <c r="P57" s="9" t="n">
        <v>0.05405616760253906</v>
      </c>
      <c r="Q57" s="9" t="n">
        <v>0.019545555114746094</v>
      </c>
      <c r="R57" s="9" t="n">
        <v>0.016595840454101562</v>
      </c>
      <c r="S57" s="9" t="n">
        <v>0.04457378387451172</v>
      </c>
      <c r="T57" s="9" t="n">
        <v>0.0</v>
      </c>
      <c r="U57">
        <f si="1" t="shared"/>
        <v>3.3416366577148438</v>
      </c>
    </row>
    <row ht="15.75" r="58" spans="1:21" thickBot="1" x14ac:dyDescent="0.3">
      <c r="A58" s="13" t="s">
        <v>6</v>
      </c>
      <c r="B58" s="7" t="n">
        <v>0.0</v>
      </c>
      <c r="C58" s="7" t="n">
        <v>0.0</v>
      </c>
      <c r="D58" s="7" t="n">
        <v>0.0</v>
      </c>
      <c r="E58" s="7" t="n">
        <v>0.0</v>
      </c>
      <c r="F58" s="7" t="n">
        <v>0.0</v>
      </c>
      <c r="G58" s="7" t="n">
        <v>0.0</v>
      </c>
      <c r="H58" s="7" t="n">
        <v>0.0</v>
      </c>
      <c r="I58" s="7" t="n">
        <v>0.0</v>
      </c>
      <c r="J58" s="7">
        <f si="0" t="shared"/>
        <v>0</v>
      </c>
      <c r="L58" s="13" t="s">
        <v>6</v>
      </c>
      <c r="M58" s="10" t="n">
        <v>0.0</v>
      </c>
      <c r="N58" s="10" t="n">
        <v>0.0</v>
      </c>
      <c r="O58" s="10" t="n">
        <v>0.0</v>
      </c>
      <c r="P58" s="10" t="n">
        <v>0.0</v>
      </c>
      <c r="Q58" s="10" t="n">
        <v>0.0</v>
      </c>
      <c r="R58" s="10" t="n">
        <v>0.0</v>
      </c>
      <c r="S58" s="10" t="n">
        <v>0.0</v>
      </c>
      <c r="T58" s="10" t="n">
        <v>0.0</v>
      </c>
      <c r="U58" s="1">
        <f si="1" t="shared"/>
        <v>0</v>
      </c>
    </row>
  </sheetData>
  <pageMargins bottom="0.75" footer="0.3" header="0.3" left="0.7" right="0.7" top="0.75"/>
  <pageSetup orientation="portrait" r:id="rId1"/>
  <drawing r:id="rId2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7"/>
  <dimension ref="A1:AA58"/>
  <sheetViews>
    <sheetView workbookViewId="0">
      <selection activeCell="J1" sqref="J1:J1048576"/>
    </sheetView>
  </sheetViews>
  <sheetFormatPr defaultRowHeight="15" x14ac:dyDescent="0.25"/>
  <cols>
    <col min="1" max="1" customWidth="true" width="12.7109375" collapsed="true"/>
    <col min="2" max="10" customWidth="true" width="10.7109375" collapsed="true"/>
    <col min="11" max="11" customWidth="true" width="6.42578125" collapsed="true"/>
    <col min="12" max="12" customWidth="true" width="12.7109375" collapsed="true"/>
    <col min="13" max="21" customWidth="true" width="10.7109375" collapsed="true"/>
  </cols>
  <sheetData>
    <row r="1" spans="1:26" x14ac:dyDescent="0.25">
      <c r="A1" t="s">
        <v>30</v>
      </c>
    </row>
    <row r="2" spans="1:26" x14ac:dyDescent="0.25">
      <c r="A2" t="s">
        <v>59</v>
      </c>
    </row>
    <row r="3" spans="1:26" x14ac:dyDescent="0.25">
      <c r="A3" t="s">
        <v>7</v>
      </c>
    </row>
    <row r="4" spans="1:26" x14ac:dyDescent="0.25">
      <c r="A4" t="s">
        <v>8</v>
      </c>
    </row>
    <row r="5" spans="1:26" x14ac:dyDescent="0.25">
      <c r="W5" s="5"/>
      <c r="X5" s="5"/>
      <c r="Y5" s="5"/>
      <c r="Z5" s="5"/>
    </row>
    <row ht="15.75" r="6" spans="1:26" thickBot="1" x14ac:dyDescent="0.3">
      <c r="A6" s="3" t="s">
        <v>54</v>
      </c>
      <c r="B6" s="1"/>
      <c r="C6" s="1"/>
      <c r="D6" s="1"/>
      <c r="E6" s="1"/>
      <c r="F6" s="1"/>
      <c r="G6" s="1"/>
      <c r="H6" s="1"/>
      <c r="I6" s="1"/>
      <c r="J6" s="1"/>
      <c r="L6" s="3" t="s">
        <v>31</v>
      </c>
      <c r="M6" s="1"/>
      <c r="N6" s="1"/>
      <c r="O6" s="1"/>
      <c r="P6" s="1"/>
      <c r="Q6" s="1"/>
      <c r="R6" s="1"/>
      <c r="S6" s="1"/>
      <c r="T6" s="1"/>
      <c r="U6" s="1"/>
      <c r="W6" s="11"/>
      <c r="X6" s="5"/>
      <c r="Y6" s="5"/>
      <c r="Z6" s="5"/>
    </row>
    <row r="7" spans="1:26" x14ac:dyDescent="0.25">
      <c r="A7" s="2" t="s">
        <v>4</v>
      </c>
      <c r="B7" s="4" t="s">
        <v>17</v>
      </c>
      <c r="C7" s="4" t="s">
        <v>18</v>
      </c>
      <c r="D7" s="4" t="s">
        <v>19</v>
      </c>
      <c r="E7" s="4" t="s">
        <v>20</v>
      </c>
      <c r="F7" s="4" t="s">
        <v>21</v>
      </c>
      <c r="G7" s="4" t="s">
        <v>24</v>
      </c>
      <c r="H7" s="4" t="s">
        <v>22</v>
      </c>
      <c r="I7" s="4" t="s">
        <v>23</v>
      </c>
      <c r="J7" s="4" t="s">
        <v>0</v>
      </c>
      <c r="L7" s="2" t="s">
        <v>4</v>
      </c>
      <c r="M7" s="4" t="s">
        <v>17</v>
      </c>
      <c r="N7" s="4" t="s">
        <v>18</v>
      </c>
      <c r="O7" s="4" t="s">
        <v>19</v>
      </c>
      <c r="P7" s="4" t="s">
        <v>20</v>
      </c>
      <c r="Q7" s="4" t="s">
        <v>21</v>
      </c>
      <c r="R7" s="4" t="s">
        <v>24</v>
      </c>
      <c r="S7" s="4" t="s">
        <v>22</v>
      </c>
      <c r="T7" s="4" t="s">
        <v>23</v>
      </c>
      <c r="U7" s="4" t="s">
        <v>0</v>
      </c>
      <c r="W7" s="5"/>
      <c r="X7" s="14"/>
      <c r="Y7" s="14"/>
      <c r="Z7" s="5"/>
    </row>
    <row r="8" spans="1:26" x14ac:dyDescent="0.25">
      <c r="A8" t="s">
        <v>5</v>
      </c>
      <c r="B8" s="6" t="n">
        <v>0.0</v>
      </c>
      <c r="C8" s="6" t="n">
        <v>0.0</v>
      </c>
      <c r="D8" s="6" t="n">
        <v>0.0</v>
      </c>
      <c r="E8" s="6" t="n">
        <v>0.0</v>
      </c>
      <c r="F8" s="6" t="n">
        <v>0.0</v>
      </c>
      <c r="G8" s="6" t="n">
        <v>0.0</v>
      </c>
      <c r="H8" s="6" t="n">
        <v>0.0</v>
      </c>
      <c r="I8" s="6" t="n">
        <v>0.0</v>
      </c>
      <c r="J8" s="6">
        <f>SUM(B8:I8)</f>
        <v>0</v>
      </c>
      <c r="L8" t="s">
        <v>5</v>
      </c>
      <c r="M8" s="9" t="n">
        <v>9.0</v>
      </c>
      <c r="N8" s="9" t="n">
        <v>2.0</v>
      </c>
      <c r="O8" s="9" t="n">
        <v>0.0</v>
      </c>
      <c r="P8" s="9" t="n">
        <v>0.0</v>
      </c>
      <c r="Q8" s="9" t="n">
        <v>1.0</v>
      </c>
      <c r="R8" s="9" t="n">
        <v>0.0</v>
      </c>
      <c r="S8" s="9" t="n">
        <v>0.0</v>
      </c>
      <c r="T8" s="9" t="n">
        <v>0.0</v>
      </c>
      <c r="U8">
        <f>SUM(M8:T8)</f>
        <v>75</v>
      </c>
      <c r="W8" s="5"/>
      <c r="X8" s="16"/>
      <c r="Y8" s="16"/>
      <c r="Z8" s="5"/>
    </row>
    <row r="9" spans="1:26" x14ac:dyDescent="0.25">
      <c r="A9" s="12">
        <v>0.125</v>
      </c>
      <c r="B9" s="6" t="n">
        <v>0.3730025792236442</v>
      </c>
      <c r="C9" s="6" t="n">
        <v>1.1269075557837391E-4</v>
      </c>
      <c r="D9" s="6" t="n">
        <v>0.0</v>
      </c>
      <c r="E9" s="6" t="n">
        <v>0.0</v>
      </c>
      <c r="F9" s="6" t="n">
        <v>0.0</v>
      </c>
      <c r="G9" s="6" t="n">
        <v>0.0</v>
      </c>
      <c r="H9" s="6" t="n">
        <v>0.0</v>
      </c>
      <c r="I9" s="6" t="n">
        <v>0.0</v>
      </c>
      <c r="J9" s="6">
        <f ref="J9:J58" si="0" t="shared">SUM(B9:I9)</f>
        <v>9.2755969790815556</v>
      </c>
      <c r="L9" s="12">
        <v>0.125</v>
      </c>
      <c r="M9" s="9" t="n">
        <v>9.152514457702637</v>
      </c>
      <c r="N9" s="9" t="n">
        <v>1.5293874740600586</v>
      </c>
      <c r="O9" s="9" t="n">
        <v>0.0</v>
      </c>
      <c r="P9" s="9" t="n">
        <v>0.0</v>
      </c>
      <c r="Q9" s="9" t="n">
        <v>0.6960115432739258</v>
      </c>
      <c r="R9" s="9" t="n">
        <v>2.02178955078125E-4</v>
      </c>
      <c r="S9" s="9" t="n">
        <v>0.0</v>
      </c>
      <c r="T9" s="9" t="n">
        <v>0.0</v>
      </c>
      <c r="U9">
        <f ref="U9:U58" si="1" t="shared">SUM(M9:T9)</f>
        <v>85.604019165039063</v>
      </c>
      <c r="W9" s="5"/>
      <c r="X9" s="16"/>
      <c r="Y9" s="16"/>
      <c r="Z9" s="5"/>
    </row>
    <row r="10" spans="1:26" x14ac:dyDescent="0.25">
      <c r="A10" s="12">
        <v>0.14583333333333334</v>
      </c>
      <c r="B10" s="6" t="n">
        <v>1.733284085757743</v>
      </c>
      <c r="C10" s="6" t="n">
        <v>0.0022794552439440747</v>
      </c>
      <c r="D10" s="6" t="n">
        <v>0.0</v>
      </c>
      <c r="E10" s="6" t="n">
        <v>0.0</v>
      </c>
      <c r="F10" s="6" t="n">
        <v>0.0</v>
      </c>
      <c r="G10" s="6" t="n">
        <v>0.0</v>
      </c>
      <c r="H10" s="6" t="n">
        <v>0.0</v>
      </c>
      <c r="I10" s="6" t="n">
        <v>0.0</v>
      </c>
      <c r="J10" s="6">
        <f si="0" t="shared"/>
        <v>29.553779201966535</v>
      </c>
      <c r="L10" s="12">
        <v>0.14583333333333334</v>
      </c>
      <c r="M10" s="9" t="n">
        <v>9.926234245300293</v>
      </c>
      <c r="N10" s="9" t="n">
        <v>1.1796941757202148</v>
      </c>
      <c r="O10" s="9" t="n">
        <v>0.0</v>
      </c>
      <c r="P10" s="9" t="n">
        <v>0.0</v>
      </c>
      <c r="Q10" s="9" t="n">
        <v>0.4566354751586914</v>
      </c>
      <c r="R10" s="9" t="n">
        <v>0.0013275146484375</v>
      </c>
      <c r="S10" s="9" t="n">
        <v>0.0</v>
      </c>
      <c r="T10" s="9" t="n">
        <v>0.0</v>
      </c>
      <c r="U10">
        <f si="1" t="shared"/>
        <v>106.40270233154297</v>
      </c>
      <c r="W10" s="5"/>
      <c r="X10" s="16"/>
      <c r="Y10" s="16"/>
      <c r="Z10" s="5"/>
    </row>
    <row r="11" spans="1:26" x14ac:dyDescent="0.25">
      <c r="A11" s="12">
        <v>0.16666666666666666</v>
      </c>
      <c r="B11" s="6" t="n">
        <v>6.250749896312047</v>
      </c>
      <c r="C11" s="6" t="n">
        <v>0.022109498836914963</v>
      </c>
      <c r="D11" s="6" t="n">
        <v>0.0</v>
      </c>
      <c r="E11" s="6" t="n">
        <v>0.0</v>
      </c>
      <c r="F11" s="6" t="n">
        <v>0.0</v>
      </c>
      <c r="G11" s="6" t="n">
        <v>0.0</v>
      </c>
      <c r="H11" s="6" t="n">
        <v>0.0</v>
      </c>
      <c r="I11" s="6" t="n">
        <v>0.0</v>
      </c>
      <c r="J11" s="6">
        <f si="0" t="shared"/>
        <v>74.252214939777673</v>
      </c>
      <c r="L11" s="12">
        <v>0.16666666666666666</v>
      </c>
      <c r="M11" s="9" t="n">
        <v>11.92293643951416</v>
      </c>
      <c r="N11" s="9" t="n">
        <v>1.0529747009277344</v>
      </c>
      <c r="O11" s="9" t="n">
        <v>0.0</v>
      </c>
      <c r="P11" s="9" t="n">
        <v>0.0</v>
      </c>
      <c r="Q11" s="9" t="n">
        <v>0.3126049041748047</v>
      </c>
      <c r="R11" s="9" t="n">
        <v>0.006290435791015625</v>
      </c>
      <c r="S11" s="9" t="n">
        <v>0.0</v>
      </c>
      <c r="T11" s="9" t="n">
        <v>0.0</v>
      </c>
      <c r="U11">
        <f si="1" t="shared"/>
        <v>147.27702140808105</v>
      </c>
      <c r="W11" s="5"/>
      <c r="X11" s="16"/>
      <c r="Y11" s="16"/>
      <c r="Z11" s="5"/>
    </row>
    <row r="12" spans="1:26" x14ac:dyDescent="0.25">
      <c r="A12" s="12">
        <v>0.1875</v>
      </c>
      <c r="B12" s="6" t="n">
        <v>18.67827319935194</v>
      </c>
      <c r="C12" s="6" t="n">
        <v>0.13721494884915958</v>
      </c>
      <c r="D12" s="6" t="n">
        <v>0.0</v>
      </c>
      <c r="E12" s="6" t="n">
        <v>0.0</v>
      </c>
      <c r="F12" s="6" t="n">
        <v>6.222368744867258E-5</v>
      </c>
      <c r="G12" s="6" t="n">
        <v>0.0</v>
      </c>
      <c r="H12" s="6" t="n">
        <v>0.0</v>
      </c>
      <c r="I12" s="6" t="n">
        <v>0.0</v>
      </c>
      <c r="J12" s="6">
        <f si="0" t="shared"/>
        <v>159.37382889704978</v>
      </c>
      <c r="L12" s="12">
        <v>0.1875</v>
      </c>
      <c r="M12" s="9" t="n">
        <v>16.13502788543701</v>
      </c>
      <c r="N12" s="9" t="n">
        <v>1.2595510482788086</v>
      </c>
      <c r="O12" s="9" t="n">
        <v>0.0</v>
      </c>
      <c r="P12" s="9" t="n">
        <v>0.0</v>
      </c>
      <c r="Q12" s="9" t="n">
        <v>0.2557506561279297</v>
      </c>
      <c r="R12" s="9" t="n">
        <v>0.023050308227539062</v>
      </c>
      <c r="S12" s="9" t="n">
        <v>0.0</v>
      </c>
      <c r="T12" s="9" t="n">
        <v>0.0</v>
      </c>
      <c r="U12">
        <f si="1" t="shared"/>
        <v>222.03940391540527</v>
      </c>
      <c r="W12" s="5"/>
      <c r="X12" s="5"/>
      <c r="Y12" s="5"/>
      <c r="Z12" s="5"/>
    </row>
    <row r="13" spans="1:26" x14ac:dyDescent="0.25">
      <c r="A13" s="12">
        <v>0.20833333333333334</v>
      </c>
      <c r="B13" s="6" t="n">
        <v>47.83420544971076</v>
      </c>
      <c r="C13" s="6" t="n">
        <v>0.6138770219088258</v>
      </c>
      <c r="D13" s="6" t="n">
        <v>0.0</v>
      </c>
      <c r="E13" s="6" t="n">
        <v>0.0</v>
      </c>
      <c r="F13" s="6" t="n">
        <v>0.0012925050720830776</v>
      </c>
      <c r="G13" s="6" t="n">
        <v>0.0</v>
      </c>
      <c r="H13" s="6" t="n">
        <v>0.0</v>
      </c>
      <c r="I13" s="6" t="n">
        <v>0.0</v>
      </c>
      <c r="J13" s="6">
        <f si="0" t="shared"/>
        <v>302.78287338129905</v>
      </c>
      <c r="L13" s="12">
        <v>0.20833333333333334</v>
      </c>
      <c r="M13" s="9" t="n">
        <v>24.89608669281006</v>
      </c>
      <c r="N13" s="9" t="n">
        <v>1.9869365692138672</v>
      </c>
      <c r="O13" s="9" t="n">
        <v>0.0</v>
      </c>
      <c r="P13" s="9" t="n">
        <v>0.0</v>
      </c>
      <c r="Q13" s="9" t="n">
        <v>0.26987361907958984</v>
      </c>
      <c r="R13" s="9" t="n">
        <v>0.06800556182861328</v>
      </c>
      <c r="S13" s="9" t="n">
        <v>0.0</v>
      </c>
      <c r="T13" s="9" t="n">
        <v>0.0</v>
      </c>
      <c r="U13">
        <f si="1" t="shared"/>
        <v>356.43599510192871</v>
      </c>
    </row>
    <row r="14" spans="1:26" x14ac:dyDescent="0.25">
      <c r="A14" s="12">
        <v>0.22916666666666666</v>
      </c>
      <c r="B14" s="6" t="n">
        <v>107.26025433651252</v>
      </c>
      <c r="C14" s="6" t="n">
        <v>2.116398409637253</v>
      </c>
      <c r="D14" s="6" t="n">
        <v>0.0</v>
      </c>
      <c r="E14" s="6" t="n">
        <v>0.0</v>
      </c>
      <c r="F14" s="6" t="n">
        <v>0.012783127077440315</v>
      </c>
      <c r="G14" s="6" t="n">
        <v>0.0</v>
      </c>
      <c r="H14" s="6" t="n">
        <v>0.0</v>
      </c>
      <c r="I14" s="6" t="n">
        <v>0.0</v>
      </c>
      <c r="J14" s="6">
        <f si="0" t="shared"/>
        <v>526.44090161910401</v>
      </c>
      <c r="L14" s="12">
        <v>0.22916666666666666</v>
      </c>
      <c r="M14" s="9" t="n">
        <v>42.93270015716553</v>
      </c>
      <c r="N14" s="9" t="n">
        <v>3.560588836669922</v>
      </c>
      <c r="O14" s="9" t="n">
        <v>0.0</v>
      </c>
      <c r="P14" s="9" t="n">
        <v>0.0</v>
      </c>
      <c r="Q14" s="9" t="n">
        <v>0.3776521682739258</v>
      </c>
      <c r="R14" s="9" t="n">
        <v>0.16615676879882812</v>
      </c>
      <c r="S14" s="9" t="n">
        <v>0.0</v>
      </c>
      <c r="T14" s="9" t="n">
        <v>0.0</v>
      </c>
      <c r="U14">
        <f si="1" t="shared"/>
        <v>591.959547996521</v>
      </c>
    </row>
    <row r="15" spans="1:26" x14ac:dyDescent="0.25">
      <c r="A15" s="12">
        <v>0.25</v>
      </c>
      <c r="B15" s="6" t="n">
        <v>213.2890241666631</v>
      </c>
      <c r="C15" s="6" t="n">
        <v>5.874856705259336</v>
      </c>
      <c r="D15" s="6" t="n">
        <v>0.0</v>
      </c>
      <c r="E15" s="6" t="n">
        <v>4.648895401627092E-5</v>
      </c>
      <c r="F15" s="6" t="n">
        <v>0.08006095508231571</v>
      </c>
      <c r="G15" s="6" t="n">
        <v>0.0</v>
      </c>
      <c r="H15" s="6" t="n">
        <v>0.0</v>
      </c>
      <c r="I15" s="6" t="n">
        <v>0.0</v>
      </c>
      <c r="J15" s="6">
        <f si="0" t="shared"/>
        <v>861.40272217945869</v>
      </c>
      <c r="L15" s="12">
        <v>0.25</v>
      </c>
      <c r="M15" s="9" t="n">
        <v>78.1442928314209</v>
      </c>
      <c r="N15" s="9" t="n">
        <v>6.4815168380737305</v>
      </c>
      <c r="O15" s="9" t="n">
        <v>0.0</v>
      </c>
      <c r="P15" s="9" t="n">
        <v>0.0</v>
      </c>
      <c r="Q15" s="9" t="n">
        <v>0.6750707626342773</v>
      </c>
      <c r="R15" s="9" t="n">
        <v>0.34418201446533203</v>
      </c>
      <c r="S15" s="9" t="n">
        <v>0.0</v>
      </c>
      <c r="T15" s="9" t="n">
        <v>0.0</v>
      </c>
      <c r="U15">
        <f si="1" t="shared"/>
        <v>976.79265022277832</v>
      </c>
    </row>
    <row r="16" spans="1:26" x14ac:dyDescent="0.25">
      <c r="A16" s="12">
        <v>0.27083333333333331</v>
      </c>
      <c r="B16" s="6" t="n">
        <v>379.42714667127825</v>
      </c>
      <c r="C16" s="6" t="n">
        <v>13.565370872556814</v>
      </c>
      <c r="D16" s="6" t="n">
        <v>0.0</v>
      </c>
      <c r="E16" s="6" t="n">
        <v>9.297790803254186E-4</v>
      </c>
      <c r="F16" s="6" t="n">
        <v>0.35622947403379246</v>
      </c>
      <c r="G16" s="6" t="n">
        <v>0.0</v>
      </c>
      <c r="H16" s="6" t="n">
        <v>0.0</v>
      </c>
      <c r="I16" s="6" t="n">
        <v>0.0</v>
      </c>
      <c r="J16" s="6">
        <f si="0" t="shared"/>
        <v>1346.9985374775301</v>
      </c>
      <c r="L16" s="12">
        <v>0.27083333333333331</v>
      </c>
      <c r="M16" s="9" t="n">
        <v>143.6569538116455</v>
      </c>
      <c r="N16" s="9" t="n">
        <v>11.572125434875488</v>
      </c>
      <c r="O16" s="9" t="n">
        <v>0.0</v>
      </c>
      <c r="P16" s="9" t="n">
        <v>0.0</v>
      </c>
      <c r="Q16" s="9" t="n">
        <v>1.350250244140625</v>
      </c>
      <c r="R16" s="9" t="n">
        <v>0.6204357147216797</v>
      </c>
      <c r="S16" s="9" t="n">
        <v>0.0</v>
      </c>
      <c r="T16" s="9" t="n">
        <v>0.0</v>
      </c>
      <c r="U16">
        <f si="1" t="shared"/>
        <v>1546.8109273910522</v>
      </c>
    </row>
    <row r="17" spans="1:21" x14ac:dyDescent="0.25">
      <c r="A17" s="12">
        <v>0.29166666666666669</v>
      </c>
      <c r="B17" s="6" t="n">
        <v>610.1224752879482</v>
      </c>
      <c r="C17" s="6" t="n">
        <v>26.796257383705054</v>
      </c>
      <c r="D17" s="6" t="n">
        <v>0.0</v>
      </c>
      <c r="E17" s="6" t="n">
        <v>0.008858194330918605</v>
      </c>
      <c r="F17" s="6" t="n">
        <v>1.1974278106703584</v>
      </c>
      <c r="G17" s="6" t="n">
        <v>0.0</v>
      </c>
      <c r="H17" s="6" t="n">
        <v>0.0</v>
      </c>
      <c r="I17" s="6" t="n">
        <v>0.0</v>
      </c>
      <c r="J17" s="6">
        <f si="0" t="shared"/>
        <v>2015.0086261070048</v>
      </c>
      <c r="L17" s="12">
        <v>0.29166666666666669</v>
      </c>
      <c r="M17" s="9" t="n">
        <v>265.4318017959595</v>
      </c>
      <c r="N17" s="9" t="n">
        <v>20.494531631469727</v>
      </c>
      <c r="O17" s="9" t="n">
        <v>0.0</v>
      </c>
      <c r="P17" s="9" t="n">
        <v>0.0</v>
      </c>
      <c r="Q17" s="9" t="n">
        <v>2.728611946105957</v>
      </c>
      <c r="R17" s="9" t="n">
        <v>1.009765625</v>
      </c>
      <c r="S17" s="9" t="n">
        <v>0.0</v>
      </c>
      <c r="T17" s="9" t="n">
        <v>0.0</v>
      </c>
      <c r="U17">
        <f si="1" t="shared"/>
        <v>2314.4789981842041</v>
      </c>
    </row>
    <row r="18" spans="1:21" x14ac:dyDescent="0.25">
      <c r="A18" s="12">
        <v>0.3125</v>
      </c>
      <c r="B18" s="6" t="n">
        <v>903.4224376056428</v>
      </c>
      <c r="C18" s="6" t="n">
        <v>46.64120609187677</v>
      </c>
      <c r="D18" s="6" t="n">
        <v>0.0</v>
      </c>
      <c r="E18" s="6" t="n">
        <v>0.053569496055885124</v>
      </c>
      <c r="F18" s="6" t="n">
        <v>3.1564677590021932</v>
      </c>
      <c r="G18" s="6" t="n">
        <v>0.0</v>
      </c>
      <c r="H18" s="6" t="n">
        <v>0.0</v>
      </c>
      <c r="I18" s="6" t="n">
        <v>0.0</v>
      </c>
      <c r="J18" s="6">
        <f si="0" t="shared"/>
        <v>2864.7425476357062</v>
      </c>
      <c r="L18" s="12">
        <v>0.3125</v>
      </c>
      <c r="M18" s="9" t="n">
        <v>497.55110359191895</v>
      </c>
      <c r="N18" s="9" t="n">
        <v>36.69243240356445</v>
      </c>
      <c r="O18" s="9" t="n">
        <v>0.0</v>
      </c>
      <c r="P18" s="9" t="n">
        <v>0.0</v>
      </c>
      <c r="Q18" s="9" t="n">
        <v>5.3852128982543945</v>
      </c>
      <c r="R18" s="9" t="n">
        <v>1.560532569885254</v>
      </c>
      <c r="S18" s="9" t="n">
        <v>0.0</v>
      </c>
      <c r="T18" s="9" t="n">
        <v>0.0</v>
      </c>
      <c r="U18">
        <f si="1" t="shared"/>
        <v>3280.6339693069458</v>
      </c>
    </row>
    <row r="19" spans="1:21" x14ac:dyDescent="0.25">
      <c r="A19" s="12">
        <v>0.33333333333333331</v>
      </c>
      <c r="B19" s="6" t="n">
        <v>1274.744785224415</v>
      </c>
      <c r="C19" s="6" t="n">
        <v>74.22363455825743</v>
      </c>
      <c r="D19" s="6" t="n">
        <v>0.0</v>
      </c>
      <c r="E19" s="6" t="n">
        <v>0.23136920751186082</v>
      </c>
      <c r="F19" s="6" t="n">
        <v>6.685274334750209</v>
      </c>
      <c r="G19" s="6" t="n">
        <v>0.0</v>
      </c>
      <c r="H19" s="6" t="n">
        <v>0.0</v>
      </c>
      <c r="I19" s="6" t="n">
        <v>0.0</v>
      </c>
      <c r="J19" s="6">
        <f si="0" t="shared"/>
        <v>3854.0376686832728</v>
      </c>
      <c r="L19" s="12">
        <v>0.33333333333333331</v>
      </c>
      <c r="M19" s="9" t="n">
        <v>934.9160203933716</v>
      </c>
      <c r="N19" s="9" t="n">
        <v>66.03200817108154</v>
      </c>
      <c r="O19" s="9" t="n">
        <v>0.0</v>
      </c>
      <c r="P19" s="9" t="n">
        <v>0.0</v>
      </c>
      <c r="Q19" s="9" t="n">
        <v>10.250375747680664</v>
      </c>
      <c r="R19" s="9" t="n">
        <v>2.4039716720581055</v>
      </c>
      <c r="S19" s="9" t="n">
        <v>0.0</v>
      </c>
      <c r="T19" s="9" t="n">
        <v>0.0</v>
      </c>
      <c r="U19">
        <f si="1" t="shared"/>
        <v>4458.0482959747314</v>
      </c>
    </row>
    <row r="20" spans="1:21" x14ac:dyDescent="0.25">
      <c r="A20" s="12">
        <v>0.35416666666666669</v>
      </c>
      <c r="B20" s="6" t="n">
        <v>1804.0706584684099</v>
      </c>
      <c r="C20" s="6" t="n">
        <v>112.85322354255524</v>
      </c>
      <c r="D20" s="6" t="n">
        <v>0.0</v>
      </c>
      <c r="E20" s="6" t="n">
        <v>0.7621819933419915</v>
      </c>
      <c r="F20" s="6" t="n">
        <v>11.561706075367507</v>
      </c>
      <c r="G20" s="6" t="n">
        <v>0.0</v>
      </c>
      <c r="H20" s="6" t="n">
        <v>0.0</v>
      </c>
      <c r="I20" s="6" t="n">
        <v>0.0</v>
      </c>
      <c r="J20" s="6">
        <f si="0" t="shared"/>
        <v>4929.3611634782355</v>
      </c>
      <c r="L20" s="12">
        <v>0.35416666666666669</v>
      </c>
      <c r="M20" s="9" t="n">
        <v>1699.0422840118408</v>
      </c>
      <c r="N20" s="9" t="n">
        <v>115.69419288635254</v>
      </c>
      <c r="O20" s="9" t="n">
        <v>0.0</v>
      </c>
      <c r="P20" s="9" t="n">
        <v>0.0</v>
      </c>
      <c r="Q20" s="9" t="n">
        <v>18.484179496765137</v>
      </c>
      <c r="R20" s="9" t="n">
        <v>3.7467575073242188</v>
      </c>
      <c r="S20" s="9" t="n">
        <v>0.0</v>
      </c>
      <c r="T20" s="9" t="n">
        <v>0.0</v>
      </c>
      <c r="U20">
        <f si="1" t="shared"/>
        <v>5874.0244388580322</v>
      </c>
    </row>
    <row r="21" spans="1:21" x14ac:dyDescent="0.25">
      <c r="A21" s="12">
        <v>0.375</v>
      </c>
      <c r="B21" s="6" t="n">
        <v>2678.4812654142625</v>
      </c>
      <c r="C21" s="6" t="n">
        <v>169.89923877908836</v>
      </c>
      <c r="D21" s="6" t="n">
        <v>0.0</v>
      </c>
      <c r="E21" s="6" t="n">
        <v>1.9999556889979009</v>
      </c>
      <c r="F21" s="6" t="n">
        <v>16.501596315998658</v>
      </c>
      <c r="G21" s="6" t="n">
        <v>0.0</v>
      </c>
      <c r="H21" s="6" t="n">
        <v>0.0</v>
      </c>
      <c r="I21" s="6" t="n">
        <v>0.0</v>
      </c>
      <c r="J21" s="6">
        <f si="0" t="shared"/>
        <v>6084.4429017810007</v>
      </c>
      <c r="L21" s="12">
        <v>0.375</v>
      </c>
      <c r="M21" s="9" t="n">
        <v>2881.0877962112427</v>
      </c>
      <c r="N21" s="9" t="n">
        <v>190.59551239013672</v>
      </c>
      <c r="O21" s="9" t="n">
        <v>0.0</v>
      </c>
      <c r="P21" s="9" t="n">
        <v>0.0</v>
      </c>
      <c r="Q21" s="9" t="n">
        <v>30.959556579589844</v>
      </c>
      <c r="R21" s="9" t="n">
        <v>5.755697250366211</v>
      </c>
      <c r="S21" s="9" t="n">
        <v>0.0</v>
      </c>
      <c r="T21" s="9" t="n">
        <v>0.0</v>
      </c>
      <c r="U21">
        <f si="1" t="shared"/>
        <v>7534.4491910934448</v>
      </c>
    </row>
    <row r="22" spans="1:21" x14ac:dyDescent="0.25">
      <c r="A22" s="12">
        <v>0.39583333333333331</v>
      </c>
      <c r="B22" s="6" t="n">
        <v>4161.66153149336</v>
      </c>
      <c r="C22" s="6" t="n">
        <v>254.31297097246735</v>
      </c>
      <c r="D22" s="6" t="n">
        <v>0.0</v>
      </c>
      <c r="E22" s="6" t="n">
        <v>4.316837839178528</v>
      </c>
      <c r="F22" s="6" t="n">
        <v>19.563540627759767</v>
      </c>
      <c r="G22" s="6" t="n">
        <v>0.0</v>
      </c>
      <c r="H22" s="6" t="n">
        <v>0.0</v>
      </c>
      <c r="I22" s="6" t="n">
        <v>0.0</v>
      </c>
      <c r="J22" s="6">
        <f si="0" t="shared"/>
        <v>7394.39732239964</v>
      </c>
      <c r="L22" s="12">
        <v>0.39583333333333331</v>
      </c>
      <c r="M22" s="9" t="n">
        <v>4465.4935693740845</v>
      </c>
      <c r="N22" s="9" t="n">
        <v>289.0330743789673</v>
      </c>
      <c r="O22" s="9" t="n">
        <v>0.0</v>
      </c>
      <c r="P22" s="9" t="n">
        <v>0.0</v>
      </c>
      <c r="Q22" s="9" t="n">
        <v>47.565497398376465</v>
      </c>
      <c r="R22" s="9" t="n">
        <v>8.396598815917969</v>
      </c>
      <c r="S22" s="9" t="n">
        <v>0.0</v>
      </c>
      <c r="T22" s="9" t="n">
        <v>0.0</v>
      </c>
      <c r="U22">
        <f si="1" t="shared"/>
        <v>9373.2788801193237</v>
      </c>
    </row>
    <row r="23" spans="1:21" x14ac:dyDescent="0.25">
      <c r="A23" s="12">
        <v>0.41666666666666669</v>
      </c>
      <c r="B23" s="6" t="n">
        <v>6426.781507350601</v>
      </c>
      <c r="C23" s="6" t="n">
        <v>367.927211750081</v>
      </c>
      <c r="D23" s="6" t="n">
        <v>0.0</v>
      </c>
      <c r="E23" s="6" t="n">
        <v>7.86335812719444</v>
      </c>
      <c r="F23" s="6" t="n">
        <v>19.32516567632114</v>
      </c>
      <c r="G23" s="6" t="n">
        <v>0.0</v>
      </c>
      <c r="H23" s="6" t="n">
        <v>0.0</v>
      </c>
      <c r="I23" s="6" t="n">
        <v>0.0</v>
      </c>
      <c r="J23" s="6">
        <f si="0" t="shared"/>
        <v>8966.7022865749841</v>
      </c>
      <c r="L23" s="12">
        <v>0.41666666666666669</v>
      </c>
      <c r="M23" s="9" t="n">
        <v>6289.473010063171</v>
      </c>
      <c r="N23" s="9" t="n">
        <v>400.8421878814697</v>
      </c>
      <c r="O23" s="9" t="n">
        <v>0.0</v>
      </c>
      <c r="P23" s="9" t="n">
        <v>0.0</v>
      </c>
      <c r="Q23" s="9" t="n">
        <v>66.83584308624268</v>
      </c>
      <c r="R23" s="9" t="n">
        <v>11.375212669372559</v>
      </c>
      <c r="S23" s="9" t="n">
        <v>0.0</v>
      </c>
      <c r="T23" s="9" t="n">
        <v>0.0</v>
      </c>
      <c r="U23">
        <f si="1" t="shared"/>
        <v>11229.774494171143</v>
      </c>
    </row>
    <row r="24" spans="1:21" x14ac:dyDescent="0.25">
      <c r="A24" s="12">
        <v>0.4375</v>
      </c>
      <c r="B24" s="6" t="n">
        <v>9302.050918111883</v>
      </c>
      <c r="C24" s="6" t="n">
        <v>496.23589512765955</v>
      </c>
      <c r="D24" s="6" t="n">
        <v>0.0</v>
      </c>
      <c r="E24" s="6" t="n">
        <v>12.335966536495075</v>
      </c>
      <c r="F24" s="6" t="n">
        <v>15.9056589374021</v>
      </c>
      <c r="G24" s="6" t="n">
        <v>0.0</v>
      </c>
      <c r="H24" s="6" t="n">
        <v>0.0</v>
      </c>
      <c r="I24" s="6" t="n">
        <v>0.0</v>
      </c>
      <c r="J24" s="6">
        <f si="0" t="shared"/>
        <v>10807.740505419841</v>
      </c>
      <c r="L24" s="12">
        <v>0.4375</v>
      </c>
      <c r="M24" s="9" t="n">
        <v>8071.212968826294</v>
      </c>
      <c r="N24" s="9" t="n">
        <v>509.5147714614868</v>
      </c>
      <c r="O24" s="9" t="n">
        <v>0.0</v>
      </c>
      <c r="P24" s="9" t="n">
        <v>0.0</v>
      </c>
      <c r="Q24" s="9" t="n">
        <v>86.1721887588501</v>
      </c>
      <c r="R24" s="9" t="n">
        <v>14.245285034179688</v>
      </c>
      <c r="S24" s="9" t="n">
        <v>0.0</v>
      </c>
      <c r="T24" s="9" t="n">
        <v>0.0</v>
      </c>
      <c r="U24">
        <f si="1" t="shared"/>
        <v>12867.705812454224</v>
      </c>
    </row>
    <row r="25" spans="1:21" x14ac:dyDescent="0.25">
      <c r="A25" s="12">
        <v>0.45833333333333331</v>
      </c>
      <c r="B25" s="6" t="n">
        <v>12141.94638635579</v>
      </c>
      <c r="C25" s="6" t="n">
        <v>609.0945319965887</v>
      </c>
      <c r="D25" s="6" t="n">
        <v>0.0</v>
      </c>
      <c r="E25" s="6" t="n">
        <v>16.90920734633992</v>
      </c>
      <c r="F25" s="6" t="n">
        <v>10.87408602314071</v>
      </c>
      <c r="G25" s="6" t="n">
        <v>0.0</v>
      </c>
      <c r="H25" s="6" t="n">
        <v>0.0</v>
      </c>
      <c r="I25" s="6" t="n">
        <v>0.0</v>
      </c>
      <c r="J25" s="6">
        <f si="0" t="shared"/>
        <v>12692.90196089014</v>
      </c>
      <c r="L25" s="12">
        <v>0.45833333333333331</v>
      </c>
      <c r="M25" s="9" t="n">
        <v>9484.53621006012</v>
      </c>
      <c r="N25" s="9" t="n">
        <v>596.3909883499146</v>
      </c>
      <c r="O25" s="9" t="n">
        <v>0.0</v>
      </c>
      <c r="P25" s="9" t="n">
        <v>0.0</v>
      </c>
      <c r="Q25" s="9" t="n">
        <v>102.42917346954346</v>
      </c>
      <c r="R25" s="9" t="n">
        <v>16.580949783325195</v>
      </c>
      <c r="S25" s="9" t="n">
        <v>0.0</v>
      </c>
      <c r="T25" s="9" t="n">
        <v>0.0</v>
      </c>
      <c r="U25">
        <f si="1" t="shared"/>
        <v>14018.579888343811</v>
      </c>
    </row>
    <row r="26" spans="1:21" x14ac:dyDescent="0.25">
      <c r="A26" s="12">
        <v>0.47916666666666669</v>
      </c>
      <c r="B26" s="6" t="n">
        <v>14040.28604467707</v>
      </c>
      <c r="C26" s="6" t="n">
        <v>674.7051420607941</v>
      </c>
      <c r="D26" s="6" t="n">
        <v>0.0</v>
      </c>
      <c r="E26" s="6" t="n">
        <v>20.39913879519772</v>
      </c>
      <c r="F26" s="6" t="n">
        <v>6.135178292968773</v>
      </c>
      <c r="G26" s="6" t="n">
        <v>0.0</v>
      </c>
      <c r="H26" s="6" t="n">
        <v>0.0</v>
      </c>
      <c r="I26" s="6" t="n">
        <v>0.0</v>
      </c>
      <c r="J26" s="6">
        <f si="0" t="shared"/>
        <v>14169.397972966854</v>
      </c>
      <c r="L26" s="12">
        <v>0.47916666666666669</v>
      </c>
      <c r="M26" s="9" t="n">
        <v>10242.259036064148</v>
      </c>
      <c r="N26" s="9" t="n">
        <v>644.846116065979</v>
      </c>
      <c r="O26" s="9" t="n">
        <v>0.0</v>
      </c>
      <c r="P26" s="9" t="n">
        <v>0.0</v>
      </c>
      <c r="Q26" s="9" t="n">
        <v>112.59821605682373</v>
      </c>
      <c r="R26" s="9" t="n">
        <v>18.09270668029785</v>
      </c>
      <c r="S26" s="9" t="n">
        <v>0.0</v>
      </c>
      <c r="T26" s="9" t="n">
        <v>0.0</v>
      </c>
      <c r="U26">
        <f si="1" t="shared"/>
        <v>14441.226630210876</v>
      </c>
    </row>
    <row r="27" spans="1:21" x14ac:dyDescent="0.25">
      <c r="A27" s="12">
        <v>0.5</v>
      </c>
      <c r="B27" s="6" t="n">
        <v>14326.762792164462</v>
      </c>
      <c r="C27" s="6" t="n">
        <v>676.8473613485262</v>
      </c>
      <c r="D27" s="6" t="n">
        <v>0.0</v>
      </c>
      <c r="E27" s="6" t="n">
        <v>21.652766785405703</v>
      </c>
      <c r="F27" s="6" t="n">
        <v>2.8264101339333316</v>
      </c>
      <c r="G27" s="6" t="n">
        <v>0.0</v>
      </c>
      <c r="H27" s="6" t="n">
        <v>0.0</v>
      </c>
      <c r="I27" s="6" t="n">
        <v>0.0</v>
      </c>
      <c r="J27" s="6">
        <f si="0" t="shared"/>
        <v>14748.220637369885</v>
      </c>
      <c r="L27" s="12">
        <v>0.5</v>
      </c>
      <c r="M27" s="9" t="n">
        <v>10180.82075214386</v>
      </c>
      <c r="N27" s="9" t="n">
        <v>644.9349050521851</v>
      </c>
      <c r="O27" s="9" t="n">
        <v>0.0</v>
      </c>
      <c r="P27" s="9" t="n">
        <v>0.0</v>
      </c>
      <c r="Q27" s="9" t="n">
        <v>114.69310474395752</v>
      </c>
      <c r="R27" s="9" t="n">
        <v>18.704519271850586</v>
      </c>
      <c r="S27" s="9" t="n">
        <v>0.0</v>
      </c>
      <c r="T27" s="9" t="n">
        <v>0.0</v>
      </c>
      <c r="U27">
        <f si="1" t="shared"/>
        <v>14009.930415153503</v>
      </c>
    </row>
    <row r="28" spans="1:21" x14ac:dyDescent="0.25">
      <c r="A28" s="12">
        <v>0.52083333333333337</v>
      </c>
      <c r="B28" s="6" t="n">
        <v>12974.666340091833</v>
      </c>
      <c r="C28" s="6" t="n">
        <v>621.7254124301928</v>
      </c>
      <c r="D28" s="6" t="n">
        <v>0.0</v>
      </c>
      <c r="E28" s="6" t="n">
        <v>20.087905316943605</v>
      </c>
      <c r="F28" s="6" t="n">
        <v>1.0461513991804634</v>
      </c>
      <c r="G28" s="6" t="n">
        <v>0.0</v>
      </c>
      <c r="H28" s="6" t="n">
        <v>0.0</v>
      </c>
      <c r="I28" s="6" t="n">
        <v>0.0</v>
      </c>
      <c r="J28" s="6">
        <f si="0" t="shared"/>
        <v>14184.38561135802</v>
      </c>
      <c r="L28" s="12">
        <v>0.52083333333333337</v>
      </c>
      <c r="M28" s="9" t="n">
        <v>9337.538411140442</v>
      </c>
      <c r="N28" s="9" t="n">
        <v>598.4865579605103</v>
      </c>
      <c r="O28" s="9" t="n">
        <v>0.0</v>
      </c>
      <c r="P28" s="9" t="n">
        <v>0.0</v>
      </c>
      <c r="Q28" s="9" t="n">
        <v>108.77632331848145</v>
      </c>
      <c r="R28" s="9" t="n">
        <v>18.63699436187744</v>
      </c>
      <c r="S28" s="9" t="n">
        <v>0.0</v>
      </c>
      <c r="T28" s="9" t="n">
        <v>0.0</v>
      </c>
      <c r="U28">
        <f si="1" t="shared"/>
        <v>12806.469206809998</v>
      </c>
    </row>
    <row r="29" spans="1:21" x14ac:dyDescent="0.25">
      <c r="A29" s="12">
        <v>0.54166666666666663</v>
      </c>
      <c r="B29" s="6" t="n">
        <v>10578.183025002245</v>
      </c>
      <c r="C29" s="6" t="n">
        <v>531.2280029501121</v>
      </c>
      <c r="D29" s="6" t="n">
        <v>0.0</v>
      </c>
      <c r="E29" s="6" t="n">
        <v>16.11158682036109</v>
      </c>
      <c r="F29" s="6" t="n">
        <v>0.30364676415762576</v>
      </c>
      <c r="G29" s="6" t="n">
        <v>0.0</v>
      </c>
      <c r="H29" s="6" t="n">
        <v>0.0</v>
      </c>
      <c r="I29" s="6" t="n">
        <v>0.0</v>
      </c>
      <c r="J29" s="6">
        <f si="0" t="shared"/>
        <v>12638.992339536991</v>
      </c>
      <c r="L29" s="12">
        <v>0.54166666666666663</v>
      </c>
      <c r="M29" s="9" t="n">
        <v>7962.963771820068</v>
      </c>
      <c r="N29" s="9" t="n">
        <v>520.5111112594604</v>
      </c>
      <c r="O29" s="9" t="n">
        <v>0.0</v>
      </c>
      <c r="P29" s="9" t="n">
        <v>0.0</v>
      </c>
      <c r="Q29" s="9" t="n">
        <v>97.30214500427246</v>
      </c>
      <c r="R29" s="9" t="n">
        <v>18.38428020477295</v>
      </c>
      <c r="S29" s="9" t="n">
        <v>0.0</v>
      </c>
      <c r="T29" s="9" t="n">
        <v>0.0</v>
      </c>
      <c r="U29">
        <f si="1" t="shared"/>
        <v>11130.160603523254</v>
      </c>
    </row>
    <row r="30" spans="1:21" x14ac:dyDescent="0.25">
      <c r="A30" s="12">
        <v>0.5625</v>
      </c>
      <c r="B30" s="6" t="n">
        <v>7944.501626770141</v>
      </c>
      <c r="C30" s="6" t="n">
        <v>430.2773339514119</v>
      </c>
      <c r="D30" s="6" t="n">
        <v>0.0</v>
      </c>
      <c r="E30" s="6" t="n">
        <v>11.024113767407538</v>
      </c>
      <c r="F30" s="6" t="n">
        <v>0.06657820896022168</v>
      </c>
      <c r="G30" s="6" t="n">
        <v>0.0</v>
      </c>
      <c r="H30" s="6" t="n">
        <v>0.0</v>
      </c>
      <c r="I30" s="6" t="n">
        <v>0.0</v>
      </c>
      <c r="J30" s="6">
        <f si="0" t="shared"/>
        <v>10587.130115190004</v>
      </c>
      <c r="L30" s="12">
        <v>0.5625</v>
      </c>
      <c r="M30" s="9" t="n">
        <v>6415.204254150391</v>
      </c>
      <c r="N30" s="9" t="n">
        <v>432.68562030792236</v>
      </c>
      <c r="O30" s="9" t="n">
        <v>0.0</v>
      </c>
      <c r="P30" s="9" t="n">
        <v>0.0</v>
      </c>
      <c r="Q30" s="9" t="n">
        <v>83.9562635421753</v>
      </c>
      <c r="R30" s="9" t="n">
        <v>18.44044017791748</v>
      </c>
      <c r="S30" s="9" t="n">
        <v>0.0</v>
      </c>
      <c r="T30" s="9" t="n">
        <v>0.0</v>
      </c>
      <c r="U30">
        <f si="1" t="shared"/>
        <v>9369.5401287078857</v>
      </c>
    </row>
    <row r="31" spans="1:21" x14ac:dyDescent="0.25">
      <c r="A31" s="12">
        <v>0.58333333333333337</v>
      </c>
      <c r="B31" s="6" t="n">
        <v>5663.77252243857</v>
      </c>
      <c r="C31" s="6" t="n">
        <v>336.7478634491283</v>
      </c>
      <c r="D31" s="6" t="n">
        <v>0.0</v>
      </c>
      <c r="E31" s="6" t="n">
        <v>6.339524695114648</v>
      </c>
      <c r="F31" s="6" t="n">
        <v>0.010370425139802431</v>
      </c>
      <c r="G31" s="6" t="n">
        <v>0.0</v>
      </c>
      <c r="H31" s="6" t="n">
        <v>0.0</v>
      </c>
      <c r="I31" s="6" t="n">
        <v>0.0</v>
      </c>
      <c r="J31" s="6">
        <f si="0" t="shared"/>
        <v>8540.5831978104834</v>
      </c>
      <c r="L31" s="12">
        <v>0.58333333333333337</v>
      </c>
      <c r="M31" s="9" t="n">
        <v>4987.28064250946</v>
      </c>
      <c r="N31" s="9" t="n">
        <v>352.0896224975586</v>
      </c>
      <c r="O31" s="9" t="n">
        <v>0.0</v>
      </c>
      <c r="P31" s="9" t="n">
        <v>0.0</v>
      </c>
      <c r="Q31" s="9" t="n">
        <v>71.56545639038086</v>
      </c>
      <c r="R31" s="9" t="n">
        <v>18.905765533447266</v>
      </c>
      <c r="S31" s="9" t="n">
        <v>0.0</v>
      </c>
      <c r="T31" s="9" t="n">
        <v>0.0</v>
      </c>
      <c r="U31">
        <f si="1" t="shared"/>
        <v>7809.9477958679199</v>
      </c>
    </row>
    <row r="32" spans="1:21" x14ac:dyDescent="0.25">
      <c r="A32" s="12">
        <v>0.60416666666666663</v>
      </c>
      <c r="B32" s="6" t="n">
        <v>3950.0818747577932</v>
      </c>
      <c r="C32" s="6" t="n">
        <v>257.66048427751815</v>
      </c>
      <c r="D32" s="6" t="n">
        <v>0.0</v>
      </c>
      <c r="E32" s="6" t="n">
        <v>3.012104333133503</v>
      </c>
      <c r="F32" s="6" t="n">
        <v>0.0010228501496411968</v>
      </c>
      <c r="G32" s="6" t="n">
        <v>0.0</v>
      </c>
      <c r="H32" s="6" t="n">
        <v>0.0</v>
      </c>
      <c r="I32" s="6" t="n">
        <v>0.0</v>
      </c>
      <c r="J32" s="6">
        <f si="0" t="shared"/>
        <v>6800.7053161353697</v>
      </c>
      <c r="L32" s="12">
        <v>0.60416666666666663</v>
      </c>
      <c r="M32" s="9" t="n">
        <v>3800.407024383545</v>
      </c>
      <c r="N32" s="9" t="n">
        <v>284.4100751876831</v>
      </c>
      <c r="O32" s="9" t="n">
        <v>0.0</v>
      </c>
      <c r="P32" s="9" t="n">
        <v>0.0</v>
      </c>
      <c r="Q32" s="9" t="n">
        <v>60.834877014160156</v>
      </c>
      <c r="R32" s="9" t="n">
        <v>19.350894927978516</v>
      </c>
      <c r="S32" s="9" t="n">
        <v>0.0</v>
      </c>
      <c r="T32" s="9" t="n">
        <v>0.0</v>
      </c>
      <c r="U32">
        <f si="1" t="shared"/>
        <v>6530.0584173202515</v>
      </c>
    </row>
    <row r="33" spans="1:21" x14ac:dyDescent="0.25">
      <c r="A33" s="12">
        <v>0.625</v>
      </c>
      <c r="B33" s="6" t="n">
        <v>2746.8983691468766</v>
      </c>
      <c r="C33" s="6" t="n">
        <v>191.72897350145035</v>
      </c>
      <c r="D33" s="6" t="n">
        <v>0.0</v>
      </c>
      <c r="E33" s="6" t="n">
        <v>1.1581630956707893</v>
      </c>
      <c r="F33" s="6" t="n">
        <v>4.80313231096262E-5</v>
      </c>
      <c r="G33" s="6" t="n">
        <v>0.0</v>
      </c>
      <c r="H33" s="6" t="n">
        <v>0.0</v>
      </c>
      <c r="I33" s="6" t="n">
        <v>0.0</v>
      </c>
      <c r="J33" s="6">
        <f si="0" t="shared"/>
        <v>5406.0423310578872</v>
      </c>
      <c r="L33" s="12">
        <v>0.625</v>
      </c>
      <c r="M33" s="9" t="n">
        <v>2834.835687637329</v>
      </c>
      <c r="N33" s="9" t="n">
        <v>226.67614459991455</v>
      </c>
      <c r="O33" s="9" t="n">
        <v>0.0</v>
      </c>
      <c r="P33" s="9" t="n">
        <v>0.0</v>
      </c>
      <c r="Q33" s="9" t="n">
        <v>50.94211292266846</v>
      </c>
      <c r="R33" s="9" t="n">
        <v>19.140324592590332</v>
      </c>
      <c r="S33" s="9" t="n">
        <v>0.0</v>
      </c>
      <c r="T33" s="9" t="n">
        <v>0.0</v>
      </c>
      <c r="U33">
        <f si="1" t="shared"/>
        <v>5456.9599962234497</v>
      </c>
    </row>
    <row r="34" spans="1:21" x14ac:dyDescent="0.25">
      <c r="A34" s="12">
        <v>0.64583333333333337</v>
      </c>
      <c r="B34" s="6" t="n">
        <v>1909.2769921065315</v>
      </c>
      <c r="C34" s="6" t="n">
        <v>135.47625845379218</v>
      </c>
      <c r="D34" s="6" t="n">
        <v>0.0</v>
      </c>
      <c r="E34" s="6" t="n">
        <v>0.35063427664864544</v>
      </c>
      <c r="F34" s="6" t="n">
        <v>0.0</v>
      </c>
      <c r="G34" s="6" t="n">
        <v>0.0</v>
      </c>
      <c r="H34" s="6" t="n">
        <v>0.0</v>
      </c>
      <c r="I34" s="6" t="n">
        <v>0.0</v>
      </c>
      <c r="J34" s="6">
        <f si="0" t="shared"/>
        <v>4257.0976722887135</v>
      </c>
      <c r="L34" s="12">
        <v>0.64583333333333337</v>
      </c>
      <c r="M34" s="9" t="n">
        <v>2035.8224115371704</v>
      </c>
      <c r="N34" s="9" t="n">
        <v>175.0176248550415</v>
      </c>
      <c r="O34" s="9" t="n">
        <v>0.0</v>
      </c>
      <c r="P34" s="9" t="n">
        <v>0.0</v>
      </c>
      <c r="Q34" s="9" t="n">
        <v>41.15208625793457</v>
      </c>
      <c r="R34" s="9" t="n">
        <v>17.96247959136963</v>
      </c>
      <c r="S34" s="9" t="n">
        <v>0.0</v>
      </c>
      <c r="T34" s="9" t="n">
        <v>0.0</v>
      </c>
      <c r="U34">
        <f si="1" t="shared"/>
        <v>4499.7220182418823</v>
      </c>
    </row>
    <row r="35" spans="1:21" x14ac:dyDescent="0.25">
      <c r="A35" s="12">
        <v>0.66666666666666663</v>
      </c>
      <c r="B35" s="6" t="n">
        <v>1318.0016545916355</v>
      </c>
      <c r="C35" s="6" t="n">
        <v>87.95275797175023</v>
      </c>
      <c r="D35" s="6" t="n">
        <v>0.0</v>
      </c>
      <c r="E35" s="6" t="n">
        <v>0.08035108954596909</v>
      </c>
      <c r="F35" s="6" t="n">
        <v>0.0</v>
      </c>
      <c r="G35" s="6" t="n">
        <v>0.0</v>
      </c>
      <c r="H35" s="6" t="n">
        <v>0.0</v>
      </c>
      <c r="I35" s="6" t="n">
        <v>0.0</v>
      </c>
      <c r="J35" s="6">
        <f si="0" t="shared"/>
        <v>3270.669831754808</v>
      </c>
      <c r="L35" s="12">
        <v>0.66666666666666663</v>
      </c>
      <c r="M35" s="9" t="n">
        <v>1384.6821279525757</v>
      </c>
      <c r="N35" s="9" t="n">
        <v>129.457763671875</v>
      </c>
      <c r="O35" s="9" t="n">
        <v>0.0</v>
      </c>
      <c r="P35" s="9" t="n">
        <v>0.0</v>
      </c>
      <c r="Q35" s="9" t="n">
        <v>31.807299613952637</v>
      </c>
      <c r="R35" s="9" t="n">
        <v>16.093618392944336</v>
      </c>
      <c r="S35" s="9" t="n">
        <v>0.0</v>
      </c>
      <c r="T35" s="9" t="n">
        <v>0.0</v>
      </c>
      <c r="U35">
        <f si="1" t="shared"/>
        <v>3634.3329238891602</v>
      </c>
    </row>
    <row r="36" spans="1:21" x14ac:dyDescent="0.25">
      <c r="A36" s="12">
        <v>0.6875</v>
      </c>
      <c r="B36" s="6" t="n">
        <v>903.5777760939693</v>
      </c>
      <c r="C36" s="6" t="n">
        <v>50.83549744405688</v>
      </c>
      <c r="D36" s="6" t="n">
        <v>0.0</v>
      </c>
      <c r="E36" s="6" t="n">
        <v>0.013089014307342292</v>
      </c>
      <c r="F36" s="6" t="n">
        <v>0.0</v>
      </c>
      <c r="G36" s="6" t="n">
        <v>0.0</v>
      </c>
      <c r="H36" s="6" t="n">
        <v>0.0</v>
      </c>
      <c r="I36" s="6" t="n">
        <v>0.0</v>
      </c>
      <c r="J36" s="6">
        <f si="0" t="shared"/>
        <v>2440.2385104814175</v>
      </c>
      <c r="L36" s="12">
        <v>0.6875</v>
      </c>
      <c r="M36" s="9" t="n">
        <v>894.1752653121948</v>
      </c>
      <c r="N36" s="9" t="n">
        <v>92.83314228057861</v>
      </c>
      <c r="O36" s="9" t="n">
        <v>0.0</v>
      </c>
      <c r="P36" s="9" t="n">
        <v>0.0</v>
      </c>
      <c r="Q36" s="9" t="n">
        <v>23.98154067993164</v>
      </c>
      <c r="R36" s="9" t="n">
        <v>14.170010566711426</v>
      </c>
      <c r="S36" s="9" t="n">
        <v>0.0</v>
      </c>
      <c r="T36" s="9" t="n">
        <v>0.0</v>
      </c>
      <c r="U36">
        <f si="1" t="shared"/>
        <v>2893.3412313461304</v>
      </c>
    </row>
    <row r="37" spans="1:21" x14ac:dyDescent="0.25">
      <c r="A37" s="12">
        <v>0.70833333333333337</v>
      </c>
      <c r="B37" s="6" t="n">
        <v>624.9475918146052</v>
      </c>
      <c r="C37" s="6" t="n">
        <v>25.485824574468204</v>
      </c>
      <c r="D37" s="6" t="n">
        <v>0.0</v>
      </c>
      <c r="E37" s="6" t="n">
        <v>0.0013498354837007825</v>
      </c>
      <c r="F37" s="6" t="n">
        <v>0.0</v>
      </c>
      <c r="G37" s="6" t="n">
        <v>0.0</v>
      </c>
      <c r="H37" s="6" t="n">
        <v>0.0</v>
      </c>
      <c r="I37" s="6" t="n">
        <v>0.0</v>
      </c>
      <c r="J37" s="6">
        <f si="0" t="shared"/>
        <v>1796.5335041755411</v>
      </c>
      <c r="L37" s="12">
        <v>0.70833333333333337</v>
      </c>
      <c r="M37" s="9" t="n">
        <v>568.4381685256958</v>
      </c>
      <c r="N37" s="9" t="n">
        <v>67.05738735198975</v>
      </c>
      <c r="O37" s="9" t="n">
        <v>0.0</v>
      </c>
      <c r="P37" s="9" t="n">
        <v>0.0</v>
      </c>
      <c r="Q37" s="9" t="n">
        <v>18.446971893310547</v>
      </c>
      <c r="R37" s="9" t="n">
        <v>12.686445236206055</v>
      </c>
      <c r="S37" s="9" t="n">
        <v>0.0</v>
      </c>
      <c r="T37" s="9" t="n">
        <v>0.0</v>
      </c>
      <c r="U37">
        <f si="1" t="shared"/>
        <v>2307.7329397201538</v>
      </c>
    </row>
    <row r="38" spans="1:21" x14ac:dyDescent="0.25">
      <c r="A38" s="12">
        <v>0.72916666666666663</v>
      </c>
      <c r="B38" s="6" t="n">
        <v>446.5800835148427</v>
      </c>
      <c r="C38" s="6" t="n">
        <v>10.837030576984368</v>
      </c>
      <c r="D38" s="6" t="n">
        <v>0.0</v>
      </c>
      <c r="E38" s="6" t="n">
        <v>6.622712079368267E-5</v>
      </c>
      <c r="F38" s="6" t="n">
        <v>0.0</v>
      </c>
      <c r="G38" s="6" t="n">
        <v>0.0</v>
      </c>
      <c r="H38" s="6" t="n">
        <v>0.0</v>
      </c>
      <c r="I38" s="6" t="n">
        <v>0.0</v>
      </c>
      <c r="J38" s="6">
        <f si="0" t="shared"/>
        <v>1345.3003594101069</v>
      </c>
      <c r="L38" s="12">
        <v>0.72916666666666663</v>
      </c>
      <c r="M38" s="9" t="n">
        <v>380.17337226867676</v>
      </c>
      <c r="N38" s="9" t="n">
        <v>50.985045433044434</v>
      </c>
      <c r="O38" s="9" t="n">
        <v>0.0</v>
      </c>
      <c r="P38" s="9" t="n">
        <v>0.0</v>
      </c>
      <c r="Q38" s="9" t="n">
        <v>15.025598526000977</v>
      </c>
      <c r="R38" s="9" t="n">
        <v>11.6571626663208</v>
      </c>
      <c r="S38" s="9" t="n">
        <v>0.0</v>
      </c>
      <c r="T38" s="9" t="n">
        <v>0.0</v>
      </c>
      <c r="U38">
        <f si="1" t="shared"/>
        <v>1868.0498075485229</v>
      </c>
    </row>
    <row r="39" spans="1:21" x14ac:dyDescent="0.25">
      <c r="A39" s="12">
        <v>0.75</v>
      </c>
      <c r="B39" s="6" t="n">
        <v>331.70228786964606</v>
      </c>
      <c r="C39" s="6" t="n">
        <v>3.8197742201762903</v>
      </c>
      <c r="D39" s="6" t="n">
        <v>0.0</v>
      </c>
      <c r="E39" s="6" t="n">
        <v>0.0</v>
      </c>
      <c r="F39" s="6" t="n">
        <v>0.0</v>
      </c>
      <c r="G39" s="6" t="n">
        <v>0.0</v>
      </c>
      <c r="H39" s="6" t="n">
        <v>0.0</v>
      </c>
      <c r="I39" s="6" t="n">
        <v>0.0</v>
      </c>
      <c r="J39" s="6">
        <f si="0" t="shared"/>
        <v>1047.5599081897412</v>
      </c>
      <c r="L39" s="12">
        <v>0.75</v>
      </c>
      <c r="M39" s="9" t="n">
        <v>280.289080619812</v>
      </c>
      <c r="N39" s="9" t="n">
        <v>41.18284606933594</v>
      </c>
      <c r="O39" s="9" t="n">
        <v>0.0</v>
      </c>
      <c r="P39" s="9" t="n">
        <v>0.0</v>
      </c>
      <c r="Q39" s="9" t="n">
        <v>12.796751976013184</v>
      </c>
      <c r="R39" s="9" t="n">
        <v>10.701142311096191</v>
      </c>
      <c r="S39" s="9" t="n">
        <v>0.0</v>
      </c>
      <c r="T39" s="9" t="n">
        <v>0.0</v>
      </c>
      <c r="U39">
        <f si="1" t="shared"/>
        <v>1530.378737449646</v>
      </c>
    </row>
    <row r="40" spans="1:21" x14ac:dyDescent="0.25">
      <c r="A40" s="12">
        <v>0.77083333333333337</v>
      </c>
      <c r="B40" s="6" t="n">
        <v>248.59537704016617</v>
      </c>
      <c r="C40" s="6" t="n">
        <v>1.084663485516437</v>
      </c>
      <c r="D40" s="6" t="n">
        <v>0.0</v>
      </c>
      <c r="E40" s="6" t="n">
        <v>0.0</v>
      </c>
      <c r="F40" s="6" t="n">
        <v>0.0</v>
      </c>
      <c r="G40" s="6" t="n">
        <v>0.0</v>
      </c>
      <c r="H40" s="6" t="n">
        <v>0.0</v>
      </c>
      <c r="I40" s="6" t="n">
        <v>0.0</v>
      </c>
      <c r="J40" s="6">
        <f si="0" t="shared"/>
        <v>845.56806363952717</v>
      </c>
      <c r="L40" s="12">
        <v>0.77083333333333337</v>
      </c>
      <c r="M40" s="9" t="n">
        <v>222.17926025390625</v>
      </c>
      <c r="N40" s="9" t="n">
        <v>34.1260290145874</v>
      </c>
      <c r="O40" s="9" t="n">
        <v>0.0</v>
      </c>
      <c r="P40" s="9" t="n">
        <v>0.0</v>
      </c>
      <c r="Q40" s="9" t="n">
        <v>10.81443977355957</v>
      </c>
      <c r="R40" s="9" t="n">
        <v>9.43229866027832</v>
      </c>
      <c r="S40" s="9" t="n">
        <v>0.0</v>
      </c>
      <c r="T40" s="9" t="n">
        <v>0.0</v>
      </c>
      <c r="U40">
        <f si="1" t="shared"/>
        <v>1248.6094760894775</v>
      </c>
    </row>
    <row r="41" spans="1:21" x14ac:dyDescent="0.25">
      <c r="A41" s="12">
        <v>0.79166666666666663</v>
      </c>
      <c r="B41" s="6" t="n">
        <v>178.68999561417138</v>
      </c>
      <c r="C41" s="6" t="n">
        <v>0.23823095740169875</v>
      </c>
      <c r="D41" s="6" t="n">
        <v>0.0</v>
      </c>
      <c r="E41" s="6" t="n">
        <v>0.0</v>
      </c>
      <c r="F41" s="6" t="n">
        <v>0.0</v>
      </c>
      <c r="G41" s="6" t="n">
        <v>0.0</v>
      </c>
      <c r="H41" s="6" t="n">
        <v>0.0</v>
      </c>
      <c r="I41" s="6" t="n">
        <v>0.0</v>
      </c>
      <c r="J41" s="6">
        <f si="0" t="shared"/>
        <v>697.66620292400512</v>
      </c>
      <c r="L41" s="12">
        <v>0.79166666666666663</v>
      </c>
      <c r="M41" s="9" t="n">
        <v>178.2508029937744</v>
      </c>
      <c r="N41" s="9" t="n">
        <v>27.79951000213623</v>
      </c>
      <c r="O41" s="9" t="n">
        <v>0.0</v>
      </c>
      <c r="P41" s="9" t="n">
        <v>0.0</v>
      </c>
      <c r="Q41" s="9" t="n">
        <v>8.665575981140137</v>
      </c>
      <c r="R41" s="9" t="n">
        <v>7.7907819747924805</v>
      </c>
      <c r="S41" s="9" t="n">
        <v>0.0</v>
      </c>
      <c r="T41" s="9" t="n">
        <v>0.0</v>
      </c>
      <c r="U41">
        <f si="1" t="shared"/>
        <v>1000.3380346298218</v>
      </c>
    </row>
    <row r="42" spans="1:21" x14ac:dyDescent="0.25">
      <c r="A42" s="12">
        <v>0.8125</v>
      </c>
      <c r="B42" s="6" t="n">
        <v>117.74537077996169</v>
      </c>
      <c r="C42" s="6" t="n">
        <v>0.03793522143478094</v>
      </c>
      <c r="D42" s="6" t="n">
        <v>0.0</v>
      </c>
      <c r="E42" s="6" t="n">
        <v>0.0</v>
      </c>
      <c r="F42" s="6" t="n">
        <v>0.0</v>
      </c>
      <c r="G42" s="6" t="n">
        <v>0.0</v>
      </c>
      <c r="H42" s="6" t="n">
        <v>0.0</v>
      </c>
      <c r="I42" s="6" t="n">
        <v>0.0</v>
      </c>
      <c r="J42" s="6">
        <f si="0" t="shared"/>
        <v>590.81470168303804</v>
      </c>
      <c r="L42" s="12">
        <v>0.8125</v>
      </c>
      <c r="M42" s="9" t="n">
        <v>140.25412559509277</v>
      </c>
      <c r="N42" s="9" t="n">
        <v>21.82639980316162</v>
      </c>
      <c r="O42" s="9" t="n">
        <v>0.0</v>
      </c>
      <c r="P42" s="9" t="n">
        <v>0.0</v>
      </c>
      <c r="Q42" s="9" t="n">
        <v>6.494838714599609</v>
      </c>
      <c r="R42" s="9" t="n">
        <v>6.049365043640137</v>
      </c>
      <c r="S42" s="9" t="n">
        <v>0.0</v>
      </c>
      <c r="T42" s="9" t="n">
        <v>0.0</v>
      </c>
      <c r="U42">
        <f si="1" t="shared"/>
        <v>787.96227931976318</v>
      </c>
    </row>
    <row r="43" spans="1:21" x14ac:dyDescent="0.25">
      <c r="A43" s="12">
        <v>0.83333333333333337</v>
      </c>
      <c r="B43" s="6" t="n">
        <v>69.42057267244628</v>
      </c>
      <c r="C43" s="6" t="n">
        <v>0.003890520834729633</v>
      </c>
      <c r="D43" s="6" t="n">
        <v>0.0</v>
      </c>
      <c r="E43" s="6" t="n">
        <v>0.0</v>
      </c>
      <c r="F43" s="6" t="n">
        <v>0.0</v>
      </c>
      <c r="G43" s="6" t="n">
        <v>0.0</v>
      </c>
      <c r="H43" s="6" t="n">
        <v>0.0</v>
      </c>
      <c r="I43" s="6" t="n">
        <v>0.0</v>
      </c>
      <c r="J43" s="6">
        <f si="0" t="shared"/>
        <v>527.06491689871427</v>
      </c>
      <c r="L43" s="12">
        <v>0.83333333333333337</v>
      </c>
      <c r="M43" s="9" t="n">
        <v>109.35659313201904</v>
      </c>
      <c r="N43" s="9" t="n">
        <v>16.599693298339844</v>
      </c>
      <c r="O43" s="9" t="n">
        <v>0.0</v>
      </c>
      <c r="P43" s="9" t="n">
        <v>0.0</v>
      </c>
      <c r="Q43" s="9" t="n">
        <v>4.640626907348633</v>
      </c>
      <c r="R43" s="9" t="n">
        <v>4.551076889038086</v>
      </c>
      <c r="S43" s="9" t="n">
        <v>0.0</v>
      </c>
      <c r="T43" s="9" t="n">
        <v>0.0</v>
      </c>
      <c r="U43">
        <f si="1" t="shared"/>
        <v>620.59869766235352</v>
      </c>
    </row>
    <row r="44" spans="1:21" x14ac:dyDescent="0.25">
      <c r="A44" s="12">
        <v>0.85416666666666663</v>
      </c>
      <c r="B44" s="6" t="n">
        <v>37.04003554089786</v>
      </c>
      <c r="C44" s="6" t="n">
        <v>1.925557818177291E-4</v>
      </c>
      <c r="D44" s="6" t="n">
        <v>0.0</v>
      </c>
      <c r="E44" s="6" t="n">
        <v>0.0</v>
      </c>
      <c r="F44" s="6" t="n">
        <v>0.0</v>
      </c>
      <c r="G44" s="6" t="n">
        <v>0.0</v>
      </c>
      <c r="H44" s="6" t="n">
        <v>0.0</v>
      </c>
      <c r="I44" s="6" t="n">
        <v>0.0</v>
      </c>
      <c r="J44" s="6">
        <f si="0" t="shared"/>
        <v>501.55518485532434</v>
      </c>
      <c r="L44" s="12">
        <v>0.85416666666666663</v>
      </c>
      <c r="M44" s="9" t="n">
        <v>86.57913017272949</v>
      </c>
      <c r="N44" s="9" t="n">
        <v>12.419486045837402</v>
      </c>
      <c r="O44" s="9" t="n">
        <v>0.0</v>
      </c>
      <c r="P44" s="9" t="n">
        <v>0.0</v>
      </c>
      <c r="Q44" s="9" t="n">
        <v>3.2847557067871094</v>
      </c>
      <c r="R44" s="9" t="n">
        <v>3.4551753997802734</v>
      </c>
      <c r="S44" s="9" t="n">
        <v>0.0</v>
      </c>
      <c r="T44" s="9" t="n">
        <v>0.0</v>
      </c>
      <c r="U44">
        <f si="1" t="shared"/>
        <v>496.72536849975586</v>
      </c>
    </row>
    <row r="45" spans="1:21" x14ac:dyDescent="0.25">
      <c r="A45" s="12">
        <v>0.875</v>
      </c>
      <c r="B45" s="6" t="n">
        <v>19.411678529189032</v>
      </c>
      <c r="C45" s="6" t="n">
        <v>0.0</v>
      </c>
      <c r="D45" s="6" t="n">
        <v>0.0</v>
      </c>
      <c r="E45" s="6" t="n">
        <v>0.0</v>
      </c>
      <c r="F45" s="6" t="n">
        <v>0.0</v>
      </c>
      <c r="G45" s="6" t="n">
        <v>0.0</v>
      </c>
      <c r="H45" s="6" t="n">
        <v>0.0</v>
      </c>
      <c r="I45" s="6" t="n">
        <v>0.0</v>
      </c>
      <c r="J45" s="6">
        <f si="0" t="shared"/>
        <v>492.62220736365924</v>
      </c>
      <c r="L45" s="12">
        <v>0.875</v>
      </c>
      <c r="M45" s="9" t="n">
        <v>69.63335037231445</v>
      </c>
      <c r="N45" s="9" t="n">
        <v>9.219673156738281</v>
      </c>
      <c r="O45" s="9" t="n">
        <v>0.0</v>
      </c>
      <c r="P45" s="9" t="n">
        <v>0.0</v>
      </c>
      <c r="Q45" s="9" t="n">
        <v>2.3692569732666016</v>
      </c>
      <c r="R45" s="9" t="n">
        <v>2.694906234741211</v>
      </c>
      <c r="S45" s="9" t="n">
        <v>0.0</v>
      </c>
      <c r="T45" s="9" t="n">
        <v>0.0</v>
      </c>
      <c r="U45">
        <f si="1" t="shared"/>
        <v>402.17411041259766</v>
      </c>
    </row>
    <row r="46" spans="1:21" x14ac:dyDescent="0.25">
      <c r="A46" s="12">
        <v>0.89583333333333337</v>
      </c>
      <c r="B46" s="6" t="n">
        <v>11.743378011959447</v>
      </c>
      <c r="C46" s="6" t="n">
        <v>0.0</v>
      </c>
      <c r="D46" s="6" t="n">
        <v>0.0</v>
      </c>
      <c r="E46" s="6" t="n">
        <v>0.0</v>
      </c>
      <c r="F46" s="6" t="n">
        <v>0.0</v>
      </c>
      <c r="G46" s="6" t="n">
        <v>0.0</v>
      </c>
      <c r="H46" s="6" t="n">
        <v>0.0</v>
      </c>
      <c r="I46" s="6" t="n">
        <v>0.0</v>
      </c>
      <c r="J46" s="6">
        <f si="0" t="shared"/>
        <v>470.87476325003934</v>
      </c>
      <c r="L46" s="12">
        <v>0.89583333333333337</v>
      </c>
      <c r="M46" s="9" t="n">
        <v>55.047616958618164</v>
      </c>
      <c r="N46" s="9" t="n">
        <v>6.758447647094727</v>
      </c>
      <c r="O46" s="9" t="n">
        <v>0.0</v>
      </c>
      <c r="P46" s="9" t="n">
        <v>0.0</v>
      </c>
      <c r="Q46" s="9" t="n">
        <v>1.7275629043579102</v>
      </c>
      <c r="R46" s="9" t="n">
        <v>2.112839698791504</v>
      </c>
      <c r="S46" s="9" t="n">
        <v>0.0</v>
      </c>
      <c r="T46" s="9" t="n">
        <v>0.0</v>
      </c>
      <c r="U46">
        <f si="1" t="shared"/>
        <v>321.05480670928955</v>
      </c>
    </row>
    <row r="47" spans="1:21" x14ac:dyDescent="0.25">
      <c r="A47" s="12">
        <v>0.91666666666666663</v>
      </c>
      <c r="B47" s="6" t="n">
        <v>8.750190447544064</v>
      </c>
      <c r="C47" s="6" t="n">
        <v>0.0</v>
      </c>
      <c r="D47" s="6" t="n">
        <v>0.0</v>
      </c>
      <c r="E47" s="6" t="n">
        <v>0.0</v>
      </c>
      <c r="F47" s="6" t="n">
        <v>0.0</v>
      </c>
      <c r="G47" s="6" t="n">
        <v>0.0</v>
      </c>
      <c r="H47" s="6" t="n">
        <v>0.0</v>
      </c>
      <c r="I47" s="6" t="n">
        <v>0.0</v>
      </c>
      <c r="J47" s="6">
        <f si="0" t="shared"/>
        <v>416.79589511919522</v>
      </c>
      <c r="L47" s="12">
        <v>0.91666666666666663</v>
      </c>
      <c r="M47" s="9" t="n">
        <v>41.03653049468994</v>
      </c>
      <c r="N47" s="9" t="n">
        <v>4.847928047180176</v>
      </c>
      <c r="O47" s="9" t="n">
        <v>0.0</v>
      </c>
      <c r="P47" s="9" t="n">
        <v>0.0</v>
      </c>
      <c r="Q47" s="9" t="n">
        <v>1.2313718795776367</v>
      </c>
      <c r="R47" s="9" t="n">
        <v>1.603316307067871</v>
      </c>
      <c r="S47" s="9" t="n">
        <v>0.0</v>
      </c>
      <c r="T47" s="9" t="n">
        <v>0.0</v>
      </c>
      <c r="U47">
        <f si="1" t="shared"/>
        <v>246.13600730895996</v>
      </c>
    </row>
    <row r="48" spans="1:21" x14ac:dyDescent="0.25">
      <c r="A48" s="12">
        <v>0.9375</v>
      </c>
      <c r="B48" s="6" t="n">
        <v>6.928826531878023</v>
      </c>
      <c r="C48" s="6" t="n">
        <v>0.0</v>
      </c>
      <c r="D48" s="6" t="n">
        <v>0.0</v>
      </c>
      <c r="E48" s="6" t="n">
        <v>0.0</v>
      </c>
      <c r="F48" s="6" t="n">
        <v>0.0</v>
      </c>
      <c r="G48" s="6" t="n">
        <v>0.0</v>
      </c>
      <c r="H48" s="6" t="n">
        <v>0.0</v>
      </c>
      <c r="I48" s="6" t="n">
        <v>0.0</v>
      </c>
      <c r="J48" s="6">
        <f si="0" t="shared"/>
        <v>331.19242298630923</v>
      </c>
      <c r="L48" s="12">
        <v>0.9375</v>
      </c>
      <c r="M48" s="9" t="n">
        <v>28.08853530883789</v>
      </c>
      <c r="N48" s="9" t="n">
        <v>3.3977508544921875</v>
      </c>
      <c r="O48" s="9" t="n">
        <v>0.0</v>
      </c>
      <c r="P48" s="9" t="n">
        <v>0.0</v>
      </c>
      <c r="Q48" s="9" t="n">
        <v>0.8337211608886719</v>
      </c>
      <c r="R48" s="9" t="n">
        <v>1.1501235961914062</v>
      </c>
      <c r="S48" s="9" t="n">
        <v>0.0</v>
      </c>
      <c r="T48" s="9" t="n">
        <v>0.0</v>
      </c>
      <c r="U48">
        <f si="1" t="shared"/>
        <v>179.34779167175293</v>
      </c>
    </row>
    <row r="49" spans="1:21" x14ac:dyDescent="0.25">
      <c r="A49" s="12">
        <v>0.95833333333333337</v>
      </c>
      <c r="B49" s="6" t="n">
        <v>4.990296547884968</v>
      </c>
      <c r="C49" s="6" t="n">
        <v>0.0</v>
      </c>
      <c r="D49" s="6" t="n">
        <v>0.0</v>
      </c>
      <c r="E49" s="6" t="n">
        <v>0.0</v>
      </c>
      <c r="F49" s="6" t="n">
        <v>0.0</v>
      </c>
      <c r="G49" s="6" t="n">
        <v>0.0</v>
      </c>
      <c r="H49" s="6" t="n">
        <v>0.0</v>
      </c>
      <c r="I49" s="6" t="n">
        <v>0.0</v>
      </c>
      <c r="J49" s="6">
        <f si="0" t="shared"/>
        <v>231.75528220318211</v>
      </c>
      <c r="L49" s="12">
        <v>0.95833333333333337</v>
      </c>
      <c r="M49" s="9" t="n">
        <v>17.54737949371338</v>
      </c>
      <c r="N49" s="9" t="n">
        <v>2.3403120040893555</v>
      </c>
      <c r="O49" s="9" t="n">
        <v>0.0</v>
      </c>
      <c r="P49" s="9" t="n">
        <v>0.0</v>
      </c>
      <c r="Q49" s="9" t="n">
        <v>0.5306396484375</v>
      </c>
      <c r="R49" s="9" t="n">
        <v>0.7787485122680664</v>
      </c>
      <c r="S49" s="9" t="n">
        <v>0.0</v>
      </c>
      <c r="T49" s="9" t="n">
        <v>0.0</v>
      </c>
      <c r="U49">
        <f si="1" t="shared"/>
        <v>124.93941783905029</v>
      </c>
    </row>
    <row r="50" spans="1:21" x14ac:dyDescent="0.25">
      <c r="A50" s="12">
        <v>0.97916666666666663</v>
      </c>
      <c r="B50" s="6" t="n">
        <v>3.0381500276505697</v>
      </c>
      <c r="C50" s="6" t="n">
        <v>0.0</v>
      </c>
      <c r="D50" s="6" t="n">
        <v>0.0</v>
      </c>
      <c r="E50" s="6" t="n">
        <v>0.0</v>
      </c>
      <c r="F50" s="6" t="n">
        <v>0.0</v>
      </c>
      <c r="G50" s="6" t="n">
        <v>0.0</v>
      </c>
      <c r="H50" s="6" t="n">
        <v>0.0</v>
      </c>
      <c r="I50" s="6" t="n">
        <v>0.0</v>
      </c>
      <c r="J50" s="6">
        <f si="0" t="shared"/>
        <v>140.69068037213211</v>
      </c>
      <c r="L50" s="12">
        <v>0.97916666666666663</v>
      </c>
      <c r="M50" s="9" t="n">
        <v>10.110733032226562</v>
      </c>
      <c r="N50" s="9" t="n">
        <v>1.5826053619384766</v>
      </c>
      <c r="O50" s="9" t="n">
        <v>0.0</v>
      </c>
      <c r="P50" s="9" t="n">
        <v>0.0</v>
      </c>
      <c r="Q50" s="9" t="n">
        <v>0.3174629211425781</v>
      </c>
      <c r="R50" s="9" t="n">
        <v>0.5027027130126953</v>
      </c>
      <c r="S50" s="9" t="n">
        <v>0.0</v>
      </c>
      <c r="T50" s="9" t="n">
        <v>0.0</v>
      </c>
      <c r="U50">
        <f si="1" t="shared"/>
        <v>83.862037658691406</v>
      </c>
    </row>
    <row r="51" spans="1:21" x14ac:dyDescent="0.25">
      <c r="A51" s="12">
        <v>1</v>
      </c>
      <c r="B51" s="6" t="n">
        <v>1.5151816064328258</v>
      </c>
      <c r="C51" s="6" t="n">
        <v>0.0</v>
      </c>
      <c r="D51" s="6" t="n">
        <v>0.0</v>
      </c>
      <c r="E51" s="6" t="n">
        <v>0.0</v>
      </c>
      <c r="F51" s="6" t="n">
        <v>0.0</v>
      </c>
      <c r="G51" s="6" t="n">
        <v>0.0</v>
      </c>
      <c r="H51" s="6" t="n">
        <v>0.0</v>
      </c>
      <c r="I51" s="6" t="n">
        <v>0.0</v>
      </c>
      <c r="J51" s="6">
        <f si="0" t="shared"/>
        <v>72.974424896793295</v>
      </c>
      <c r="L51" s="12">
        <v>1</v>
      </c>
      <c r="M51" s="9" t="n">
        <v>5.459744453430176</v>
      </c>
      <c r="N51" s="9" t="n">
        <v>1.0284614562988281</v>
      </c>
      <c r="O51" s="9" t="n">
        <v>0.0</v>
      </c>
      <c r="P51" s="9" t="n">
        <v>0.0</v>
      </c>
      <c r="Q51" s="9" t="n">
        <v>0.17743492126464844</v>
      </c>
      <c r="R51" s="9" t="n">
        <v>0.31006908416748047</v>
      </c>
      <c r="S51" s="9" t="n">
        <v>0.0</v>
      </c>
      <c r="T51" s="9" t="n">
        <v>0.0</v>
      </c>
      <c r="U51">
        <f si="1" t="shared"/>
        <v>53.762831687927246</v>
      </c>
    </row>
    <row r="52" spans="1:21" x14ac:dyDescent="0.25">
      <c r="A52" s="12">
        <v>1.0208333333333333</v>
      </c>
      <c r="B52" s="6" t="n">
        <v>0.6057644760466414</v>
      </c>
      <c r="C52" s="6" t="n">
        <v>0.0</v>
      </c>
      <c r="D52" s="6" t="n">
        <v>0.0</v>
      </c>
      <c r="E52" s="6" t="n">
        <v>0.0</v>
      </c>
      <c r="F52" s="6" t="n">
        <v>0.0</v>
      </c>
      <c r="G52" s="6" t="n">
        <v>0.0</v>
      </c>
      <c r="H52" s="6" t="n">
        <v>0.0</v>
      </c>
      <c r="I52" s="6" t="n">
        <v>0.0</v>
      </c>
      <c r="J52" s="6">
        <f si="0" t="shared"/>
        <v>31.767982881182849</v>
      </c>
      <c r="L52" s="12">
        <v>1.0208333333333333</v>
      </c>
      <c r="M52" s="9" t="n">
        <v>2.7746448516845703</v>
      </c>
      <c r="N52" s="9" t="n">
        <v>0.6175527572631836</v>
      </c>
      <c r="O52" s="9" t="n">
        <v>0.0</v>
      </c>
      <c r="P52" s="9" t="n">
        <v>0.0</v>
      </c>
      <c r="Q52" s="9" t="n">
        <v>0.09055042266845703</v>
      </c>
      <c r="R52" s="9" t="n">
        <v>0.17928409576416016</v>
      </c>
      <c r="S52" s="9" t="n">
        <v>0.0</v>
      </c>
      <c r="T52" s="9" t="n">
        <v>0.0</v>
      </c>
      <c r="U52">
        <f si="1" t="shared"/>
        <v>31.927580833435059</v>
      </c>
    </row>
    <row r="53" spans="1:21" x14ac:dyDescent="0.25">
      <c r="A53" s="12">
        <v>4.1666666666666664E-2</v>
      </c>
      <c r="B53" s="6" t="n">
        <v>0.18928918970951158</v>
      </c>
      <c r="C53" s="6" t="n">
        <v>0.0</v>
      </c>
      <c r="D53" s="6" t="n">
        <v>0.0</v>
      </c>
      <c r="E53" s="6" t="n">
        <v>0.0</v>
      </c>
      <c r="F53" s="6" t="n">
        <v>0.0</v>
      </c>
      <c r="G53" s="6" t="n">
        <v>0.0</v>
      </c>
      <c r="H53" s="6" t="n">
        <v>0.0</v>
      </c>
      <c r="I53" s="6" t="n">
        <v>0.0</v>
      </c>
      <c r="J53" s="6">
        <f si="0" t="shared"/>
        <v>11.351139359359985</v>
      </c>
      <c r="L53" s="12">
        <v>4.1666666666666664E-2</v>
      </c>
      <c r="M53" s="9" t="n">
        <v>1.3008337020874023</v>
      </c>
      <c r="N53" s="9" t="n">
        <v>0.328033447265625</v>
      </c>
      <c r="O53" s="9" t="n">
        <v>0.0</v>
      </c>
      <c r="P53" s="9" t="n">
        <v>0.0</v>
      </c>
      <c r="Q53" s="9" t="n">
        <v>0.04064750671386719</v>
      </c>
      <c r="R53" s="9" t="n">
        <v>0.09364891052246094</v>
      </c>
      <c r="S53" s="9" t="n">
        <v>0.0</v>
      </c>
      <c r="T53" s="9" t="n">
        <v>0.0</v>
      </c>
      <c r="U53">
        <f si="1" t="shared"/>
        <v>16.853084564208984</v>
      </c>
    </row>
    <row r="54" spans="1:21" x14ac:dyDescent="0.25">
      <c r="A54" s="12">
        <v>6.25E-2</v>
      </c>
      <c r="B54" s="6" t="n">
        <v>0.04453863287282625</v>
      </c>
      <c r="C54" s="6" t="n">
        <v>0.0</v>
      </c>
      <c r="D54" s="6" t="n">
        <v>0.0</v>
      </c>
      <c r="E54" s="6" t="n">
        <v>0.0</v>
      </c>
      <c r="F54" s="6" t="n">
        <v>0.0</v>
      </c>
      <c r="G54" s="6" t="n">
        <v>0.0</v>
      </c>
      <c r="H54" s="6" t="n">
        <v>0.0</v>
      </c>
      <c r="I54" s="6" t="n">
        <v>0.0</v>
      </c>
      <c r="J54" s="6">
        <f si="0" t="shared"/>
        <v>3.2327844351403714</v>
      </c>
      <c r="L54" s="12">
        <v>6.25E-2</v>
      </c>
      <c r="M54" s="9" t="n">
        <v>0.540618896484375</v>
      </c>
      <c r="N54" s="9" t="n">
        <v>0.1482524871826172</v>
      </c>
      <c r="O54" s="9" t="n">
        <v>0.0</v>
      </c>
      <c r="P54" s="9" t="n">
        <v>0.0</v>
      </c>
      <c r="Q54" s="9" t="n">
        <v>0.015370368957519531</v>
      </c>
      <c r="R54" s="9" t="n">
        <v>0.04236888885498047</v>
      </c>
      <c r="S54" s="9" t="n">
        <v>0.0</v>
      </c>
      <c r="T54" s="9" t="n">
        <v>0.0</v>
      </c>
      <c r="U54">
        <f si="1" t="shared"/>
        <v>7.5966691970825195</v>
      </c>
    </row>
    <row r="55" spans="1:21" x14ac:dyDescent="0.25">
      <c r="A55" s="12">
        <v>8.3333333333333329E-2</v>
      </c>
      <c r="B55" s="6" t="n">
        <v>0.007423105478804376</v>
      </c>
      <c r="C55" s="6" t="n">
        <v>0.0</v>
      </c>
      <c r="D55" s="6" t="n">
        <v>0.0</v>
      </c>
      <c r="E55" s="6" t="n">
        <v>0.0</v>
      </c>
      <c r="F55" s="6" t="n">
        <v>0.0</v>
      </c>
      <c r="G55" s="6" t="n">
        <v>0.0</v>
      </c>
      <c r="H55" s="6" t="n">
        <v>0.0</v>
      </c>
      <c r="I55" s="6" t="n">
        <v>0.0</v>
      </c>
      <c r="J55" s="6">
        <f si="0" t="shared"/>
        <v>0.70406121827202861</v>
      </c>
      <c r="L55" s="12">
        <v>8.3333333333333329E-2</v>
      </c>
      <c r="M55" s="9" t="n">
        <v>0.19006633758544922</v>
      </c>
      <c r="N55" s="9" t="n">
        <v>0.055080413818359375</v>
      </c>
      <c r="O55" s="9" t="n">
        <v>0.0</v>
      </c>
      <c r="P55" s="9" t="n">
        <v>0.0</v>
      </c>
      <c r="Q55" s="9" t="n">
        <v>0.004679679870605469</v>
      </c>
      <c r="R55" s="9" t="n">
        <v>0.015952110290527344</v>
      </c>
      <c r="S55" s="9" t="n">
        <v>0.0</v>
      </c>
      <c r="T55" s="9" t="n">
        <v>0.0</v>
      </c>
      <c r="U55">
        <f si="1" t="shared"/>
        <v>2.8210163116455078</v>
      </c>
    </row>
    <row r="56" spans="1:21" x14ac:dyDescent="0.25">
      <c r="A56" s="12">
        <v>0.10416666666666667</v>
      </c>
      <c r="B56" s="6" t="n">
        <v>7.813795240846712E-4</v>
      </c>
      <c r="C56" s="6" t="n">
        <v>0.0</v>
      </c>
      <c r="D56" s="6" t="n">
        <v>0.0</v>
      </c>
      <c r="E56" s="6" t="n">
        <v>0.0</v>
      </c>
      <c r="F56" s="6" t="n">
        <v>0.0</v>
      </c>
      <c r="G56" s="6" t="n">
        <v>0.0</v>
      </c>
      <c r="H56" s="6" t="n">
        <v>0.0</v>
      </c>
      <c r="I56" s="6" t="n">
        <v>0.0</v>
      </c>
      <c r="J56" s="6">
        <f si="0" t="shared"/>
        <v>0.10992231461713711</v>
      </c>
      <c r="L56" s="12">
        <v>0.10416666666666667</v>
      </c>
      <c r="M56" s="9" t="n">
        <v>0.05392265319824219</v>
      </c>
      <c r="N56" s="9" t="n">
        <v>0.016243934631347656</v>
      </c>
      <c r="O56" s="9" t="n">
        <v>0.0</v>
      </c>
      <c r="P56" s="9" t="n">
        <v>0.0</v>
      </c>
      <c r="Q56" s="9" t="n">
        <v>0.0010900497436523438</v>
      </c>
      <c r="R56" s="9" t="n">
        <v>0.0048046112060546875</v>
      </c>
      <c r="S56" s="9" t="n">
        <v>0.0</v>
      </c>
      <c r="T56" s="9" t="n">
        <v>0.0</v>
      </c>
      <c r="U56">
        <f si="1" t="shared"/>
        <v>0.83250999450683594</v>
      </c>
    </row>
    <row r="57" spans="1:21" x14ac:dyDescent="0.25">
      <c r="A57" s="12">
        <v>0.125</v>
      </c>
      <c r="B57" s="6" t="n">
        <v>3.906897620423355E-5</v>
      </c>
      <c r="C57" s="6" t="n">
        <v>0.0</v>
      </c>
      <c r="D57" s="6" t="n">
        <v>0.0</v>
      </c>
      <c r="E57" s="6" t="n">
        <v>0.0</v>
      </c>
      <c r="F57" s="6" t="n">
        <v>0.0</v>
      </c>
      <c r="G57" s="6" t="n">
        <v>0.0</v>
      </c>
      <c r="H57" s="6" t="n">
        <v>0.0</v>
      </c>
      <c r="I57" s="6" t="n">
        <v>0.0</v>
      </c>
      <c r="J57" s="6">
        <f si="0" t="shared"/>
        <v>1.0940135578008907E-2</v>
      </c>
      <c r="L57" s="12">
        <v>0.125</v>
      </c>
      <c r="M57" s="9" t="n">
        <v>0.011553764343261719</v>
      </c>
      <c r="N57" s="9" t="n">
        <v>0.0035848617553710938</v>
      </c>
      <c r="O57" s="9" t="n">
        <v>0.0</v>
      </c>
      <c r="P57" s="9" t="n">
        <v>0.0</v>
      </c>
      <c r="Q57" s="9" t="n">
        <v>1.8024444580078125E-4</v>
      </c>
      <c r="R57" s="9" t="n">
        <v>0.001087188720703125</v>
      </c>
      <c r="S57" s="9" t="n">
        <v>0.0</v>
      </c>
      <c r="T57" s="9" t="n">
        <v>0.0</v>
      </c>
      <c r="U57">
        <f si="1" t="shared"/>
        <v>0.18396377563476563</v>
      </c>
    </row>
    <row ht="15.75" r="58" spans="1:21" thickBot="1" x14ac:dyDescent="0.3">
      <c r="A58" s="13" t="s">
        <v>6</v>
      </c>
      <c r="B58" s="7" t="n">
        <v>0.0</v>
      </c>
      <c r="C58" s="7" t="n">
        <v>0.0</v>
      </c>
      <c r="D58" s="7" t="n">
        <v>0.0</v>
      </c>
      <c r="E58" s="7" t="n">
        <v>0.0</v>
      </c>
      <c r="F58" s="7" t="n">
        <v>0.0</v>
      </c>
      <c r="G58" s="7" t="n">
        <v>0.0</v>
      </c>
      <c r="H58" s="7" t="n">
        <v>0.0</v>
      </c>
      <c r="I58" s="7" t="n">
        <v>0.0</v>
      </c>
      <c r="J58" s="7">
        <f si="0" t="shared"/>
        <v>0</v>
      </c>
      <c r="L58" s="13" t="s">
        <v>6</v>
      </c>
      <c r="M58" s="10" t="n">
        <v>0.0</v>
      </c>
      <c r="N58" s="10" t="n">
        <v>0.0</v>
      </c>
      <c r="O58" s="10" t="n">
        <v>0.0</v>
      </c>
      <c r="P58" s="10" t="n">
        <v>0.0</v>
      </c>
      <c r="Q58" s="10" t="n">
        <v>0.0</v>
      </c>
      <c r="R58" s="10" t="n">
        <v>0.0</v>
      </c>
      <c r="S58" s="10" t="n">
        <v>0.0</v>
      </c>
      <c r="T58" s="10" t="n">
        <v>0.0</v>
      </c>
      <c r="U58" s="1">
        <f si="1" t="shared"/>
        <v>0</v>
      </c>
    </row>
  </sheetData>
  <pageMargins bottom="0.75" footer="0.3" header="0.3" left="0.7" right="0.7" top="0.75"/>
  <pageSetup orientation="portrait" r:id="rId1"/>
  <drawing r:id="rId2"/>
</worksheet>
</file>

<file path=xl/worksheets/sheet8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AA58"/>
  <sheetViews>
    <sheetView workbookViewId="0">
      <selection activeCell="A3" sqref="A3"/>
    </sheetView>
  </sheetViews>
  <sheetFormatPr defaultRowHeight="15" x14ac:dyDescent="0.25"/>
  <cols>
    <col min="1" max="1" customWidth="true" width="12.7109375" collapsed="true"/>
    <col min="2" max="10" customWidth="true" width="10.7109375" collapsed="true"/>
    <col min="11" max="11" customWidth="true" width="6.42578125" collapsed="true"/>
    <col min="12" max="12" customWidth="true" width="12.7109375" collapsed="true"/>
    <col min="13" max="21" customWidth="true" width="10.7109375" collapsed="true"/>
  </cols>
  <sheetData>
    <row r="1" spans="1:26" x14ac:dyDescent="0.25">
      <c r="A1" t="s">
        <v>38</v>
      </c>
    </row>
    <row r="2" spans="1:26" x14ac:dyDescent="0.25">
      <c r="A2" t="s">
        <v>59</v>
      </c>
    </row>
    <row r="3" spans="1:26" x14ac:dyDescent="0.25">
      <c r="A3" t="s">
        <v>7</v>
      </c>
    </row>
    <row r="4" spans="1:26" x14ac:dyDescent="0.25">
      <c r="A4" t="s">
        <v>8</v>
      </c>
    </row>
    <row r="5" spans="1:26" x14ac:dyDescent="0.25">
      <c r="W5" s="5"/>
      <c r="X5" s="5"/>
      <c r="Y5" s="5"/>
      <c r="Z5" s="5"/>
    </row>
    <row ht="15.75" r="6" spans="1:26" thickBot="1" x14ac:dyDescent="0.3">
      <c r="A6" s="3" t="s">
        <v>55</v>
      </c>
      <c r="B6" s="1"/>
      <c r="C6" s="1"/>
      <c r="D6" s="1"/>
      <c r="E6" s="1"/>
      <c r="F6" s="1"/>
      <c r="G6" s="1"/>
      <c r="H6" s="1"/>
      <c r="I6" s="1"/>
      <c r="J6" s="1"/>
      <c r="L6" s="3" t="s">
        <v>39</v>
      </c>
      <c r="M6" s="1"/>
      <c r="N6" s="1"/>
      <c r="O6" s="1"/>
      <c r="P6" s="1"/>
      <c r="Q6" s="1"/>
      <c r="R6" s="1"/>
      <c r="S6" s="1"/>
      <c r="T6" s="1"/>
      <c r="U6" s="1"/>
      <c r="W6" s="11"/>
      <c r="X6" s="5"/>
      <c r="Y6" s="5"/>
      <c r="Z6" s="5"/>
    </row>
    <row r="7" spans="1:26" x14ac:dyDescent="0.25">
      <c r="A7" s="2" t="s">
        <v>4</v>
      </c>
      <c r="B7" s="4" t="s">
        <v>17</v>
      </c>
      <c r="C7" s="4" t="s">
        <v>18</v>
      </c>
      <c r="D7" s="4" t="s">
        <v>19</v>
      </c>
      <c r="E7" s="4" t="s">
        <v>20</v>
      </c>
      <c r="F7" s="4" t="s">
        <v>21</v>
      </c>
      <c r="G7" s="4" t="s">
        <v>24</v>
      </c>
      <c r="H7" s="4" t="s">
        <v>22</v>
      </c>
      <c r="I7" s="4" t="s">
        <v>23</v>
      </c>
      <c r="J7" s="4" t="s">
        <v>0</v>
      </c>
      <c r="L7" s="2" t="s">
        <v>4</v>
      </c>
      <c r="M7" s="4" t="s">
        <v>17</v>
      </c>
      <c r="N7" s="4" t="s">
        <v>18</v>
      </c>
      <c r="O7" s="4" t="s">
        <v>19</v>
      </c>
      <c r="P7" s="4" t="s">
        <v>20</v>
      </c>
      <c r="Q7" s="4" t="s">
        <v>21</v>
      </c>
      <c r="R7" s="4" t="s">
        <v>24</v>
      </c>
      <c r="S7" s="4" t="s">
        <v>22</v>
      </c>
      <c r="T7" s="4" t="s">
        <v>23</v>
      </c>
      <c r="U7" s="4" t="s">
        <v>0</v>
      </c>
      <c r="W7" s="5"/>
      <c r="X7" s="14"/>
      <c r="Y7" s="14"/>
      <c r="Z7" s="5"/>
    </row>
    <row r="8" spans="1:26" x14ac:dyDescent="0.25">
      <c r="A8" t="s">
        <v>5</v>
      </c>
      <c r="B8" s="6" t="n">
        <v>6326.563603890154</v>
      </c>
      <c r="C8" s="6" t="n">
        <v>802.3667994053143</v>
      </c>
      <c r="D8" s="6" t="n">
        <v>45.2391273899036</v>
      </c>
      <c r="E8" s="6" t="n">
        <v>112.431348980634</v>
      </c>
      <c r="F8" s="6" t="n">
        <v>333.148448837896</v>
      </c>
      <c r="G8" s="6" t="n">
        <v>0.0</v>
      </c>
      <c r="H8" s="6" t="n">
        <v>0.0</v>
      </c>
      <c r="I8" s="6" t="n">
        <v>0.0</v>
      </c>
      <c r="J8" s="6">
        <f>SUM(B8:I8)</f>
        <v>2848.5931090345475</v>
      </c>
      <c r="L8" t="s">
        <v>5</v>
      </c>
      <c r="M8" s="9" t="n">
        <v>4518.0</v>
      </c>
      <c r="N8" s="9" t="n">
        <v>520.0</v>
      </c>
      <c r="O8" s="9" t="n">
        <v>0.0</v>
      </c>
      <c r="P8" s="9" t="n">
        <v>0.0</v>
      </c>
      <c r="Q8" s="9" t="n">
        <v>276.0</v>
      </c>
      <c r="R8" s="9" t="n">
        <v>90.0</v>
      </c>
      <c r="S8" s="9" t="n">
        <v>0.0</v>
      </c>
      <c r="T8" s="9" t="n">
        <v>0.0</v>
      </c>
      <c r="U8">
        <f>SUM(M8:T8)</f>
        <v>7075</v>
      </c>
      <c r="W8" s="5"/>
      <c r="X8" s="16"/>
      <c r="Y8" s="16"/>
      <c r="Z8" s="5"/>
    </row>
    <row r="9" spans="1:26" x14ac:dyDescent="0.25">
      <c r="A9" s="12">
        <v>0.125</v>
      </c>
      <c r="B9" s="6" t="n">
        <v>4200.975241535754</v>
      </c>
      <c r="C9" s="6" t="n">
        <v>532.516415392905</v>
      </c>
      <c r="D9" s="6" t="n">
        <v>30.022624939046974</v>
      </c>
      <c r="E9" s="6" t="n">
        <v>74.61215491274865</v>
      </c>
      <c r="F9" s="6" t="n">
        <v>221.08524285157995</v>
      </c>
      <c r="G9" s="6" t="n">
        <v>0.0</v>
      </c>
      <c r="H9" s="6" t="n">
        <v>0.0</v>
      </c>
      <c r="I9" s="6" t="n">
        <v>0.0</v>
      </c>
      <c r="J9" s="6">
        <f ref="J9:J58" si="0" t="shared">SUM(B9:I9)</f>
        <v>1906.981562205629</v>
      </c>
      <c r="L9" s="12">
        <v>0.125</v>
      </c>
      <c r="M9" s="9" t="n">
        <v>3019.3435611724854</v>
      </c>
      <c r="N9" s="9" t="n">
        <v>347.5124979019165</v>
      </c>
      <c r="O9" s="9" t="n">
        <v>0.0</v>
      </c>
      <c r="P9" s="9" t="n">
        <v>0.0</v>
      </c>
      <c r="Q9" s="9" t="n">
        <v>183.3650016784668</v>
      </c>
      <c r="R9" s="9" t="n">
        <v>59.731163024902344</v>
      </c>
      <c r="S9" s="9" t="n">
        <v>0.0</v>
      </c>
      <c r="T9" s="9" t="n">
        <v>0.0</v>
      </c>
      <c r="U9">
        <f ref="U9:U58" si="1" t="shared">SUM(M9:T9)</f>
        <v>4743.5285425186157</v>
      </c>
      <c r="W9" s="5"/>
      <c r="X9" s="16"/>
      <c r="Y9" s="16"/>
      <c r="Z9" s="5"/>
    </row>
    <row r="10" spans="1:26" x14ac:dyDescent="0.25">
      <c r="A10" s="12">
        <v>0.14583333333333334</v>
      </c>
      <c r="B10" s="6" t="n">
        <v>2432.425485145807</v>
      </c>
      <c r="C10" s="6" t="n">
        <v>307.79246989574233</v>
      </c>
      <c r="D10" s="6" t="n">
        <v>17.348821550396</v>
      </c>
      <c r="E10" s="6" t="n">
        <v>43.09679132300714</v>
      </c>
      <c r="F10" s="6" t="n">
        <v>127.69923786298325</v>
      </c>
      <c r="G10" s="6" t="n">
        <v>0.0</v>
      </c>
      <c r="H10" s="6" t="n">
        <v>0.0</v>
      </c>
      <c r="I10" s="6" t="n">
        <v>0.0</v>
      </c>
      <c r="J10" s="6">
        <f si="0" t="shared"/>
        <v>1140.0513669598943</v>
      </c>
      <c r="L10" s="12">
        <v>0.14583333333333334</v>
      </c>
      <c r="M10" s="9" t="n">
        <v>1778.5974397659302</v>
      </c>
      <c r="N10" s="9" t="n">
        <v>204.6942377090454</v>
      </c>
      <c r="O10" s="9" t="n">
        <v>0.0</v>
      </c>
      <c r="P10" s="9" t="n">
        <v>0.0</v>
      </c>
      <c r="Q10" s="9" t="n">
        <v>106.1998062133789</v>
      </c>
      <c r="R10" s="9" t="n">
        <v>34.51636219024658</v>
      </c>
      <c r="S10" s="9" t="n">
        <v>0.0</v>
      </c>
      <c r="T10" s="9" t="n">
        <v>0.0</v>
      </c>
      <c r="U10">
        <f si="1" t="shared"/>
        <v>2816.8096017837524</v>
      </c>
      <c r="W10" s="5"/>
      <c r="X10" s="16"/>
      <c r="Y10" s="16"/>
      <c r="Z10" s="5"/>
    </row>
    <row r="11" spans="1:26" x14ac:dyDescent="0.25">
      <c r="A11" s="12">
        <v>0.16666666666666666</v>
      </c>
      <c r="B11" s="6" t="n">
        <v>1214.6716111310657</v>
      </c>
      <c r="C11" s="6" t="n">
        <v>152.77538198035376</v>
      </c>
      <c r="D11" s="6" t="n">
        <v>8.610558552243194</v>
      </c>
      <c r="E11" s="6" t="n">
        <v>21.28414538619191</v>
      </c>
      <c r="F11" s="6" t="n">
        <v>63.047388255493246</v>
      </c>
      <c r="G11" s="6" t="n">
        <v>0.0</v>
      </c>
      <c r="H11" s="6" t="n">
        <v>0.0</v>
      </c>
      <c r="I11" s="6" t="n">
        <v>0.0</v>
      </c>
      <c r="J11" s="6">
        <f si="0" t="shared"/>
        <v>651.78146811964154</v>
      </c>
      <c r="L11" s="12">
        <v>0.16666666666666666</v>
      </c>
      <c r="M11" s="9" t="n">
        <v>937.0439138412476</v>
      </c>
      <c r="N11" s="9" t="n">
        <v>107.83143901824951</v>
      </c>
      <c r="O11" s="9" t="n">
        <v>0.0</v>
      </c>
      <c r="P11" s="9" t="n">
        <v>0.0</v>
      </c>
      <c r="Q11" s="9" t="n">
        <v>52.88107681274414</v>
      </c>
      <c r="R11" s="9" t="n">
        <v>17.08570098876953</v>
      </c>
      <c r="S11" s="9" t="n">
        <v>0.0</v>
      </c>
      <c r="T11" s="9" t="n">
        <v>0.0</v>
      </c>
      <c r="U11">
        <f si="1" t="shared"/>
        <v>1520.4105997085571</v>
      </c>
      <c r="W11" s="5"/>
      <c r="X11" s="16"/>
      <c r="Y11" s="16"/>
      <c r="Z11" s="5"/>
    </row>
    <row r="12" spans="1:26" x14ac:dyDescent="0.25">
      <c r="A12" s="12">
        <v>0.1875</v>
      </c>
      <c r="B12" s="6" t="n">
        <v>531.9963952744239</v>
      </c>
      <c r="C12" s="6" t="n">
        <v>65.8654728609724</v>
      </c>
      <c r="D12" s="6" t="n">
        <v>3.7537454957265934</v>
      </c>
      <c r="E12" s="6" t="n">
        <v>8.853909965163888</v>
      </c>
      <c r="F12" s="6" t="n">
        <v>26.10362249047534</v>
      </c>
      <c r="G12" s="6" t="n">
        <v>0.0</v>
      </c>
      <c r="H12" s="6" t="n">
        <v>0.0</v>
      </c>
      <c r="I12" s="6" t="n">
        <v>0.0</v>
      </c>
      <c r="J12" s="6">
        <f si="0" t="shared"/>
        <v>453.95042625905603</v>
      </c>
      <c r="L12" s="12">
        <v>0.1875</v>
      </c>
      <c r="M12" s="9" t="n">
        <v>485.8920421600342</v>
      </c>
      <c r="N12" s="9" t="n">
        <v>56.0092077255249</v>
      </c>
      <c r="O12" s="9" t="n">
        <v>0.0</v>
      </c>
      <c r="P12" s="9" t="n">
        <v>0.0</v>
      </c>
      <c r="Q12" s="9" t="n">
        <v>22.669414520263672</v>
      </c>
      <c r="R12" s="9" t="n">
        <v>7.182498931884766</v>
      </c>
      <c r="S12" s="9" t="n">
        <v>0.0</v>
      </c>
      <c r="T12" s="9" t="n">
        <v>0.0</v>
      </c>
      <c r="U12">
        <f si="1" t="shared"/>
        <v>851.66664600372314</v>
      </c>
      <c r="W12" s="5"/>
      <c r="X12" s="5"/>
      <c r="Y12" s="5"/>
      <c r="Z12" s="5"/>
    </row>
    <row r="13" spans="1:26" x14ac:dyDescent="0.25">
      <c r="A13" s="12">
        <v>0.20833333333333334</v>
      </c>
      <c r="B13" s="6" t="n">
        <v>237.96538618536948</v>
      </c>
      <c r="C13" s="6" t="n">
        <v>29.583463363688214</v>
      </c>
      <c r="D13" s="6" t="n">
        <v>1.8735687698934218</v>
      </c>
      <c r="E13" s="6" t="n">
        <v>3.2084341018583786</v>
      </c>
      <c r="F13" s="6" t="n">
        <v>8.865946893505726</v>
      </c>
      <c r="G13" s="6" t="n">
        <v>0.0</v>
      </c>
      <c r="H13" s="6" t="n">
        <v>0.0</v>
      </c>
      <c r="I13" s="6" t="n">
        <v>0.0</v>
      </c>
      <c r="J13" s="6">
        <f si="0" t="shared"/>
        <v>499.07969822889635</v>
      </c>
      <c r="L13" s="12">
        <v>0.20833333333333334</v>
      </c>
      <c r="M13" s="9" t="n">
        <v>321.5062780380249</v>
      </c>
      <c r="N13" s="9" t="n">
        <v>37.48340606689453</v>
      </c>
      <c r="O13" s="9" t="n">
        <v>0.0</v>
      </c>
      <c r="P13" s="9" t="n">
        <v>0.0</v>
      </c>
      <c r="Q13" s="9" t="n">
        <v>9.079042434692383</v>
      </c>
      <c r="R13" s="9" t="n">
        <v>2.6700658798217773</v>
      </c>
      <c r="S13" s="9" t="n">
        <v>0.0</v>
      </c>
      <c r="T13" s="9" t="n">
        <v>0.0</v>
      </c>
      <c r="U13">
        <f si="1" t="shared"/>
        <v>667.85100936889648</v>
      </c>
    </row>
    <row r="14" spans="1:26" x14ac:dyDescent="0.25">
      <c r="A14" s="12">
        <v>0.22916666666666666</v>
      </c>
      <c r="B14" s="6" t="n">
        <v>170.95766603644333</v>
      </c>
      <c r="C14" s="6" t="n">
        <v>25.658456656172117</v>
      </c>
      <c r="D14" s="6" t="n">
        <v>2.009303445272073</v>
      </c>
      <c r="E14" s="6" t="n">
        <v>1.6637346631261662</v>
      </c>
      <c r="F14" s="6" t="n">
        <v>2.426162973852712</v>
      </c>
      <c r="G14" s="6" t="n">
        <v>0.0</v>
      </c>
      <c r="H14" s="6" t="n">
        <v>0.0</v>
      </c>
      <c r="I14" s="6" t="n">
        <v>0.0</v>
      </c>
      <c r="J14" s="6">
        <f si="0" t="shared"/>
        <v>732.91813314750061</v>
      </c>
      <c r="L14" s="12">
        <v>0.22916666666666666</v>
      </c>
      <c r="M14" s="9" t="n">
        <v>327.0953645706177</v>
      </c>
      <c r="N14" s="9" t="n">
        <v>39.09074020385742</v>
      </c>
      <c r="O14" s="9" t="n">
        <v>0.0</v>
      </c>
      <c r="P14" s="9" t="n">
        <v>0.0</v>
      </c>
      <c r="Q14" s="9" t="n">
        <v>4.8297929763793945</v>
      </c>
      <c r="R14" s="9" t="n">
        <v>1.15960693359375</v>
      </c>
      <c r="S14" s="9" t="n">
        <v>0.0</v>
      </c>
      <c r="T14" s="9" t="n">
        <v>0.0</v>
      </c>
      <c r="U14">
        <f si="1" t="shared"/>
        <v>811.85908317565918</v>
      </c>
    </row>
    <row r="15" spans="1:26" x14ac:dyDescent="0.25">
      <c r="A15" s="12">
        <v>0.25</v>
      </c>
      <c r="B15" s="6" t="n">
        <v>222.8886949070587</v>
      </c>
      <c r="C15" s="6" t="n">
        <v>44.188039541573495</v>
      </c>
      <c r="D15" s="6" t="n">
        <v>3.4847578973128615</v>
      </c>
      <c r="E15" s="6" t="n">
        <v>2.978395058504649</v>
      </c>
      <c r="F15" s="6" t="n">
        <v>0.669141962894021</v>
      </c>
      <c r="G15" s="6" t="n">
        <v>0.0</v>
      </c>
      <c r="H15" s="6" t="n">
        <v>0.0</v>
      </c>
      <c r="I15" s="6" t="n">
        <v>0.0</v>
      </c>
      <c r="J15" s="6">
        <f si="0" t="shared"/>
        <v>1127.5255975072857</v>
      </c>
      <c r="L15" s="12">
        <v>0.25</v>
      </c>
      <c r="M15" s="9" t="n">
        <v>422.5257167816162</v>
      </c>
      <c r="N15" s="9" t="n">
        <v>51.999210357666016</v>
      </c>
      <c r="O15" s="9" t="n">
        <v>0.0</v>
      </c>
      <c r="P15" s="9" t="n">
        <v>0.0</v>
      </c>
      <c r="Q15" s="9" t="n">
        <v>4.819339752197266</v>
      </c>
      <c r="R15" s="9" t="n">
        <v>0.9836797714233398</v>
      </c>
      <c r="S15" s="9" t="n">
        <v>0.0</v>
      </c>
      <c r="T15" s="9" t="n">
        <v>0.0</v>
      </c>
      <c r="U15">
        <f si="1" t="shared"/>
        <v>1183.2686948776245</v>
      </c>
    </row>
    <row r="16" spans="1:26" x14ac:dyDescent="0.25">
      <c r="A16" s="12">
        <v>0.27083333333333331</v>
      </c>
      <c r="B16" s="6" t="n">
        <v>346.0673434410986</v>
      </c>
      <c r="C16" s="6" t="n">
        <v>84.17383916860136</v>
      </c>
      <c r="D16" s="6" t="n">
        <v>5.7771645802808615</v>
      </c>
      <c r="E16" s="6" t="n">
        <v>7.92343560791829</v>
      </c>
      <c r="F16" s="6" t="n">
        <v>0.8284674394464502</v>
      </c>
      <c r="G16" s="6" t="n">
        <v>6.22355950836935E-5</v>
      </c>
      <c r="H16" s="6" t="n">
        <v>0.0</v>
      </c>
      <c r="I16" s="6" t="n">
        <v>0.0</v>
      </c>
      <c r="J16" s="6">
        <f si="0" t="shared"/>
        <v>1677.4909558809336</v>
      </c>
      <c r="L16" s="12">
        <v>0.27083333333333331</v>
      </c>
      <c r="M16" s="9" t="n">
        <v>572.2462291717529</v>
      </c>
      <c r="N16" s="9" t="n">
        <v>72.6308536529541</v>
      </c>
      <c r="O16" s="9" t="n">
        <v>0.0</v>
      </c>
      <c r="P16" s="9" t="n">
        <v>0.0</v>
      </c>
      <c r="Q16" s="9" t="n">
        <v>6.500908851623535</v>
      </c>
      <c r="R16" s="9" t="n">
        <v>1.3049888610839844</v>
      </c>
      <c r="S16" s="9" t="n">
        <v>0.0</v>
      </c>
      <c r="T16" s="9" t="n">
        <v>0.0</v>
      </c>
      <c r="U16">
        <f si="1" t="shared"/>
        <v>1740.8166265487671</v>
      </c>
    </row>
    <row r="17" spans="1:21" x14ac:dyDescent="0.25">
      <c r="A17" s="12">
        <v>0.29166666666666669</v>
      </c>
      <c r="B17" s="6" t="n">
        <v>531.2790176384314</v>
      </c>
      <c r="C17" s="6" t="n">
        <v>148.27011871285453</v>
      </c>
      <c r="D17" s="6" t="n">
        <v>8.413702398367153</v>
      </c>
      <c r="E17" s="6" t="n">
        <v>19.15795184490109</v>
      </c>
      <c r="F17" s="6" t="n">
        <v>2.524618172003279</v>
      </c>
      <c r="G17" s="6" t="n">
        <v>0.0012447119016738698</v>
      </c>
      <c r="H17" s="6" t="n">
        <v>0.0</v>
      </c>
      <c r="I17" s="6" t="n">
        <v>0.0</v>
      </c>
      <c r="J17" s="6">
        <f si="0" t="shared"/>
        <v>2368.5470070496681</v>
      </c>
      <c r="L17" s="12">
        <v>0.29166666666666669</v>
      </c>
      <c r="M17" s="9" t="n">
        <v>774.902138710022</v>
      </c>
      <c r="N17" s="9" t="n">
        <v>101.41950416564941</v>
      </c>
      <c r="O17" s="9" t="n">
        <v>0.0</v>
      </c>
      <c r="P17" s="9" t="n">
        <v>0.0</v>
      </c>
      <c r="Q17" s="9" t="n">
        <v>9.054457664489746</v>
      </c>
      <c r="R17" s="9" t="n">
        <v>1.8194036483764648</v>
      </c>
      <c r="S17" s="9" t="n">
        <v>0.0</v>
      </c>
      <c r="T17" s="9" t="n">
        <v>0.0</v>
      </c>
      <c r="U17">
        <f si="1" t="shared"/>
        <v>2475.7189464569092</v>
      </c>
    </row>
    <row r="18" spans="1:21" x14ac:dyDescent="0.25">
      <c r="A18" s="12">
        <v>0.3125</v>
      </c>
      <c r="B18" s="6" t="n">
        <v>789.1592078010609</v>
      </c>
      <c r="C18" s="6" t="n">
        <v>235.91824039393748</v>
      </c>
      <c r="D18" s="6" t="n">
        <v>11.287157534240535</v>
      </c>
      <c r="E18" s="6" t="n">
        <v>40.32582148494589</v>
      </c>
      <c r="F18" s="6" t="n">
        <v>6.6866741222773864</v>
      </c>
      <c r="G18" s="6" t="n">
        <v>0.011824763065901764</v>
      </c>
      <c r="H18" s="6" t="n">
        <v>7.834626565167847E-5</v>
      </c>
      <c r="I18" s="6" t="n">
        <v>0.0</v>
      </c>
      <c r="J18" s="6">
        <f si="0" t="shared"/>
        <v>3149.960681377393</v>
      </c>
      <c r="L18" s="12">
        <v>0.3125</v>
      </c>
      <c r="M18" s="9" t="n">
        <v>1056.420126914978</v>
      </c>
      <c r="N18" s="9" t="n">
        <v>141.88511848449707</v>
      </c>
      <c r="O18" s="9" t="n">
        <v>0.0</v>
      </c>
      <c r="P18" s="9" t="n">
        <v>0.0</v>
      </c>
      <c r="Q18" s="9" t="n">
        <v>12.62789535522461</v>
      </c>
      <c r="R18" s="9" t="n">
        <v>2.4876461029052734</v>
      </c>
      <c r="S18" s="9" t="n">
        <v>0.0</v>
      </c>
      <c r="T18" s="9" t="n">
        <v>0.0</v>
      </c>
      <c r="U18">
        <f si="1" t="shared"/>
        <v>3392.2039270401001</v>
      </c>
    </row>
    <row r="19" spans="1:21" x14ac:dyDescent="0.25">
      <c r="A19" s="12">
        <v>0.33333333333333331</v>
      </c>
      <c r="B19" s="6" t="n">
        <v>1145.7801685641184</v>
      </c>
      <c r="C19" s="6" t="n">
        <v>340.21499276150115</v>
      </c>
      <c r="D19" s="6" t="n">
        <v>15.224325709784695</v>
      </c>
      <c r="E19" s="6" t="n">
        <v>74.07559409669808</v>
      </c>
      <c r="F19" s="6" t="n">
        <v>14.572832075797907</v>
      </c>
      <c r="G19" s="6" t="n">
        <v>0.07094857839541059</v>
      </c>
      <c r="H19" s="6" t="n">
        <v>0.0015669253130335694</v>
      </c>
      <c r="I19" s="6" t="n">
        <v>0.0</v>
      </c>
      <c r="J19" s="6">
        <f si="0" t="shared"/>
        <v>3945.6230780362348</v>
      </c>
      <c r="L19" s="12">
        <v>0.33333333333333331</v>
      </c>
      <c r="M19" s="9" t="n">
        <v>1468.0982122421265</v>
      </c>
      <c r="N19" s="9" t="n">
        <v>200.21288204193115</v>
      </c>
      <c r="O19" s="9" t="n">
        <v>0.0</v>
      </c>
      <c r="P19" s="9" t="n">
        <v>0.0</v>
      </c>
      <c r="Q19" s="9" t="n">
        <v>17.94791889190674</v>
      </c>
      <c r="R19" s="9" t="n">
        <v>3.4090166091918945</v>
      </c>
      <c r="S19" s="9" t="n">
        <v>0.0</v>
      </c>
      <c r="T19" s="9" t="n">
        <v>0.0</v>
      </c>
      <c r="U19">
        <f si="1" t="shared"/>
        <v>4502.9228210449219</v>
      </c>
    </row>
    <row r="20" spans="1:21" x14ac:dyDescent="0.25">
      <c r="A20" s="12">
        <v>0.35416666666666669</v>
      </c>
      <c r="B20" s="6" t="n">
        <v>1648.6498868661574</v>
      </c>
      <c r="C20" s="6" t="n">
        <v>453.62079951846687</v>
      </c>
      <c r="D20" s="6" t="n">
        <v>22.311298935483965</v>
      </c>
      <c r="E20" s="6" t="n">
        <v>119.59832344756582</v>
      </c>
      <c r="F20" s="6" t="n">
        <v>26.766629287996782</v>
      </c>
      <c r="G20" s="6" t="n">
        <v>0.3018816631285486</v>
      </c>
      <c r="H20" s="6" t="n">
        <v>0.014885790473818907</v>
      </c>
      <c r="I20" s="6" t="n">
        <v>0.0</v>
      </c>
      <c r="J20" s="6">
        <f si="0" t="shared"/>
        <v>4710.4720627810648</v>
      </c>
      <c r="L20" s="12">
        <v>0.35416666666666669</v>
      </c>
      <c r="M20" s="9" t="n">
        <v>2074.589461326599</v>
      </c>
      <c r="N20" s="9" t="n">
        <v>283.55650901794434</v>
      </c>
      <c r="O20" s="9" t="n">
        <v>0.0</v>
      </c>
      <c r="P20" s="9" t="n">
        <v>0.0</v>
      </c>
      <c r="Q20" s="9" t="n">
        <v>26.008752822875977</v>
      </c>
      <c r="R20" s="9" t="n">
        <v>4.750028610229492</v>
      </c>
      <c r="S20" s="9" t="n">
        <v>0.0</v>
      </c>
      <c r="T20" s="9" t="n">
        <v>0.0</v>
      </c>
      <c r="U20">
        <f si="1" t="shared"/>
        <v>5825.4650259017944</v>
      </c>
    </row>
    <row r="21" spans="1:21" x14ac:dyDescent="0.25">
      <c r="A21" s="12">
        <v>0.375</v>
      </c>
      <c r="B21" s="6" t="n">
        <v>2368.4046565466706</v>
      </c>
      <c r="C21" s="6" t="n">
        <v>579.9530025225542</v>
      </c>
      <c r="D21" s="6" t="n">
        <v>35.693478866825956</v>
      </c>
      <c r="E21" s="6" t="n">
        <v>171.61901852299553</v>
      </c>
      <c r="F21" s="6" t="n">
        <v>42.67489229466881</v>
      </c>
      <c r="G21" s="6" t="n">
        <v>0.9719047651386559</v>
      </c>
      <c r="H21" s="6" t="n">
        <v>0.08931474284291345</v>
      </c>
      <c r="I21" s="6" t="n">
        <v>0.0</v>
      </c>
      <c r="J21" s="6">
        <f si="0" t="shared"/>
        <v>5494.0329888292017</v>
      </c>
      <c r="L21" s="12">
        <v>0.375</v>
      </c>
      <c r="M21" s="9" t="n">
        <v>2919.7891902923584</v>
      </c>
      <c r="N21" s="9" t="n">
        <v>395.62989044189453</v>
      </c>
      <c r="O21" s="9" t="n">
        <v>0.0</v>
      </c>
      <c r="P21" s="9" t="n">
        <v>0.0</v>
      </c>
      <c r="Q21" s="9" t="n">
        <v>37.592164039611816</v>
      </c>
      <c r="R21" s="9" t="n">
        <v>6.6485700607299805</v>
      </c>
      <c r="S21" s="9" t="n">
        <v>0.0</v>
      </c>
      <c r="T21" s="9" t="n">
        <v>0.0</v>
      </c>
      <c r="U21">
        <f si="1" t="shared"/>
        <v>7364.7063875198364</v>
      </c>
    </row>
    <row r="22" spans="1:21" x14ac:dyDescent="0.25">
      <c r="A22" s="12">
        <v>0.39583333333333331</v>
      </c>
      <c r="B22" s="6" t="n">
        <v>3372.600133612887</v>
      </c>
      <c r="C22" s="6" t="n">
        <v>738.594919657776</v>
      </c>
      <c r="D22" s="6" t="n">
        <v>58.83084585729761</v>
      </c>
      <c r="E22" s="6" t="n">
        <v>222.56618460170407</v>
      </c>
      <c r="F22" s="6" t="n">
        <v>61.40187656099692</v>
      </c>
      <c r="G22" s="6" t="n">
        <v>2.478790605574141</v>
      </c>
      <c r="H22" s="6" t="n">
        <v>0.37958765708238223</v>
      </c>
      <c r="I22" s="6" t="n">
        <v>0.0</v>
      </c>
      <c r="J22" s="6">
        <f si="0" t="shared"/>
        <v>6451.0438321378624</v>
      </c>
      <c r="L22" s="12">
        <v>0.39583333333333331</v>
      </c>
      <c r="M22" s="9" t="n">
        <v>3985.2243642807007</v>
      </c>
      <c r="N22" s="9" t="n">
        <v>531.5147686004639</v>
      </c>
      <c r="O22" s="9" t="n">
        <v>0.0</v>
      </c>
      <c r="P22" s="9" t="n">
        <v>0.0</v>
      </c>
      <c r="Q22" s="9" t="n">
        <v>52.76607418060303</v>
      </c>
      <c r="R22" s="9" t="n">
        <v>9.119410514831543</v>
      </c>
      <c r="S22" s="9" t="n">
        <v>0.0</v>
      </c>
      <c r="T22" s="9" t="n">
        <v>0.0</v>
      </c>
      <c r="U22">
        <f si="1" t="shared"/>
        <v>9083.9962196350098</v>
      </c>
    </row>
    <row r="23" spans="1:21" x14ac:dyDescent="0.25">
      <c r="A23" s="12">
        <v>0.41666666666666669</v>
      </c>
      <c r="B23" s="6" t="n">
        <v>4664.005890013768</v>
      </c>
      <c r="C23" s="6" t="n">
        <v>948.4737121890076</v>
      </c>
      <c r="D23" s="6" t="n">
        <v>94.17019636193932</v>
      </c>
      <c r="E23" s="6" t="n">
        <v>267.14065169091504</v>
      </c>
      <c r="F23" s="6" t="n">
        <v>83.7076090097305</v>
      </c>
      <c r="G23" s="6" t="n">
        <v>5.223736971669005</v>
      </c>
      <c r="H23" s="6" t="n">
        <v>1.214680502663623</v>
      </c>
      <c r="I23" s="6" t="n">
        <v>0.0</v>
      </c>
      <c r="J23" s="6">
        <f si="0" t="shared"/>
        <v>7765.9881652836566</v>
      </c>
      <c r="L23" s="12">
        <v>0.41666666666666669</v>
      </c>
      <c r="M23" s="9" t="n">
        <v>5180.7919063568115</v>
      </c>
      <c r="N23" s="9" t="n">
        <v>676.9284896850586</v>
      </c>
      <c r="O23" s="9" t="n">
        <v>0.0</v>
      </c>
      <c r="P23" s="9" t="n">
        <v>0.0</v>
      </c>
      <c r="Q23" s="9" t="n">
        <v>70.81018829345703</v>
      </c>
      <c r="R23" s="9" t="n">
        <v>12.043828010559082</v>
      </c>
      <c r="S23" s="9" t="n">
        <v>0.0</v>
      </c>
      <c r="T23" s="9" t="n">
        <v>0.0</v>
      </c>
      <c r="U23">
        <f si="1" t="shared"/>
        <v>10890.25839805603</v>
      </c>
    </row>
    <row r="24" spans="1:21" x14ac:dyDescent="0.25">
      <c r="A24" s="12">
        <v>0.4375</v>
      </c>
      <c r="B24" s="6" t="n">
        <v>6125.561125734679</v>
      </c>
      <c r="C24" s="6" t="n">
        <v>1201.67097904608</v>
      </c>
      <c r="D24" s="6" t="n">
        <v>141.4432577803385</v>
      </c>
      <c r="E24" s="6" t="n">
        <v>306.00237478638576</v>
      </c>
      <c r="F24" s="6" t="n">
        <v>112.82775850784073</v>
      </c>
      <c r="G24" s="6" t="n">
        <v>9.53656088601248</v>
      </c>
      <c r="H24" s="6" t="n">
        <v>3.036701256659057</v>
      </c>
      <c r="I24" s="6" t="n">
        <v>0.0</v>
      </c>
      <c r="J24" s="6">
        <f si="0" t="shared"/>
        <v>9523.9113572626302</v>
      </c>
      <c r="L24" s="12">
        <v>0.4375</v>
      </c>
      <c r="M24" s="9" t="n">
        <v>6393.315196990967</v>
      </c>
      <c r="N24" s="9" t="n">
        <v>815.2608413696289</v>
      </c>
      <c r="O24" s="9" t="n">
        <v>0.0</v>
      </c>
      <c r="P24" s="9" t="n">
        <v>0.0</v>
      </c>
      <c r="Q24" s="9" t="n">
        <v>90.8226432800293</v>
      </c>
      <c r="R24" s="9" t="n">
        <v>15.26091194152832</v>
      </c>
      <c r="S24" s="9" t="n">
        <v>0.0</v>
      </c>
      <c r="T24" s="9" t="n">
        <v>0.0</v>
      </c>
      <c r="U24">
        <f si="1" t="shared"/>
        <v>12657.114639282227</v>
      </c>
    </row>
    <row r="25" spans="1:21" x14ac:dyDescent="0.25">
      <c r="A25" s="12">
        <v>0.45833333333333331</v>
      </c>
      <c r="B25" s="6" t="n">
        <v>7546.740892665683</v>
      </c>
      <c r="C25" s="6" t="n">
        <v>1456.7103810443355</v>
      </c>
      <c r="D25" s="6" t="n">
        <v>196.43094326376988</v>
      </c>
      <c r="E25" s="6" t="n">
        <v>345.5861332557495</v>
      </c>
      <c r="F25" s="6" t="n">
        <v>152.08123601266095</v>
      </c>
      <c r="G25" s="6" t="n">
        <v>15.882668064879914</v>
      </c>
      <c r="H25" s="6" t="n">
        <v>6.073402513318114</v>
      </c>
      <c r="I25" s="6" t="n">
        <v>0.0</v>
      </c>
      <c r="J25" s="6">
        <f si="0" t="shared"/>
        <v>11623.766397791191</v>
      </c>
      <c r="L25" s="12">
        <v>0.45833333333333331</v>
      </c>
      <c r="M25" s="9" t="n">
        <v>7566.760820388794</v>
      </c>
      <c r="N25" s="9" t="n">
        <v>938.5818176269531</v>
      </c>
      <c r="O25" s="9" t="n">
        <v>0.0</v>
      </c>
      <c r="P25" s="9" t="n">
        <v>0.0</v>
      </c>
      <c r="Q25" s="9" t="n">
        <v>112.66427230834961</v>
      </c>
      <c r="R25" s="9" t="n">
        <v>18.6727352142334</v>
      </c>
      <c r="S25" s="9" t="n">
        <v>0.0</v>
      </c>
      <c r="T25" s="9" t="n">
        <v>0.0</v>
      </c>
      <c r="U25">
        <f si="1" t="shared"/>
        <v>14281.045417785645</v>
      </c>
    </row>
    <row r="26" spans="1:21" x14ac:dyDescent="0.25">
      <c r="A26" s="12">
        <v>0.47916666666666669</v>
      </c>
      <c r="B26" s="6" t="n">
        <v>8760.91899239981</v>
      </c>
      <c r="C26" s="6" t="n">
        <v>1668.5918029343275</v>
      </c>
      <c r="D26" s="6" t="n">
        <v>250.9829082813843</v>
      </c>
      <c r="E26" s="6" t="n">
        <v>393.7224591244121</v>
      </c>
      <c r="F26" s="6" t="n">
        <v>200.81056363353707</v>
      </c>
      <c r="G26" s="6" t="n">
        <v>25.072343391839755</v>
      </c>
      <c r="H26" s="6" t="n">
        <v>9.869423678551318</v>
      </c>
      <c r="I26" s="6" t="n">
        <v>0.0</v>
      </c>
      <c r="J26" s="6">
        <f si="0" t="shared"/>
        <v>13835.800656373578</v>
      </c>
      <c r="L26" s="12">
        <v>0.47916666666666669</v>
      </c>
      <c r="M26" s="9" t="n">
        <v>8756.98923778534</v>
      </c>
      <c r="N26" s="9" t="n">
        <v>1054.4195003509521</v>
      </c>
      <c r="O26" s="9" t="n">
        <v>0.0</v>
      </c>
      <c r="P26" s="9" t="n">
        <v>0.0</v>
      </c>
      <c r="Q26" s="9" t="n">
        <v>137.61409187316895</v>
      </c>
      <c r="R26" s="9" t="n">
        <v>22.2890043258667</v>
      </c>
      <c r="S26" s="9" t="n">
        <v>0.0</v>
      </c>
      <c r="T26" s="9" t="n">
        <v>0.0</v>
      </c>
      <c r="U26">
        <f si="1" t="shared"/>
        <v>15740.520081520081</v>
      </c>
    </row>
    <row r="27" spans="1:21" x14ac:dyDescent="0.25">
      <c r="A27" s="12">
        <v>0.5</v>
      </c>
      <c r="B27" s="6" t="n">
        <v>9829.136876931465</v>
      </c>
      <c r="C27" s="6" t="n">
        <v>1833.0413167795402</v>
      </c>
      <c r="D27" s="6" t="n">
        <v>294.2368587825865</v>
      </c>
      <c r="E27" s="6" t="n">
        <v>453.35226246098307</v>
      </c>
      <c r="F27" s="6" t="n">
        <v>253.45468002073554</v>
      </c>
      <c r="G27" s="6" t="n">
        <v>37.60119368807113</v>
      </c>
      <c r="H27" s="6" t="n">
        <v>13.161965865462754</v>
      </c>
      <c r="I27" s="6" t="n">
        <v>0.0</v>
      </c>
      <c r="J27" s="6">
        <f si="0" t="shared"/>
        <v>16013.849716941018</v>
      </c>
      <c r="L27" s="12">
        <v>0.5</v>
      </c>
      <c r="M27" s="9" t="n">
        <v>10136.899257659912</v>
      </c>
      <c r="N27" s="9" t="n">
        <v>1184.5621881484985</v>
      </c>
      <c r="O27" s="9" t="n">
        <v>0.0</v>
      </c>
      <c r="P27" s="9" t="n">
        <v>0.0</v>
      </c>
      <c r="Q27" s="9" t="n">
        <v>168.62524700164795</v>
      </c>
      <c r="R27" s="9" t="n">
        <v>26.27592182159424</v>
      </c>
      <c r="S27" s="9" t="n">
        <v>0.0</v>
      </c>
      <c r="T27" s="9" t="n">
        <v>0.0</v>
      </c>
      <c r="U27">
        <f si="1" t="shared"/>
        <v>17136.678614616394</v>
      </c>
    </row>
    <row r="28" spans="1:21" x14ac:dyDescent="0.25">
      <c r="A28" s="12">
        <v>0.52083333333333337</v>
      </c>
      <c r="B28" s="6" t="n">
        <v>11160.642355913598</v>
      </c>
      <c r="C28" s="6" t="n">
        <v>2001.3186382038893</v>
      </c>
      <c r="D28" s="6" t="n">
        <v>314.95248362823656</v>
      </c>
      <c r="E28" s="6" t="n">
        <v>518.335793852228</v>
      </c>
      <c r="F28" s="6" t="n">
        <v>303.850921755545</v>
      </c>
      <c r="G28" s="6" t="n">
        <v>51.95944651300684</v>
      </c>
      <c r="H28" s="6" t="n">
        <v>14.503119562908338</v>
      </c>
      <c r="I28" s="6" t="n">
        <v>0.0</v>
      </c>
      <c r="J28" s="6">
        <f si="0" t="shared"/>
        <v>18327.870186367978</v>
      </c>
      <c r="L28" s="12">
        <v>0.52083333333333337</v>
      </c>
      <c r="M28" s="9" t="n">
        <v>11984.977056503296</v>
      </c>
      <c r="N28" s="9" t="n">
        <v>1360.1622018814087</v>
      </c>
      <c r="O28" s="9" t="n">
        <v>0.0</v>
      </c>
      <c r="P28" s="9" t="n">
        <v>0.0</v>
      </c>
      <c r="Q28" s="9" t="n">
        <v>210.6903781890869</v>
      </c>
      <c r="R28" s="9" t="n">
        <v>31.13601016998291</v>
      </c>
      <c r="S28" s="9" t="n">
        <v>0.0</v>
      </c>
      <c r="T28" s="9" t="n">
        <v>0.0</v>
      </c>
      <c r="U28">
        <f si="1" t="shared"/>
        <v>18718.679928779602</v>
      </c>
    </row>
    <row r="29" spans="1:21" x14ac:dyDescent="0.25">
      <c r="A29" s="12">
        <v>0.54166666666666663</v>
      </c>
      <c r="B29" s="6" t="n">
        <v>13498.847407271398</v>
      </c>
      <c r="C29" s="6" t="n">
        <v>2246.896718664534</v>
      </c>
      <c r="D29" s="6" t="n">
        <v>305.5102283708131</v>
      </c>
      <c r="E29" s="6" t="n">
        <v>575.65780731545</v>
      </c>
      <c r="F29" s="6" t="n">
        <v>350.03672005574794</v>
      </c>
      <c r="G29" s="6" t="n">
        <v>63.68588369900671</v>
      </c>
      <c r="H29" s="6" t="n">
        <v>13.330564105202562</v>
      </c>
      <c r="I29" s="6" t="n">
        <v>0.0</v>
      </c>
      <c r="J29" s="6">
        <f si="0" t="shared"/>
        <v>21309.182579226283</v>
      </c>
      <c r="L29" s="12">
        <v>0.54166666666666663</v>
      </c>
      <c r="M29" s="9" t="n">
        <v>14688.07741355896</v>
      </c>
      <c r="N29" s="9" t="n">
        <v>1617.8711776733398</v>
      </c>
      <c r="O29" s="9" t="n">
        <v>0.0</v>
      </c>
      <c r="P29" s="9" t="n">
        <v>0.0</v>
      </c>
      <c r="Q29" s="9" t="n">
        <v>271.28617000579834</v>
      </c>
      <c r="R29" s="9" t="n">
        <v>37.97424507141113</v>
      </c>
      <c r="S29" s="9" t="n">
        <v>0.0</v>
      </c>
      <c r="T29" s="9" t="n">
        <v>0.0</v>
      </c>
      <c r="U29">
        <f si="1" t="shared"/>
        <v>20891.656265258789</v>
      </c>
    </row>
    <row r="30" spans="1:21" x14ac:dyDescent="0.25">
      <c r="A30" s="12">
        <v>0.5625</v>
      </c>
      <c r="B30" s="6" t="n">
        <v>17755.617153441297</v>
      </c>
      <c r="C30" s="6" t="n">
        <v>2609.6714082997796</v>
      </c>
      <c r="D30" s="6" t="n">
        <v>266.7913614118926</v>
      </c>
      <c r="E30" s="6" t="n">
        <v>614.7400940760688</v>
      </c>
      <c r="F30" s="6" t="n">
        <v>393.43199116950166</v>
      </c>
      <c r="G30" s="6" t="n">
        <v>67.36046080626555</v>
      </c>
      <c r="H30" s="6" t="n">
        <v>10.60996519550704</v>
      </c>
      <c r="I30" s="6" t="n">
        <v>0.0</v>
      </c>
      <c r="J30" s="6">
        <f si="0" t="shared"/>
        <v>25608.410582864373</v>
      </c>
      <c r="L30" s="12">
        <v>0.5625</v>
      </c>
      <c r="M30" s="9" t="n">
        <v>18714.1097240448</v>
      </c>
      <c r="N30" s="9" t="n">
        <v>1993.3311710357666</v>
      </c>
      <c r="O30" s="9" t="n">
        <v>0.0</v>
      </c>
      <c r="P30" s="9" t="n">
        <v>0.0</v>
      </c>
      <c r="Q30" s="9" t="n">
        <v>359.3434524536133</v>
      </c>
      <c r="R30" s="9" t="n">
        <v>48.54056739807129</v>
      </c>
      <c r="S30" s="9" t="n">
        <v>0.0</v>
      </c>
      <c r="T30" s="9" t="n">
        <v>0.0</v>
      </c>
      <c r="U30">
        <f si="1" t="shared"/>
        <v>24164.803900718689</v>
      </c>
    </row>
    <row r="31" spans="1:21" x14ac:dyDescent="0.25">
      <c r="A31" s="12">
        <v>0.58333333333333337</v>
      </c>
      <c r="B31" s="6" t="n">
        <v>24696.429949142122</v>
      </c>
      <c r="C31" s="6" t="n">
        <v>3061.2964608568564</v>
      </c>
      <c r="D31" s="6" t="n">
        <v>210.30360209042854</v>
      </c>
      <c r="E31" s="6" t="n">
        <v>637.3360798261006</v>
      </c>
      <c r="F31" s="6" t="n">
        <v>433.8695130714739</v>
      </c>
      <c r="G31" s="6" t="n">
        <v>60.830033684844565</v>
      </c>
      <c r="H31" s="6" t="n">
        <v>8.485730577497117</v>
      </c>
      <c r="I31" s="6" t="n">
        <v>0.0</v>
      </c>
      <c r="J31" s="6">
        <f si="0" t="shared"/>
        <v>31596.738232801774</v>
      </c>
      <c r="L31" s="12">
        <v>0.58333333333333337</v>
      </c>
      <c r="M31" s="9" t="n">
        <v>24460.628984451294</v>
      </c>
      <c r="N31" s="9" t="n">
        <v>2504.0220918655396</v>
      </c>
      <c r="O31" s="9" t="n">
        <v>0.0</v>
      </c>
      <c r="P31" s="9" t="n">
        <v>0.0</v>
      </c>
      <c r="Q31" s="9" t="n">
        <v>480.96146965026855</v>
      </c>
      <c r="R31" s="9" t="n">
        <v>64.7097225189209</v>
      </c>
      <c r="S31" s="9" t="n">
        <v>0.0</v>
      </c>
      <c r="T31" s="9" t="n">
        <v>0.0</v>
      </c>
      <c r="U31">
        <f si="1" t="shared"/>
        <v>28981.540374755859</v>
      </c>
    </row>
    <row r="32" spans="1:21" x14ac:dyDescent="0.25">
      <c r="A32" s="12">
        <v>0.60416666666666663</v>
      </c>
      <c r="B32" s="6" t="n">
        <v>34508.40023486271</v>
      </c>
      <c r="C32" s="6" t="n">
        <v>3515.7215820163055</v>
      </c>
      <c r="D32" s="6" t="n">
        <v>154.3163476400545</v>
      </c>
      <c r="E32" s="6" t="n">
        <v>657.9874527624156</v>
      </c>
      <c r="F32" s="6" t="n">
        <v>468.2184038505437</v>
      </c>
      <c r="G32" s="6" t="n">
        <v>47.7649432983414</v>
      </c>
      <c r="H32" s="6" t="n">
        <v>9.187147795305844</v>
      </c>
      <c r="I32" s="6" t="n">
        <v>0.0</v>
      </c>
      <c r="J32" s="6">
        <f si="0" t="shared"/>
        <v>39073.784011511416</v>
      </c>
      <c r="L32" s="12">
        <v>0.60416666666666663</v>
      </c>
      <c r="M32" s="9" t="n">
        <v>31961.385001182556</v>
      </c>
      <c r="N32" s="9" t="n">
        <v>3123.958619117737</v>
      </c>
      <c r="O32" s="9" t="n">
        <v>0.0</v>
      </c>
      <c r="P32" s="9" t="n">
        <v>0.0</v>
      </c>
      <c r="Q32" s="9" t="n">
        <v>632.8094177246094</v>
      </c>
      <c r="R32" s="9" t="n">
        <v>87.41650676727295</v>
      </c>
      <c r="S32" s="9" t="n">
        <v>0.0</v>
      </c>
      <c r="T32" s="9" t="n">
        <v>0.0</v>
      </c>
      <c r="U32">
        <f si="1" t="shared"/>
        <v>35439.861526489258</v>
      </c>
    </row>
    <row r="33" spans="1:21" x14ac:dyDescent="0.25">
      <c r="A33" s="12">
        <v>0.625</v>
      </c>
      <c r="B33" s="6" t="n">
        <v>46381.45903613932</v>
      </c>
      <c r="C33" s="6" t="n">
        <v>3875.228326312196</v>
      </c>
      <c r="D33" s="6" t="n">
        <v>115.57241333450742</v>
      </c>
      <c r="E33" s="6" t="n">
        <v>692.076823932845</v>
      </c>
      <c r="F33" s="6" t="n">
        <v>495.22273569788496</v>
      </c>
      <c r="G33" s="6" t="n">
        <v>35.63135659135477</v>
      </c>
      <c r="H33" s="6" t="n">
        <v>13.792948635021764</v>
      </c>
      <c r="I33" s="6" t="n">
        <v>0.0</v>
      </c>
      <c r="J33" s="6">
        <f si="0" t="shared"/>
        <v>47222.513689360603</v>
      </c>
      <c r="L33" s="12">
        <v>0.625</v>
      </c>
      <c r="M33" s="9" t="n">
        <v>40590.26877593994</v>
      </c>
      <c r="N33" s="9" t="n">
        <v>3768.632544517517</v>
      </c>
      <c r="O33" s="9" t="n">
        <v>0.0</v>
      </c>
      <c r="P33" s="9" t="n">
        <v>0.0</v>
      </c>
      <c r="Q33" s="9" t="n">
        <v>797.6477746963501</v>
      </c>
      <c r="R33" s="9" t="n">
        <v>115.5573902130127</v>
      </c>
      <c r="S33" s="9" t="n">
        <v>0.0</v>
      </c>
      <c r="T33" s="9" t="n">
        <v>0.0</v>
      </c>
      <c r="U33">
        <f si="1" t="shared"/>
        <v>43022.911829948425</v>
      </c>
    </row>
    <row r="34" spans="1:21" x14ac:dyDescent="0.25">
      <c r="A34" s="12">
        <v>0.64583333333333337</v>
      </c>
      <c r="B34" s="6" t="n">
        <v>58358.25669789535</v>
      </c>
      <c r="C34" s="6" t="n">
        <v>4077.7961613116504</v>
      </c>
      <c r="D34" s="6" t="n">
        <v>101.79136650466279</v>
      </c>
      <c r="E34" s="6" t="n">
        <v>740.9902528690152</v>
      </c>
      <c r="F34" s="6" t="n">
        <v>519.1914874409933</v>
      </c>
      <c r="G34" s="6" t="n">
        <v>30.6458045642649</v>
      </c>
      <c r="H34" s="6" t="n">
        <v>21.37040535145682</v>
      </c>
      <c r="I34" s="6" t="n">
        <v>0.0</v>
      </c>
      <c r="J34" s="6">
        <f si="0" t="shared"/>
        <v>54720.08941858451</v>
      </c>
      <c r="L34" s="12">
        <v>0.64583333333333337</v>
      </c>
      <c r="M34" s="9" t="n">
        <v>48980.18156147003</v>
      </c>
      <c r="N34" s="9" t="n">
        <v>4308.766589164734</v>
      </c>
      <c r="O34" s="9" t="n">
        <v>0.0</v>
      </c>
      <c r="P34" s="9" t="n">
        <v>0.0</v>
      </c>
      <c r="Q34" s="9" t="n">
        <v>946.3618659973145</v>
      </c>
      <c r="R34" s="9" t="n">
        <v>145.55999946594238</v>
      </c>
      <c r="S34" s="9" t="n">
        <v>0.0</v>
      </c>
      <c r="T34" s="9" t="n">
        <v>0.0</v>
      </c>
      <c r="U34">
        <f si="1" t="shared"/>
        <v>50511.961960792542</v>
      </c>
    </row>
    <row r="35" spans="1:21" x14ac:dyDescent="0.25">
      <c r="A35" s="12">
        <v>0.66666666666666663</v>
      </c>
      <c r="B35" s="6" t="n">
        <v>67714.43307882232</v>
      </c>
      <c r="C35" s="6" t="n">
        <v>4110.968673572748</v>
      </c>
      <c r="D35" s="6" t="n">
        <v>108.9448272775216</v>
      </c>
      <c r="E35" s="6" t="n">
        <v>788.0130243002952</v>
      </c>
      <c r="F35" s="6" t="n">
        <v>545.382078854596</v>
      </c>
      <c r="G35" s="6" t="n">
        <v>34.117175766500075</v>
      </c>
      <c r="H35" s="6" t="n">
        <v>29.095407530778395</v>
      </c>
      <c r="I35" s="6" t="n">
        <v>0.0</v>
      </c>
      <c r="J35" s="6">
        <f si="0" t="shared"/>
        <v>59902.406624581519</v>
      </c>
      <c r="L35" s="12">
        <v>0.66666666666666663</v>
      </c>
      <c r="M35" s="9" t="n">
        <v>55290.50267314911</v>
      </c>
      <c r="N35" s="9" t="n">
        <v>4611.6477308273315</v>
      </c>
      <c r="O35" s="9" t="n">
        <v>0.0</v>
      </c>
      <c r="P35" s="9" t="n">
        <v>0.0</v>
      </c>
      <c r="Q35" s="9" t="n">
        <v>1046.6265439987183</v>
      </c>
      <c r="R35" s="9" t="n">
        <v>172.03082847595215</v>
      </c>
      <c r="S35" s="9" t="n">
        <v>0.0</v>
      </c>
      <c r="T35" s="9" t="n">
        <v>0.0</v>
      </c>
      <c r="U35">
        <f si="1" t="shared"/>
        <v>56198.907165527344</v>
      </c>
    </row>
    <row r="36" spans="1:21" x14ac:dyDescent="0.25">
      <c r="A36" s="12">
        <v>0.6875</v>
      </c>
      <c r="B36" s="6" t="n">
        <v>71892.79988554362</v>
      </c>
      <c r="C36" s="6" t="n">
        <v>3987.1038383918844</v>
      </c>
      <c r="D36" s="6" t="n">
        <v>124.10405783284513</v>
      </c>
      <c r="E36" s="6" t="n">
        <v>808.427276260695</v>
      </c>
      <c r="F36" s="6" t="n">
        <v>571.5977101096664</v>
      </c>
      <c r="G36" s="6" t="n">
        <v>43.04770479180938</v>
      </c>
      <c r="H36" s="6" t="n">
        <v>33.857298387443336</v>
      </c>
      <c r="I36" s="6" t="n">
        <v>0.0</v>
      </c>
      <c r="J36" s="6">
        <f si="0" t="shared"/>
        <v>61112.567965118964</v>
      </c>
      <c r="L36" s="12">
        <v>0.6875</v>
      </c>
      <c r="M36" s="9" t="n">
        <v>57786.39823627472</v>
      </c>
      <c r="N36" s="9" t="n">
        <v>4589.380204200745</v>
      </c>
      <c r="O36" s="9" t="n">
        <v>0.0</v>
      </c>
      <c r="P36" s="9" t="n">
        <v>0.0</v>
      </c>
      <c r="Q36" s="9" t="n">
        <v>1074.0569677352905</v>
      </c>
      <c r="R36" s="9" t="n">
        <v>189.3499641418457</v>
      </c>
      <c r="S36" s="9" t="n">
        <v>0.0</v>
      </c>
      <c r="T36" s="9" t="n">
        <v>0.0</v>
      </c>
      <c r="U36">
        <f si="1" t="shared"/>
        <v>58399.544882774353</v>
      </c>
    </row>
    <row r="37" spans="1:21" x14ac:dyDescent="0.25">
      <c r="A37" s="12">
        <v>0.70833333333333337</v>
      </c>
      <c r="B37" s="6" t="n">
        <v>69605.80159649937</v>
      </c>
      <c r="C37" s="6" t="n">
        <v>3714.1389602537884</v>
      </c>
      <c r="D37" s="6" t="n">
        <v>132.47908149679932</v>
      </c>
      <c r="E37" s="6" t="n">
        <v>783.8526533568524</v>
      </c>
      <c r="F37" s="6" t="n">
        <v>587.7803377646819</v>
      </c>
      <c r="G37" s="6" t="n">
        <v>54.044506521446486</v>
      </c>
      <c r="H37" s="6" t="n">
        <v>34.68132756173105</v>
      </c>
      <c r="I37" s="6" t="n">
        <v>0.0</v>
      </c>
      <c r="J37" s="6">
        <f si="0" t="shared"/>
        <v>57389.228482771752</v>
      </c>
      <c r="L37" s="12">
        <v>0.70833333333333337</v>
      </c>
      <c r="M37" s="9" t="n">
        <v>55530.69205188751</v>
      </c>
      <c r="N37" s="9" t="n">
        <v>4231.796305656433</v>
      </c>
      <c r="O37" s="9" t="n">
        <v>0.0</v>
      </c>
      <c r="P37" s="9" t="n">
        <v>0.0</v>
      </c>
      <c r="Q37" s="9" t="n">
        <v>1020.9797992706299</v>
      </c>
      <c r="R37" s="9" t="n">
        <v>193.623610496521</v>
      </c>
      <c r="S37" s="9" t="n">
        <v>0.0</v>
      </c>
      <c r="T37" s="9" t="n">
        <v>0.0</v>
      </c>
      <c r="U37">
        <f si="1" t="shared"/>
        <v>56126.51713848114</v>
      </c>
    </row>
    <row r="38" spans="1:21" x14ac:dyDescent="0.25">
      <c r="A38" s="12">
        <v>0.72916666666666663</v>
      </c>
      <c r="B38" s="6" t="n">
        <v>61462.51923972978</v>
      </c>
      <c r="C38" s="6" t="n">
        <v>3299.6297713152157</v>
      </c>
      <c r="D38" s="6" t="n">
        <v>125.21451893259143</v>
      </c>
      <c r="E38" s="6" t="n">
        <v>709.5136074858265</v>
      </c>
      <c r="F38" s="6" t="n">
        <v>586.6617212422436</v>
      </c>
      <c r="G38" s="6" t="n">
        <v>66.88511023823885</v>
      </c>
      <c r="H38" s="6" t="n">
        <v>33.85297382560261</v>
      </c>
      <c r="I38" s="6" t="n">
        <v>0.0</v>
      </c>
      <c r="J38" s="6">
        <f si="0" t="shared"/>
        <v>49197.60253810633</v>
      </c>
      <c r="L38" s="12">
        <v>0.72916666666666663</v>
      </c>
      <c r="M38" s="9" t="n">
        <v>48868.1395072937</v>
      </c>
      <c r="N38" s="9" t="n">
        <v>3612.109290122986</v>
      </c>
      <c r="O38" s="9" t="n">
        <v>0.0</v>
      </c>
      <c r="P38" s="9" t="n">
        <v>0.0</v>
      </c>
      <c r="Q38" s="9" t="n">
        <v>899.643048286438</v>
      </c>
      <c r="R38" s="9" t="n">
        <v>184.1859312057495</v>
      </c>
      <c r="S38" s="9" t="n">
        <v>0.0</v>
      </c>
      <c r="T38" s="9" t="n">
        <v>0.0</v>
      </c>
      <c r="U38">
        <f si="1" t="shared"/>
        <v>49619.307465553284</v>
      </c>
    </row>
    <row r="39" spans="1:21" x14ac:dyDescent="0.25">
      <c r="A39" s="12">
        <v>0.75</v>
      </c>
      <c r="B39" s="6" t="n">
        <v>49687.42907322571</v>
      </c>
      <c r="C39" s="6" t="n">
        <v>2781.83713574392</v>
      </c>
      <c r="D39" s="6" t="n">
        <v>103.16649348204587</v>
      </c>
      <c r="E39" s="6" t="n">
        <v>593.4074786230165</v>
      </c>
      <c r="F39" s="6" t="n">
        <v>573.7841871364511</v>
      </c>
      <c r="G39" s="6" t="n">
        <v>84.47513061433935</v>
      </c>
      <c r="H39" s="6" t="n">
        <v>35.09572595846949</v>
      </c>
      <c r="I39" s="6" t="n">
        <v>0.0</v>
      </c>
      <c r="J39" s="6">
        <f si="0" t="shared"/>
        <v>38507.498471663159</v>
      </c>
      <c r="L39" s="12">
        <v>0.75</v>
      </c>
      <c r="M39" s="9" t="n">
        <v>39385.3686914444</v>
      </c>
      <c r="N39" s="9" t="n">
        <v>2863.0290870666504</v>
      </c>
      <c r="O39" s="9" t="n">
        <v>0.0</v>
      </c>
      <c r="P39" s="9" t="n">
        <v>0.0</v>
      </c>
      <c r="Q39" s="9" t="n">
        <v>738.4543514251709</v>
      </c>
      <c r="R39" s="9" t="n">
        <v>163.92788887023926</v>
      </c>
      <c r="S39" s="9" t="n">
        <v>0.0</v>
      </c>
      <c r="T39" s="9" t="n">
        <v>0.0</v>
      </c>
      <c r="U39">
        <f si="1" t="shared"/>
        <v>40369.47892665863</v>
      </c>
    </row>
    <row r="40" spans="1:21" x14ac:dyDescent="0.25">
      <c r="A40" s="12">
        <v>0.77083333333333337</v>
      </c>
      <c r="B40" s="6" t="n">
        <v>37097.58203836785</v>
      </c>
      <c r="C40" s="6" t="n">
        <v>2242.446708193842</v>
      </c>
      <c r="D40" s="6" t="n">
        <v>74.355788431693</v>
      </c>
      <c r="E40" s="6" t="n">
        <v>453.1378106231823</v>
      </c>
      <c r="F40" s="6" t="n">
        <v>564.2631697699406</v>
      </c>
      <c r="G40" s="6" t="n">
        <v>109.25428299570461</v>
      </c>
      <c r="H40" s="6" t="n">
        <v>39.94389728552632</v>
      </c>
      <c r="I40" s="6" t="n">
        <v>0.0</v>
      </c>
      <c r="J40" s="6">
        <f si="0" t="shared"/>
        <v>27905.614467520718</v>
      </c>
      <c r="L40" s="12">
        <v>0.77083333333333337</v>
      </c>
      <c r="M40" s="9" t="n">
        <v>29277.292921066284</v>
      </c>
      <c r="N40" s="9" t="n">
        <v>2130.493348121643</v>
      </c>
      <c r="O40" s="9" t="n">
        <v>0.0</v>
      </c>
      <c r="P40" s="9" t="n">
        <v>0.0</v>
      </c>
      <c r="Q40" s="9" t="n">
        <v>572.0493764877319</v>
      </c>
      <c r="R40" s="9" t="n">
        <v>138.19655513763428</v>
      </c>
      <c r="S40" s="9" t="n">
        <v>0.0</v>
      </c>
      <c r="T40" s="9" t="n">
        <v>0.0</v>
      </c>
      <c r="U40">
        <f si="1" t="shared"/>
        <v>30511.816082000732</v>
      </c>
    </row>
    <row r="41" spans="1:21" x14ac:dyDescent="0.25">
      <c r="A41" s="12">
        <v>0.79166666666666663</v>
      </c>
      <c r="B41" s="6" t="n">
        <v>25988.99109269776</v>
      </c>
      <c r="C41" s="6" t="n">
        <v>1773.9162856973703</v>
      </c>
      <c r="D41" s="6" t="n">
        <v>48.03568928409267</v>
      </c>
      <c r="E41" s="6" t="n">
        <v>312.3427980321014</v>
      </c>
      <c r="F41" s="6" t="n">
        <v>569.1557750238921</v>
      </c>
      <c r="G41" s="6" t="n">
        <v>139.46518379300448</v>
      </c>
      <c r="H41" s="6" t="n">
        <v>45.75386447842824</v>
      </c>
      <c r="I41" s="6" t="n">
        <v>0.0</v>
      </c>
      <c r="J41" s="6">
        <f si="0" t="shared"/>
        <v>19336.73848862699</v>
      </c>
      <c r="L41" s="12">
        <v>0.79166666666666663</v>
      </c>
      <c r="M41" s="9" t="n">
        <v>20449.933643341064</v>
      </c>
      <c r="N41" s="9" t="n">
        <v>1524.3287963867188</v>
      </c>
      <c r="O41" s="9" t="n">
        <v>0.0</v>
      </c>
      <c r="P41" s="9" t="n">
        <v>0.0</v>
      </c>
      <c r="Q41" s="9" t="n">
        <v>429.22535610198975</v>
      </c>
      <c r="R41" s="9" t="n">
        <v>112.73530864715576</v>
      </c>
      <c r="S41" s="9" t="n">
        <v>0.0</v>
      </c>
      <c r="T41" s="9" t="n">
        <v>0.0</v>
      </c>
      <c r="U41">
        <f si="1" t="shared"/>
        <v>21904.073138237</v>
      </c>
    </row>
    <row r="42" spans="1:21" x14ac:dyDescent="0.25">
      <c r="A42" s="12">
        <v>0.8125</v>
      </c>
      <c r="B42" s="6" t="n">
        <v>17534.93029497046</v>
      </c>
      <c r="C42" s="6" t="n">
        <v>1428.4042778957678</v>
      </c>
      <c r="D42" s="6" t="n">
        <v>30.55581641511294</v>
      </c>
      <c r="E42" s="6" t="n">
        <v>194.2707193427047</v>
      </c>
      <c r="F42" s="6" t="n">
        <v>586.2565188949036</v>
      </c>
      <c r="G42" s="6" t="n">
        <v>168.6822153955287</v>
      </c>
      <c r="H42" s="6" t="n">
        <v>47.6088364340015</v>
      </c>
      <c r="I42" s="6" t="n">
        <v>0.0</v>
      </c>
      <c r="J42" s="6">
        <f si="0" t="shared"/>
        <v>13431.312052158519</v>
      </c>
      <c r="L42" s="12">
        <v>0.8125</v>
      </c>
      <c r="M42" s="9" t="n">
        <v>13890.447818756104</v>
      </c>
      <c r="N42" s="9" t="n">
        <v>1090.1394662857056</v>
      </c>
      <c r="O42" s="9" t="n">
        <v>0.0</v>
      </c>
      <c r="P42" s="9" t="n">
        <v>0.0</v>
      </c>
      <c r="Q42" s="9" t="n">
        <v>324.6686086654663</v>
      </c>
      <c r="R42" s="9" t="n">
        <v>91.69890213012695</v>
      </c>
      <c r="S42" s="9" t="n">
        <v>0.0</v>
      </c>
      <c r="T42" s="9" t="n">
        <v>0.0</v>
      </c>
      <c r="U42">
        <f si="1" t="shared"/>
        <v>15475.646414756775</v>
      </c>
    </row>
    <row r="43" spans="1:21" x14ac:dyDescent="0.25">
      <c r="A43" s="12">
        <v>0.83333333333333337</v>
      </c>
      <c r="B43" s="6" t="n">
        <v>11838.170236665523</v>
      </c>
      <c r="C43" s="6" t="n">
        <v>1196.6467649137205</v>
      </c>
      <c r="D43" s="6" t="n">
        <v>25.04351443715611</v>
      </c>
      <c r="E43" s="6" t="n">
        <v>113.58819935367748</v>
      </c>
      <c r="F43" s="6" t="n">
        <v>603.2334184597277</v>
      </c>
      <c r="G43" s="6" t="n">
        <v>188.8227131116919</v>
      </c>
      <c r="H43" s="6" t="n">
        <v>42.483155994112934</v>
      </c>
      <c r="I43" s="6" t="n">
        <v>0.0</v>
      </c>
      <c r="J43" s="6">
        <f si="0" t="shared"/>
        <v>9762.9527216207971</v>
      </c>
      <c r="L43" s="12">
        <v>0.83333333333333337</v>
      </c>
      <c r="M43" s="9" t="n">
        <v>9614.716088294983</v>
      </c>
      <c r="N43" s="9" t="n">
        <v>814.2641305923462</v>
      </c>
      <c r="O43" s="9" t="n">
        <v>0.0</v>
      </c>
      <c r="P43" s="9" t="n">
        <v>0.0</v>
      </c>
      <c r="Q43" s="9" t="n">
        <v>258.26649951934814</v>
      </c>
      <c r="R43" s="9" t="n">
        <v>76.73054313659668</v>
      </c>
      <c r="S43" s="9" t="n">
        <v>0.0</v>
      </c>
      <c r="T43" s="9" t="n">
        <v>0.0</v>
      </c>
      <c r="U43">
        <f si="1" t="shared"/>
        <v>11194.350867271423</v>
      </c>
    </row>
    <row r="44" spans="1:21" x14ac:dyDescent="0.25">
      <c r="A44" s="12">
        <v>0.85416666666666663</v>
      </c>
      <c r="B44" s="6" t="n">
        <v>8367.1166557627</v>
      </c>
      <c r="C44" s="6" t="n">
        <v>1031.399582381674</v>
      </c>
      <c r="D44" s="6" t="n">
        <v>32.56515173490492</v>
      </c>
      <c r="E44" s="6" t="n">
        <v>72.0790874238459</v>
      </c>
      <c r="F44" s="6" t="n">
        <v>606.396457128353</v>
      </c>
      <c r="G44" s="6" t="n">
        <v>194.1282250375906</v>
      </c>
      <c r="H44" s="6" t="n">
        <v>31.678435655407554</v>
      </c>
      <c r="I44" s="6" t="n">
        <v>0.0</v>
      </c>
      <c r="J44" s="6">
        <f si="0" t="shared"/>
        <v>7552.5017174963623</v>
      </c>
      <c r="L44" s="12">
        <v>0.85416666666666663</v>
      </c>
      <c r="M44" s="9" t="n">
        <v>7066.581099510193</v>
      </c>
      <c r="N44" s="9" t="n">
        <v>651.8915376663208</v>
      </c>
      <c r="O44" s="9" t="n">
        <v>0.0</v>
      </c>
      <c r="P44" s="9" t="n">
        <v>0.0</v>
      </c>
      <c r="Q44" s="9" t="n">
        <v>220.78007221221924</v>
      </c>
      <c r="R44" s="9" t="n">
        <v>67.36297035217285</v>
      </c>
      <c r="S44" s="9" t="n">
        <v>0.0</v>
      </c>
      <c r="T44" s="9" t="n">
        <v>0.0</v>
      </c>
      <c r="U44">
        <f si="1" t="shared"/>
        <v>8504.1739702224731</v>
      </c>
    </row>
    <row r="45" spans="1:21" x14ac:dyDescent="0.25">
      <c r="A45" s="12">
        <v>0.875</v>
      </c>
      <c r="B45" s="6" t="n">
        <v>6414.684599400145</v>
      </c>
      <c r="C45" s="6" t="n">
        <v>886.9978728783665</v>
      </c>
      <c r="D45" s="6" t="n">
        <v>51.72389999773748</v>
      </c>
      <c r="E45" s="6" t="n">
        <v>60.96958564934381</v>
      </c>
      <c r="F45" s="6" t="n">
        <v>586.0009806972834</v>
      </c>
      <c r="G45" s="6" t="n">
        <v>183.53517683893563</v>
      </c>
      <c r="H45" s="6" t="n">
        <v>19.462402061507966</v>
      </c>
      <c r="I45" s="6" t="n">
        <v>0.0</v>
      </c>
      <c r="J45" s="6">
        <f si="0" t="shared"/>
        <v>6166.6921444713971</v>
      </c>
      <c r="L45" s="12">
        <v>0.875</v>
      </c>
      <c r="M45" s="9" t="n">
        <v>5591.459957122803</v>
      </c>
      <c r="N45" s="9" t="n">
        <v>556.4327430725098</v>
      </c>
      <c r="O45" s="9" t="n">
        <v>0.0</v>
      </c>
      <c r="P45" s="9" t="n">
        <v>0.0</v>
      </c>
      <c r="Q45" s="9" t="n">
        <v>200.95012187957764</v>
      </c>
      <c r="R45" s="9" t="n">
        <v>62.092955589294434</v>
      </c>
      <c r="S45" s="9" t="n">
        <v>0.0</v>
      </c>
      <c r="T45" s="9" t="n">
        <v>0.0</v>
      </c>
      <c r="U45">
        <f si="1" t="shared"/>
        <v>6806.7156839370728</v>
      </c>
    </row>
    <row r="46" spans="1:21" x14ac:dyDescent="0.25">
      <c r="A46" s="12">
        <v>0.89583333333333337</v>
      </c>
      <c r="B46" s="6" t="n">
        <v>5366.605012890466</v>
      </c>
      <c r="C46" s="6" t="n">
        <v>741.415459187898</v>
      </c>
      <c r="D46" s="6" t="n">
        <v>76.79482903240753</v>
      </c>
      <c r="E46" s="6" t="n">
        <v>66.57184343220642</v>
      </c>
      <c r="F46" s="6" t="n">
        <v>537.8019098757866</v>
      </c>
      <c r="G46" s="6" t="n">
        <v>160.4479276008421</v>
      </c>
      <c r="H46" s="6" t="n">
        <v>9.727259799627785</v>
      </c>
      <c r="I46" s="6" t="n">
        <v>0.0</v>
      </c>
      <c r="J46" s="6">
        <f si="0" t="shared"/>
        <v>5207.3446675772166</v>
      </c>
      <c r="L46" s="12">
        <v>0.89583333333333337</v>
      </c>
      <c r="M46" s="9" t="n">
        <v>4698.435910224915</v>
      </c>
      <c r="N46" s="9" t="n">
        <v>494.29838943481445</v>
      </c>
      <c r="O46" s="9" t="n">
        <v>0.0</v>
      </c>
      <c r="P46" s="9" t="n">
        <v>0.0</v>
      </c>
      <c r="Q46" s="9" t="n">
        <v>189.57993984222412</v>
      </c>
      <c r="R46" s="9" t="n">
        <v>59.167978286743164</v>
      </c>
      <c r="S46" s="9" t="n">
        <v>0.0</v>
      </c>
      <c r="T46" s="9" t="n">
        <v>0.0</v>
      </c>
      <c r="U46">
        <f si="1" t="shared"/>
        <v>5685.6370115280151</v>
      </c>
    </row>
    <row r="47" spans="1:21" x14ac:dyDescent="0.25">
      <c r="A47" s="12">
        <v>0.91666666666666663</v>
      </c>
      <c r="B47" s="6" t="n">
        <v>4762.605423471232</v>
      </c>
      <c r="C47" s="6" t="n">
        <v>593.8163636928865</v>
      </c>
      <c r="D47" s="6" t="n">
        <v>97.70384670140744</v>
      </c>
      <c r="E47" s="6" t="n">
        <v>75.21847141961663</v>
      </c>
      <c r="F47" s="6" t="n">
        <v>464.3722257817797</v>
      </c>
      <c r="G47" s="6" t="n">
        <v>130.54678198953653</v>
      </c>
      <c r="H47" s="6" t="n">
        <v>3.8905996931527955</v>
      </c>
      <c r="I47" s="6" t="n">
        <v>0.0</v>
      </c>
      <c r="J47" s="6">
        <f si="0" t="shared"/>
        <v>4410.079269713704</v>
      </c>
      <c r="L47" s="12">
        <v>0.91666666666666663</v>
      </c>
      <c r="M47" s="9" t="n">
        <v>4082.4417114257812</v>
      </c>
      <c r="N47" s="9" t="n">
        <v>444.52157974243164</v>
      </c>
      <c r="O47" s="9" t="n">
        <v>0.0</v>
      </c>
      <c r="P47" s="9" t="n">
        <v>0.0</v>
      </c>
      <c r="Q47" s="9" t="n">
        <v>179.81095600128174</v>
      </c>
      <c r="R47" s="9" t="n">
        <v>56.741909980773926</v>
      </c>
      <c r="S47" s="9" t="n">
        <v>0.0</v>
      </c>
      <c r="T47" s="9" t="n">
        <v>0.0</v>
      </c>
      <c r="U47">
        <f si="1" t="shared"/>
        <v>4881.0871171951294</v>
      </c>
    </row>
    <row r="48" spans="1:21" x14ac:dyDescent="0.25">
      <c r="A48" s="12">
        <v>0.9375</v>
      </c>
      <c r="B48" s="6" t="n">
        <v>4264.1371582694865</v>
      </c>
      <c r="C48" s="6" t="n">
        <v>452.12449747227333</v>
      </c>
      <c r="D48" s="6" t="n">
        <v>104.35532280927809</v>
      </c>
      <c r="E48" s="6" t="n">
        <v>76.86203150378878</v>
      </c>
      <c r="F48" s="6" t="n">
        <v>375.2102603918846</v>
      </c>
      <c r="G48" s="6" t="n">
        <v>99.24084835177531</v>
      </c>
      <c r="H48" s="6" t="n">
        <v>1.2158014046042414</v>
      </c>
      <c r="I48" s="6" t="n">
        <v>0.0</v>
      </c>
      <c r="J48" s="6">
        <f si="0" t="shared"/>
        <v>3597.0592915837483</v>
      </c>
      <c r="L48" s="12">
        <v>0.9375</v>
      </c>
      <c r="M48" s="9" t="n">
        <v>3548.777232170105</v>
      </c>
      <c r="N48" s="9" t="n">
        <v>393.1351499557495</v>
      </c>
      <c r="O48" s="9" t="n">
        <v>0.0</v>
      </c>
      <c r="P48" s="9" t="n">
        <v>0.0</v>
      </c>
      <c r="Q48" s="9" t="n">
        <v>166.12605381011963</v>
      </c>
      <c r="R48" s="9" t="n">
        <v>52.92355442047119</v>
      </c>
      <c r="S48" s="9" t="n">
        <v>0.0</v>
      </c>
      <c r="T48" s="9" t="n">
        <v>0.0</v>
      </c>
      <c r="U48">
        <f si="1" t="shared"/>
        <v>4198.4584665298462</v>
      </c>
    </row>
    <row r="49" spans="1:21" x14ac:dyDescent="0.25">
      <c r="A49" s="12">
        <v>0.95833333333333337</v>
      </c>
      <c r="B49" s="6" t="n">
        <v>3649.4125292918056</v>
      </c>
      <c r="C49" s="6" t="n">
        <v>324.3594488122745</v>
      </c>
      <c r="D49" s="6" t="n">
        <v>92.98116198266942</v>
      </c>
      <c r="E49" s="6" t="n">
        <v>67.7105393078932</v>
      </c>
      <c r="F49" s="6" t="n">
        <v>283.1053030436355</v>
      </c>
      <c r="G49" s="6" t="n">
        <v>70.27815693143549</v>
      </c>
      <c r="H49" s="6" t="n">
        <v>0.28607091873040974</v>
      </c>
      <c r="I49" s="6" t="n">
        <v>0.0</v>
      </c>
      <c r="J49" s="6">
        <f si="0" t="shared"/>
        <v>2712.1774771321643</v>
      </c>
      <c r="L49" s="12">
        <v>0.95833333333333337</v>
      </c>
      <c r="M49" s="9" t="n">
        <v>2971.8473138809204</v>
      </c>
      <c r="N49" s="9" t="n">
        <v>331.2566719055176</v>
      </c>
      <c r="O49" s="9" t="n">
        <v>0.0</v>
      </c>
      <c r="P49" s="9" t="n">
        <v>0.0</v>
      </c>
      <c r="Q49" s="9" t="n">
        <v>144.73669147491455</v>
      </c>
      <c r="R49" s="9" t="n">
        <v>46.31639003753662</v>
      </c>
      <c r="S49" s="9" t="n">
        <v>0.0</v>
      </c>
      <c r="T49" s="9" t="n">
        <v>0.0</v>
      </c>
      <c r="U49">
        <f si="1" t="shared"/>
        <v>3488.9670705795288</v>
      </c>
    </row>
    <row r="50" spans="1:21" x14ac:dyDescent="0.25">
      <c r="A50" s="12">
        <v>0.97916666666666663</v>
      </c>
      <c r="B50" s="6" t="n">
        <v>2852.733155631311</v>
      </c>
      <c r="C50" s="6" t="n">
        <v>216.29066229753985</v>
      </c>
      <c r="D50" s="6" t="n">
        <v>68.75873323249951</v>
      </c>
      <c r="E50" s="6" t="n">
        <v>50.54750924432132</v>
      </c>
      <c r="F50" s="6" t="n">
        <v>198.88652615813106</v>
      </c>
      <c r="G50" s="6" t="n">
        <v>45.8012098525192</v>
      </c>
      <c r="H50" s="6" t="n">
        <v>0.047678486455068295</v>
      </c>
      <c r="I50" s="6" t="n">
        <v>0.0</v>
      </c>
      <c r="J50" s="6">
        <f si="0" t="shared"/>
        <v>1829.6201735404434</v>
      </c>
      <c r="L50" s="12">
        <v>0.97916666666666663</v>
      </c>
      <c r="M50" s="9" t="n">
        <v>2309.196071624756</v>
      </c>
      <c r="N50" s="9" t="n">
        <v>257.5641450881958</v>
      </c>
      <c r="O50" s="9" t="n">
        <v>0.0</v>
      </c>
      <c r="P50" s="9" t="n">
        <v>0.0</v>
      </c>
      <c r="Q50" s="9" t="n">
        <v>115.33349990844727</v>
      </c>
      <c r="R50" s="9" t="n">
        <v>36.83448791503906</v>
      </c>
      <c r="S50" s="9" t="n">
        <v>0.0</v>
      </c>
      <c r="T50" s="9" t="n">
        <v>0.0</v>
      </c>
      <c r="U50">
        <f si="1" t="shared"/>
        <v>2694.6001815795898</v>
      </c>
    </row>
    <row r="51" spans="1:21" x14ac:dyDescent="0.25">
      <c r="A51" s="12">
        <v>1</v>
      </c>
      <c r="B51" s="6" t="n">
        <v>1969.1082699034919</v>
      </c>
      <c r="C51" s="6" t="n">
        <v>131.57877096413367</v>
      </c>
      <c r="D51" s="6" t="n">
        <v>41.893429109438216</v>
      </c>
      <c r="E51" s="6" t="n">
        <v>31.697226269178575</v>
      </c>
      <c r="F51" s="6" t="n">
        <v>128.8839826744255</v>
      </c>
      <c r="G51" s="6" t="n">
        <v>26.91968762646915</v>
      </c>
      <c r="H51" s="6" t="n">
        <v>0.005018788047901926</v>
      </c>
      <c r="I51" s="6" t="n">
        <v>0.0</v>
      </c>
      <c r="J51" s="6">
        <f si="0" t="shared"/>
        <v>1079.571446648275</v>
      </c>
      <c r="L51" s="12">
        <v>1</v>
      </c>
      <c r="M51" s="9" t="n">
        <v>1611.8215036392212</v>
      </c>
      <c r="N51" s="9" t="n">
        <v>179.5713596343994</v>
      </c>
      <c r="O51" s="9" t="n">
        <v>0.0</v>
      </c>
      <c r="P51" s="9" t="n">
        <v>0.0</v>
      </c>
      <c r="Q51" s="9" t="n">
        <v>81.8593921661377</v>
      </c>
      <c r="R51" s="9" t="n">
        <v>25.93721294403076</v>
      </c>
      <c r="S51" s="9" t="n">
        <v>0.0</v>
      </c>
      <c r="T51" s="9" t="n">
        <v>0.0</v>
      </c>
      <c r="U51">
        <f si="1" t="shared"/>
        <v>1870.6724786758423</v>
      </c>
    </row>
    <row r="52" spans="1:21" x14ac:dyDescent="0.25">
      <c r="A52" s="12">
        <v>1.0208333333333333</v>
      </c>
      <c r="B52" s="6" t="n">
        <v>1170.9665200180548</v>
      </c>
      <c r="C52" s="6" t="n">
        <v>71.41612938007528</v>
      </c>
      <c r="D52" s="6" t="n">
        <v>20.80068487656712</v>
      </c>
      <c r="E52" s="6" t="n">
        <v>16.58307959936446</v>
      </c>
      <c r="F52" s="6" t="n">
        <v>75.65379393281353</v>
      </c>
      <c r="G52" s="6" t="n">
        <v>13.91618923106168</v>
      </c>
      <c r="H52" s="6" t="n">
        <v>2.5093940239509624E-4</v>
      </c>
      <c r="I52" s="6" t="n">
        <v>0.0</v>
      </c>
      <c r="J52" s="6">
        <f si="0" t="shared"/>
        <v>548.84113387415175</v>
      </c>
      <c r="L52" s="12">
        <v>1.0208333333333333</v>
      </c>
      <c r="M52" s="9" t="n">
        <v>984.4380989074707</v>
      </c>
      <c r="N52" s="9" t="n">
        <v>109.54692554473877</v>
      </c>
      <c r="O52" s="9" t="n">
        <v>0.0</v>
      </c>
      <c r="P52" s="9" t="n">
        <v>0.0</v>
      </c>
      <c r="Q52" s="9" t="n">
        <v>50.60468006134033</v>
      </c>
      <c r="R52" s="9" t="n">
        <v>15.834394454956055</v>
      </c>
      <c r="S52" s="9" t="n">
        <v>0.0</v>
      </c>
      <c r="T52" s="9" t="n">
        <v>0.0</v>
      </c>
      <c r="U52">
        <f si="1" t="shared"/>
        <v>1136.9354677200317</v>
      </c>
    </row>
    <row r="53" spans="1:21" x14ac:dyDescent="0.25">
      <c r="A53" s="12">
        <v>4.1666666666666664E-2</v>
      </c>
      <c r="B53" s="6" t="n">
        <v>588.20357241742</v>
      </c>
      <c r="C53" s="6" t="n">
        <v>33.74737463740284</v>
      </c>
      <c r="D53" s="6" t="n">
        <v>8.280190750800779</v>
      </c>
      <c r="E53" s="6" t="n">
        <v>7.190952852699322</v>
      </c>
      <c r="F53" s="6" t="n">
        <v>39.22387880811452</v>
      </c>
      <c r="G53" s="6" t="n">
        <v>6.157063082081059</v>
      </c>
      <c r="H53" s="6" t="n">
        <v>0.0</v>
      </c>
      <c r="I53" s="6" t="n">
        <v>0.0</v>
      </c>
      <c r="J53" s="6">
        <f si="0" t="shared"/>
        <v>237.82915459312579</v>
      </c>
      <c r="L53" s="12">
        <v>4.1666666666666664E-2</v>
      </c>
      <c r="M53" s="9" t="n">
        <v>514.5671977996826</v>
      </c>
      <c r="N53" s="9" t="n">
        <v>57.229857444763184</v>
      </c>
      <c r="O53" s="9" t="n">
        <v>0.0</v>
      </c>
      <c r="P53" s="9" t="n">
        <v>0.0</v>
      </c>
      <c r="Q53" s="9" t="n">
        <v>26.707301139831543</v>
      </c>
      <c r="R53" s="9" t="n">
        <v>8.226635932922363</v>
      </c>
      <c r="S53" s="9" t="n">
        <v>0.0</v>
      </c>
      <c r="T53" s="9" t="n">
        <v>0.0</v>
      </c>
      <c r="U53">
        <f si="1" t="shared"/>
        <v>591.80588245391846</v>
      </c>
    </row>
    <row r="54" spans="1:21" x14ac:dyDescent="0.25">
      <c r="A54" s="12">
        <v>6.25E-2</v>
      </c>
      <c r="B54" s="6" t="n">
        <v>244.96558546444976</v>
      </c>
      <c r="C54" s="6" t="n">
        <v>13.524565591149095</v>
      </c>
      <c r="D54" s="6" t="n">
        <v>2.5792089429948124</v>
      </c>
      <c r="E54" s="6" t="n">
        <v>2.567230011382299</v>
      </c>
      <c r="F54" s="6" t="n">
        <v>17.449632163317716</v>
      </c>
      <c r="G54" s="6" t="n">
        <v>2.2639617949598247</v>
      </c>
      <c r="H54" s="6" t="n">
        <v>0.0</v>
      </c>
      <c r="I54" s="6" t="n">
        <v>0.0</v>
      </c>
      <c r="J54" s="6">
        <f si="0" t="shared"/>
        <v>87.011745217593571</v>
      </c>
      <c r="L54" s="12">
        <v>6.25E-2</v>
      </c>
      <c r="M54" s="9" t="n">
        <v>225.37718391418457</v>
      </c>
      <c r="N54" s="9" t="n">
        <v>25.071481704711914</v>
      </c>
      <c r="O54" s="9" t="n">
        <v>0.0</v>
      </c>
      <c r="P54" s="9" t="n">
        <v>0.0</v>
      </c>
      <c r="Q54" s="9" t="n">
        <v>11.795228958129883</v>
      </c>
      <c r="R54" s="9" t="n">
        <v>3.5696487426757812</v>
      </c>
      <c r="S54" s="9" t="n">
        <v>0.0</v>
      </c>
      <c r="T54" s="9" t="n">
        <v>0.0</v>
      </c>
      <c r="U54">
        <f si="1" t="shared"/>
        <v>258.38560104370117</v>
      </c>
    </row>
    <row r="55" spans="1:21" x14ac:dyDescent="0.25">
      <c r="A55" s="12">
        <v>8.3333333333333329E-2</v>
      </c>
      <c r="B55" s="6" t="n">
        <v>82.81076855693543</v>
      </c>
      <c r="C55" s="6" t="n">
        <v>4.465499710871452</v>
      </c>
      <c r="D55" s="6" t="n">
        <v>0.60563172653048</v>
      </c>
      <c r="E55" s="6" t="n">
        <v>0.7491434378902544</v>
      </c>
      <c r="F55" s="6" t="n">
        <v>6.455649357626387</v>
      </c>
      <c r="G55" s="6" t="n">
        <v>0.6687224791096726</v>
      </c>
      <c r="H55" s="6" t="n">
        <v>0.0</v>
      </c>
      <c r="I55" s="6" t="n">
        <v>0.0</v>
      </c>
      <c r="J55" s="6">
        <f si="0" t="shared"/>
        <v>26.568504038551893</v>
      </c>
      <c r="L55" s="12">
        <v>8.3333333333333329E-2</v>
      </c>
      <c r="M55" s="9" t="n">
        <v>80.81640243530273</v>
      </c>
      <c r="N55" s="9" t="n">
        <v>8.997843742370605</v>
      </c>
      <c r="O55" s="9" t="n">
        <v>0.0</v>
      </c>
      <c r="P55" s="9" t="n">
        <v>0.0</v>
      </c>
      <c r="Q55" s="9" t="n">
        <v>4.261640548706055</v>
      </c>
      <c r="R55" s="9" t="n">
        <v>1.2657642364501953</v>
      </c>
      <c r="S55" s="9" t="n">
        <v>0.0</v>
      </c>
      <c r="T55" s="9" t="n">
        <v>0.0</v>
      </c>
      <c r="U55">
        <f si="1" t="shared"/>
        <v>92.461318969726563</v>
      </c>
    </row>
    <row r="56" spans="1:21" x14ac:dyDescent="0.25">
      <c r="A56" s="12">
        <v>0.10416666666666667</v>
      </c>
      <c r="B56" s="6" t="n">
        <v>22.104827560229662</v>
      </c>
      <c r="C56" s="6" t="n">
        <v>1.1735166225878162</v>
      </c>
      <c r="D56" s="6" t="n">
        <v>0.10082141874974063</v>
      </c>
      <c r="E56" s="6" t="n">
        <v>0.17698237421924815</v>
      </c>
      <c r="F56" s="6" t="n">
        <v>1.9164762888780147</v>
      </c>
      <c r="G56" s="6" t="n">
        <v>0.15180527497152788</v>
      </c>
      <c r="H56" s="6" t="n">
        <v>0.0</v>
      </c>
      <c r="I56" s="6" t="n">
        <v>0.0</v>
      </c>
      <c r="J56" s="6">
        <f si="0" t="shared"/>
        <v>6.6464487223707067</v>
      </c>
      <c r="L56" s="12">
        <v>0.10416666666666667</v>
      </c>
      <c r="M56" s="9" t="n">
        <v>23.04021453857422</v>
      </c>
      <c r="N56" s="9" t="n">
        <v>2.5687055587768555</v>
      </c>
      <c r="O56" s="9" t="n">
        <v>0.0</v>
      </c>
      <c r="P56" s="9" t="n">
        <v>0.0</v>
      </c>
      <c r="Q56" s="9" t="n">
        <v>1.223623275756836</v>
      </c>
      <c r="R56" s="9" t="n">
        <v>0.3565177917480469</v>
      </c>
      <c r="S56" s="9" t="n">
        <v>0.0</v>
      </c>
      <c r="T56" s="9" t="n">
        <v>0.0</v>
      </c>
      <c r="U56">
        <f si="1" t="shared"/>
        <v>26.334152221679688</v>
      </c>
    </row>
    <row r="57" spans="1:21" x14ac:dyDescent="0.25">
      <c r="A57" s="12">
        <v>0.125</v>
      </c>
      <c r="B57" s="6" t="n">
        <v>4.420720188275292</v>
      </c>
      <c r="C57" s="6" t="n">
        <v>0.23166252380036034</v>
      </c>
      <c r="D57" s="6" t="n">
        <v>0.010607493597476184</v>
      </c>
      <c r="E57" s="6" t="n">
        <v>0.032792821404720604</v>
      </c>
      <c r="F57" s="6" t="n">
        <v>0.4291652031735475</v>
      </c>
      <c r="G57" s="6" t="n">
        <v>0.02465707468514657</v>
      </c>
      <c r="H57" s="6" t="n">
        <v>0.0</v>
      </c>
      <c r="I57" s="6" t="n">
        <v>0.0</v>
      </c>
      <c r="J57" s="6">
        <f si="0" t="shared"/>
        <v>1.2995693397997614</v>
      </c>
      <c r="L57" s="12">
        <v>0.125</v>
      </c>
      <c r="M57" s="9" t="n">
        <v>4.938360214233398</v>
      </c>
      <c r="N57" s="9" t="n">
        <v>0.5514917373657227</v>
      </c>
      <c r="O57" s="9" t="n">
        <v>0.0</v>
      </c>
      <c r="P57" s="9" t="n">
        <v>0.0</v>
      </c>
      <c r="Q57" s="9" t="n">
        <v>0.2640104293823242</v>
      </c>
      <c r="R57" s="9" t="n">
        <v>0.07549667358398438</v>
      </c>
      <c r="S57" s="9" t="n">
        <v>0.0</v>
      </c>
      <c r="T57" s="9" t="n">
        <v>0.0</v>
      </c>
      <c r="U57">
        <f si="1" t="shared"/>
        <v>5.644068717956543</v>
      </c>
    </row>
    <row ht="15.75" r="58" spans="1:21" thickBot="1" x14ac:dyDescent="0.3">
      <c r="A58" s="13" t="s">
        <v>6</v>
      </c>
      <c r="B58" s="7" t="n">
        <v>0.0</v>
      </c>
      <c r="C58" s="7" t="n">
        <v>0.0</v>
      </c>
      <c r="D58" s="7" t="n">
        <v>0.0</v>
      </c>
      <c r="E58" s="7" t="n">
        <v>0.0</v>
      </c>
      <c r="F58" s="7" t="n">
        <v>0.0</v>
      </c>
      <c r="G58" s="7" t="n">
        <v>0.0</v>
      </c>
      <c r="H58" s="7" t="n">
        <v>0.0</v>
      </c>
      <c r="I58" s="7" t="n">
        <v>0.0</v>
      </c>
      <c r="J58" s="7">
        <f si="0" t="shared"/>
        <v>0</v>
      </c>
      <c r="L58" s="13" t="s">
        <v>6</v>
      </c>
      <c r="M58" s="10" t="n">
        <v>0.0</v>
      </c>
      <c r="N58" s="10" t="n">
        <v>0.0</v>
      </c>
      <c r="O58" s="10" t="n">
        <v>0.0</v>
      </c>
      <c r="P58" s="10" t="n">
        <v>0.0</v>
      </c>
      <c r="Q58" s="10" t="n">
        <v>0.0</v>
      </c>
      <c r="R58" s="10" t="n">
        <v>0.0</v>
      </c>
      <c r="S58" s="10" t="n">
        <v>0.0</v>
      </c>
      <c r="T58" s="10" t="n">
        <v>0.0</v>
      </c>
      <c r="U58" s="1">
        <f si="1" t="shared"/>
        <v>0</v>
      </c>
    </row>
  </sheetData>
  <pageMargins bottom="0.75" footer="0.3" header="0.3" left="0.7" right="0.7" top="0.75"/>
  <drawing r:id="rId1"/>
</worksheet>
</file>

<file path=xl/worksheets/sheet9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AA58"/>
  <sheetViews>
    <sheetView topLeftCell="H4" workbookViewId="0">
      <selection activeCell="U33" sqref="U33:U36"/>
    </sheetView>
  </sheetViews>
  <sheetFormatPr defaultRowHeight="15" x14ac:dyDescent="0.25"/>
  <cols>
    <col min="1" max="1" customWidth="true" width="12.7109375" collapsed="true"/>
    <col min="2" max="10" customWidth="true" width="10.7109375" collapsed="true"/>
    <col min="11" max="11" customWidth="true" width="6.42578125" collapsed="true"/>
    <col min="12" max="12" customWidth="true" width="12.7109375" collapsed="true"/>
    <col min="13" max="21" customWidth="true" width="10.7109375" collapsed="true"/>
  </cols>
  <sheetData>
    <row r="1" spans="1:26" x14ac:dyDescent="0.25">
      <c r="A1" t="s">
        <v>40</v>
      </c>
    </row>
    <row r="2" spans="1:26" x14ac:dyDescent="0.25">
      <c r="A2" t="s">
        <v>59</v>
      </c>
    </row>
    <row r="3" spans="1:26" x14ac:dyDescent="0.25">
      <c r="A3" t="s">
        <v>7</v>
      </c>
    </row>
    <row r="4" spans="1:26" x14ac:dyDescent="0.25">
      <c r="A4" t="s">
        <v>8</v>
      </c>
    </row>
    <row r="5" spans="1:26" x14ac:dyDescent="0.25">
      <c r="W5" s="5"/>
      <c r="X5" s="5"/>
      <c r="Y5" s="5"/>
      <c r="Z5" s="5"/>
    </row>
    <row ht="15.75" r="6" spans="1:26" thickBot="1" x14ac:dyDescent="0.3">
      <c r="A6" s="3" t="s">
        <v>56</v>
      </c>
      <c r="B6" s="1"/>
      <c r="C6" s="1"/>
      <c r="D6" s="1"/>
      <c r="E6" s="1"/>
      <c r="F6" s="1"/>
      <c r="G6" s="1"/>
      <c r="H6" s="1"/>
      <c r="I6" s="1"/>
      <c r="J6" s="1"/>
      <c r="L6" s="3" t="s">
        <v>41</v>
      </c>
      <c r="M6" s="1"/>
      <c r="N6" s="1"/>
      <c r="O6" s="1"/>
      <c r="P6" s="1"/>
      <c r="Q6" s="1"/>
      <c r="R6" s="1"/>
      <c r="S6" s="1"/>
      <c r="T6" s="1"/>
      <c r="U6" s="1"/>
      <c r="W6" s="11"/>
      <c r="X6" s="5"/>
      <c r="Y6" s="5"/>
      <c r="Z6" s="5"/>
    </row>
    <row r="7" spans="1:26" x14ac:dyDescent="0.25">
      <c r="A7" s="2" t="s">
        <v>4</v>
      </c>
      <c r="B7" s="4" t="s">
        <v>17</v>
      </c>
      <c r="C7" s="4" t="s">
        <v>18</v>
      </c>
      <c r="D7" s="4" t="s">
        <v>19</v>
      </c>
      <c r="E7" s="4" t="s">
        <v>20</v>
      </c>
      <c r="F7" s="4" t="s">
        <v>21</v>
      </c>
      <c r="G7" s="4" t="s">
        <v>24</v>
      </c>
      <c r="H7" s="4" t="s">
        <v>22</v>
      </c>
      <c r="I7" s="4" t="s">
        <v>23</v>
      </c>
      <c r="J7" s="4" t="s">
        <v>0</v>
      </c>
      <c r="L7" s="2" t="s">
        <v>4</v>
      </c>
      <c r="M7" s="4" t="s">
        <v>17</v>
      </c>
      <c r="N7" s="4" t="s">
        <v>18</v>
      </c>
      <c r="O7" s="4" t="s">
        <v>19</v>
      </c>
      <c r="P7" s="4" t="s">
        <v>20</v>
      </c>
      <c r="Q7" s="4" t="s">
        <v>21</v>
      </c>
      <c r="R7" s="4" t="s">
        <v>24</v>
      </c>
      <c r="S7" s="4" t="s">
        <v>22</v>
      </c>
      <c r="T7" s="4" t="s">
        <v>23</v>
      </c>
      <c r="U7" s="4" t="s">
        <v>0</v>
      </c>
      <c r="W7" s="5"/>
      <c r="X7" s="14"/>
      <c r="Y7" s="14"/>
      <c r="Z7" s="5"/>
    </row>
    <row r="8" spans="1:26" x14ac:dyDescent="0.25">
      <c r="A8" t="s">
        <v>5</v>
      </c>
      <c r="B8" s="6" t="n">
        <v>0.0</v>
      </c>
      <c r="C8" s="6" t="n">
        <v>0.0</v>
      </c>
      <c r="D8" s="6" t="n">
        <v>0.0</v>
      </c>
      <c r="E8" s="6" t="n">
        <v>0.0</v>
      </c>
      <c r="F8" s="6" t="n">
        <v>0.0</v>
      </c>
      <c r="G8" s="6" t="n">
        <v>0.0</v>
      </c>
      <c r="H8" s="6" t="n">
        <v>0.0</v>
      </c>
      <c r="I8" s="6" t="n">
        <v>0.0</v>
      </c>
      <c r="J8" s="6">
        <f>SUM(B8:I8)</f>
        <v>6.6823958168861397</v>
      </c>
      <c r="L8" t="s">
        <v>5</v>
      </c>
      <c r="M8" s="9" t="n">
        <v>0.0</v>
      </c>
      <c r="N8" s="9" t="n">
        <v>0.0</v>
      </c>
      <c r="O8" s="9" t="n">
        <v>0.0</v>
      </c>
      <c r="P8" s="9" t="n">
        <v>0.0</v>
      </c>
      <c r="Q8" s="9" t="n">
        <v>0.0</v>
      </c>
      <c r="R8" s="9" t="n">
        <v>0.0</v>
      </c>
      <c r="S8" s="9" t="n">
        <v>0.0</v>
      </c>
      <c r="T8" s="9" t="n">
        <v>0.0</v>
      </c>
      <c r="U8">
        <f>SUM(M8:T8)</f>
        <v>20</v>
      </c>
      <c r="W8" s="5"/>
      <c r="X8" s="16"/>
      <c r="Y8" s="16"/>
      <c r="Z8" s="5"/>
    </row>
    <row r="9" spans="1:26" x14ac:dyDescent="0.25">
      <c r="A9" s="12">
        <v>0.125</v>
      </c>
      <c r="B9" s="6" t="n">
        <v>0.0</v>
      </c>
      <c r="C9" s="6" t="n">
        <v>0.009931334546636581</v>
      </c>
      <c r="D9" s="6" t="n">
        <v>0.0</v>
      </c>
      <c r="E9" s="6" t="n">
        <v>0.0</v>
      </c>
      <c r="F9" s="6" t="n">
        <v>8.868288239762211E-5</v>
      </c>
      <c r="G9" s="6" t="n">
        <v>4.884781222818479E-4</v>
      </c>
      <c r="H9" s="6" t="n">
        <v>6.538372552314443E-5</v>
      </c>
      <c r="I9" s="6" t="n">
        <v>0.0</v>
      </c>
      <c r="J9" s="6">
        <f ref="J9:J58" si="0" t="shared">SUM(B9:I9)</f>
        <v>11.272201327523979</v>
      </c>
      <c r="L9" s="12">
        <v>0.125</v>
      </c>
      <c r="M9" s="9" t="n">
        <v>6.570816040039062E-4</v>
      </c>
      <c r="N9" s="9" t="n">
        <v>0.0</v>
      </c>
      <c r="O9" s="9" t="n">
        <v>0.0</v>
      </c>
      <c r="P9" s="9" t="n">
        <v>0.0</v>
      </c>
      <c r="Q9" s="9" t="n">
        <v>0.007435798645019531</v>
      </c>
      <c r="R9" s="9" t="n">
        <v>0.20365142822265625</v>
      </c>
      <c r="S9" s="9" t="n">
        <v>1.231541633605957</v>
      </c>
      <c r="T9" s="9" t="n">
        <v>0.0</v>
      </c>
      <c r="U9">
        <f ref="U9:U58" si="1" t="shared">SUM(M9:T9)</f>
        <v>14.25511360168457</v>
      </c>
      <c r="W9" s="5"/>
      <c r="X9" s="16"/>
      <c r="Y9" s="16"/>
      <c r="Z9" s="5"/>
    </row>
    <row r="10" spans="1:26" x14ac:dyDescent="0.25">
      <c r="A10" s="12">
        <v>0.14583333333333334</v>
      </c>
      <c r="B10" s="6" t="n">
        <v>0.0</v>
      </c>
      <c r="C10" s="6" t="n">
        <v>0.059903287741617475</v>
      </c>
      <c r="D10" s="6" t="n">
        <v>0.0</v>
      </c>
      <c r="E10" s="6" t="n">
        <v>0.0</v>
      </c>
      <c r="F10" s="6" t="n">
        <v>0.002004327282082928</v>
      </c>
      <c r="G10" s="6" t="n">
        <v>0.009993817422757217</v>
      </c>
      <c r="H10" s="6" t="n">
        <v>0.0013076745104628883</v>
      </c>
      <c r="I10" s="6" t="n">
        <v>0.0</v>
      </c>
      <c r="J10" s="6">
        <f si="0" t="shared"/>
        <v>25.299243753312609</v>
      </c>
      <c r="L10" s="12">
        <v>0.14583333333333334</v>
      </c>
      <c r="M10" s="9" t="n">
        <v>0.004390716552734375</v>
      </c>
      <c r="N10" s="9" t="n">
        <v>0.0</v>
      </c>
      <c r="O10" s="9" t="n">
        <v>0.0</v>
      </c>
      <c r="P10" s="9" t="n">
        <v>0.0</v>
      </c>
      <c r="Q10" s="9" t="n">
        <v>0.034142494201660156</v>
      </c>
      <c r="R10" s="9" t="n">
        <v>0.47553062438964844</v>
      </c>
      <c r="S10" s="9" t="n">
        <v>2.1501827239990234</v>
      </c>
      <c r="T10" s="9" t="n">
        <v>0.0</v>
      </c>
      <c r="U10">
        <f si="1" t="shared"/>
        <v>13.8916015625</v>
      </c>
      <c r="W10" s="5"/>
      <c r="X10" s="16"/>
      <c r="Y10" s="16"/>
      <c r="Z10" s="5"/>
    </row>
    <row r="11" spans="1:26" x14ac:dyDescent="0.25">
      <c r="A11" s="12">
        <v>0.16666666666666666</v>
      </c>
      <c r="B11" s="6" t="n">
        <v>0.0</v>
      </c>
      <c r="C11" s="6" t="n">
        <v>0.25458897290187427</v>
      </c>
      <c r="D11" s="6" t="n">
        <v>0.0</v>
      </c>
      <c r="E11" s="6" t="n">
        <v>0.0</v>
      </c>
      <c r="F11" s="6" t="n">
        <v>0.02156775194221879</v>
      </c>
      <c r="G11" s="6" t="n">
        <v>0.09729594277595628</v>
      </c>
      <c r="H11" s="6" t="n">
        <v>0.012527964533125104</v>
      </c>
      <c r="I11" s="6" t="n">
        <v>0.0</v>
      </c>
      <c r="J11" s="6">
        <f si="0" t="shared"/>
        <v>79.709840351953957</v>
      </c>
      <c r="L11" s="12">
        <v>0.16666666666666666</v>
      </c>
      <c r="M11" s="9" t="n">
        <v>0.020826339721679688</v>
      </c>
      <c r="N11" s="9" t="n">
        <v>0.0</v>
      </c>
      <c r="O11" s="9" t="n">
        <v>0.0</v>
      </c>
      <c r="P11" s="9" t="n">
        <v>0.0</v>
      </c>
      <c r="Q11" s="9" t="n">
        <v>0.12672710418701172</v>
      </c>
      <c r="R11" s="9" t="n">
        <v>1.1995964050292969</v>
      </c>
      <c r="S11" s="9" t="n">
        <v>3.2621822357177734</v>
      </c>
      <c r="T11" s="9" t="n">
        <v>0.0</v>
      </c>
      <c r="U11">
        <f si="1" t="shared"/>
        <v>32.998619079589844</v>
      </c>
      <c r="W11" s="5"/>
      <c r="X11" s="16"/>
      <c r="Y11" s="16"/>
      <c r="Z11" s="5"/>
    </row>
    <row r="12" spans="1:26" x14ac:dyDescent="0.25">
      <c r="A12" s="12">
        <v>0.1875</v>
      </c>
      <c r="B12" s="6" t="n">
        <v>0.0</v>
      </c>
      <c r="C12" s="6" t="n">
        <v>0.8146847132859978</v>
      </c>
      <c r="D12" s="6" t="n">
        <v>0.0</v>
      </c>
      <c r="E12" s="6" t="n">
        <v>0.0</v>
      </c>
      <c r="F12" s="6" t="n">
        <v>0.14722690115768564</v>
      </c>
      <c r="G12" s="6" t="n">
        <v>0.5994735050541558</v>
      </c>
      <c r="H12" s="6" t="n">
        <v>0.07668785778250496</v>
      </c>
      <c r="I12" s="6" t="n">
        <v>0.0</v>
      </c>
      <c r="J12" s="6">
        <f si="0" t="shared"/>
        <v>254.47072510728202</v>
      </c>
      <c r="L12" s="12">
        <v>0.1875</v>
      </c>
      <c r="M12" s="9" t="n">
        <v>0.07503795623779297</v>
      </c>
      <c r="N12" s="9" t="n">
        <v>0.0</v>
      </c>
      <c r="O12" s="9" t="n">
        <v>0.0</v>
      </c>
      <c r="P12" s="9" t="n">
        <v>0.0</v>
      </c>
      <c r="Q12" s="9" t="n">
        <v>0.393218994140625</v>
      </c>
      <c r="R12" s="9" t="n">
        <v>3.356904983520508</v>
      </c>
      <c r="S12" s="9" t="n">
        <v>6.413661003112793</v>
      </c>
      <c r="T12" s="9" t="n">
        <v>0.0</v>
      </c>
      <c r="U12">
        <f si="1" t="shared"/>
        <v>108.36406707763672</v>
      </c>
      <c r="W12" s="5"/>
      <c r="X12" s="5"/>
      <c r="Y12" s="5"/>
      <c r="Z12" s="5"/>
    </row>
    <row r="13" spans="1:26" x14ac:dyDescent="0.25">
      <c r="A13" s="12">
        <v>0.20833333333333334</v>
      </c>
      <c r="B13" s="6" t="n">
        <v>0.0</v>
      </c>
      <c r="C13" s="6" t="n">
        <v>2.0367117832149946</v>
      </c>
      <c r="D13" s="6" t="n">
        <v>0.0</v>
      </c>
      <c r="E13" s="6" t="n">
        <v>0.0</v>
      </c>
      <c r="F13" s="6" t="n">
        <v>0.7169693478807216</v>
      </c>
      <c r="G13" s="6" t="n">
        <v>2.6223271763726475</v>
      </c>
      <c r="H13" s="6" t="n">
        <v>0.33877924823030087</v>
      </c>
      <c r="I13" s="6" t="n">
        <v>0.0</v>
      </c>
      <c r="J13" s="6">
        <f si="0" t="shared"/>
        <v>699.11068332124159</v>
      </c>
      <c r="L13" s="12">
        <v>0.20833333333333334</v>
      </c>
      <c r="M13" s="9" t="n">
        <v>0.21376895904541016</v>
      </c>
      <c r="N13" s="9" t="n">
        <v>0.0</v>
      </c>
      <c r="O13" s="9" t="n">
        <v>0.0</v>
      </c>
      <c r="P13" s="9" t="n">
        <v>0.0</v>
      </c>
      <c r="Q13" s="9" t="n">
        <v>1.0287322998046875</v>
      </c>
      <c r="R13" s="9" t="n">
        <v>8.521514892578125</v>
      </c>
      <c r="S13" s="9" t="n">
        <v>14.65831470489502</v>
      </c>
      <c r="T13" s="9" t="n">
        <v>0.0</v>
      </c>
      <c r="U13">
        <f si="1" t="shared"/>
        <v>315.03516674041748</v>
      </c>
    </row>
    <row r="14" spans="1:26" x14ac:dyDescent="0.25">
      <c r="A14" s="12">
        <v>0.22916666666666666</v>
      </c>
      <c r="B14" s="6" t="n">
        <v>6.352890158499288E-5</v>
      </c>
      <c r="C14" s="6" t="n">
        <v>4.073423566429989</v>
      </c>
      <c r="D14" s="6" t="n">
        <v>4.1954533135699845E-5</v>
      </c>
      <c r="E14" s="6" t="n">
        <v>8.89161582487708E-5</v>
      </c>
      <c r="F14" s="6" t="n">
        <v>2.657311943007608</v>
      </c>
      <c r="G14" s="6" t="n">
        <v>8.660109563620104</v>
      </c>
      <c r="H14" s="6" t="n">
        <v>1.1640020343427606</v>
      </c>
      <c r="I14" s="6" t="n">
        <v>0.0</v>
      </c>
      <c r="J14" s="6">
        <f si="0" t="shared"/>
        <v>1607.9594293748364</v>
      </c>
      <c r="L14" s="12">
        <v>0.22916666666666666</v>
      </c>
      <c r="M14" s="9" t="n">
        <v>0.49526214599609375</v>
      </c>
      <c r="N14" s="9" t="n">
        <v>0.0</v>
      </c>
      <c r="O14" s="9" t="n">
        <v>0.0</v>
      </c>
      <c r="P14" s="9" t="n">
        <v>0.0</v>
      </c>
      <c r="Q14" s="9" t="n">
        <v>2.2901363372802734</v>
      </c>
      <c r="R14" s="9" t="n">
        <v>18.159202575683594</v>
      </c>
      <c r="S14" s="9" t="n">
        <v>31.00593376159668</v>
      </c>
      <c r="T14" s="9" t="n">
        <v>0.0</v>
      </c>
      <c r="U14">
        <f si="1" t="shared"/>
        <v>766.05937004089355</v>
      </c>
    </row>
    <row r="15" spans="1:26" x14ac:dyDescent="0.25">
      <c r="A15" s="12">
        <v>0.25</v>
      </c>
      <c r="B15" s="6" t="n">
        <v>0.0013366906850341093</v>
      </c>
      <c r="C15" s="6" t="n">
        <v>6.619313295448732</v>
      </c>
      <c r="D15" s="6" t="n">
        <v>8.390906627139969E-4</v>
      </c>
      <c r="E15" s="6" t="n">
        <v>0.0017783231649754164</v>
      </c>
      <c r="F15" s="6" t="n">
        <v>7.816344907642497</v>
      </c>
      <c r="G15" s="6" t="n">
        <v>22.41532137370141</v>
      </c>
      <c r="H15" s="6" t="n">
        <v>3.3025953181185</v>
      </c>
      <c r="I15" s="6" t="n">
        <v>0.0</v>
      </c>
      <c r="J15" s="6">
        <f si="0" t="shared"/>
        <v>3117.1684085428242</v>
      </c>
      <c r="L15" s="12">
        <v>0.25</v>
      </c>
      <c r="M15" s="9" t="n">
        <v>0.9540681838989258</v>
      </c>
      <c r="N15" s="9" t="n">
        <v>0.0</v>
      </c>
      <c r="O15" s="9" t="n">
        <v>0.0</v>
      </c>
      <c r="P15" s="9" t="n">
        <v>0.0</v>
      </c>
      <c r="Q15" s="9" t="n">
        <v>4.387138366699219</v>
      </c>
      <c r="R15" s="9" t="n">
        <v>32.217689514160156</v>
      </c>
      <c r="S15" s="9" t="n">
        <v>56.06103038787842</v>
      </c>
      <c r="T15" s="9" t="n">
        <v>0.0</v>
      </c>
      <c r="U15">
        <f si="1" t="shared"/>
        <v>1575.8458662033081</v>
      </c>
    </row>
    <row r="16" spans="1:26" x14ac:dyDescent="0.25">
      <c r="A16" s="12">
        <v>0.27083333333333331</v>
      </c>
      <c r="B16" s="6" t="n">
        <v>0.013392744367833683</v>
      </c>
      <c r="C16" s="6" t="n">
        <v>8.825751060598309</v>
      </c>
      <c r="D16" s="6" t="n">
        <v>0.00797136129578297</v>
      </c>
      <c r="E16" s="6" t="n">
        <v>0.017089897524863683</v>
      </c>
      <c r="F16" s="6" t="n">
        <v>18.81613561332418</v>
      </c>
      <c r="G16" s="6" t="n">
        <v>46.612803972603</v>
      </c>
      <c r="H16" s="6" t="n">
        <v>8.172325357917313</v>
      </c>
      <c r="I16" s="6" t="n">
        <v>0.0</v>
      </c>
      <c r="J16" s="6">
        <f si="0" t="shared"/>
        <v>5157.00507269638</v>
      </c>
      <c r="L16" s="12">
        <v>0.27083333333333331</v>
      </c>
      <c r="M16" s="9" t="n">
        <v>1.5602397918701172</v>
      </c>
      <c r="N16" s="9" t="n">
        <v>0.0</v>
      </c>
      <c r="O16" s="9" t="n">
        <v>0.0</v>
      </c>
      <c r="P16" s="9" t="n">
        <v>0.0</v>
      </c>
      <c r="Q16" s="9" t="n">
        <v>7.3394365310668945</v>
      </c>
      <c r="R16" s="9" t="n">
        <v>47.991827964782715</v>
      </c>
      <c r="S16" s="9" t="n">
        <v>86.05760288238525</v>
      </c>
      <c r="T16" s="9" t="n">
        <v>0.0</v>
      </c>
      <c r="U16">
        <f si="1" t="shared"/>
        <v>2790.776515007019</v>
      </c>
    </row>
    <row r="17" spans="1:21" x14ac:dyDescent="0.25">
      <c r="A17" s="12">
        <v>0.29166666666666669</v>
      </c>
      <c r="B17" s="6" t="n">
        <v>0.08502189539129344</v>
      </c>
      <c r="C17" s="6" t="n">
        <v>9.708326166658141</v>
      </c>
      <c r="D17" s="6" t="n">
        <v>0.04782816777469783</v>
      </c>
      <c r="E17" s="6" t="n">
        <v>0.10528096955554331</v>
      </c>
      <c r="F17" s="6" t="n">
        <v>38.03507678095883</v>
      </c>
      <c r="G17" s="6" t="n">
        <v>79.28623618542304</v>
      </c>
      <c r="H17" s="6" t="n">
        <v>18.445364363564078</v>
      </c>
      <c r="I17" s="6" t="n">
        <v>0.0</v>
      </c>
      <c r="J17" s="6">
        <f si="0" t="shared"/>
        <v>7376.8001357192461</v>
      </c>
      <c r="L17" s="12">
        <v>0.29166666666666669</v>
      </c>
      <c r="M17" s="9" t="n">
        <v>2.2210865020751953</v>
      </c>
      <c r="N17" s="9" t="n">
        <v>0.0</v>
      </c>
      <c r="O17" s="9" t="n">
        <v>0.0</v>
      </c>
      <c r="P17" s="9" t="n">
        <v>0.0</v>
      </c>
      <c r="Q17" s="9" t="n">
        <v>10.952062606811523</v>
      </c>
      <c r="R17" s="9" t="n">
        <v>60.743536949157715</v>
      </c>
      <c r="S17" s="9" t="n">
        <v>113.84618663787842</v>
      </c>
      <c r="T17" s="9" t="n">
        <v>0.0</v>
      </c>
      <c r="U17">
        <f si="1" t="shared"/>
        <v>4332.3036813735962</v>
      </c>
    </row>
    <row r="18" spans="1:21" x14ac:dyDescent="0.25">
      <c r="A18" s="12">
        <v>0.3125</v>
      </c>
      <c r="B18" s="6" t="n">
        <v>0.3847313343785751</v>
      </c>
      <c r="C18" s="6" t="n">
        <v>8.82575106059831</v>
      </c>
      <c r="D18" s="6" t="n">
        <v>0.2032968904225126</v>
      </c>
      <c r="E18" s="6" t="n">
        <v>0.468006003658768</v>
      </c>
      <c r="F18" s="6" t="n">
        <v>66.20335041841909</v>
      </c>
      <c r="G18" s="6" t="n">
        <v>112.11424762493908</v>
      </c>
      <c r="H18" s="6" t="n">
        <v>38.890349120300705</v>
      </c>
      <c r="I18" s="6" t="n">
        <v>0.0</v>
      </c>
      <c r="J18" s="6">
        <f si="0" t="shared"/>
        <v>9253.8379946325949</v>
      </c>
      <c r="L18" s="12">
        <v>0.3125</v>
      </c>
      <c r="M18" s="9" t="n">
        <v>2.8587961196899414</v>
      </c>
      <c r="N18" s="9" t="n">
        <v>0.0</v>
      </c>
      <c r="O18" s="9" t="n">
        <v>0.0</v>
      </c>
      <c r="P18" s="9" t="n">
        <v>0.0</v>
      </c>
      <c r="Q18" s="9" t="n">
        <v>15.034828186035156</v>
      </c>
      <c r="R18" s="9" t="n">
        <v>66.37559413909912</v>
      </c>
      <c r="S18" s="9" t="n">
        <v>133.68231582641602</v>
      </c>
      <c r="T18" s="9" t="n">
        <v>0.0</v>
      </c>
      <c r="U18">
        <f si="1" t="shared"/>
        <v>6011.2763595581055</v>
      </c>
    </row>
    <row r="19" spans="1:21" x14ac:dyDescent="0.25">
      <c r="A19" s="12">
        <v>0.33333333333333331</v>
      </c>
      <c r="B19" s="6" t="n">
        <v>1.3287859827402027</v>
      </c>
      <c r="C19" s="6" t="n">
        <v>6.619313295448732</v>
      </c>
      <c r="D19" s="6" t="n">
        <v>0.6510066293368273</v>
      </c>
      <c r="E19" s="6" t="n">
        <v>1.601799419149783</v>
      </c>
      <c r="F19" s="6" t="n">
        <v>102.1296952137036</v>
      </c>
      <c r="G19" s="6" t="n">
        <v>134.83409566585883</v>
      </c>
      <c r="H19" s="6" t="n">
        <v>76.7112463735025</v>
      </c>
      <c r="I19" s="6" t="n">
        <v>0.0</v>
      </c>
      <c r="J19" s="6">
        <f si="0" t="shared"/>
        <v>10360.242862785317</v>
      </c>
      <c r="L19" s="12">
        <v>0.33333333333333331</v>
      </c>
      <c r="M19" s="9" t="n">
        <v>3.5272951126098633</v>
      </c>
      <c r="N19" s="9" t="n">
        <v>0.0</v>
      </c>
      <c r="O19" s="9" t="n">
        <v>0.0</v>
      </c>
      <c r="P19" s="9" t="n">
        <v>0.0</v>
      </c>
      <c r="Q19" s="9" t="n">
        <v>19.753482818603516</v>
      </c>
      <c r="R19" s="9" t="n">
        <v>64.33487701416016</v>
      </c>
      <c r="S19" s="9" t="n">
        <v>146.77138328552246</v>
      </c>
      <c r="T19" s="9" t="n">
        <v>0.0</v>
      </c>
      <c r="U19">
        <f si="1" t="shared"/>
        <v>7621.6625022888184</v>
      </c>
    </row>
    <row r="20" spans="1:21" x14ac:dyDescent="0.25">
      <c r="A20" s="12">
        <v>0.35416666666666669</v>
      </c>
      <c r="B20" s="6" t="n">
        <v>3.6868792300389317</v>
      </c>
      <c r="C20" s="6" t="n">
        <v>4.073423566429989</v>
      </c>
      <c r="D20" s="6" t="n">
        <v>1.6313214065486255</v>
      </c>
      <c r="E20" s="6" t="n">
        <v>4.395202674402725</v>
      </c>
      <c r="F20" s="6" t="n">
        <v>144.79852311855305</v>
      </c>
      <c r="G20" s="6" t="n">
        <v>144.53138277251847</v>
      </c>
      <c r="H20" s="6" t="n">
        <v>140.51757220450963</v>
      </c>
      <c r="I20" s="6" t="n">
        <v>0.0</v>
      </c>
      <c r="J20" s="6">
        <f si="0" t="shared"/>
        <v>10609.398318075651</v>
      </c>
      <c r="L20" s="12">
        <v>0.35416666666666669</v>
      </c>
      <c r="M20" s="9" t="n">
        <v>4.465190887451172</v>
      </c>
      <c r="N20" s="9" t="n">
        <v>0.0</v>
      </c>
      <c r="O20" s="9" t="n">
        <v>0.0</v>
      </c>
      <c r="P20" s="9" t="n">
        <v>0.0</v>
      </c>
      <c r="Q20" s="9" t="n">
        <v>25.74593448638916</v>
      </c>
      <c r="R20" s="9" t="n">
        <v>58.27311706542969</v>
      </c>
      <c r="S20" s="9" t="n">
        <v>162.72960948944092</v>
      </c>
      <c r="T20" s="9" t="n">
        <v>0.0</v>
      </c>
      <c r="U20">
        <f si="1" t="shared"/>
        <v>9041.3329601287842</v>
      </c>
    </row>
    <row r="21" spans="1:21" x14ac:dyDescent="0.25">
      <c r="A21" s="12">
        <v>0.375</v>
      </c>
      <c r="B21" s="6" t="n">
        <v>8.617204946551224</v>
      </c>
      <c r="C21" s="6" t="n">
        <v>2.0367557244303565</v>
      </c>
      <c r="D21" s="6" t="n">
        <v>3.2832976219328494</v>
      </c>
      <c r="E21" s="6" t="n">
        <v>9.92945646246804</v>
      </c>
      <c r="F21" s="6" t="n">
        <v>196.9156738942786</v>
      </c>
      <c r="G21" s="6" t="n">
        <v>151.8794983457494</v>
      </c>
      <c r="H21" s="6" t="n">
        <v>238.37593792287174</v>
      </c>
      <c r="I21" s="6" t="n">
        <v>0.0</v>
      </c>
      <c r="J21" s="6">
        <f si="0" t="shared"/>
        <v>10298.814739338408</v>
      </c>
      <c r="L21" s="12">
        <v>0.375</v>
      </c>
      <c r="M21" s="9" t="n">
        <v>6.011931419372559</v>
      </c>
      <c r="N21" s="9" t="n">
        <v>0.0</v>
      </c>
      <c r="O21" s="9" t="n">
        <v>0.0</v>
      </c>
      <c r="P21" s="9" t="n">
        <v>0.0</v>
      </c>
      <c r="Q21" s="9" t="n">
        <v>33.77599239349365</v>
      </c>
      <c r="R21" s="9" t="n">
        <v>53.98321533203125</v>
      </c>
      <c r="S21" s="9" t="n">
        <v>195.8219861984253</v>
      </c>
      <c r="T21" s="9" t="n">
        <v>0.0</v>
      </c>
      <c r="U21">
        <f si="1" t="shared"/>
        <v>10249.015560150146</v>
      </c>
    </row>
    <row r="22" spans="1:21" x14ac:dyDescent="0.25">
      <c r="A22" s="12">
        <v>0.39583333333333331</v>
      </c>
      <c r="B22" s="6" t="n">
        <v>17.785807901533545</v>
      </c>
      <c r="C22" s="6" t="n">
        <v>0.8157803781146304</v>
      </c>
      <c r="D22" s="6" t="n">
        <v>5.416686945431048</v>
      </c>
      <c r="E22" s="6" t="n">
        <v>18.796426949207206</v>
      </c>
      <c r="F22" s="6" t="n">
        <v>266.55758037337625</v>
      </c>
      <c r="G22" s="6" t="n">
        <v>176.6809035949114</v>
      </c>
      <c r="H22" s="6" t="n">
        <v>376.0516187088399</v>
      </c>
      <c r="I22" s="6" t="n">
        <v>0.0</v>
      </c>
      <c r="J22" s="6">
        <f si="0" t="shared"/>
        <v>9925.1353187751483</v>
      </c>
      <c r="L22" s="12">
        <v>0.39583333333333331</v>
      </c>
      <c r="M22" s="9" t="n">
        <v>8.482029914855957</v>
      </c>
      <c r="N22" s="9" t="n">
        <v>0.0</v>
      </c>
      <c r="O22" s="9" t="n">
        <v>0.0</v>
      </c>
      <c r="P22" s="9" t="n">
        <v>0.0</v>
      </c>
      <c r="Q22" s="9" t="n">
        <v>44.360769271850586</v>
      </c>
      <c r="R22" s="9" t="n">
        <v>56.96592998504639</v>
      </c>
      <c r="S22" s="9" t="n">
        <v>261.99206829071045</v>
      </c>
      <c r="T22" s="9" t="n">
        <v>0.0</v>
      </c>
      <c r="U22">
        <f si="1" t="shared"/>
        <v>11254.089202880859</v>
      </c>
    </row>
    <row r="23" spans="1:21" x14ac:dyDescent="0.25">
      <c r="A23" s="12">
        <v>0.41666666666666669</v>
      </c>
      <c r="B23" s="6" t="n">
        <v>33.721908152184334</v>
      </c>
      <c r="C23" s="6" t="n">
        <v>0.2672746142484569</v>
      </c>
      <c r="D23" s="6" t="n">
        <v>7.468116872383799</v>
      </c>
      <c r="E23" s="6" t="n">
        <v>30.147696779336048</v>
      </c>
      <c r="F23" s="6" t="n">
        <v>363.62559829713507</v>
      </c>
      <c r="G23" s="6" t="n">
        <v>234.36700741348332</v>
      </c>
      <c r="H23" s="6" t="n">
        <v>555.2197841543905</v>
      </c>
      <c r="I23" s="6" t="n">
        <v>0.0</v>
      </c>
      <c r="J23" s="6">
        <f si="0" t="shared"/>
        <v>9916.0087704158468</v>
      </c>
      <c r="L23" s="12">
        <v>0.41666666666666669</v>
      </c>
      <c r="M23" s="9" t="n">
        <v>12.290450096130371</v>
      </c>
      <c r="N23" s="9" t="n">
        <v>0.0</v>
      </c>
      <c r="O23" s="9" t="n">
        <v>0.0</v>
      </c>
      <c r="P23" s="9" t="n">
        <v>0.0</v>
      </c>
      <c r="Q23" s="9" t="n">
        <v>58.3929328918457</v>
      </c>
      <c r="R23" s="9" t="n">
        <v>72.87772750854492</v>
      </c>
      <c r="S23" s="9" t="n">
        <v>386.7568702697754</v>
      </c>
      <c r="T23" s="9" t="n">
        <v>0.0</v>
      </c>
      <c r="U23">
        <f si="1" t="shared"/>
        <v>12043.9506483078</v>
      </c>
    </row>
    <row r="24" spans="1:21" x14ac:dyDescent="0.25">
      <c r="A24" s="12">
        <v>0.4375</v>
      </c>
      <c r="B24" s="6" t="n">
        <v>59.80882575984047</v>
      </c>
      <c r="C24" s="6" t="n">
        <v>0.1511959723182584</v>
      </c>
      <c r="D24" s="6" t="n">
        <v>8.806254707943939</v>
      </c>
      <c r="E24" s="6" t="n">
        <v>41.243065601319344</v>
      </c>
      <c r="F24" s="6" t="n">
        <v>491.56756569613606</v>
      </c>
      <c r="G24" s="6" t="n">
        <v>325.3468387904067</v>
      </c>
      <c r="H24" s="6" t="n">
        <v>775.2653305684826</v>
      </c>
      <c r="I24" s="6" t="n">
        <v>0.0</v>
      </c>
      <c r="J24" s="6">
        <f si="0" t="shared"/>
        <v>10461.847644743955</v>
      </c>
      <c r="L24" s="12">
        <v>0.4375</v>
      </c>
      <c r="M24" s="9" t="n">
        <v>18.590750694274902</v>
      </c>
      <c r="N24" s="9" t="n">
        <v>0.0</v>
      </c>
      <c r="O24" s="9" t="n">
        <v>0.0</v>
      </c>
      <c r="P24" s="9" t="n">
        <v>0.0</v>
      </c>
      <c r="Q24" s="9" t="n">
        <v>79.2910852432251</v>
      </c>
      <c r="R24" s="9" t="n">
        <v>112.03104400634766</v>
      </c>
      <c r="S24" s="9" t="n">
        <v>628.6432294845581</v>
      </c>
      <c r="T24" s="9" t="n">
        <v>0.0</v>
      </c>
      <c r="U24">
        <f si="1" t="shared"/>
        <v>12643.045272827148</v>
      </c>
    </row>
    <row r="25" spans="1:21" x14ac:dyDescent="0.25">
      <c r="A25" s="12">
        <v>0.45833333333333331</v>
      </c>
      <c r="B25" s="6" t="n">
        <v>98.6061088336649</v>
      </c>
      <c r="C25" s="6" t="n">
        <v>0.4700772641024351</v>
      </c>
      <c r="D25" s="6" t="n">
        <v>9.167797353139429</v>
      </c>
      <c r="E25" s="6" t="n">
        <v>48.35566538682242</v>
      </c>
      <c r="F25" s="6" t="n">
        <v>640.0013038505999</v>
      </c>
      <c r="G25" s="6" t="n">
        <v>440.69812326525886</v>
      </c>
      <c r="H25" s="6" t="n">
        <v>1058.7276529378607</v>
      </c>
      <c r="I25" s="6" t="n">
        <v>0.0</v>
      </c>
      <c r="J25" s="6">
        <f si="0" t="shared"/>
        <v>11546.193925304859</v>
      </c>
      <c r="L25" s="12">
        <v>0.45833333333333331</v>
      </c>
      <c r="M25" s="9" t="n">
        <v>30.25745391845703</v>
      </c>
      <c r="N25" s="9" t="n">
        <v>0.0</v>
      </c>
      <c r="O25" s="9" t="n">
        <v>0.0</v>
      </c>
      <c r="P25" s="9" t="n">
        <v>0.0</v>
      </c>
      <c r="Q25" s="9" t="n">
        <v>115.48022174835205</v>
      </c>
      <c r="R25" s="9" t="n">
        <v>195.36675834655762</v>
      </c>
      <c r="S25" s="9" t="n">
        <v>1107.519941329956</v>
      </c>
      <c r="T25" s="9" t="n">
        <v>0.0</v>
      </c>
      <c r="U25">
        <f si="1" t="shared"/>
        <v>13234.743285179138</v>
      </c>
    </row>
    <row r="26" spans="1:21" x14ac:dyDescent="0.25">
      <c r="A26" s="12">
        <v>0.47916666666666669</v>
      </c>
      <c r="B26" s="6" t="n">
        <v>148.5449322466946</v>
      </c>
      <c r="C26" s="6" t="n">
        <v>1.7329078639727793</v>
      </c>
      <c r="D26" s="6" t="n">
        <v>8.79467580669282</v>
      </c>
      <c r="E26" s="6" t="n">
        <v>49.02372647494571</v>
      </c>
      <c r="F26" s="6" t="n">
        <v>785.3984415700459</v>
      </c>
      <c r="G26" s="6" t="n">
        <v>587.6505403789503</v>
      </c>
      <c r="H26" s="6" t="n">
        <v>1530.2099923321314</v>
      </c>
      <c r="I26" s="6" t="n">
        <v>0.0</v>
      </c>
      <c r="J26" s="6">
        <f si="0" t="shared"/>
        <v>13152.874683090691</v>
      </c>
      <c r="L26" s="12">
        <v>0.47916666666666669</v>
      </c>
      <c r="M26" s="9" t="n">
        <v>52.51898956298828</v>
      </c>
      <c r="N26" s="9" t="n">
        <v>0.0</v>
      </c>
      <c r="O26" s="9" t="n">
        <v>0.0</v>
      </c>
      <c r="P26" s="9" t="n">
        <v>0.0</v>
      </c>
      <c r="Q26" s="9" t="n">
        <v>180.57054615020752</v>
      </c>
      <c r="R26" s="9" t="n">
        <v>356.81517791748047</v>
      </c>
      <c r="S26" s="9" t="n">
        <v>2013.0611085891724</v>
      </c>
      <c r="T26" s="9" t="n">
        <v>0.0</v>
      </c>
      <c r="U26">
        <f si="1" t="shared"/>
        <v>14184.329309463501</v>
      </c>
    </row>
    <row r="27" spans="1:21" x14ac:dyDescent="0.25">
      <c r="A27" s="12">
        <v>0.5</v>
      </c>
      <c r="B27" s="6" t="n">
        <v>201.9861780759094</v>
      </c>
      <c r="C27" s="6" t="n">
        <v>5.065261665978975</v>
      </c>
      <c r="D27" s="6" t="n">
        <v>8.186034644884142</v>
      </c>
      <c r="E27" s="6" t="n">
        <v>44.297060849199525</v>
      </c>
      <c r="F27" s="6" t="n">
        <v>901.784819144588</v>
      </c>
      <c r="G27" s="6" t="n">
        <v>819.7648942722741</v>
      </c>
      <c r="H27" s="6" t="n">
        <v>2534.2986922795817</v>
      </c>
      <c r="I27" s="6" t="n">
        <v>0.0</v>
      </c>
      <c r="J27" s="6">
        <f si="0" t="shared"/>
        <v>15507.581995278104</v>
      </c>
      <c r="L27" s="12">
        <v>0.5</v>
      </c>
      <c r="M27" s="9" t="n">
        <v>92.55952167510986</v>
      </c>
      <c r="N27" s="9" t="n">
        <v>0.0</v>
      </c>
      <c r="O27" s="9" t="n">
        <v>0.0</v>
      </c>
      <c r="P27" s="9" t="n">
        <v>0.0</v>
      </c>
      <c r="Q27" s="9" t="n">
        <v>289.5750379562378</v>
      </c>
      <c r="R27" s="9" t="n">
        <v>638.4716815948486</v>
      </c>
      <c r="S27" s="9" t="n">
        <v>3573.261574745178</v>
      </c>
      <c r="T27" s="9" t="n">
        <v>0.0</v>
      </c>
      <c r="U27">
        <f si="1" t="shared"/>
        <v>15874.589281082153</v>
      </c>
    </row>
    <row r="28" spans="1:21" x14ac:dyDescent="0.25">
      <c r="A28" s="12">
        <v>0.52083333333333337</v>
      </c>
      <c r="B28" s="6" t="n">
        <v>247.8620813952035</v>
      </c>
      <c r="C28" s="6" t="n">
        <v>11.814145663491125</v>
      </c>
      <c r="D28" s="6" t="n">
        <v>7.85183844289019</v>
      </c>
      <c r="E28" s="6" t="n">
        <v>39.13593626028045</v>
      </c>
      <c r="F28" s="6" t="n">
        <v>974.9093469313962</v>
      </c>
      <c r="G28" s="6" t="n">
        <v>1239.1056335789751</v>
      </c>
      <c r="H28" s="6" t="n">
        <v>4669.29824772743</v>
      </c>
      <c r="I28" s="6" t="n">
        <v>0.0</v>
      </c>
      <c r="J28" s="6">
        <f si="0" t="shared"/>
        <v>19113.223898649427</v>
      </c>
      <c r="L28" s="12">
        <v>0.52083333333333337</v>
      </c>
      <c r="M28" s="9" t="n">
        <v>157.9538450241089</v>
      </c>
      <c r="N28" s="9" t="n">
        <v>0.0</v>
      </c>
      <c r="O28" s="9" t="n">
        <v>0.0</v>
      </c>
      <c r="P28" s="9" t="n">
        <v>0.0</v>
      </c>
      <c r="Q28" s="9" t="n">
        <v>452.5280342102051</v>
      </c>
      <c r="R28" s="9" t="n">
        <v>1079.0630559921265</v>
      </c>
      <c r="S28" s="9" t="n">
        <v>5984.803572654724</v>
      </c>
      <c r="T28" s="9" t="n">
        <v>0.0</v>
      </c>
      <c r="U28">
        <f si="1" t="shared"/>
        <v>18465.788507461548</v>
      </c>
    </row>
    <row r="29" spans="1:21" x14ac:dyDescent="0.25">
      <c r="A29" s="12">
        <v>0.54166666666666663</v>
      </c>
      <c r="B29" s="6" t="n">
        <v>277.7210192778462</v>
      </c>
      <c r="C29" s="6" t="n">
        <v>22.374477587891608</v>
      </c>
      <c r="D29" s="6" t="n">
        <v>8.351374083898115</v>
      </c>
      <c r="E29" s="6" t="n">
        <v>40.20594086109361</v>
      </c>
      <c r="F29" s="6" t="n">
        <v>1009.1658182323757</v>
      </c>
      <c r="G29" s="6" t="n">
        <v>1940.3712403150762</v>
      </c>
      <c r="H29" s="6" t="n">
        <v>8547.319811672656</v>
      </c>
      <c r="I29" s="6" t="n">
        <v>0.0</v>
      </c>
      <c r="J29" s="6">
        <f si="0" t="shared"/>
        <v>24384.62468484469</v>
      </c>
      <c r="L29" s="12">
        <v>0.54166666666666663</v>
      </c>
      <c r="M29" s="9" t="n">
        <v>253.89010047912598</v>
      </c>
      <c r="N29" s="9" t="n">
        <v>0.0</v>
      </c>
      <c r="O29" s="9" t="n">
        <v>0.0</v>
      </c>
      <c r="P29" s="9" t="n">
        <v>0.0</v>
      </c>
      <c r="Q29" s="9" t="n">
        <v>668.2859792709351</v>
      </c>
      <c r="R29" s="9" t="n">
        <v>1696.47554397583</v>
      </c>
      <c r="S29" s="9" t="n">
        <v>9314.657052993774</v>
      </c>
      <c r="T29" s="9" t="n">
        <v>0.0</v>
      </c>
      <c r="U29">
        <f si="1" t="shared"/>
        <v>21784.854907989502</v>
      </c>
    </row>
    <row r="30" spans="1:21" x14ac:dyDescent="0.25">
      <c r="A30" s="12">
        <v>0.5625</v>
      </c>
      <c r="B30" s="6" t="n">
        <v>290.3069805371673</v>
      </c>
      <c r="C30" s="6" t="n">
        <v>34.87696713148167</v>
      </c>
      <c r="D30" s="6" t="n">
        <v>10.381175743639634</v>
      </c>
      <c r="E30" s="6" t="n">
        <v>52.23916435400376</v>
      </c>
      <c r="F30" s="6" t="n">
        <v>1021.1781849968555</v>
      </c>
      <c r="G30" s="6" t="n">
        <v>2908.304639717085</v>
      </c>
      <c r="H30" s="6" t="n">
        <v>14244.036599790867</v>
      </c>
      <c r="I30" s="6" t="n">
        <v>0.0</v>
      </c>
      <c r="J30" s="6">
        <f si="0" t="shared"/>
        <v>31004.265943454066</v>
      </c>
      <c r="L30" s="12">
        <v>0.5625</v>
      </c>
      <c r="M30" s="9" t="n">
        <v>378.64260959625244</v>
      </c>
      <c r="N30" s="9" t="n">
        <v>0.0</v>
      </c>
      <c r="O30" s="9" t="n">
        <v>0.0</v>
      </c>
      <c r="P30" s="9" t="n">
        <v>0.0</v>
      </c>
      <c r="Q30" s="9" t="n">
        <v>919.2925119400024</v>
      </c>
      <c r="R30" s="9" t="n">
        <v>2461.669828414917</v>
      </c>
      <c r="S30" s="9" t="n">
        <v>13368.827632904053</v>
      </c>
      <c r="T30" s="9" t="n">
        <v>0.0</v>
      </c>
      <c r="U30">
        <f si="1" t="shared"/>
        <v>25409.137544631958</v>
      </c>
    </row>
    <row r="31" spans="1:21" x14ac:dyDescent="0.25">
      <c r="A31" s="12">
        <v>0.58333333333333337</v>
      </c>
      <c r="B31" s="6" t="n">
        <v>291.9680508583684</v>
      </c>
      <c r="C31" s="6" t="n">
        <v>45.32285188168073</v>
      </c>
      <c r="D31" s="6" t="n">
        <v>14.564347828555293</v>
      </c>
      <c r="E31" s="6" t="n">
        <v>75.54706849280042</v>
      </c>
      <c r="F31" s="6" t="n">
        <v>1024.4946213641679</v>
      </c>
      <c r="G31" s="6" t="n">
        <v>3943.198076317525</v>
      </c>
      <c r="H31" s="6" t="n">
        <v>20776.70316704883</v>
      </c>
      <c r="I31" s="6" t="n">
        <v>0.0</v>
      </c>
      <c r="J31" s="6">
        <f si="0" t="shared"/>
        <v>37540.186027497373</v>
      </c>
      <c r="L31" s="12">
        <v>0.58333333333333337</v>
      </c>
      <c r="M31" s="9" t="n">
        <v>517.9619827270508</v>
      </c>
      <c r="N31" s="9" t="n">
        <v>0.0</v>
      </c>
      <c r="O31" s="9" t="n">
        <v>0.0</v>
      </c>
      <c r="P31" s="9" t="n">
        <v>0.0</v>
      </c>
      <c r="Q31" s="9" t="n">
        <v>1167.523199081421</v>
      </c>
      <c r="R31" s="9" t="n">
        <v>3268.6471004486084</v>
      </c>
      <c r="S31" s="9" t="n">
        <v>17556.469040870667</v>
      </c>
      <c r="T31" s="9" t="n">
        <v>0.0</v>
      </c>
      <c r="U31">
        <f si="1" t="shared"/>
        <v>28813.514652252197</v>
      </c>
    </row>
    <row r="32" spans="1:21" x14ac:dyDescent="0.25">
      <c r="A32" s="12">
        <v>0.60416666666666663</v>
      </c>
      <c r="B32" s="6" t="n">
        <v>294.42075189700336</v>
      </c>
      <c r="C32" s="6" t="n">
        <v>50.00503437345044</v>
      </c>
      <c r="D32" s="6" t="n">
        <v>21.006488222314715</v>
      </c>
      <c r="E32" s="6" t="n">
        <v>106.88208197983819</v>
      </c>
      <c r="F32" s="6" t="n">
        <v>1017.9215203230119</v>
      </c>
      <c r="G32" s="6" t="n">
        <v>4707.710026145236</v>
      </c>
      <c r="H32" s="6" t="n">
        <v>26186.52165310389</v>
      </c>
      <c r="I32" s="6" t="n">
        <v>0.0</v>
      </c>
      <c r="J32" s="6">
        <f si="0" t="shared"/>
        <v>41892.394695826464</v>
      </c>
      <c r="L32" s="12">
        <v>0.60416666666666663</v>
      </c>
      <c r="M32" s="9" t="n">
        <v>643.1160202026367</v>
      </c>
      <c r="N32" s="9" t="n">
        <v>0.0</v>
      </c>
      <c r="O32" s="9" t="n">
        <v>0.0</v>
      </c>
      <c r="P32" s="9" t="n">
        <v>0.0</v>
      </c>
      <c r="Q32" s="9" t="n">
        <v>1357.0712871551514</v>
      </c>
      <c r="R32" s="9" t="n">
        <v>3929.522458076477</v>
      </c>
      <c r="S32" s="9" t="n">
        <v>20889.504358291626</v>
      </c>
      <c r="T32" s="9" t="n">
        <v>0.0</v>
      </c>
      <c r="U32">
        <f si="1" t="shared"/>
        <v>31459.200167655945</v>
      </c>
    </row>
    <row r="33" spans="1:21" x14ac:dyDescent="0.25">
      <c r="A33" s="12">
        <v>0.625</v>
      </c>
      <c r="B33" s="6" t="n">
        <v>311.37201481697105</v>
      </c>
      <c r="C33" s="6" t="n">
        <v>48.53994597729635</v>
      </c>
      <c r="D33" s="6" t="n">
        <v>28.9166905150032</v>
      </c>
      <c r="E33" s="6" t="n">
        <v>142.82838747539878</v>
      </c>
      <c r="F33" s="6" t="n">
        <v>987.6009586812643</v>
      </c>
      <c r="G33" s="6" t="n">
        <v>4905.1326910938415</v>
      </c>
      <c r="H33" s="6" t="n">
        <v>28461.721946174323</v>
      </c>
      <c r="I33" s="6" t="n">
        <v>0.0</v>
      </c>
      <c r="J33" s="6">
        <f si="0" t="shared"/>
        <v>42476.421382457178</v>
      </c>
      <c r="L33" s="12">
        <v>0.625</v>
      </c>
      <c r="M33" s="9" t="n">
        <v>719.1225919723511</v>
      </c>
      <c r="N33" s="9" t="n">
        <v>0.0</v>
      </c>
      <c r="O33" s="9" t="n">
        <v>0.0</v>
      </c>
      <c r="P33" s="9" t="n">
        <v>0.0</v>
      </c>
      <c r="Q33" s="9" t="n">
        <v>1431.8375225067139</v>
      </c>
      <c r="R33" s="9" t="n">
        <v>4232.525386810303</v>
      </c>
      <c r="S33" s="9" t="n">
        <v>22294.222109794617</v>
      </c>
      <c r="T33" s="9" t="n">
        <v>0.0</v>
      </c>
      <c r="U33">
        <f si="1" t="shared"/>
        <v>32875.943613052368</v>
      </c>
    </row>
    <row r="34" spans="1:21" x14ac:dyDescent="0.25">
      <c r="A34" s="12">
        <v>0.64583333333333337</v>
      </c>
      <c r="B34" s="6" t="n">
        <v>353.0373063923999</v>
      </c>
      <c r="C34" s="6" t="n">
        <v>44.43341079377521</v>
      </c>
      <c r="D34" s="6" t="n">
        <v>36.46402603065076</v>
      </c>
      <c r="E34" s="6" t="n">
        <v>181.3492107869098</v>
      </c>
      <c r="F34" s="6" t="n">
        <v>920.4419754238976</v>
      </c>
      <c r="G34" s="6" t="n">
        <v>4467.393372912191</v>
      </c>
      <c r="H34" s="6" t="n">
        <v>26750.572530818674</v>
      </c>
      <c r="I34" s="6" t="n">
        <v>0.0</v>
      </c>
      <c r="J34" s="6">
        <f si="0" t="shared"/>
        <v>39235.158508200489</v>
      </c>
      <c r="L34" s="12">
        <v>0.64583333333333337</v>
      </c>
      <c r="M34" s="9" t="n">
        <v>722.5391225814819</v>
      </c>
      <c r="N34" s="9" t="n">
        <v>0.0</v>
      </c>
      <c r="O34" s="9" t="n">
        <v>0.0</v>
      </c>
      <c r="P34" s="9" t="n">
        <v>0.0</v>
      </c>
      <c r="Q34" s="9" t="n">
        <v>1365.15500831604</v>
      </c>
      <c r="R34" s="9" t="n">
        <v>4054.0604133605957</v>
      </c>
      <c r="S34" s="9" t="n">
        <v>21178.568821907043</v>
      </c>
      <c r="T34" s="9" t="n">
        <v>0.0</v>
      </c>
      <c r="U34">
        <f si="1" t="shared"/>
        <v>32818.339781761169</v>
      </c>
    </row>
    <row r="35" spans="1:21" x14ac:dyDescent="0.25">
      <c r="A35" s="12">
        <v>0.66666666666666663</v>
      </c>
      <c r="B35" s="6" t="n">
        <v>418.7451976579174</v>
      </c>
      <c r="C35" s="6" t="n">
        <v>42.32212237810931</v>
      </c>
      <c r="D35" s="6" t="n">
        <v>41.088658898865695</v>
      </c>
      <c r="E35" s="6" t="n">
        <v>218.43283705136253</v>
      </c>
      <c r="F35" s="6" t="n">
        <v>815.9501301450208</v>
      </c>
      <c r="G35" s="6" t="n">
        <v>3595.263124181123</v>
      </c>
      <c r="H35" s="6" t="n">
        <v>21889.55855335105</v>
      </c>
      <c r="I35" s="6" t="n">
        <v>0.0</v>
      </c>
      <c r="J35" s="6">
        <f si="0" t="shared"/>
        <v>33571.724573469051</v>
      </c>
      <c r="L35" s="12">
        <v>0.66666666666666663</v>
      </c>
      <c r="M35" s="9" t="n">
        <v>656.4619884490967</v>
      </c>
      <c r="N35" s="9" t="n">
        <v>0.0</v>
      </c>
      <c r="O35" s="9" t="n">
        <v>0.0</v>
      </c>
      <c r="P35" s="9" t="n">
        <v>0.0</v>
      </c>
      <c r="Q35" s="9" t="n">
        <v>1179.7573385238647</v>
      </c>
      <c r="R35" s="9" t="n">
        <v>3445.106442451477</v>
      </c>
      <c r="S35" s="9" t="n">
        <v>17852.847336769104</v>
      </c>
      <c r="T35" s="9" t="n">
        <v>0.0</v>
      </c>
      <c r="U35">
        <f si="1" t="shared"/>
        <v>31393.565921783447</v>
      </c>
    </row>
    <row r="36" spans="1:21" x14ac:dyDescent="0.25">
      <c r="A36" s="12">
        <v>0.6875</v>
      </c>
      <c r="B36" s="6" t="n">
        <v>492.36113291774507</v>
      </c>
      <c r="C36" s="6" t="n">
        <v>44.765996531355555</v>
      </c>
      <c r="D36" s="6" t="n">
        <v>40.57306015424821</v>
      </c>
      <c r="E36" s="6" t="n">
        <v>243.940578483144</v>
      </c>
      <c r="F36" s="6" t="n">
        <v>686.6633295070357</v>
      </c>
      <c r="G36" s="6" t="n">
        <v>2617.9058410276025</v>
      </c>
      <c r="H36" s="6" t="n">
        <v>15800.570625957207</v>
      </c>
      <c r="I36" s="6" t="n">
        <v>0.0</v>
      </c>
      <c r="J36" s="6">
        <f si="0" t="shared"/>
        <v>27295.637031132093</v>
      </c>
      <c r="L36" s="12">
        <v>0.6875</v>
      </c>
      <c r="M36" s="9" t="n">
        <v>549.1188135147095</v>
      </c>
      <c r="N36" s="9" t="n">
        <v>0.0</v>
      </c>
      <c r="O36" s="9" t="n">
        <v>0.0</v>
      </c>
      <c r="P36" s="9" t="n">
        <v>0.0</v>
      </c>
      <c r="Q36" s="9" t="n">
        <v>937.418176651001</v>
      </c>
      <c r="R36" s="9" t="n">
        <v>2609.963833808899</v>
      </c>
      <c r="S36" s="9" t="n">
        <v>13400.651915550232</v>
      </c>
      <c r="T36" s="9" t="n">
        <v>0.0</v>
      </c>
      <c r="U36">
        <f si="1" t="shared"/>
        <v>28986.239757537842</v>
      </c>
    </row>
    <row r="37" spans="1:21" x14ac:dyDescent="0.25">
      <c r="A37" s="12">
        <v>0.70833333333333337</v>
      </c>
      <c r="B37" s="6" t="n">
        <v>546.823340714087</v>
      </c>
      <c r="C37" s="6" t="n">
        <v>51.90545364382079</v>
      </c>
      <c r="D37" s="6" t="n">
        <v>34.52762823126175</v>
      </c>
      <c r="E37" s="6" t="n">
        <v>244.5672541494117</v>
      </c>
      <c r="F37" s="6" t="n">
        <v>550.2613816566598</v>
      </c>
      <c r="G37" s="6" t="n">
        <v>1798.583205322698</v>
      </c>
      <c r="H37" s="6" t="n">
        <v>10306.469124157164</v>
      </c>
      <c r="I37" s="6" t="n">
        <v>0.0</v>
      </c>
      <c r="J37" s="6">
        <f si="0" t="shared"/>
        <v>21590.080985213652</v>
      </c>
      <c r="L37" s="12">
        <v>0.70833333333333337</v>
      </c>
      <c r="M37" s="9" t="n">
        <v>436.6775598526001</v>
      </c>
      <c r="N37" s="9" t="n">
        <v>0.0</v>
      </c>
      <c r="O37" s="9" t="n">
        <v>0.0</v>
      </c>
      <c r="P37" s="9" t="n">
        <v>0.0</v>
      </c>
      <c r="Q37" s="9" t="n">
        <v>704.1951112747192</v>
      </c>
      <c r="R37" s="9" t="n">
        <v>1787.8994798660278</v>
      </c>
      <c r="S37" s="9" t="n">
        <v>9065.251074790955</v>
      </c>
      <c r="T37" s="9" t="n">
        <v>0.0</v>
      </c>
      <c r="U37">
        <f si="1" t="shared"/>
        <v>26022.940831184387</v>
      </c>
    </row>
    <row r="38" spans="1:21" x14ac:dyDescent="0.25">
      <c r="A38" s="12">
        <v>0.72916666666666663</v>
      </c>
      <c r="B38" s="6" t="n">
        <v>558.3359961216829</v>
      </c>
      <c r="C38" s="6" t="n">
        <v>63.53727256832451</v>
      </c>
      <c r="D38" s="6" t="n">
        <v>25.02896445291386</v>
      </c>
      <c r="E38" s="6" t="n">
        <v>214.283585534854</v>
      </c>
      <c r="F38" s="6" t="n">
        <v>423.2524572715505</v>
      </c>
      <c r="G38" s="6" t="n">
        <v>1235.9249261656037</v>
      </c>
      <c r="H38" s="6" t="n">
        <v>6319.366074074411</v>
      </c>
      <c r="I38" s="6" t="n">
        <v>0.0</v>
      </c>
      <c r="J38" s="6">
        <f si="0" t="shared"/>
        <v>16800.9000057351</v>
      </c>
      <c r="L38" s="12">
        <v>0.72916666666666663</v>
      </c>
      <c r="M38" s="9" t="n">
        <v>345.13418102264404</v>
      </c>
      <c r="N38" s="9" t="n">
        <v>0.0</v>
      </c>
      <c r="O38" s="9" t="n">
        <v>0.0</v>
      </c>
      <c r="P38" s="9" t="n">
        <v>0.0</v>
      </c>
      <c r="Q38" s="9" t="n">
        <v>519.842357635498</v>
      </c>
      <c r="R38" s="9" t="n">
        <v>1135.864709854126</v>
      </c>
      <c r="S38" s="9" t="n">
        <v>5651.9577560424805</v>
      </c>
      <c r="T38" s="9" t="n">
        <v>0.0</v>
      </c>
      <c r="U38">
        <f si="1" t="shared"/>
        <v>22814.383177757263</v>
      </c>
    </row>
    <row r="39" spans="1:21" x14ac:dyDescent="0.25">
      <c r="A39" s="12">
        <v>0.75</v>
      </c>
      <c r="B39" s="6" t="n">
        <v>521.3043751425573</v>
      </c>
      <c r="C39" s="6" t="n">
        <v>80.0236017519534</v>
      </c>
      <c r="D39" s="6" t="n">
        <v>15.539014961918095</v>
      </c>
      <c r="E39" s="6" t="n">
        <v>161.88378344460116</v>
      </c>
      <c r="F39" s="6" t="n">
        <v>320.24546597836706</v>
      </c>
      <c r="G39" s="6" t="n">
        <v>893.5728243011499</v>
      </c>
      <c r="H39" s="6" t="n">
        <v>3833.7565750088374</v>
      </c>
      <c r="I39" s="6" t="n">
        <v>0.0</v>
      </c>
      <c r="J39" s="6">
        <f si="0" t="shared"/>
        <v>12885.383968789791</v>
      </c>
      <c r="L39" s="12">
        <v>0.75</v>
      </c>
      <c r="M39" s="9" t="n">
        <v>283.9819116592407</v>
      </c>
      <c r="N39" s="9" t="n">
        <v>0.0</v>
      </c>
      <c r="O39" s="9" t="n">
        <v>0.0</v>
      </c>
      <c r="P39" s="9" t="n">
        <v>0.0</v>
      </c>
      <c r="Q39" s="9" t="n">
        <v>391.8806800842285</v>
      </c>
      <c r="R39" s="9" t="n">
        <v>693.7055969238281</v>
      </c>
      <c r="S39" s="9" t="n">
        <v>3355.477886199951</v>
      </c>
      <c r="T39" s="9" t="n">
        <v>0.0</v>
      </c>
      <c r="U39">
        <f si="1" t="shared"/>
        <v>19583.464508056641</v>
      </c>
    </row>
    <row r="40" spans="1:21" x14ac:dyDescent="0.25">
      <c r="A40" s="12">
        <v>0.77083333333333337</v>
      </c>
      <c r="B40" s="6" t="n">
        <v>452.0011843973069</v>
      </c>
      <c r="C40" s="6" t="n">
        <v>100.17995139699468</v>
      </c>
      <c r="D40" s="6" t="n">
        <v>8.887648095208341</v>
      </c>
      <c r="E40" s="6" t="n">
        <v>106.55467290439626</v>
      </c>
      <c r="F40" s="6" t="n">
        <v>253.9399486501635</v>
      </c>
      <c r="G40" s="6" t="n">
        <v>684.5880997729358</v>
      </c>
      <c r="H40" s="6" t="n">
        <v>2407.9684569592273</v>
      </c>
      <c r="I40" s="6" t="n">
        <v>0.0</v>
      </c>
      <c r="J40" s="6">
        <f si="0" t="shared"/>
        <v>9830.3969397569726</v>
      </c>
      <c r="L40" s="12">
        <v>0.77083333333333337</v>
      </c>
      <c r="M40" s="9" t="n">
        <v>250.6882200241089</v>
      </c>
      <c r="N40" s="9" t="n">
        <v>0.0</v>
      </c>
      <c r="O40" s="9" t="n">
        <v>0.0</v>
      </c>
      <c r="P40" s="9" t="n">
        <v>0.0</v>
      </c>
      <c r="Q40" s="9" t="n">
        <v>308.91960525512695</v>
      </c>
      <c r="R40" s="9" t="n">
        <v>424.87312412261963</v>
      </c>
      <c r="S40" s="9" t="n">
        <v>1973.2021961212158</v>
      </c>
      <c r="T40" s="9" t="n">
        <v>0.0</v>
      </c>
      <c r="U40">
        <f si="1" t="shared"/>
        <v>16535.965547561646</v>
      </c>
    </row>
    <row r="41" spans="1:21" x14ac:dyDescent="0.25">
      <c r="A41" s="12">
        <v>0.79166666666666663</v>
      </c>
      <c r="B41" s="6" t="n">
        <v>377.8073485647987</v>
      </c>
      <c r="C41" s="6" t="n">
        <v>118.751588741999</v>
      </c>
      <c r="D41" s="6" t="n">
        <v>5.9646544104610335</v>
      </c>
      <c r="E41" s="6" t="n">
        <v>65.17370145405295</v>
      </c>
      <c r="F41" s="6" t="n">
        <v>230.57799937180252</v>
      </c>
      <c r="G41" s="6" t="n">
        <v>534.9864592848949</v>
      </c>
      <c r="H41" s="6" t="n">
        <v>1599.1669449001686</v>
      </c>
      <c r="I41" s="6" t="n">
        <v>0.0</v>
      </c>
      <c r="J41" s="6">
        <f si="0" t="shared"/>
        <v>7675.4164233008396</v>
      </c>
      <c r="L41" s="12">
        <v>0.79166666666666663</v>
      </c>
      <c r="M41" s="9" t="n">
        <v>237.22434425354004</v>
      </c>
      <c r="N41" s="9" t="n">
        <v>0.0</v>
      </c>
      <c r="O41" s="9" t="n">
        <v>0.0</v>
      </c>
      <c r="P41" s="9" t="n">
        <v>0.0</v>
      </c>
      <c r="Q41" s="9" t="n">
        <v>255.35350704193115</v>
      </c>
      <c r="R41" s="9" t="n">
        <v>272.34450340270996</v>
      </c>
      <c r="S41" s="9" t="n">
        <v>1197.217469215393</v>
      </c>
      <c r="T41" s="9" t="n">
        <v>0.0</v>
      </c>
      <c r="U41">
        <f si="1" t="shared"/>
        <v>13826.869688034058</v>
      </c>
    </row>
    <row r="42" spans="1:21" x14ac:dyDescent="0.25">
      <c r="A42" s="12">
        <v>0.8125</v>
      </c>
      <c r="B42" s="6" t="n">
        <v>321.1036708560932</v>
      </c>
      <c r="C42" s="6" t="n">
        <v>127.50128445268572</v>
      </c>
      <c r="D42" s="6" t="n">
        <v>5.84712744496983</v>
      </c>
      <c r="E42" s="6" t="n">
        <v>43.12517833807325</v>
      </c>
      <c r="F42" s="6" t="n">
        <v>243.18287517756738</v>
      </c>
      <c r="G42" s="6" t="n">
        <v>406.03953871682427</v>
      </c>
      <c r="H42" s="6" t="n">
        <v>1120.0652824879303</v>
      </c>
      <c r="I42" s="6" t="n">
        <v>0.0</v>
      </c>
      <c r="J42" s="6">
        <f si="0" t="shared"/>
        <v>6322.5061519620012</v>
      </c>
      <c r="L42" s="12">
        <v>0.8125</v>
      </c>
      <c r="M42" s="9" t="n">
        <v>233.90017223358154</v>
      </c>
      <c r="N42" s="9" t="n">
        <v>0.0</v>
      </c>
      <c r="O42" s="9" t="n">
        <v>0.0</v>
      </c>
      <c r="P42" s="9" t="n">
        <v>0.0</v>
      </c>
      <c r="Q42" s="9" t="n">
        <v>218.05703353881836</v>
      </c>
      <c r="R42" s="9" t="n">
        <v>188.97455215454102</v>
      </c>
      <c r="S42" s="9" t="n">
        <v>775.7421770095825</v>
      </c>
      <c r="T42" s="9" t="n">
        <v>0.0</v>
      </c>
      <c r="U42">
        <f si="1" t="shared"/>
        <v>11479.196510314941</v>
      </c>
    </row>
    <row r="43" spans="1:21" x14ac:dyDescent="0.25">
      <c r="A43" s="12">
        <v>0.83333333333333337</v>
      </c>
      <c r="B43" s="6" t="n">
        <v>289.1952476523128</v>
      </c>
      <c r="C43" s="6" t="n">
        <v>120.2676358017231</v>
      </c>
      <c r="D43" s="6" t="n">
        <v>6.794583218584501</v>
      </c>
      <c r="E43" s="6" t="n">
        <v>35.12220637453261</v>
      </c>
      <c r="F43" s="6" t="n">
        <v>270.75253282973586</v>
      </c>
      <c r="G43" s="6" t="n">
        <v>289.4697411312652</v>
      </c>
      <c r="H43" s="6" t="n">
        <v>811.6119984105337</v>
      </c>
      <c r="I43" s="6" t="n">
        <v>0.0</v>
      </c>
      <c r="J43" s="6">
        <f si="0" t="shared"/>
        <v>5459.4457453767973</v>
      </c>
      <c r="L43" s="12">
        <v>0.83333333333333337</v>
      </c>
      <c r="M43" s="9" t="n">
        <v>232.08473587036133</v>
      </c>
      <c r="N43" s="9" t="n">
        <v>0.0</v>
      </c>
      <c r="O43" s="9" t="n">
        <v>0.0</v>
      </c>
      <c r="P43" s="9" t="n">
        <v>0.0</v>
      </c>
      <c r="Q43" s="9" t="n">
        <v>187.6849594116211</v>
      </c>
      <c r="R43" s="9" t="n">
        <v>143.10637664794922</v>
      </c>
      <c r="S43" s="9" t="n">
        <v>544.2715682983398</v>
      </c>
      <c r="T43" s="9" t="n">
        <v>0.0</v>
      </c>
      <c r="U43">
        <f si="1" t="shared"/>
        <v>9397.1321725845337</v>
      </c>
    </row>
    <row r="44" spans="1:21" x14ac:dyDescent="0.25">
      <c r="A44" s="12">
        <v>0.85416666666666663</v>
      </c>
      <c r="B44" s="6" t="n">
        <v>274.06429744483853</v>
      </c>
      <c r="C44" s="6" t="n">
        <v>97.74804828916825</v>
      </c>
      <c r="D44" s="6" t="n">
        <v>7.274028258385228</v>
      </c>
      <c r="E44" s="6" t="n">
        <v>32.42101281235232</v>
      </c>
      <c r="F44" s="6" t="n">
        <v>287.9399088655182</v>
      </c>
      <c r="G44" s="6" t="n">
        <v>191.77391870172232</v>
      </c>
      <c r="H44" s="6" t="n">
        <v>587.5800103928441</v>
      </c>
      <c r="I44" s="6" t="n">
        <v>0.0</v>
      </c>
      <c r="J44" s="6">
        <f si="0" t="shared"/>
        <v>4700.4828081171072</v>
      </c>
      <c r="L44" s="12">
        <v>0.85416666666666663</v>
      </c>
      <c r="M44" s="9" t="n">
        <v>227.47375965118408</v>
      </c>
      <c r="N44" s="9" t="n">
        <v>0.0</v>
      </c>
      <c r="O44" s="9" t="n">
        <v>0.0</v>
      </c>
      <c r="P44" s="9" t="n">
        <v>0.0</v>
      </c>
      <c r="Q44" s="9" t="n">
        <v>159.2662754058838</v>
      </c>
      <c r="R44" s="9" t="n">
        <v>115.69265556335449</v>
      </c>
      <c r="S44" s="9" t="n">
        <v>407.5935297012329</v>
      </c>
      <c r="T44" s="9" t="n">
        <v>0.0</v>
      </c>
      <c r="U44">
        <f si="1" t="shared"/>
        <v>7484.0220260620117</v>
      </c>
    </row>
    <row r="45" spans="1:21" x14ac:dyDescent="0.25">
      <c r="A45" s="12">
        <v>0.875</v>
      </c>
      <c r="B45" s="6" t="n">
        <v>259.2976918797765</v>
      </c>
      <c r="C45" s="6" t="n">
        <v>67.49674647624906</v>
      </c>
      <c r="D45" s="6" t="n">
        <v>6.584054824839338</v>
      </c>
      <c r="E45" s="6" t="n">
        <v>29.132308799032153</v>
      </c>
      <c r="F45" s="6" t="n">
        <v>279.1412232235042</v>
      </c>
      <c r="G45" s="6" t="n">
        <v>119.11539438192264</v>
      </c>
      <c r="H45" s="6" t="n">
        <v>407.1921728562074</v>
      </c>
      <c r="I45" s="6" t="n">
        <v>0.0</v>
      </c>
      <c r="J45" s="6">
        <f si="0" t="shared"/>
        <v>3807.3021382916536</v>
      </c>
      <c r="L45" s="12">
        <v>0.875</v>
      </c>
      <c r="M45" s="9" t="n">
        <v>221.72124767303467</v>
      </c>
      <c r="N45" s="9" t="n">
        <v>0.0</v>
      </c>
      <c r="O45" s="9" t="n">
        <v>0.0</v>
      </c>
      <c r="P45" s="9" t="n">
        <v>0.0</v>
      </c>
      <c r="Q45" s="9" t="n">
        <v>132.46719646453857</v>
      </c>
      <c r="R45" s="9" t="n">
        <v>97.19969463348389</v>
      </c>
      <c r="S45" s="9" t="n">
        <v>318.51608085632324</v>
      </c>
      <c r="T45" s="9" t="n">
        <v>0.0</v>
      </c>
      <c r="U45">
        <f si="1" t="shared"/>
        <v>5740.4594469070435</v>
      </c>
    </row>
    <row r="46" spans="1:21" x14ac:dyDescent="0.25">
      <c r="A46" s="12">
        <v>0.89583333333333337</v>
      </c>
      <c r="B46" s="6" t="n">
        <v>230.32121291312913</v>
      </c>
      <c r="C46" s="6" t="n">
        <v>39.083571853757064</v>
      </c>
      <c r="D46" s="6" t="n">
        <v>4.935410456041007</v>
      </c>
      <c r="E46" s="6" t="n">
        <v>23.88512952181075</v>
      </c>
      <c r="F46" s="6" t="n">
        <v>245.1190365297617</v>
      </c>
      <c r="G46" s="6" t="n">
        <v>70.53842621430668</v>
      </c>
      <c r="H46" s="6" t="n">
        <v>260.0688404489934</v>
      </c>
      <c r="I46" s="6" t="n">
        <v>0.0</v>
      </c>
      <c r="J46" s="6">
        <f si="0" t="shared"/>
        <v>2793.428510391871</v>
      </c>
      <c r="L46" s="12">
        <v>0.89583333333333337</v>
      </c>
      <c r="M46" s="9" t="n">
        <v>219.4942502975464</v>
      </c>
      <c r="N46" s="9" t="n">
        <v>0.0</v>
      </c>
      <c r="O46" s="9" t="n">
        <v>0.0</v>
      </c>
      <c r="P46" s="9" t="n">
        <v>0.0</v>
      </c>
      <c r="Q46" s="9" t="n">
        <v>109.78992748260498</v>
      </c>
      <c r="R46" s="9" t="n">
        <v>84.23453140258789</v>
      </c>
      <c r="S46" s="9" t="n">
        <v>258.51275634765625</v>
      </c>
      <c r="T46" s="9" t="n">
        <v>0.0</v>
      </c>
      <c r="U46">
        <f si="1" t="shared"/>
        <v>4248.5298538208008</v>
      </c>
    </row>
    <row r="47" spans="1:21" x14ac:dyDescent="0.25">
      <c r="A47" s="12">
        <v>0.91666666666666663</v>
      </c>
      <c r="B47" s="6" t="n">
        <v>183.20339853639982</v>
      </c>
      <c r="C47" s="6" t="n">
        <v>18.695616292012076</v>
      </c>
      <c r="D47" s="6" t="n">
        <v>3.0370600317356304</v>
      </c>
      <c r="E47" s="6" t="n">
        <v>17.926154784058635</v>
      </c>
      <c r="F47" s="6" t="n">
        <v>197.35024895972634</v>
      </c>
      <c r="G47" s="6" t="n">
        <v>40.01945738866321</v>
      </c>
      <c r="H47" s="6" t="n">
        <v>148.9227925086481</v>
      </c>
      <c r="I47" s="6" t="n">
        <v>0.0</v>
      </c>
      <c r="J47" s="6">
        <f si="0" t="shared"/>
        <v>1837.3821262238303</v>
      </c>
      <c r="L47" s="12">
        <v>0.91666666666666663</v>
      </c>
      <c r="M47" s="9" t="n">
        <v>222.20241451263428</v>
      </c>
      <c r="N47" s="9" t="n">
        <v>0.0</v>
      </c>
      <c r="O47" s="9" t="n">
        <v>0.0</v>
      </c>
      <c r="P47" s="9" t="n">
        <v>0.0</v>
      </c>
      <c r="Q47" s="9" t="n">
        <v>93.07330703735352</v>
      </c>
      <c r="R47" s="9" t="n">
        <v>75.49501895904541</v>
      </c>
      <c r="S47" s="9" t="n">
        <v>219.6411714553833</v>
      </c>
      <c r="T47" s="9" t="n">
        <v>0.0</v>
      </c>
      <c r="U47">
        <f si="1" t="shared"/>
        <v>3077.9076623916626</v>
      </c>
    </row>
    <row r="48" spans="1:21" x14ac:dyDescent="0.25">
      <c r="A48" s="12">
        <v>0.9375</v>
      </c>
      <c r="B48" s="6" t="n">
        <v>126.40093460633038</v>
      </c>
      <c r="C48" s="6" t="n">
        <v>7.24683244426701</v>
      </c>
      <c r="D48" s="6" t="n">
        <v>1.5185300158678152</v>
      </c>
      <c r="E48" s="6" t="n">
        <v>12.660534742525773</v>
      </c>
      <c r="F48" s="6" t="n">
        <v>147.51576836635613</v>
      </c>
      <c r="G48" s="6" t="n">
        <v>21.3041078642308</v>
      </c>
      <c r="H48" s="6" t="n">
        <v>74.93490798641241</v>
      </c>
      <c r="I48" s="6" t="n">
        <v>0.0</v>
      </c>
      <c r="J48" s="6">
        <f si="0" t="shared"/>
        <v>1104.1299843757777</v>
      </c>
      <c r="L48" s="12">
        <v>0.9375</v>
      </c>
      <c r="M48" s="9" t="n">
        <v>223.95667266845703</v>
      </c>
      <c r="N48" s="9" t="n">
        <v>0.0</v>
      </c>
      <c r="O48" s="9" t="n">
        <v>0.0</v>
      </c>
      <c r="P48" s="9" t="n">
        <v>0.0</v>
      </c>
      <c r="Q48" s="9" t="n">
        <v>81.05772876739502</v>
      </c>
      <c r="R48" s="9" t="n">
        <v>68.87410545349121</v>
      </c>
      <c r="S48" s="9" t="n">
        <v>193.1136999130249</v>
      </c>
      <c r="T48" s="9" t="n">
        <v>0.0</v>
      </c>
      <c r="U48">
        <f si="1" t="shared"/>
        <v>2217.3425960540771</v>
      </c>
    </row>
    <row r="49" spans="1:21" x14ac:dyDescent="0.25">
      <c r="A49" s="12">
        <v>0.95833333333333337</v>
      </c>
      <c r="B49" s="6" t="n">
        <v>73.95613413664246</v>
      </c>
      <c r="C49" s="6" t="n">
        <v>2.2164831619227057</v>
      </c>
      <c r="D49" s="6" t="n">
        <v>0.607412006347126</v>
      </c>
      <c r="E49" s="6" t="n">
        <v>8.579200294765458</v>
      </c>
      <c r="F49" s="6" t="n">
        <v>102.19678686432934</v>
      </c>
      <c r="G49" s="6" t="n">
        <v>10.223277948771624</v>
      </c>
      <c r="H49" s="6" t="n">
        <v>32.54296023618102</v>
      </c>
      <c r="I49" s="6" t="n">
        <v>0.0</v>
      </c>
      <c r="J49" s="6">
        <f si="0" t="shared"/>
        <v>634.6723961540373</v>
      </c>
      <c r="L49" s="12">
        <v>0.95833333333333337</v>
      </c>
      <c r="M49" s="9" t="n">
        <v>214.31274127960205</v>
      </c>
      <c r="N49" s="9" t="n">
        <v>0.0</v>
      </c>
      <c r="O49" s="9" t="n">
        <v>0.0</v>
      </c>
      <c r="P49" s="9" t="n">
        <v>0.0</v>
      </c>
      <c r="Q49" s="9" t="n">
        <v>70.09464073181152</v>
      </c>
      <c r="R49" s="9" t="n">
        <v>61.31818962097168</v>
      </c>
      <c r="S49" s="9" t="n">
        <v>168.12230014801025</v>
      </c>
      <c r="T49" s="9" t="n">
        <v>0.0</v>
      </c>
      <c r="U49">
        <f si="1" t="shared"/>
        <v>1587.1081018447876</v>
      </c>
    </row>
    <row r="50" spans="1:21" x14ac:dyDescent="0.25">
      <c r="A50" s="12">
        <v>0.97916666666666663</v>
      </c>
      <c r="B50" s="6" t="n">
        <v>36.008161674269985</v>
      </c>
      <c r="C50" s="6" t="n">
        <v>0.5143716270872847</v>
      </c>
      <c r="D50" s="6" t="n">
        <v>0.1898162519834769</v>
      </c>
      <c r="E50" s="6" t="n">
        <v>5.527173035345956</v>
      </c>
      <c r="F50" s="6" t="n">
        <v>64.2960012464619</v>
      </c>
      <c r="G50" s="6" t="n">
        <v>4.232790897409508</v>
      </c>
      <c r="H50" s="6" t="n">
        <v>11.953699976106158</v>
      </c>
      <c r="I50" s="6" t="n">
        <v>0.0</v>
      </c>
      <c r="J50" s="6">
        <f si="0" t="shared"/>
        <v>365.32485203722354</v>
      </c>
      <c r="L50" s="12">
        <v>0.97916666666666663</v>
      </c>
      <c r="M50" s="9" t="n">
        <v>186.2152557373047</v>
      </c>
      <c r="N50" s="9" t="n">
        <v>0.0</v>
      </c>
      <c r="O50" s="9" t="n">
        <v>0.0</v>
      </c>
      <c r="P50" s="9" t="n">
        <v>0.0</v>
      </c>
      <c r="Q50" s="9" t="n">
        <v>57.09409713745117</v>
      </c>
      <c r="R50" s="9" t="n">
        <v>50.70966625213623</v>
      </c>
      <c r="S50" s="9" t="n">
        <v>137.17234134674072</v>
      </c>
      <c r="T50" s="9" t="n">
        <v>0.0</v>
      </c>
      <c r="U50">
        <f si="1" t="shared"/>
        <v>1100.8892488479614</v>
      </c>
    </row>
    <row r="51" spans="1:21" x14ac:dyDescent="0.25">
      <c r="A51" s="12">
        <v>1</v>
      </c>
      <c r="B51" s="6" t="n">
        <v>14.30992490661794</v>
      </c>
      <c r="C51" s="6" t="n">
        <v>0.08505296569673088</v>
      </c>
      <c r="D51" s="6" t="n">
        <v>0.04466264752552397</v>
      </c>
      <c r="E51" s="6" t="n">
        <v>3.2737400201671782</v>
      </c>
      <c r="F51" s="6" t="n">
        <v>35.579781499802756</v>
      </c>
      <c r="G51" s="6" t="n">
        <v>1.452714894899727</v>
      </c>
      <c r="H51" s="6" t="n">
        <v>3.619800158296893</v>
      </c>
      <c r="I51" s="6" t="n">
        <v>0.0</v>
      </c>
      <c r="J51" s="6">
        <f si="0" t="shared"/>
        <v>209.82423014715286</v>
      </c>
      <c r="L51" s="12">
        <v>1</v>
      </c>
      <c r="M51" s="9" t="n">
        <v>142.2186861038208</v>
      </c>
      <c r="N51" s="9" t="n">
        <v>0.0</v>
      </c>
      <c r="O51" s="9" t="n">
        <v>0.0</v>
      </c>
      <c r="P51" s="9" t="n">
        <v>0.0</v>
      </c>
      <c r="Q51" s="9" t="n">
        <v>41.829894065856934</v>
      </c>
      <c r="R51" s="9" t="n">
        <v>37.430503845214844</v>
      </c>
      <c r="S51" s="9" t="n">
        <v>100.32097625732422</v>
      </c>
      <c r="T51" s="9" t="n">
        <v>0.0</v>
      </c>
      <c r="U51">
        <f si="1" t="shared"/>
        <v>712.07851409912109</v>
      </c>
    </row>
    <row r="52" spans="1:21" x14ac:dyDescent="0.25">
      <c r="A52" s="12">
        <v>1.0208333333333333</v>
      </c>
      <c r="B52" s="6" t="n">
        <v>4.534893231236942</v>
      </c>
      <c r="C52" s="6" t="n">
        <v>0.008922463810882204</v>
      </c>
      <c r="D52" s="6" t="n">
        <v>0.007443774587587329</v>
      </c>
      <c r="E52" s="6" t="n">
        <v>1.7132316149073596</v>
      </c>
      <c r="F52" s="6" t="n">
        <v>16.732513778859257</v>
      </c>
      <c r="G52" s="6" t="n">
        <v>0.3975307456597767</v>
      </c>
      <c r="H52" s="6" t="n">
        <v>0.8732616645104183</v>
      </c>
      <c r="I52" s="6" t="n">
        <v>0.0</v>
      </c>
      <c r="J52" s="6">
        <f si="0" t="shared"/>
        <v>113.29104484475575</v>
      </c>
      <c r="L52" s="12">
        <v>1.0208333333333333</v>
      </c>
      <c r="M52" s="9" t="n">
        <v>93.3193941116333</v>
      </c>
      <c r="N52" s="9" t="n">
        <v>0.0</v>
      </c>
      <c r="O52" s="9" t="n">
        <v>0.0</v>
      </c>
      <c r="P52" s="9" t="n">
        <v>0.0</v>
      </c>
      <c r="Q52" s="9" t="n">
        <v>26.681153297424316</v>
      </c>
      <c r="R52" s="9" t="n">
        <v>23.969887733459473</v>
      </c>
      <c r="S52" s="9" t="n">
        <v>63.76866149902344</v>
      </c>
      <c r="T52" s="9" t="n">
        <v>0.0</v>
      </c>
      <c r="U52">
        <f si="1" t="shared"/>
        <v>413.54938983917236</v>
      </c>
    </row>
    <row r="53" spans="1:21" x14ac:dyDescent="0.25">
      <c r="A53" s="12">
        <v>4.1666666666666664E-2</v>
      </c>
      <c r="B53" s="6" t="n">
        <v>1.110570767870317</v>
      </c>
      <c r="C53" s="6" t="n">
        <v>4.461231905441102E-4</v>
      </c>
      <c r="D53" s="6" t="n">
        <v>7.835552197460348E-4</v>
      </c>
      <c r="E53" s="6" t="n">
        <v>0.7649011018249461</v>
      </c>
      <c r="F53" s="6" t="n">
        <v>6.467268879855945</v>
      </c>
      <c r="G53" s="6" t="n">
        <v>0.0828505282169072</v>
      </c>
      <c r="H53" s="6" t="n">
        <v>0.15996316363414292</v>
      </c>
      <c r="I53" s="6" t="n">
        <v>0.0</v>
      </c>
      <c r="J53" s="6">
        <f si="0" t="shared"/>
        <v>53.544458019915915</v>
      </c>
      <c r="L53" s="12">
        <v>4.1666666666666664E-2</v>
      </c>
      <c r="M53" s="9" t="n">
        <v>51.66153907775879</v>
      </c>
      <c r="N53" s="9" t="n">
        <v>0.0</v>
      </c>
      <c r="O53" s="9" t="n">
        <v>0.0</v>
      </c>
      <c r="P53" s="9" t="n">
        <v>0.0</v>
      </c>
      <c r="Q53" s="9" t="n">
        <v>14.471001625061035</v>
      </c>
      <c r="R53" s="9" t="n">
        <v>13.033833503723145</v>
      </c>
      <c r="S53" s="9" t="n">
        <v>34.44403839111328</v>
      </c>
      <c r="T53" s="9" t="n">
        <v>0.0</v>
      </c>
      <c r="U53">
        <f si="1" t="shared"/>
        <v>208.92552375793457</v>
      </c>
    </row>
    <row r="54" spans="1:21" x14ac:dyDescent="0.25">
      <c r="A54" s="12">
        <v>6.25E-2</v>
      </c>
      <c r="B54" s="6" t="n">
        <v>0.20068094206510473</v>
      </c>
      <c r="C54" s="6" t="n">
        <v>0.0</v>
      </c>
      <c r="D54" s="6" t="n">
        <v>3.917776098730173E-5</v>
      </c>
      <c r="E54" s="6" t="n">
        <v>0.28248520024080404</v>
      </c>
      <c r="F54" s="6" t="n">
        <v>1.9834262539121785</v>
      </c>
      <c r="G54" s="6" t="n">
        <v>0.012303327323694562</v>
      </c>
      <c r="H54" s="6" t="n">
        <v>0.02067295331850179</v>
      </c>
      <c r="I54" s="6" t="n">
        <v>0.0</v>
      </c>
      <c r="J54" s="6">
        <f si="0" t="shared"/>
        <v>20.95436646628125</v>
      </c>
      <c r="L54" s="12">
        <v>6.25E-2</v>
      </c>
      <c r="M54" s="9" t="n">
        <v>23.704837799072266</v>
      </c>
      <c r="N54" s="9" t="n">
        <v>0.0</v>
      </c>
      <c r="O54" s="9" t="n">
        <v>0.0</v>
      </c>
      <c r="P54" s="9" t="n">
        <v>0.0</v>
      </c>
      <c r="Q54" s="9" t="n">
        <v>6.538352966308594</v>
      </c>
      <c r="R54" s="9" t="n">
        <v>5.900995254516602</v>
      </c>
      <c r="S54" s="9" t="n">
        <v>15.495594024658203</v>
      </c>
      <c r="T54" s="9" t="n">
        <v>0.0</v>
      </c>
      <c r="U54">
        <f si="1" t="shared"/>
        <v>89.353551864624023</v>
      </c>
    </row>
    <row r="55" spans="1:21" x14ac:dyDescent="0.25">
      <c r="A55" s="12">
        <v>8.3333333333333329E-2</v>
      </c>
      <c r="B55" s="6" t="n">
        <v>0.024833670563994395</v>
      </c>
      <c r="C55" s="6" t="n">
        <v>0.0</v>
      </c>
      <c r="D55" s="6" t="n">
        <v>0.0</v>
      </c>
      <c r="E55" s="6" t="n">
        <v>0.08352621160868408</v>
      </c>
      <c r="F55" s="6" t="n">
        <v>0.462061883113985</v>
      </c>
      <c r="G55" s="6" t="n">
        <v>0.0011561176322703876</v>
      </c>
      <c r="H55" s="6" t="n">
        <v>0.0016549296318383866</v>
      </c>
      <c r="I55" s="6" t="n">
        <v>0.0</v>
      </c>
      <c r="J55" s="6">
        <f si="0" t="shared"/>
        <v>6.5018536352114715</v>
      </c>
      <c r="L55" s="12">
        <v>8.3333333333333329E-2</v>
      </c>
      <c r="M55" s="9" t="n">
        <v>8.830742835998535</v>
      </c>
      <c r="N55" s="9" t="n">
        <v>0.0</v>
      </c>
      <c r="O55" s="9" t="n">
        <v>0.0</v>
      </c>
      <c r="P55" s="9" t="n">
        <v>0.0</v>
      </c>
      <c r="Q55" s="9" t="n">
        <v>2.4071435928344727</v>
      </c>
      <c r="R55" s="9" t="n">
        <v>2.176520347595215</v>
      </c>
      <c r="S55" s="9" t="n">
        <v>5.680011749267578</v>
      </c>
      <c r="T55" s="9" t="n">
        <v>0.0</v>
      </c>
      <c r="U55">
        <f si="1" t="shared"/>
        <v>31.49345874786377</v>
      </c>
    </row>
    <row r="56" spans="1:21" x14ac:dyDescent="0.25">
      <c r="A56" s="12">
        <v>0.10416666666666667</v>
      </c>
      <c r="B56" s="6" t="n">
        <v>0.0018327641850399245</v>
      </c>
      <c r="C56" s="6" t="n">
        <v>0.0</v>
      </c>
      <c r="D56" s="6" t="n">
        <v>0.0</v>
      </c>
      <c r="E56" s="6" t="n">
        <v>0.018952848545944694</v>
      </c>
      <c r="F56" s="6" t="n">
        <v>0.07663279227924596</v>
      </c>
      <c r="G56" s="6" t="n">
        <v>5.1519168198634246E-5</v>
      </c>
      <c r="H56" s="6" t="n">
        <v>6.03218940132865E-5</v>
      </c>
      <c r="I56" s="6" t="n">
        <v>0.0</v>
      </c>
      <c r="J56" s="6">
        <f si="0" t="shared"/>
        <v>1.5295642642664542</v>
      </c>
      <c r="L56" s="12">
        <v>0.10416666666666667</v>
      </c>
      <c r="M56" s="9" t="n">
        <v>2.598567008972168</v>
      </c>
      <c r="N56" s="9" t="n">
        <v>0.0</v>
      </c>
      <c r="O56" s="9" t="n">
        <v>0.0</v>
      </c>
      <c r="P56" s="9" t="n">
        <v>0.0</v>
      </c>
      <c r="Q56" s="9" t="n">
        <v>0.7019643783569336</v>
      </c>
      <c r="R56" s="9" t="n">
        <v>0.6358556747436523</v>
      </c>
      <c r="S56" s="9" t="n">
        <v>1.6492071151733398</v>
      </c>
      <c r="T56" s="9" t="n">
        <v>0.0</v>
      </c>
      <c r="U56">
        <f si="1" t="shared"/>
        <v>8.8641548156738281</v>
      </c>
    </row>
    <row r="57" spans="1:21" x14ac:dyDescent="0.25">
      <c r="A57" s="12">
        <v>0.125</v>
      </c>
      <c r="B57" s="6" t="n">
        <v>5.767655648718624E-5</v>
      </c>
      <c r="C57" s="6" t="n">
        <v>0.0</v>
      </c>
      <c r="D57" s="6" t="n">
        <v>0.0</v>
      </c>
      <c r="E57" s="6" t="n">
        <v>0.0030765333453036422</v>
      </c>
      <c r="F57" s="6" t="n">
        <v>0.008051194305334932</v>
      </c>
      <c r="G57" s="6" t="n">
        <v>0.0</v>
      </c>
      <c r="H57" s="6" t="n">
        <v>0.0</v>
      </c>
      <c r="I57" s="6" t="n">
        <v>0.0</v>
      </c>
      <c r="J57" s="6">
        <f si="0" t="shared"/>
        <v>0.25480930781562494</v>
      </c>
      <c r="L57" s="12">
        <v>0.125</v>
      </c>
      <c r="M57" s="9" t="n">
        <v>0.5715932846069336</v>
      </c>
      <c r="N57" s="9" t="n">
        <v>0.0</v>
      </c>
      <c r="O57" s="9" t="n">
        <v>0.0</v>
      </c>
      <c r="P57" s="9" t="n">
        <v>0.0</v>
      </c>
      <c r="Q57" s="9" t="n">
        <v>0.15337467193603516</v>
      </c>
      <c r="R57" s="9" t="n">
        <v>0.1391744613647461</v>
      </c>
      <c r="S57" s="9" t="n">
        <v>0.35883426666259766</v>
      </c>
      <c r="T57" s="9" t="n">
        <v>0.0</v>
      </c>
      <c r="U57">
        <f si="1" t="shared"/>
        <v>1.8816995620727539</v>
      </c>
    </row>
    <row ht="15.75" r="58" spans="1:21" thickBot="1" x14ac:dyDescent="0.3">
      <c r="A58" s="13" t="s">
        <v>6</v>
      </c>
      <c r="B58" s="7" t="n">
        <v>0.0</v>
      </c>
      <c r="C58" s="7" t="n">
        <v>0.0</v>
      </c>
      <c r="D58" s="7" t="n">
        <v>0.0</v>
      </c>
      <c r="E58" s="7" t="n">
        <v>0.0</v>
      </c>
      <c r="F58" s="7" t="n">
        <v>0.0</v>
      </c>
      <c r="G58" s="7" t="n">
        <v>0.0</v>
      </c>
      <c r="H58" s="7" t="n">
        <v>0.0</v>
      </c>
      <c r="I58" s="7" t="n">
        <v>0.0</v>
      </c>
      <c r="J58" s="7">
        <f si="0" t="shared"/>
        <v>0</v>
      </c>
      <c r="L58" s="13" t="s">
        <v>6</v>
      </c>
      <c r="M58" s="10" t="n">
        <v>0.0</v>
      </c>
      <c r="N58" s="10" t="n">
        <v>0.0</v>
      </c>
      <c r="O58" s="10" t="n">
        <v>0.0</v>
      </c>
      <c r="P58" s="10" t="n">
        <v>0.0</v>
      </c>
      <c r="Q58" s="10" t="n">
        <v>0.0</v>
      </c>
      <c r="R58" s="10" t="n">
        <v>0.0</v>
      </c>
      <c r="S58" s="10" t="n">
        <v>0.0</v>
      </c>
      <c r="T58" s="10" t="n">
        <v>0.0</v>
      </c>
      <c r="U58" s="1">
        <f si="1" t="shared"/>
        <v>0</v>
      </c>
    </row>
  </sheetData>
  <pageMargins bottom="0.75" footer="0.3" header="0.3" left="0.7" right="0.7" top="0.75"/>
  <drawing r:id="rId1"/>
</worksheet>
</file>

<file path=xl/worksheets/sheet10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AA58"/>
  <sheetViews>
    <sheetView workbookViewId="0">
      <selection activeCell="A3" sqref="A3"/>
    </sheetView>
  </sheetViews>
  <sheetFormatPr defaultRowHeight="15" x14ac:dyDescent="0.25"/>
  <cols>
    <col min="1" max="1" customWidth="true" width="12.7109375" collapsed="true"/>
    <col min="2" max="10" customWidth="true" width="10.7109375" collapsed="true"/>
    <col min="11" max="11" customWidth="true" width="6.42578125" collapsed="true"/>
    <col min="12" max="12" customWidth="true" width="12.7109375" collapsed="true"/>
    <col min="13" max="21" customWidth="true" width="10.7109375" collapsed="true"/>
  </cols>
  <sheetData>
    <row r="1" spans="1:26" x14ac:dyDescent="0.25">
      <c r="A1" t="s">
        <v>42</v>
      </c>
    </row>
    <row r="2" spans="1:26" x14ac:dyDescent="0.25">
      <c r="A2" t="s">
        <v>59</v>
      </c>
    </row>
    <row r="3" spans="1:26" x14ac:dyDescent="0.25">
      <c r="A3" t="s">
        <v>7</v>
      </c>
    </row>
    <row r="4" spans="1:26" x14ac:dyDescent="0.25">
      <c r="A4" t="s">
        <v>8</v>
      </c>
    </row>
    <row r="5" spans="1:26" x14ac:dyDescent="0.25">
      <c r="W5" s="5"/>
      <c r="X5" s="5"/>
      <c r="Y5" s="5"/>
      <c r="Z5" s="5"/>
    </row>
    <row ht="15.75" r="6" spans="1:26" thickBot="1" x14ac:dyDescent="0.3">
      <c r="A6" s="3" t="s">
        <v>57</v>
      </c>
      <c r="B6" s="1"/>
      <c r="C6" s="1"/>
      <c r="D6" s="1"/>
      <c r="E6" s="1"/>
      <c r="F6" s="1"/>
      <c r="G6" s="1"/>
      <c r="H6" s="1"/>
      <c r="I6" s="1"/>
      <c r="J6" s="1"/>
      <c r="L6" s="3" t="s">
        <v>43</v>
      </c>
      <c r="M6" s="1"/>
      <c r="N6" s="1"/>
      <c r="O6" s="1"/>
      <c r="P6" s="1"/>
      <c r="Q6" s="1"/>
      <c r="R6" s="1"/>
      <c r="S6" s="1"/>
      <c r="T6" s="1"/>
      <c r="U6" s="1"/>
      <c r="W6" s="11"/>
      <c r="X6" s="5"/>
      <c r="Y6" s="5"/>
      <c r="Z6" s="5"/>
    </row>
    <row r="7" spans="1:26" x14ac:dyDescent="0.25">
      <c r="A7" s="2" t="s">
        <v>4</v>
      </c>
      <c r="B7" s="4" t="s">
        <v>17</v>
      </c>
      <c r="C7" s="4" t="s">
        <v>18</v>
      </c>
      <c r="D7" s="4" t="s">
        <v>19</v>
      </c>
      <c r="E7" s="4" t="s">
        <v>20</v>
      </c>
      <c r="F7" s="4" t="s">
        <v>21</v>
      </c>
      <c r="G7" s="4" t="s">
        <v>24</v>
      </c>
      <c r="H7" s="4" t="s">
        <v>22</v>
      </c>
      <c r="I7" s="4" t="s">
        <v>23</v>
      </c>
      <c r="J7" s="4" t="s">
        <v>0</v>
      </c>
      <c r="L7" s="2" t="s">
        <v>4</v>
      </c>
      <c r="M7" s="4" t="s">
        <v>17</v>
      </c>
      <c r="N7" s="4" t="s">
        <v>18</v>
      </c>
      <c r="O7" s="4" t="s">
        <v>19</v>
      </c>
      <c r="P7" s="4" t="s">
        <v>20</v>
      </c>
      <c r="Q7" s="4" t="s">
        <v>21</v>
      </c>
      <c r="R7" s="4" t="s">
        <v>24</v>
      </c>
      <c r="S7" s="4" t="s">
        <v>22</v>
      </c>
      <c r="T7" s="4" t="s">
        <v>23</v>
      </c>
      <c r="U7" s="4" t="s">
        <v>0</v>
      </c>
      <c r="W7" s="5"/>
      <c r="X7" s="14"/>
      <c r="Y7" s="14"/>
      <c r="Z7" s="5"/>
    </row>
    <row r="8" spans="1:26" x14ac:dyDescent="0.25">
      <c r="A8" t="s">
        <v>5</v>
      </c>
      <c r="B8" s="6" t="n">
        <v>1203.6909420799147</v>
      </c>
      <c r="C8" s="6" t="n">
        <v>38.8996770733335</v>
      </c>
      <c r="D8" s="6" t="n">
        <v>26.9385388068224</v>
      </c>
      <c r="E8" s="6" t="n">
        <v>718.7548911034289</v>
      </c>
      <c r="F8" s="6" t="n">
        <v>431.0133207140383</v>
      </c>
      <c r="G8" s="6" t="n">
        <v>176.790514126192</v>
      </c>
      <c r="H8" s="6" t="n">
        <v>0.0</v>
      </c>
      <c r="I8" s="6" t="n">
        <v>0.0</v>
      </c>
      <c r="J8" s="6">
        <f>SUM(B8:I8)</f>
        <v>8340.7345682513132</v>
      </c>
      <c r="L8" t="s">
        <v>5</v>
      </c>
      <c r="M8" s="9" t="n">
        <v>855.0</v>
      </c>
      <c r="N8" s="9" t="n">
        <v>121.0</v>
      </c>
      <c r="O8" s="9" t="n">
        <v>140.0</v>
      </c>
      <c r="P8" s="9" t="n">
        <v>182.0</v>
      </c>
      <c r="Q8" s="9" t="n">
        <v>61.0</v>
      </c>
      <c r="R8" s="9" t="n">
        <v>152.0</v>
      </c>
      <c r="S8" s="9" t="n">
        <v>421.0</v>
      </c>
      <c r="T8" s="9" t="n">
        <v>0.0</v>
      </c>
      <c r="U8">
        <f>SUM(M8:T8)</f>
        <v>7000</v>
      </c>
      <c r="W8" s="5"/>
      <c r="X8" s="16"/>
      <c r="Y8" s="16"/>
      <c r="Z8" s="5"/>
    </row>
    <row r="9" spans="1:26" x14ac:dyDescent="0.25">
      <c r="A9" s="12">
        <v>0.125</v>
      </c>
      <c r="B9" s="6" t="n">
        <v>832.1521103679934</v>
      </c>
      <c r="C9" s="6" t="n">
        <v>32.542349861591184</v>
      </c>
      <c r="D9" s="6" t="n">
        <v>28.06596639451886</v>
      </c>
      <c r="E9" s="6" t="n">
        <v>488.70675390784254</v>
      </c>
      <c r="F9" s="6" t="n">
        <v>290.1042588016233</v>
      </c>
      <c r="G9" s="6" t="n">
        <v>117.34263787132048</v>
      </c>
      <c r="H9" s="6" t="n">
        <v>0.8054090126540787</v>
      </c>
      <c r="I9" s="6" t="n">
        <v>0.0</v>
      </c>
      <c r="J9" s="6">
        <f ref="J9:J58" si="0" t="shared">SUM(B9:I9)</f>
        <v>5823.4025005095718</v>
      </c>
      <c r="L9" s="12">
        <v>0.125</v>
      </c>
      <c r="M9" s="9" t="n">
        <v>714.0805187225342</v>
      </c>
      <c r="N9" s="9" t="n">
        <v>102.22491264343262</v>
      </c>
      <c r="O9" s="9" t="n">
        <v>128.74619007110596</v>
      </c>
      <c r="P9" s="9" t="n">
        <v>166.82793521881104</v>
      </c>
      <c r="Q9" s="9" t="n">
        <v>42.56144332885742</v>
      </c>
      <c r="R9" s="9" t="n">
        <v>103.09738731384277</v>
      </c>
      <c r="S9" s="9" t="n">
        <v>293.769248008728</v>
      </c>
      <c r="T9" s="9" t="n">
        <v>0.0</v>
      </c>
      <c r="U9">
        <f ref="U9:U58" si="1" t="shared">SUM(M9:T9)</f>
        <v>5511.3114070892334</v>
      </c>
      <c r="W9" s="5"/>
      <c r="X9" s="16"/>
      <c r="Y9" s="16"/>
      <c r="Z9" s="5"/>
    </row>
    <row r="10" spans="1:26" x14ac:dyDescent="0.25">
      <c r="A10" s="12">
        <v>0.14583333333333334</v>
      </c>
      <c r="B10" s="6" t="n">
        <v>554.2745851023357</v>
      </c>
      <c r="C10" s="6" t="n">
        <v>29.697417261246365</v>
      </c>
      <c r="D10" s="6" t="n">
        <v>38.56095754865901</v>
      </c>
      <c r="E10" s="6" t="n">
        <v>311.31408293451284</v>
      </c>
      <c r="F10" s="6" t="n">
        <v>173.30547002296356</v>
      </c>
      <c r="G10" s="6" t="n">
        <v>67.88773092089505</v>
      </c>
      <c r="H10" s="6" t="n">
        <v>3.777243913522532</v>
      </c>
      <c r="I10" s="6" t="n">
        <v>0.0</v>
      </c>
      <c r="J10" s="6">
        <f si="0" t="shared"/>
        <v>3815.7720681247392</v>
      </c>
      <c r="L10" s="12">
        <v>0.14583333333333334</v>
      </c>
      <c r="M10" s="9" t="n">
        <v>617.4239501953125</v>
      </c>
      <c r="N10" s="9" t="n">
        <v>90.87725830078125</v>
      </c>
      <c r="O10" s="9" t="n">
        <v>126.9366283416748</v>
      </c>
      <c r="P10" s="9" t="n">
        <v>164.1473617553711</v>
      </c>
      <c r="Q10" s="9" t="n">
        <v>27.957294464111328</v>
      </c>
      <c r="R10" s="9" t="n">
        <v>62.90143966674805</v>
      </c>
      <c r="S10" s="9" t="n">
        <v>188.95687294006348</v>
      </c>
      <c r="T10" s="9" t="n">
        <v>0.0</v>
      </c>
      <c r="U10">
        <f si="1" t="shared"/>
        <v>4348.3776378631592</v>
      </c>
      <c r="W10" s="5"/>
      <c r="X10" s="16"/>
      <c r="Y10" s="16"/>
      <c r="Z10" s="5"/>
    </row>
    <row r="11" spans="1:26" x14ac:dyDescent="0.25">
      <c r="A11" s="12">
        <v>0.16666666666666666</v>
      </c>
      <c r="B11" s="6" t="n">
        <v>446.7402436330243</v>
      </c>
      <c r="C11" s="6" t="n">
        <v>36.96393728655816</v>
      </c>
      <c r="D11" s="6" t="n">
        <v>67.22548633936806</v>
      </c>
      <c r="E11" s="6" t="n">
        <v>232.17833863451295</v>
      </c>
      <c r="F11" s="6" t="n">
        <v>95.50155458187336</v>
      </c>
      <c r="G11" s="6" t="n">
        <v>33.97603426314924</v>
      </c>
      <c r="H11" s="6" t="n">
        <v>13.344286276640236</v>
      </c>
      <c r="I11" s="6" t="n">
        <v>0.0</v>
      </c>
      <c r="J11" s="6">
        <f si="0" t="shared"/>
        <v>2699.1133720726734</v>
      </c>
      <c r="L11" s="12">
        <v>0.16666666666666666</v>
      </c>
      <c r="M11" s="9" t="n">
        <v>610.1538467407227</v>
      </c>
      <c r="N11" s="9" t="n">
        <v>95.66073036193848</v>
      </c>
      <c r="O11" s="9" t="n">
        <v>149.6396369934082</v>
      </c>
      <c r="P11" s="9" t="n">
        <v>192.87044525146484</v>
      </c>
      <c r="Q11" s="9" t="n">
        <v>20.10177230834961</v>
      </c>
      <c r="R11" s="9" t="n">
        <v>36.58311367034912</v>
      </c>
      <c r="S11" s="9" t="n">
        <v>121.6139612197876</v>
      </c>
      <c r="T11" s="9" t="n">
        <v>0.0</v>
      </c>
      <c r="U11">
        <f si="1" t="shared"/>
        <v>3728.9357328414917</v>
      </c>
      <c r="W11" s="5"/>
      <c r="X11" s="16"/>
      <c r="Y11" s="16"/>
      <c r="Z11" s="5"/>
    </row>
    <row r="12" spans="1:26" x14ac:dyDescent="0.25">
      <c r="A12" s="12">
        <v>0.1875</v>
      </c>
      <c r="B12" s="6" t="n">
        <v>566.1371201282548</v>
      </c>
      <c r="C12" s="6" t="n">
        <v>69.7675648207197</v>
      </c>
      <c r="D12" s="6" t="n">
        <v>123.25823157566987</v>
      </c>
      <c r="E12" s="6" t="n">
        <v>296.76254587906385</v>
      </c>
      <c r="F12" s="6" t="n">
        <v>61.236093193410724</v>
      </c>
      <c r="G12" s="6" t="n">
        <v>15.512820222486626</v>
      </c>
      <c r="H12" s="6" t="n">
        <v>37.46231972587027</v>
      </c>
      <c r="I12" s="6" t="n">
        <v>0.0</v>
      </c>
      <c r="J12" s="6">
        <f si="0" t="shared"/>
        <v>2692.0460978103742</v>
      </c>
      <c r="L12" s="12">
        <v>0.1875</v>
      </c>
      <c r="M12" s="9" t="n">
        <v>742.1903924942017</v>
      </c>
      <c r="N12" s="9" t="n">
        <v>128.79309940338135</v>
      </c>
      <c r="O12" s="9" t="n">
        <v>223.9224510192871</v>
      </c>
      <c r="P12" s="9" t="n">
        <v>285.34000396728516</v>
      </c>
      <c r="Q12" s="9" t="n">
        <v>21.091909408569336</v>
      </c>
      <c r="R12" s="9" t="n">
        <v>24.90122127532959</v>
      </c>
      <c r="S12" s="9" t="n">
        <v>97.73080444335938</v>
      </c>
      <c r="T12" s="9" t="n">
        <v>0.0</v>
      </c>
      <c r="U12">
        <f si="1" t="shared"/>
        <v>3771.8184518814087</v>
      </c>
      <c r="W12" s="5"/>
      <c r="X12" s="5"/>
      <c r="Y12" s="5"/>
      <c r="Z12" s="5"/>
    </row>
    <row r="13" spans="1:26" x14ac:dyDescent="0.25">
      <c r="A13" s="12">
        <v>0.20833333333333334</v>
      </c>
      <c r="B13" s="6" t="n">
        <v>953.408718733049</v>
      </c>
      <c r="C13" s="6" t="n">
        <v>158.23649904917139</v>
      </c>
      <c r="D13" s="6" t="n">
        <v>219.28859983220548</v>
      </c>
      <c r="E13" s="6" t="n">
        <v>564.4507195096446</v>
      </c>
      <c r="F13" s="6" t="n">
        <v>70.41514916614865</v>
      </c>
      <c r="G13" s="6" t="n">
        <v>8.85477449853874</v>
      </c>
      <c r="H13" s="6" t="n">
        <v>85.71091203660666</v>
      </c>
      <c r="I13" s="6" t="n">
        <v>0.0</v>
      </c>
      <c r="J13" s="6">
        <f si="0" t="shared"/>
        <v>3919.7098200139326</v>
      </c>
      <c r="L13" s="12">
        <v>0.20833333333333334</v>
      </c>
      <c r="M13" s="9" t="n">
        <v>1066.3959674835205</v>
      </c>
      <c r="N13" s="9" t="n">
        <v>207.23801040649414</v>
      </c>
      <c r="O13" s="9" t="n">
        <v>392.3575191497803</v>
      </c>
      <c r="P13" s="9" t="n">
        <v>490.43720149993896</v>
      </c>
      <c r="Q13" s="9" t="n">
        <v>33.07436466217041</v>
      </c>
      <c r="R13" s="9" t="n">
        <v>25.998961448669434</v>
      </c>
      <c r="S13" s="9" t="n">
        <v>117.77810668945312</v>
      </c>
      <c r="T13" s="9" t="n">
        <v>0.0</v>
      </c>
      <c r="U13">
        <f si="1" t="shared"/>
        <v>4606.2449169158936</v>
      </c>
    </row>
    <row r="14" spans="1:26" x14ac:dyDescent="0.25">
      <c r="A14" s="12">
        <v>0.22916666666666666</v>
      </c>
      <c r="B14" s="6" t="n">
        <v>1622.704264767498</v>
      </c>
      <c r="C14" s="6" t="n">
        <v>343.92267357991807</v>
      </c>
      <c r="D14" s="6" t="n">
        <v>373.44425823312287</v>
      </c>
      <c r="E14" s="6" t="n">
        <v>1102.3959749568885</v>
      </c>
      <c r="F14" s="6" t="n">
        <v>121.91491576861627</v>
      </c>
      <c r="G14" s="6" t="n">
        <v>9.57541436685694</v>
      </c>
      <c r="H14" s="6" t="n">
        <v>162.53210512068947</v>
      </c>
      <c r="I14" s="6" t="n">
        <v>0.0</v>
      </c>
      <c r="J14" s="6">
        <f si="0" t="shared"/>
        <v>6504.1594922661088</v>
      </c>
      <c r="L14" s="12">
        <v>0.22916666666666666</v>
      </c>
      <c r="M14" s="9" t="n">
        <v>1618.4426002502441</v>
      </c>
      <c r="N14" s="9" t="n">
        <v>349.1484136581421</v>
      </c>
      <c r="O14" s="9" t="n">
        <v>706.5900182723999</v>
      </c>
      <c r="P14" s="9" t="n">
        <v>864.6557445526123</v>
      </c>
      <c r="Q14" s="9" t="n">
        <v>58.557570457458496</v>
      </c>
      <c r="R14" s="9" t="n">
        <v>37.64609336853027</v>
      </c>
      <c r="S14" s="9" t="n">
        <v>179.99261283874512</v>
      </c>
      <c r="T14" s="9" t="n">
        <v>0.0</v>
      </c>
      <c r="U14">
        <f si="1" t="shared"/>
        <v>6449.2985153198242</v>
      </c>
    </row>
    <row r="15" spans="1:26" x14ac:dyDescent="0.25">
      <c r="A15" s="12">
        <v>0.25</v>
      </c>
      <c r="B15" s="6" t="n">
        <v>2522.939064331582</v>
      </c>
      <c r="C15" s="6" t="n">
        <v>657.8661064409106</v>
      </c>
      <c r="D15" s="6" t="n">
        <v>604.9492266486327</v>
      </c>
      <c r="E15" s="6" t="n">
        <v>1938.9291077824248</v>
      </c>
      <c r="F15" s="6" t="n">
        <v>209.5366631634382</v>
      </c>
      <c r="G15" s="6" t="n">
        <v>13.75570609211016</v>
      </c>
      <c r="H15" s="6" t="n">
        <v>258.3394946142016</v>
      </c>
      <c r="I15" s="6" t="n">
        <v>0.0</v>
      </c>
      <c r="J15" s="6">
        <f si="0" t="shared"/>
        <v>10559.153376278755</v>
      </c>
      <c r="L15" s="12">
        <v>0.25</v>
      </c>
      <c r="M15" s="9" t="n">
        <v>2382.3257598876953</v>
      </c>
      <c r="N15" s="9" t="n">
        <v>564.3687152862549</v>
      </c>
      <c r="O15" s="9" t="n">
        <v>1207.1103801727295</v>
      </c>
      <c r="P15" s="9" t="n">
        <v>1447.546287536621</v>
      </c>
      <c r="Q15" s="9" t="n">
        <v>99.2503604888916</v>
      </c>
      <c r="R15" s="9" t="n">
        <v>58.02815818786621</v>
      </c>
      <c r="S15" s="9" t="n">
        <v>279.45037937164307</v>
      </c>
      <c r="T15" s="9" t="n">
        <v>0.0</v>
      </c>
      <c r="U15">
        <f si="1" t="shared"/>
        <v>9544.0186977386475</v>
      </c>
    </row>
    <row r="16" spans="1:26" x14ac:dyDescent="0.25">
      <c r="A16" s="12">
        <v>0.27083333333333331</v>
      </c>
      <c r="B16" s="6" t="n">
        <v>3500.2920920801657</v>
      </c>
      <c r="C16" s="6" t="n">
        <v>1084.9583273341277</v>
      </c>
      <c r="D16" s="6" t="n">
        <v>923.1735979380887</v>
      </c>
      <c r="E16" s="6" t="n">
        <v>2998.2033259830237</v>
      </c>
      <c r="F16" s="6" t="n">
        <v>315.42224385732777</v>
      </c>
      <c r="G16" s="6" t="n">
        <v>18.028917996258222</v>
      </c>
      <c r="H16" s="6" t="n">
        <v>346.6709701850998</v>
      </c>
      <c r="I16" s="6" t="n">
        <v>0.0</v>
      </c>
      <c r="J16" s="6">
        <f si="0" t="shared"/>
        <v>16023.630526784786</v>
      </c>
      <c r="L16" s="12">
        <v>0.27083333333333331</v>
      </c>
      <c r="M16" s="9" t="n">
        <v>3267.181487083435</v>
      </c>
      <c r="N16" s="9" t="n">
        <v>843.5835800170898</v>
      </c>
      <c r="O16" s="9" t="n">
        <v>1895.7888584136963</v>
      </c>
      <c r="P16" s="9" t="n">
        <v>2230.64110660553</v>
      </c>
      <c r="Q16" s="9" t="n">
        <v>154.03460216522217</v>
      </c>
      <c r="R16" s="9" t="n">
        <v>85.10438346862793</v>
      </c>
      <c r="S16" s="9" t="n">
        <v>404.8079767227173</v>
      </c>
      <c r="T16" s="9" t="n">
        <v>0.0</v>
      </c>
      <c r="U16">
        <f si="1" t="shared"/>
        <v>13981.885075569153</v>
      </c>
    </row>
    <row r="17" spans="1:21" x14ac:dyDescent="0.25">
      <c r="A17" s="12">
        <v>0.29166666666666669</v>
      </c>
      <c r="B17" s="6" t="n">
        <v>4318.558535950727</v>
      </c>
      <c r="C17" s="6" t="n">
        <v>1542.578507194212</v>
      </c>
      <c r="D17" s="6" t="n">
        <v>1319.924533125271</v>
      </c>
      <c r="E17" s="6" t="n">
        <v>4079.306071219493</v>
      </c>
      <c r="F17" s="6" t="n">
        <v>411.23134382570447</v>
      </c>
      <c r="G17" s="6" t="n">
        <v>19.79249214232891</v>
      </c>
      <c r="H17" s="6" t="n">
        <v>394.4334491256071</v>
      </c>
      <c r="I17" s="6" t="n">
        <v>0.0</v>
      </c>
      <c r="J17" s="6">
        <f si="0" t="shared"/>
        <v>22424.215160458196</v>
      </c>
      <c r="L17" s="12">
        <v>0.29166666666666669</v>
      </c>
      <c r="M17" s="9" t="n">
        <v>4122.786093711853</v>
      </c>
      <c r="N17" s="9" t="n">
        <v>1154.4388494491577</v>
      </c>
      <c r="O17" s="9" t="n">
        <v>2718.3412475585938</v>
      </c>
      <c r="P17" s="9" t="n">
        <v>3140.766984939575</v>
      </c>
      <c r="Q17" s="9" t="n">
        <v>217.871244430542</v>
      </c>
      <c r="R17" s="9" t="n">
        <v>115.8464879989624</v>
      </c>
      <c r="S17" s="9" t="n">
        <v>538.0115079879761</v>
      </c>
      <c r="T17" s="9" t="n">
        <v>0.0</v>
      </c>
      <c r="U17">
        <f si="1" t="shared"/>
        <v>19549.318566322327</v>
      </c>
    </row>
    <row r="18" spans="1:21" x14ac:dyDescent="0.25">
      <c r="A18" s="12">
        <v>0.3125</v>
      </c>
      <c r="B18" s="6" t="n">
        <v>4760.516229974115</v>
      </c>
      <c r="C18" s="6" t="n">
        <v>1906.0708121327766</v>
      </c>
      <c r="D18" s="6" t="n">
        <v>1775.0533749516462</v>
      </c>
      <c r="E18" s="6" t="n">
        <v>4928.041070892501</v>
      </c>
      <c r="F18" s="6" t="n">
        <v>470.0867682421159</v>
      </c>
      <c r="G18" s="6" t="n">
        <v>17.989971263963042</v>
      </c>
      <c r="H18" s="6" t="n">
        <v>381.58476182550214</v>
      </c>
      <c r="I18" s="6" t="n">
        <v>0.0</v>
      </c>
      <c r="J18" s="6">
        <f si="0" t="shared"/>
        <v>28829.192574508179</v>
      </c>
      <c r="L18" s="12">
        <v>0.3125</v>
      </c>
      <c r="M18" s="9" t="n">
        <v>4795.678440093994</v>
      </c>
      <c r="N18" s="9" t="n">
        <v>1450.300931930542</v>
      </c>
      <c r="O18" s="9" t="n">
        <v>3573.875370979309</v>
      </c>
      <c r="P18" s="9" t="n">
        <v>4056.5433769226074</v>
      </c>
      <c r="Q18" s="9" t="n">
        <v>283.06244468688965</v>
      </c>
      <c r="R18" s="9" t="n">
        <v>146.46567821502686</v>
      </c>
      <c r="S18" s="9" t="n">
        <v>659.7056550979614</v>
      </c>
      <c r="T18" s="9" t="n">
        <v>0.0</v>
      </c>
      <c r="U18">
        <f si="1" t="shared"/>
        <v>25742.017602920532</v>
      </c>
    </row>
    <row r="19" spans="1:21" x14ac:dyDescent="0.25">
      <c r="A19" s="12">
        <v>0.33333333333333331</v>
      </c>
      <c r="B19" s="6" t="n">
        <v>4749.491497744787</v>
      </c>
      <c r="C19" s="6" t="n">
        <v>2078.6982328642644</v>
      </c>
      <c r="D19" s="6" t="n">
        <v>2272.571650343129</v>
      </c>
      <c r="E19" s="6" t="n">
        <v>5370.6127392236895</v>
      </c>
      <c r="F19" s="6" t="n">
        <v>480.6211259667095</v>
      </c>
      <c r="G19" s="6" t="n">
        <v>13.492351997542752</v>
      </c>
      <c r="H19" s="6" t="n">
        <v>315.7079221866449</v>
      </c>
      <c r="I19" s="6" t="n">
        <v>0.0</v>
      </c>
      <c r="J19" s="6">
        <f si="0" t="shared"/>
        <v>34204.300198881632</v>
      </c>
      <c r="L19" s="12">
        <v>0.33333333333333331</v>
      </c>
      <c r="M19" s="9" t="n">
        <v>5195.2489767074585</v>
      </c>
      <c r="N19" s="9" t="n">
        <v>1688.818928718567</v>
      </c>
      <c r="O19" s="9" t="n">
        <v>4352.7601499557495</v>
      </c>
      <c r="P19" s="9" t="n">
        <v>4855.973322868347</v>
      </c>
      <c r="Q19" s="9" t="n">
        <v>342.43821144104004</v>
      </c>
      <c r="R19" s="9" t="n">
        <v>173.67992210388184</v>
      </c>
      <c r="S19" s="9" t="n">
        <v>757.3428916931152</v>
      </c>
      <c r="T19" s="9" t="n">
        <v>0.0</v>
      </c>
      <c r="U19">
        <f si="1" t="shared"/>
        <v>31968.219900131226</v>
      </c>
    </row>
    <row r="20" spans="1:21" x14ac:dyDescent="0.25">
      <c r="A20" s="12">
        <v>0.35416666666666669</v>
      </c>
      <c r="B20" s="6" t="n">
        <v>4390.705797574258</v>
      </c>
      <c r="C20" s="6" t="n">
        <v>2054.653142820718</v>
      </c>
      <c r="D20" s="6" t="n">
        <v>2814.139264855704</v>
      </c>
      <c r="E20" s="6" t="n">
        <v>5410.774296752643</v>
      </c>
      <c r="F20" s="6" t="n">
        <v>452.1296038173964</v>
      </c>
      <c r="G20" s="6" t="n">
        <v>8.30303728695196</v>
      </c>
      <c r="H20" s="6" t="n">
        <v>229.30233077667754</v>
      </c>
      <c r="I20" s="6" t="n">
        <v>0.0</v>
      </c>
      <c r="J20" s="6">
        <f si="0" t="shared"/>
        <v>38012.472766805906</v>
      </c>
      <c r="L20" s="12">
        <v>0.35416666666666669</v>
      </c>
      <c r="M20" s="9" t="n">
        <v>5327.766439437866</v>
      </c>
      <c r="N20" s="9" t="n">
        <v>1849.22079372406</v>
      </c>
      <c r="O20" s="9" t="n">
        <v>4981.285284042358</v>
      </c>
      <c r="P20" s="9" t="n">
        <v>5466.644903182983</v>
      </c>
      <c r="Q20" s="9" t="n">
        <v>392.2467384338379</v>
      </c>
      <c r="R20" s="9" t="n">
        <v>196.09925365447998</v>
      </c>
      <c r="S20" s="9" t="n">
        <v>829.886305809021</v>
      </c>
      <c r="T20" s="9" t="n">
        <v>0.0</v>
      </c>
      <c r="U20">
        <f si="1" t="shared"/>
        <v>37793.869709968567</v>
      </c>
    </row>
    <row r="21" spans="1:21" x14ac:dyDescent="0.25">
      <c r="A21" s="12">
        <v>0.375</v>
      </c>
      <c r="B21" s="6" t="n">
        <v>3898.908572778013</v>
      </c>
      <c r="C21" s="6" t="n">
        <v>1919.307652522903</v>
      </c>
      <c r="D21" s="6" t="n">
        <v>3420.706852848177</v>
      </c>
      <c r="E21" s="6" t="n">
        <v>5215.470798087434</v>
      </c>
      <c r="F21" s="6" t="n">
        <v>408.5110397133185</v>
      </c>
      <c r="G21" s="6" t="n">
        <v>4.152860864091557</v>
      </c>
      <c r="H21" s="6" t="n">
        <v>162.56122559246222</v>
      </c>
      <c r="I21" s="6" t="n">
        <v>0.0</v>
      </c>
      <c r="J21" s="6">
        <f si="0" t="shared"/>
        <v>40563.930349647228</v>
      </c>
      <c r="L21" s="12">
        <v>0.375</v>
      </c>
      <c r="M21" s="9" t="n">
        <v>5277.121968269348</v>
      </c>
      <c r="N21" s="9" t="n">
        <v>1936.8521938323975</v>
      </c>
      <c r="O21" s="9" t="n">
        <v>5442.58497428894</v>
      </c>
      <c r="P21" s="9" t="n">
        <v>5883.494801521301</v>
      </c>
      <c r="Q21" s="9" t="n">
        <v>432.6018943786621</v>
      </c>
      <c r="R21" s="9" t="n">
        <v>214.56650066375732</v>
      </c>
      <c r="S21" s="9" t="n">
        <v>885.5211982727051</v>
      </c>
      <c r="T21" s="9" t="n">
        <v>0.0</v>
      </c>
      <c r="U21">
        <f si="1" t="shared"/>
        <v>43025.552706718445</v>
      </c>
    </row>
    <row r="22" spans="1:21" x14ac:dyDescent="0.25">
      <c r="A22" s="12">
        <v>0.39583333333333331</v>
      </c>
      <c r="B22" s="6" t="n">
        <v>3480.107002707789</v>
      </c>
      <c r="C22" s="6" t="n">
        <v>1787.4667709978496</v>
      </c>
      <c r="D22" s="6" t="n">
        <v>4121.758034304585</v>
      </c>
      <c r="E22" s="6" t="n">
        <v>5008.546779537541</v>
      </c>
      <c r="F22" s="6" t="n">
        <v>376.86292404668615</v>
      </c>
      <c r="G22" s="6" t="n">
        <v>1.6772384474726052</v>
      </c>
      <c r="H22" s="6" t="n">
        <v>145.34051422695387</v>
      </c>
      <c r="I22" s="6" t="n">
        <v>0.0</v>
      </c>
      <c r="J22" s="6">
        <f si="0" t="shared"/>
        <v>42768.422502826725</v>
      </c>
      <c r="L22" s="12">
        <v>0.39583333333333331</v>
      </c>
      <c r="M22" s="9" t="n">
        <v>5148.937580108643</v>
      </c>
      <c r="N22" s="9" t="n">
        <v>1972.9806823730469</v>
      </c>
      <c r="O22" s="9" t="n">
        <v>5761.787020683289</v>
      </c>
      <c r="P22" s="9" t="n">
        <v>6145.070565223694</v>
      </c>
      <c r="Q22" s="9" t="n">
        <v>465.5171709060669</v>
      </c>
      <c r="R22" s="9" t="n">
        <v>231.09081363677979</v>
      </c>
      <c r="S22" s="9" t="n">
        <v>934.6553182601929</v>
      </c>
      <c r="T22" s="9" t="n">
        <v>0.0</v>
      </c>
      <c r="U22">
        <f si="1" t="shared"/>
        <v>47579.29123878479</v>
      </c>
    </row>
    <row r="23" spans="1:21" x14ac:dyDescent="0.25">
      <c r="A23" s="12">
        <v>0.41666666666666669</v>
      </c>
      <c r="B23" s="6" t="n">
        <v>3254.707279590004</v>
      </c>
      <c r="C23" s="6" t="n">
        <v>1736.786624732324</v>
      </c>
      <c r="D23" s="6" t="n">
        <v>4934.069068827478</v>
      </c>
      <c r="E23" s="6" t="n">
        <v>4957.84056365057</v>
      </c>
      <c r="F23" s="6" t="n">
        <v>376.61932906756783</v>
      </c>
      <c r="G23" s="6" t="n">
        <v>0.644575893453342</v>
      </c>
      <c r="H23" s="6" t="n">
        <v>187.9395965061875</v>
      </c>
      <c r="I23" s="6" t="n">
        <v>0.0</v>
      </c>
      <c r="J23" s="6">
        <f si="0" t="shared"/>
        <v>45476.584974608581</v>
      </c>
      <c r="L23" s="12">
        <v>0.41666666666666669</v>
      </c>
      <c r="M23" s="9" t="n">
        <v>5020.431674957275</v>
      </c>
      <c r="N23" s="9" t="n">
        <v>1980.0125074386597</v>
      </c>
      <c r="O23" s="9" t="n">
        <v>5975.920520782471</v>
      </c>
      <c r="P23" s="9" t="n">
        <v>6297.04141330719</v>
      </c>
      <c r="Q23" s="9" t="n">
        <v>492.88600158691406</v>
      </c>
      <c r="R23" s="9" t="n">
        <v>247.36328601837158</v>
      </c>
      <c r="S23" s="9" t="n">
        <v>984.4612140655518</v>
      </c>
      <c r="T23" s="9" t="n">
        <v>0.0</v>
      </c>
      <c r="U23">
        <f si="1" t="shared"/>
        <v>51318.166880607605</v>
      </c>
    </row>
    <row r="24" spans="1:21" x14ac:dyDescent="0.25">
      <c r="A24" s="12">
        <v>0.4375</v>
      </c>
      <c r="B24" s="6" t="n">
        <v>3245.683170559538</v>
      </c>
      <c r="C24" s="6" t="n">
        <v>1785.8921404377288</v>
      </c>
      <c r="D24" s="6" t="n">
        <v>5835.309787608457</v>
      </c>
      <c r="E24" s="6" t="n">
        <v>5121.906442925389</v>
      </c>
      <c r="F24" s="6" t="n">
        <v>412.0816300184202</v>
      </c>
      <c r="G24" s="6" t="n">
        <v>0.7926028818390346</v>
      </c>
      <c r="H24" s="6" t="n">
        <v>280.3377479797365</v>
      </c>
      <c r="I24" s="6" t="n">
        <v>0.0</v>
      </c>
      <c r="J24" s="6">
        <f si="0" t="shared"/>
        <v>48945.012599948677</v>
      </c>
      <c r="L24" s="12">
        <v>0.4375</v>
      </c>
      <c r="M24" s="9" t="n">
        <v>4930.090726852417</v>
      </c>
      <c r="N24" s="9" t="n">
        <v>1975.1415748596191</v>
      </c>
      <c r="O24" s="9" t="n">
        <v>6121.427558898926</v>
      </c>
      <c r="P24" s="9" t="n">
        <v>6381.003833770752</v>
      </c>
      <c r="Q24" s="9" t="n">
        <v>516.7659397125244</v>
      </c>
      <c r="R24" s="9" t="n">
        <v>264.3761806488037</v>
      </c>
      <c r="S24" s="9" t="n">
        <v>1039.5742483139038</v>
      </c>
      <c r="T24" s="9" t="n">
        <v>0.0</v>
      </c>
      <c r="U24">
        <f si="1" t="shared"/>
        <v>54081.64134979248</v>
      </c>
    </row>
    <row r="25" spans="1:21" x14ac:dyDescent="0.25">
      <c r="A25" s="12">
        <v>0.45833333333333331</v>
      </c>
      <c r="B25" s="6" t="n">
        <v>3403.6460362397775</v>
      </c>
      <c r="C25" s="6" t="n">
        <v>1913.4611226135626</v>
      </c>
      <c r="D25" s="6" t="n">
        <v>6749.040406889597</v>
      </c>
      <c r="E25" s="6" t="n">
        <v>5462.461517954382</v>
      </c>
      <c r="F25" s="6" t="n">
        <v>471.528797500316</v>
      </c>
      <c r="G25" s="6" t="n">
        <v>2.747053551945031</v>
      </c>
      <c r="H25" s="6" t="n">
        <v>397.5793891499306</v>
      </c>
      <c r="I25" s="6" t="n">
        <v>0.0</v>
      </c>
      <c r="J25" s="6">
        <f si="0" t="shared"/>
        <v>52791.066027173983</v>
      </c>
      <c r="L25" s="12">
        <v>0.45833333333333331</v>
      </c>
      <c r="M25" s="9" t="n">
        <v>4903.3767166137695</v>
      </c>
      <c r="N25" s="9" t="n">
        <v>1975.0205574035645</v>
      </c>
      <c r="O25" s="9" t="n">
        <v>6246.607412338257</v>
      </c>
      <c r="P25" s="9" t="n">
        <v>6452.663102149963</v>
      </c>
      <c r="Q25" s="9" t="n">
        <v>541.5875177383423</v>
      </c>
      <c r="R25" s="9" t="n">
        <v>283.48135566711426</v>
      </c>
      <c r="S25" s="9" t="n">
        <v>1107.338222503662</v>
      </c>
      <c r="T25" s="9" t="n">
        <v>0.0</v>
      </c>
      <c r="U25">
        <f si="1" t="shared"/>
        <v>55892.246265411377</v>
      </c>
    </row>
    <row r="26" spans="1:21" x14ac:dyDescent="0.25">
      <c r="A26" s="12">
        <v>0.47916666666666669</v>
      </c>
      <c r="B26" s="6" t="n">
        <v>3646.1878693184403</v>
      </c>
      <c r="C26" s="6" t="n">
        <v>2084.503930880785</v>
      </c>
      <c r="D26" s="6" t="n">
        <v>7561.21042639042</v>
      </c>
      <c r="E26" s="6" t="n">
        <v>5895.725440510923</v>
      </c>
      <c r="F26" s="6" t="n">
        <v>536.0403434417622</v>
      </c>
      <c r="G26" s="6" t="n">
        <v>8.890192041825568</v>
      </c>
      <c r="H26" s="6" t="n">
        <v>512.4724218881657</v>
      </c>
      <c r="I26" s="6" t="n">
        <v>0.0</v>
      </c>
      <c r="J26" s="6">
        <f si="0" t="shared"/>
        <v>56377.583519639957</v>
      </c>
      <c r="L26" s="12">
        <v>0.47916666666666669</v>
      </c>
      <c r="M26" s="9" t="n">
        <v>4977.078912734985</v>
      </c>
      <c r="N26" s="9" t="n">
        <v>2000.8606424331665</v>
      </c>
      <c r="O26" s="9" t="n">
        <v>6420.056738853455</v>
      </c>
      <c r="P26" s="9" t="n">
        <v>6592.476963043213</v>
      </c>
      <c r="Q26" s="9" t="n">
        <v>575.065824508667</v>
      </c>
      <c r="R26" s="9" t="n">
        <v>307.4256868362427</v>
      </c>
      <c r="S26" s="9" t="n">
        <v>1200.8644514083862</v>
      </c>
      <c r="T26" s="9" t="n">
        <v>0.0</v>
      </c>
      <c r="U26">
        <f si="1" t="shared"/>
        <v>57086.820831298828</v>
      </c>
    </row>
    <row r="27" spans="1:21" x14ac:dyDescent="0.25">
      <c r="A27" s="12">
        <v>0.5</v>
      </c>
      <c r="B27" s="6" t="n">
        <v>3907.176056495279</v>
      </c>
      <c r="C27" s="6" t="n">
        <v>2266.0171936653223</v>
      </c>
      <c r="D27" s="6" t="n">
        <v>8166.5619183652725</v>
      </c>
      <c r="E27" s="6" t="n">
        <v>6356.650096785209</v>
      </c>
      <c r="F27" s="6" t="n">
        <v>594.2606661710906</v>
      </c>
      <c r="G27" s="6" t="n">
        <v>24.085951475337346</v>
      </c>
      <c r="H27" s="6" t="n">
        <v>613.3436255813892</v>
      </c>
      <c r="I27" s="6" t="n">
        <v>0.0</v>
      </c>
      <c r="J27" s="6">
        <f si="0" t="shared"/>
        <v>59295.884165806347</v>
      </c>
      <c r="L27" s="12">
        <v>0.5</v>
      </c>
      <c r="M27" s="9" t="n">
        <v>5190.344014167786</v>
      </c>
      <c r="N27" s="9" t="n">
        <v>2072.7233362197876</v>
      </c>
      <c r="O27" s="9" t="n">
        <v>6705.234818458557</v>
      </c>
      <c r="P27" s="9" t="n">
        <v>6875.1439037323</v>
      </c>
      <c r="Q27" s="9" t="n">
        <v>625.0919761657715</v>
      </c>
      <c r="R27" s="9" t="n">
        <v>339.74993991851807</v>
      </c>
      <c r="S27" s="9" t="n">
        <v>1334.9197607040405</v>
      </c>
      <c r="T27" s="9" t="n">
        <v>0.0</v>
      </c>
      <c r="U27">
        <f si="1" t="shared"/>
        <v>58182.037863731384</v>
      </c>
    </row>
    <row r="28" spans="1:21" x14ac:dyDescent="0.25">
      <c r="A28" s="12">
        <v>0.52083333333333337</v>
      </c>
      <c r="B28" s="6" t="n">
        <v>4180.630379733713</v>
      </c>
      <c r="C28" s="6" t="n">
        <v>2436.1504506055157</v>
      </c>
      <c r="D28" s="6" t="n">
        <v>8512.775593187147</v>
      </c>
      <c r="E28" s="6" t="n">
        <v>6846.3327956463945</v>
      </c>
      <c r="F28" s="6" t="n">
        <v>650.8221725840824</v>
      </c>
      <c r="G28" s="6" t="n">
        <v>55.69853145645761</v>
      </c>
      <c r="H28" s="6" t="n">
        <v>714.9462316470449</v>
      </c>
      <c r="I28" s="6" t="n">
        <v>0.0</v>
      </c>
      <c r="J28" s="6">
        <f si="0" t="shared"/>
        <v>61619.007307552427</v>
      </c>
      <c r="L28" s="12">
        <v>0.52083333333333337</v>
      </c>
      <c r="M28" s="9" t="n">
        <v>5551.33922290802</v>
      </c>
      <c r="N28" s="9" t="n">
        <v>2195.527787208557</v>
      </c>
      <c r="O28" s="9" t="n">
        <v>7112.809497833252</v>
      </c>
      <c r="P28" s="9" t="n">
        <v>7314.324594497681</v>
      </c>
      <c r="Q28" s="9" t="n">
        <v>694.076286315918</v>
      </c>
      <c r="R28" s="9" t="n">
        <v>382.9222803115845</v>
      </c>
      <c r="S28" s="9" t="n">
        <v>1517.5532817840576</v>
      </c>
      <c r="T28" s="9" t="n">
        <v>0.0</v>
      </c>
      <c r="U28">
        <f si="1" t="shared"/>
        <v>59574.230990409851</v>
      </c>
    </row>
    <row r="29" spans="1:21" x14ac:dyDescent="0.25">
      <c r="A29" s="12">
        <v>0.54166666666666663</v>
      </c>
      <c r="B29" s="6" t="n">
        <v>4523.472386300948</v>
      </c>
      <c r="C29" s="6" t="n">
        <v>2588.223466493925</v>
      </c>
      <c r="D29" s="6" t="n">
        <v>8608.955234072338</v>
      </c>
      <c r="E29" s="6" t="n">
        <v>7420.66110783469</v>
      </c>
      <c r="F29" s="6" t="n">
        <v>719.0374950749886</v>
      </c>
      <c r="G29" s="6" t="n">
        <v>111.8147929874278</v>
      </c>
      <c r="H29" s="6" t="n">
        <v>849.4821730083413</v>
      </c>
      <c r="I29" s="6" t="n">
        <v>0.0</v>
      </c>
      <c r="J29" s="6">
        <f si="0" t="shared"/>
        <v>63775.07570176493</v>
      </c>
      <c r="L29" s="12">
        <v>0.54166666666666663</v>
      </c>
      <c r="M29" s="9" t="n">
        <v>6019.694048881531</v>
      </c>
      <c r="N29" s="9" t="n">
        <v>2351.4620275497437</v>
      </c>
      <c r="O29" s="9" t="n">
        <v>7577.659866333008</v>
      </c>
      <c r="P29" s="9" t="n">
        <v>7837.510287284851</v>
      </c>
      <c r="Q29" s="9" t="n">
        <v>775.8438653945923</v>
      </c>
      <c r="R29" s="9" t="n">
        <v>437.2858552932739</v>
      </c>
      <c r="S29" s="9" t="n">
        <v>1745.8688564300537</v>
      </c>
      <c r="T29" s="9" t="n">
        <v>0.0</v>
      </c>
      <c r="U29">
        <f si="1" t="shared"/>
        <v>61340.28847694397</v>
      </c>
    </row>
    <row r="30" spans="1:21" x14ac:dyDescent="0.25">
      <c r="A30" s="12">
        <v>0.5625</v>
      </c>
      <c r="B30" s="6" t="n">
        <v>4996.981213997383</v>
      </c>
      <c r="C30" s="6" t="n">
        <v>2722.1618929945116</v>
      </c>
      <c r="D30" s="6" t="n">
        <v>8498.97150621593</v>
      </c>
      <c r="E30" s="6" t="n">
        <v>8104.045318359411</v>
      </c>
      <c r="F30" s="6" t="n">
        <v>803.6828156888532</v>
      </c>
      <c r="G30" s="6" t="n">
        <v>196.81274831695143</v>
      </c>
      <c r="H30" s="6" t="n">
        <v>1039.5861700190424</v>
      </c>
      <c r="I30" s="6" t="n">
        <v>0.0</v>
      </c>
      <c r="J30" s="6">
        <f si="0" t="shared"/>
        <v>66138.879217801281</v>
      </c>
      <c r="L30" s="12">
        <v>0.5625</v>
      </c>
      <c r="M30" s="9" t="n">
        <v>6529.0183572769165</v>
      </c>
      <c r="N30" s="9" t="n">
        <v>2508.486147880554</v>
      </c>
      <c r="O30" s="9" t="n">
        <v>7988.646036148071</v>
      </c>
      <c r="P30" s="9" t="n">
        <v>8321.748950004578</v>
      </c>
      <c r="Q30" s="9" t="n">
        <v>858.5100536346436</v>
      </c>
      <c r="R30" s="9" t="n">
        <v>501.9344358444214</v>
      </c>
      <c r="S30" s="9" t="n">
        <v>2010.0665283203125</v>
      </c>
      <c r="T30" s="9" t="n">
        <v>0.0</v>
      </c>
      <c r="U30">
        <f si="1" t="shared"/>
        <v>63273.399543762207</v>
      </c>
    </row>
    <row r="31" spans="1:21" x14ac:dyDescent="0.25">
      <c r="A31" s="12">
        <v>0.58333333333333337</v>
      </c>
      <c r="B31" s="6" t="n">
        <v>5585.303814978506</v>
      </c>
      <c r="C31" s="6" t="n">
        <v>2827.086665076475</v>
      </c>
      <c r="D31" s="6" t="n">
        <v>8229.250247417183</v>
      </c>
      <c r="E31" s="6" t="n">
        <v>8790.002928254255</v>
      </c>
      <c r="F31" s="6" t="n">
        <v>890.8342057109382</v>
      </c>
      <c r="G31" s="6" t="n">
        <v>305.58120810877506</v>
      </c>
      <c r="H31" s="6" t="n">
        <v>1274.3363632534877</v>
      </c>
      <c r="I31" s="6" t="n">
        <v>0.0</v>
      </c>
      <c r="J31" s="6">
        <f si="0" t="shared"/>
        <v>68649.803561223613</v>
      </c>
      <c r="L31" s="12">
        <v>0.58333333333333337</v>
      </c>
      <c r="M31" s="9" t="n">
        <v>7029.671452522278</v>
      </c>
      <c r="N31" s="9" t="n">
        <v>2637.8587799072266</v>
      </c>
      <c r="O31" s="9" t="n">
        <v>8245.480122566223</v>
      </c>
      <c r="P31" s="9" t="n">
        <v>8659.023231506348</v>
      </c>
      <c r="Q31" s="9" t="n">
        <v>930.9442892074585</v>
      </c>
      <c r="R31" s="9" t="n">
        <v>576.1042327880859</v>
      </c>
      <c r="S31" s="9" t="n">
        <v>2300.1928243637085</v>
      </c>
      <c r="T31" s="9" t="n">
        <v>0.0</v>
      </c>
      <c r="U31">
        <f si="1" t="shared"/>
        <v>65050.018100738525</v>
      </c>
    </row>
    <row r="32" spans="1:21" x14ac:dyDescent="0.25">
      <c r="A32" s="12">
        <v>0.60416666666666663</v>
      </c>
      <c r="B32" s="6" t="n">
        <v>6177.144469277435</v>
      </c>
      <c r="C32" s="6" t="n">
        <v>2875.937612468575</v>
      </c>
      <c r="D32" s="6" t="n">
        <v>7834.113993977951</v>
      </c>
      <c r="E32" s="6" t="n">
        <v>9239.162590426778</v>
      </c>
      <c r="F32" s="6" t="n">
        <v>955.3345489003732</v>
      </c>
      <c r="G32" s="6" t="n">
        <v>421.36142903688295</v>
      </c>
      <c r="H32" s="6" t="n">
        <v>1512.4780824053914</v>
      </c>
      <c r="I32" s="6" t="n">
        <v>0.0</v>
      </c>
      <c r="J32" s="6">
        <f si="0" t="shared"/>
        <v>70772.057932843687</v>
      </c>
      <c r="L32" s="12">
        <v>0.60416666666666663</v>
      </c>
      <c r="M32" s="9" t="n">
        <v>7513.656123161316</v>
      </c>
      <c r="N32" s="9" t="n">
        <v>2725.6547746658325</v>
      </c>
      <c r="O32" s="9" t="n">
        <v>8294.37343788147</v>
      </c>
      <c r="P32" s="9" t="n">
        <v>8795.092700958252</v>
      </c>
      <c r="Q32" s="9" t="n">
        <v>987.1838006973267</v>
      </c>
      <c r="R32" s="9" t="n">
        <v>659.0360612869263</v>
      </c>
      <c r="S32" s="9" t="n">
        <v>2607.362257003784</v>
      </c>
      <c r="T32" s="9" t="n">
        <v>0.0</v>
      </c>
      <c r="U32">
        <f si="1" t="shared"/>
        <v>66367.699084281921</v>
      </c>
    </row>
    <row r="33" spans="1:21" x14ac:dyDescent="0.25">
      <c r="A33" s="12">
        <v>0.625</v>
      </c>
      <c r="B33" s="6" t="n">
        <v>6662.239058123366</v>
      </c>
      <c r="C33" s="6" t="n">
        <v>2844.5341121456468</v>
      </c>
      <c r="D33" s="6" t="n">
        <v>7338.057785093508</v>
      </c>
      <c r="E33" s="6" t="n">
        <v>9214.282527786494</v>
      </c>
      <c r="F33" s="6" t="n">
        <v>979.2084782202869</v>
      </c>
      <c r="G33" s="6" t="n">
        <v>522.6357674310107</v>
      </c>
      <c r="H33" s="6" t="n">
        <v>1714.96022882339</v>
      </c>
      <c r="I33" s="6" t="n">
        <v>0.0</v>
      </c>
      <c r="J33" s="6">
        <f si="0" t="shared"/>
        <v>71847.263710064581</v>
      </c>
      <c r="L33" s="12">
        <v>0.625</v>
      </c>
      <c r="M33" s="9" t="n">
        <v>8010.2062702178955</v>
      </c>
      <c r="N33" s="9" t="n">
        <v>2772.4916591644287</v>
      </c>
      <c r="O33" s="9" t="n">
        <v>8127.113347053528</v>
      </c>
      <c r="P33" s="9" t="n">
        <v>8723.996470451355</v>
      </c>
      <c r="Q33" s="9" t="n">
        <v>1026.2466325759888</v>
      </c>
      <c r="R33" s="9" t="n">
        <v>748.5038738250732</v>
      </c>
      <c r="S33" s="9" t="n">
        <v>2919.4586210250854</v>
      </c>
      <c r="T33" s="9" t="n">
        <v>0.0</v>
      </c>
      <c r="U33">
        <f si="1" t="shared"/>
        <v>67026.286315917969</v>
      </c>
    </row>
    <row r="34" spans="1:21" x14ac:dyDescent="0.25">
      <c r="A34" s="12">
        <v>0.64583333333333337</v>
      </c>
      <c r="B34" s="6" t="n">
        <v>7078.964813832126</v>
      </c>
      <c r="C34" s="6" t="n">
        <v>2737.843729514407</v>
      </c>
      <c r="D34" s="6" t="n">
        <v>6765.089487216325</v>
      </c>
      <c r="E34" s="6" t="n">
        <v>8649.779256159361</v>
      </c>
      <c r="F34" s="6" t="n">
        <v>964.3754674748938</v>
      </c>
      <c r="G34" s="6" t="n">
        <v>597.0261452142147</v>
      </c>
      <c r="H34" s="6" t="n">
        <v>1878.543030848188</v>
      </c>
      <c r="I34" s="6" t="n">
        <v>0.0</v>
      </c>
      <c r="J34" s="6">
        <f si="0" t="shared"/>
        <v>71551.891225035884</v>
      </c>
      <c r="L34" s="12">
        <v>0.64583333333333337</v>
      </c>
      <c r="M34" s="9" t="n">
        <v>8572.85301399231</v>
      </c>
      <c r="N34" s="9" t="n">
        <v>2788.1011877059937</v>
      </c>
      <c r="O34" s="9" t="n">
        <v>7767.727294921875</v>
      </c>
      <c r="P34" s="9" t="n">
        <v>8467.323770523071</v>
      </c>
      <c r="Q34" s="9" t="n">
        <v>1049.9069633483887</v>
      </c>
      <c r="R34" s="9" t="n">
        <v>840.3084211349487</v>
      </c>
      <c r="S34" s="9" t="n">
        <v>3219.672749519348</v>
      </c>
      <c r="T34" s="9" t="n">
        <v>0.0</v>
      </c>
      <c r="U34">
        <f si="1" t="shared"/>
        <v>67008.606944084167</v>
      </c>
    </row>
    <row r="35" spans="1:21" x14ac:dyDescent="0.25">
      <c r="A35" s="12">
        <v>0.66666666666666663</v>
      </c>
      <c r="B35" s="6" t="n">
        <v>7665.88535101402</v>
      </c>
      <c r="C35" s="6" t="n">
        <v>2594.8115304858525</v>
      </c>
      <c r="D35" s="6" t="n">
        <v>6149.77664575951</v>
      </c>
      <c r="E35" s="6" t="n">
        <v>7704.2933119114805</v>
      </c>
      <c r="F35" s="6" t="n">
        <v>929.7580113374382</v>
      </c>
      <c r="G35" s="6" t="n">
        <v>650.4475545941673</v>
      </c>
      <c r="H35" s="6" t="n">
        <v>2037.7417697975634</v>
      </c>
      <c r="I35" s="6" t="n">
        <v>0.0</v>
      </c>
      <c r="J35" s="6">
        <f si="0" t="shared"/>
        <v>70094.462386734551</v>
      </c>
      <c r="L35" s="12">
        <v>0.66666666666666663</v>
      </c>
      <c r="M35" s="9" t="n">
        <v>9275.141432762146</v>
      </c>
      <c r="N35" s="9" t="n">
        <v>2787.8631925582886</v>
      </c>
      <c r="O35" s="9" t="n">
        <v>7268.071258544922</v>
      </c>
      <c r="P35" s="9" t="n">
        <v>8066.872430801392</v>
      </c>
      <c r="Q35" s="9" t="n">
        <v>1061.8965730667114</v>
      </c>
      <c r="R35" s="9" t="n">
        <v>930.1584711074829</v>
      </c>
      <c r="S35" s="9" t="n">
        <v>3493.5448484420776</v>
      </c>
      <c r="T35" s="9" t="n">
        <v>0.0</v>
      </c>
      <c r="U35">
        <f si="1" t="shared"/>
        <v>66535.167365074158</v>
      </c>
    </row>
    <row r="36" spans="1:21" x14ac:dyDescent="0.25">
      <c r="A36" s="12">
        <v>0.6875</v>
      </c>
      <c r="B36" s="6" t="n">
        <v>8732.310734813951</v>
      </c>
      <c r="C36" s="6" t="n">
        <v>2466.5695467078285</v>
      </c>
      <c r="D36" s="6" t="n">
        <v>5544.226861831555</v>
      </c>
      <c r="E36" s="6" t="n">
        <v>6656.967357959162</v>
      </c>
      <c r="F36" s="6" t="n">
        <v>898.1399770355323</v>
      </c>
      <c r="G36" s="6" t="n">
        <v>701.7496101775719</v>
      </c>
      <c r="H36" s="6" t="n">
        <v>2235.359393336398</v>
      </c>
      <c r="I36" s="6" t="n">
        <v>0.0</v>
      </c>
      <c r="J36" s="6">
        <f si="0" t="shared"/>
        <v>68040.942756899822</v>
      </c>
      <c r="L36" s="12">
        <v>0.6875</v>
      </c>
      <c r="M36" s="9" t="n">
        <v>10203.281286239624</v>
      </c>
      <c r="N36" s="9" t="n">
        <v>2790.394597053528</v>
      </c>
      <c r="O36" s="9" t="n">
        <v>6705.164491653442</v>
      </c>
      <c r="P36" s="9" t="n">
        <v>7586.066523551941</v>
      </c>
      <c r="Q36" s="9" t="n">
        <v>1068.625651359558</v>
      </c>
      <c r="R36" s="9" t="n">
        <v>1016.5489177703857</v>
      </c>
      <c r="S36" s="9" t="n">
        <v>3739.4382095336914</v>
      </c>
      <c r="T36" s="9" t="n">
        <v>0.0</v>
      </c>
      <c r="U36">
        <f si="1" t="shared"/>
        <v>65988.853669166565</v>
      </c>
    </row>
    <row r="37" spans="1:21" x14ac:dyDescent="0.25">
      <c r="A37" s="12">
        <v>0.70833333333333337</v>
      </c>
      <c r="B37" s="6" t="n">
        <v>10431.902625043871</v>
      </c>
      <c r="C37" s="6" t="n">
        <v>2389.8452515176514</v>
      </c>
      <c r="D37" s="6" t="n">
        <v>5010.824215326341</v>
      </c>
      <c r="E37" s="6" t="n">
        <v>5751.334284065208</v>
      </c>
      <c r="F37" s="6" t="n">
        <v>885.2817805643192</v>
      </c>
      <c r="G37" s="6" t="n">
        <v>768.4568015149911</v>
      </c>
      <c r="H37" s="6" t="n">
        <v>2495.428807659628</v>
      </c>
      <c r="I37" s="6" t="n">
        <v>0.0</v>
      </c>
      <c r="J37" s="6">
        <f si="0" t="shared"/>
        <v>65956.471148472323</v>
      </c>
      <c r="L37" s="12">
        <v>0.70833333333333337</v>
      </c>
      <c r="M37" s="9" t="n">
        <v>11422.13499546051</v>
      </c>
      <c r="N37" s="9" t="n">
        <v>2811.6284255981445</v>
      </c>
      <c r="O37" s="9" t="n">
        <v>6163.929316520691</v>
      </c>
      <c r="P37" s="9" t="n">
        <v>7099.498566627502</v>
      </c>
      <c r="Q37" s="9" t="n">
        <v>1078.6946840286255</v>
      </c>
      <c r="R37" s="9" t="n">
        <v>1101.6988334655762</v>
      </c>
      <c r="S37" s="9" t="n">
        <v>3970.8994178771973</v>
      </c>
      <c r="T37" s="9" t="n">
        <v>0.0</v>
      </c>
      <c r="U37">
        <f si="1" t="shared"/>
        <v>65695.599298477173</v>
      </c>
    </row>
    <row r="38" spans="1:21" x14ac:dyDescent="0.25">
      <c r="A38" s="12">
        <v>0.72916666666666663</v>
      </c>
      <c r="B38" s="6" t="n">
        <v>12623.986566046548</v>
      </c>
      <c r="C38" s="6" t="n">
        <v>2375.052284078353</v>
      </c>
      <c r="D38" s="6" t="n">
        <v>4598.192168571097</v>
      </c>
      <c r="E38" s="6" t="n">
        <v>5108.460540725297</v>
      </c>
      <c r="F38" s="6" t="n">
        <v>896.6665671397379</v>
      </c>
      <c r="G38" s="6" t="n">
        <v>858.6015588724933</v>
      </c>
      <c r="H38" s="6" t="n">
        <v>2822.005464638406</v>
      </c>
      <c r="I38" s="6" t="n">
        <v>0.0</v>
      </c>
      <c r="J38" s="6">
        <f si="0" t="shared"/>
        <v>64123.458577127276</v>
      </c>
      <c r="L38" s="12">
        <v>0.72916666666666663</v>
      </c>
      <c r="M38" s="9" t="n">
        <v>12914.972470283508</v>
      </c>
      <c r="N38" s="9" t="n">
        <v>2855.3814668655396</v>
      </c>
      <c r="O38" s="9" t="n">
        <v>5706.4420557022095</v>
      </c>
      <c r="P38" s="9" t="n">
        <v>6665.711200714111</v>
      </c>
      <c r="Q38" s="9" t="n">
        <v>1099.2329893112183</v>
      </c>
      <c r="R38" s="9" t="n">
        <v>1188.8633995056152</v>
      </c>
      <c r="S38" s="9" t="n">
        <v>4204.391417503357</v>
      </c>
      <c r="T38" s="9" t="n">
        <v>0.0</v>
      </c>
      <c r="U38">
        <f si="1" t="shared"/>
        <v>65700.153245925903</v>
      </c>
    </row>
    <row r="39" spans="1:21" x14ac:dyDescent="0.25">
      <c r="A39" s="12">
        <v>0.75</v>
      </c>
      <c r="B39" s="6" t="n">
        <v>14927.669263074773</v>
      </c>
      <c r="C39" s="6" t="n">
        <v>2407.4613279783334</v>
      </c>
      <c r="D39" s="6" t="n">
        <v>4315.697291672853</v>
      </c>
      <c r="E39" s="6" t="n">
        <v>4734.11625807662</v>
      </c>
      <c r="F39" s="6" t="n">
        <v>927.4982954767482</v>
      </c>
      <c r="G39" s="6" t="n">
        <v>972.3787833811983</v>
      </c>
      <c r="H39" s="6" t="n">
        <v>3206.8549617709227</v>
      </c>
      <c r="I39" s="6" t="n">
        <v>0.0</v>
      </c>
      <c r="J39" s="6">
        <f si="0" t="shared"/>
        <v>62463.60394076012</v>
      </c>
      <c r="L39" s="12">
        <v>0.75</v>
      </c>
      <c r="M39" s="9" t="n">
        <v>14532.957738876343</v>
      </c>
      <c r="N39" s="9" t="n">
        <v>2906.3577518463135</v>
      </c>
      <c r="O39" s="9" t="n">
        <v>5345.747388839722</v>
      </c>
      <c r="P39" s="9" t="n">
        <v>6299.963154792786</v>
      </c>
      <c r="Q39" s="9" t="n">
        <v>1130.3289003372192</v>
      </c>
      <c r="R39" s="9" t="n">
        <v>1277.1981630325317</v>
      </c>
      <c r="S39" s="9" t="n">
        <v>4438.353434562683</v>
      </c>
      <c r="T39" s="9" t="n">
        <v>0.0</v>
      </c>
      <c r="U39">
        <f si="1" t="shared"/>
        <v>65687.968354225159</v>
      </c>
    </row>
    <row r="40" spans="1:21" x14ac:dyDescent="0.25">
      <c r="A40" s="12">
        <v>0.77083333333333337</v>
      </c>
      <c r="B40" s="6" t="n">
        <v>16898.73097921491</v>
      </c>
      <c r="C40" s="6" t="n">
        <v>2451.634136215429</v>
      </c>
      <c r="D40" s="6" t="n">
        <v>4127.045800585556</v>
      </c>
      <c r="E40" s="6" t="n">
        <v>4563.375579311264</v>
      </c>
      <c r="F40" s="6" t="n">
        <v>962.1018021076726</v>
      </c>
      <c r="G40" s="6" t="n">
        <v>1101.4087316547761</v>
      </c>
      <c r="H40" s="6" t="n">
        <v>3618.3568002096217</v>
      </c>
      <c r="I40" s="6" t="n">
        <v>0.0</v>
      </c>
      <c r="J40" s="6">
        <f si="0" t="shared"/>
        <v>60630.100444243137</v>
      </c>
      <c r="L40" s="12">
        <v>0.77083333333333337</v>
      </c>
      <c r="M40" s="9" t="n">
        <v>15997.920988082886</v>
      </c>
      <c r="N40" s="9" t="n">
        <v>2931.809208869934</v>
      </c>
      <c r="O40" s="9" t="n">
        <v>5041.4271421432495</v>
      </c>
      <c r="P40" s="9" t="n">
        <v>5967.308184623718</v>
      </c>
      <c r="Q40" s="9" t="n">
        <v>1161.470923423767</v>
      </c>
      <c r="R40" s="9" t="n">
        <v>1357.5398797988892</v>
      </c>
      <c r="S40" s="9" t="n">
        <v>4638.723352432251</v>
      </c>
      <c r="T40" s="9" t="n">
        <v>0.0</v>
      </c>
      <c r="U40">
        <f si="1" t="shared"/>
        <v>65074.558792114258</v>
      </c>
    </row>
    <row r="41" spans="1:21" x14ac:dyDescent="0.25">
      <c r="A41" s="12">
        <v>0.79166666666666663</v>
      </c>
      <c r="B41" s="6" t="n">
        <v>18173.727322275867</v>
      </c>
      <c r="C41" s="6" t="n">
        <v>2459.2210212740383</v>
      </c>
      <c r="D41" s="6" t="n">
        <v>3966.647936660588</v>
      </c>
      <c r="E41" s="6" t="n">
        <v>4492.587179618485</v>
      </c>
      <c r="F41" s="6" t="n">
        <v>975.90040911848</v>
      </c>
      <c r="G41" s="6" t="n">
        <v>1219.1422357592794</v>
      </c>
      <c r="H41" s="6" t="n">
        <v>3980.8483692530567</v>
      </c>
      <c r="I41" s="6" t="n">
        <v>0.0</v>
      </c>
      <c r="J41" s="6">
        <f si="0" t="shared"/>
        <v>58156.241888418823</v>
      </c>
      <c r="L41" s="12">
        <v>0.79166666666666663</v>
      </c>
      <c r="M41" s="9" t="n">
        <v>16971.107791900635</v>
      </c>
      <c r="N41" s="9" t="n">
        <v>2892.4639024734497</v>
      </c>
      <c r="O41" s="9" t="n">
        <v>4720.846467018127</v>
      </c>
      <c r="P41" s="9" t="n">
        <v>5601.9470109939575</v>
      </c>
      <c r="Q41" s="9" t="n">
        <v>1173.5892038345337</v>
      </c>
      <c r="R41" s="9" t="n">
        <v>1412.4720182418823</v>
      </c>
      <c r="S41" s="9" t="n">
        <v>4743.875787734985</v>
      </c>
      <c r="T41" s="9" t="n">
        <v>0.0</v>
      </c>
      <c r="U41">
        <f si="1" t="shared"/>
        <v>63187.096691131592</v>
      </c>
    </row>
    <row r="42" spans="1:21" x14ac:dyDescent="0.25">
      <c r="A42" s="12">
        <v>0.8125</v>
      </c>
      <c r="B42" s="6" t="n">
        <v>18508.588996368497</v>
      </c>
      <c r="C42" s="6" t="n">
        <v>2385.9234936201524</v>
      </c>
      <c r="D42" s="6" t="n">
        <v>3764.130494115405</v>
      </c>
      <c r="E42" s="6" t="n">
        <v>4400.028488415191</v>
      </c>
      <c r="F42" s="6" t="n">
        <v>944.2644309388085</v>
      </c>
      <c r="G42" s="6" t="n">
        <v>1277.5701497641307</v>
      </c>
      <c r="H42" s="6" t="n">
        <v>4183.261822396548</v>
      </c>
      <c r="I42" s="6" t="n">
        <v>0.0</v>
      </c>
      <c r="J42" s="6">
        <f si="0" t="shared"/>
        <v>54582.932940136867</v>
      </c>
      <c r="L42" s="12">
        <v>0.8125</v>
      </c>
      <c r="M42" s="9" t="n">
        <v>17161.69616127014</v>
      </c>
      <c r="N42" s="9" t="n">
        <v>2757.514720916748</v>
      </c>
      <c r="O42" s="9" t="n">
        <v>4315.878603935242</v>
      </c>
      <c r="P42" s="9" t="n">
        <v>5141.561774253845</v>
      </c>
      <c r="Q42" s="9" t="n">
        <v>1146.8991899490356</v>
      </c>
      <c r="R42" s="9" t="n">
        <v>1421.9555530548096</v>
      </c>
      <c r="S42" s="9" t="n">
        <v>4689.7929944992065</v>
      </c>
      <c r="T42" s="9" t="n">
        <v>0.0</v>
      </c>
      <c r="U42">
        <f si="1" t="shared"/>
        <v>59484.898281097412</v>
      </c>
    </row>
    <row r="43" spans="1:21" x14ac:dyDescent="0.25">
      <c r="A43" s="12">
        <v>0.83333333333333337</v>
      </c>
      <c r="B43" s="6" t="n">
        <v>17776.497213335766</v>
      </c>
      <c r="C43" s="6" t="n">
        <v>2212.500359694862</v>
      </c>
      <c r="D43" s="6" t="n">
        <v>3463.9664374125723</v>
      </c>
      <c r="E43" s="6" t="n">
        <v>4178.353011886231</v>
      </c>
      <c r="F43" s="6" t="n">
        <v>855.7846911639508</v>
      </c>
      <c r="G43" s="6" t="n">
        <v>1228.2046939063932</v>
      </c>
      <c r="H43" s="6" t="n">
        <v>4130.149567477347</v>
      </c>
      <c r="I43" s="6" t="n">
        <v>0.0</v>
      </c>
      <c r="J43" s="6">
        <f si="0" t="shared"/>
        <v>49589.42633782958</v>
      </c>
      <c r="L43" s="12">
        <v>0.83333333333333337</v>
      </c>
      <c r="M43" s="9" t="n">
        <v>16432.471598625183</v>
      </c>
      <c r="N43" s="9" t="n">
        <v>2517.183977127075</v>
      </c>
      <c r="O43" s="9" t="n">
        <v>3797.0236644744873</v>
      </c>
      <c r="P43" s="9" t="n">
        <v>4558.344598770142</v>
      </c>
      <c r="Q43" s="9" t="n">
        <v>1070.7049713134766</v>
      </c>
      <c r="R43" s="9" t="n">
        <v>1372.6040048599243</v>
      </c>
      <c r="S43" s="9" t="n">
        <v>4442.895143508911</v>
      </c>
      <c r="T43" s="9" t="n">
        <v>0.0</v>
      </c>
      <c r="U43">
        <f si="1" t="shared"/>
        <v>53800.894651412964</v>
      </c>
    </row>
    <row r="44" spans="1:21" x14ac:dyDescent="0.25">
      <c r="A44" s="12">
        <v>0.85416666666666663</v>
      </c>
      <c r="B44" s="6" t="n">
        <v>16009.863790964573</v>
      </c>
      <c r="C44" s="6" t="n">
        <v>1953.0811627942876</v>
      </c>
      <c r="D44" s="6" t="n">
        <v>3040.173726726345</v>
      </c>
      <c r="E44" s="6" t="n">
        <v>3776.356402937866</v>
      </c>
      <c r="F44" s="6" t="n">
        <v>721.5169596281198</v>
      </c>
      <c r="G44" s="6" t="n">
        <v>1057.7745030395745</v>
      </c>
      <c r="H44" s="6" t="n">
        <v>3797.3996068985207</v>
      </c>
      <c r="I44" s="6" t="n">
        <v>0.0</v>
      </c>
      <c r="J44" s="6">
        <f si="0" t="shared"/>
        <v>43163.091857042469</v>
      </c>
      <c r="L44" s="12">
        <v>0.85416666666666663</v>
      </c>
      <c r="M44" s="9" t="n">
        <v>14860.838871955872</v>
      </c>
      <c r="N44" s="9" t="n">
        <v>2188.263114929199</v>
      </c>
      <c r="O44" s="9" t="n">
        <v>3187.87464427948</v>
      </c>
      <c r="P44" s="9" t="n">
        <v>3872.785858154297</v>
      </c>
      <c r="Q44" s="9" t="n">
        <v>949.4689960479736</v>
      </c>
      <c r="R44" s="9" t="n">
        <v>1265.5909881591797</v>
      </c>
      <c r="S44" s="9" t="n">
        <v>4021.348340988159</v>
      </c>
      <c r="T44" s="9" t="n">
        <v>0.0</v>
      </c>
      <c r="U44">
        <f si="1" t="shared"/>
        <v>46519.714579582214</v>
      </c>
    </row>
    <row r="45" spans="1:21" x14ac:dyDescent="0.25">
      <c r="A45" s="12">
        <v>0.875</v>
      </c>
      <c r="B45" s="6" t="n">
        <v>13458.082733411531</v>
      </c>
      <c r="C45" s="6" t="n">
        <v>1642.2338424605641</v>
      </c>
      <c r="D45" s="6" t="n">
        <v>2507.970720303023</v>
      </c>
      <c r="E45" s="6" t="n">
        <v>3218.8589624377273</v>
      </c>
      <c r="F45" s="6" t="n">
        <v>572.4331906411752</v>
      </c>
      <c r="G45" s="6" t="n">
        <v>805.43712748028</v>
      </c>
      <c r="H45" s="6" t="n">
        <v>3244.7965252670574</v>
      </c>
      <c r="I45" s="6" t="n">
        <v>0.0</v>
      </c>
      <c r="J45" s="6">
        <f si="0" t="shared"/>
        <v>35714.374144800153</v>
      </c>
      <c r="L45" s="12">
        <v>0.875</v>
      </c>
      <c r="M45" s="9" t="n">
        <v>12719.597639083862</v>
      </c>
      <c r="N45" s="9" t="n">
        <v>1809.8201246261597</v>
      </c>
      <c r="O45" s="9" t="n">
        <v>2552.457100868225</v>
      </c>
      <c r="P45" s="9" t="n">
        <v>3145.1132440567017</v>
      </c>
      <c r="Q45" s="9" t="n">
        <v>801.1634979248047</v>
      </c>
      <c r="R45" s="9" t="n">
        <v>1117.4359903335571</v>
      </c>
      <c r="S45" s="9" t="n">
        <v>3489.963441848755</v>
      </c>
      <c r="T45" s="9" t="n">
        <v>0.0</v>
      </c>
      <c r="U45">
        <f si="1" t="shared"/>
        <v>38522.762751579285</v>
      </c>
    </row>
    <row r="46" spans="1:21" x14ac:dyDescent="0.25">
      <c r="A46" s="12">
        <v>0.89583333333333337</v>
      </c>
      <c r="B46" s="6" t="n">
        <v>10552.96008933006</v>
      </c>
      <c r="C46" s="6" t="n">
        <v>1313.6658469676506</v>
      </c>
      <c r="D46" s="6" t="n">
        <v>1924.1510215228961</v>
      </c>
      <c r="E46" s="6" t="n">
        <v>2584.5723460176705</v>
      </c>
      <c r="F46" s="6" t="n">
        <v>444.08797513073216</v>
      </c>
      <c r="G46" s="6" t="n">
        <v>542.1452984478763</v>
      </c>
      <c r="H46" s="6" t="n">
        <v>2579.504208896578</v>
      </c>
      <c r="I46" s="6" t="n">
        <v>0.0</v>
      </c>
      <c r="J46" s="6">
        <f si="0" t="shared"/>
        <v>27981.631844670545</v>
      </c>
      <c r="L46" s="12">
        <v>0.89583333333333337</v>
      </c>
      <c r="M46" s="9" t="n">
        <v>10370.867280960083</v>
      </c>
      <c r="N46" s="9" t="n">
        <v>1429.2812805175781</v>
      </c>
      <c r="O46" s="9" t="n">
        <v>1962.7670812606812</v>
      </c>
      <c r="P46" s="9" t="n">
        <v>2448.829592704773</v>
      </c>
      <c r="Q46" s="9" t="n">
        <v>648.5853977203369</v>
      </c>
      <c r="R46" s="9" t="n">
        <v>951.8906469345093</v>
      </c>
      <c r="S46" s="9" t="n">
        <v>2929.268102645874</v>
      </c>
      <c r="T46" s="9" t="n">
        <v>0.0</v>
      </c>
      <c r="U46">
        <f si="1" t="shared"/>
        <v>30827.717595100403</v>
      </c>
    </row>
    <row r="47" spans="1:21" x14ac:dyDescent="0.25">
      <c r="A47" s="12">
        <v>0.91666666666666663</v>
      </c>
      <c r="B47" s="6" t="n">
        <v>7751.610319992309</v>
      </c>
      <c r="C47" s="6" t="n">
        <v>990.6958273539577</v>
      </c>
      <c r="D47" s="6" t="n">
        <v>1366.6804707142933</v>
      </c>
      <c r="E47" s="6" t="n">
        <v>1959.9281264177705</v>
      </c>
      <c r="F47" s="6" t="n">
        <v>356.86133313145643</v>
      </c>
      <c r="G47" s="6" t="n">
        <v>329.2867671171137</v>
      </c>
      <c r="H47" s="6" t="n">
        <v>1906.7080696951907</v>
      </c>
      <c r="I47" s="6" t="n">
        <v>0.0</v>
      </c>
      <c r="J47" s="6">
        <f si="0" t="shared"/>
        <v>20740.099651939501</v>
      </c>
      <c r="L47" s="12">
        <v>0.91666666666666663</v>
      </c>
      <c r="M47" s="9" t="n">
        <v>8124.206654548645</v>
      </c>
      <c r="N47" s="9" t="n">
        <v>1085.0657110214233</v>
      </c>
      <c r="O47" s="9" t="n">
        <v>1466.2009840011597</v>
      </c>
      <c r="P47" s="9" t="n">
        <v>1840.293969154358</v>
      </c>
      <c r="Q47" s="9" t="n">
        <v>509.1428565979004</v>
      </c>
      <c r="R47" s="9" t="n">
        <v>788.1767835617065</v>
      </c>
      <c r="S47" s="9" t="n">
        <v>2398.1784744262695</v>
      </c>
      <c r="T47" s="9" t="n">
        <v>0.0</v>
      </c>
      <c r="U47">
        <f si="1" t="shared"/>
        <v>24123.029413223267</v>
      </c>
    </row>
    <row r="48" spans="1:21" x14ac:dyDescent="0.25">
      <c r="A48" s="12">
        <v>0.9375</v>
      </c>
      <c r="B48" s="6" t="n">
        <v>5366.056173184724</v>
      </c>
      <c r="C48" s="6" t="n">
        <v>691.9091653492658</v>
      </c>
      <c r="D48" s="6" t="n">
        <v>900.8697572853839</v>
      </c>
      <c r="E48" s="6" t="n">
        <v>1404.8553968734368</v>
      </c>
      <c r="F48" s="6" t="n">
        <v>305.7060575244103</v>
      </c>
      <c r="G48" s="6" t="n">
        <v>190.64484473206193</v>
      </c>
      <c r="H48" s="6" t="n">
        <v>1302.3678698289866</v>
      </c>
      <c r="I48" s="6" t="n">
        <v>0.0</v>
      </c>
      <c r="J48" s="6">
        <f si="0" t="shared"/>
        <v>14531.071234437277</v>
      </c>
      <c r="L48" s="12">
        <v>0.9375</v>
      </c>
      <c r="M48" s="9" t="n">
        <v>6146.013904571533</v>
      </c>
      <c r="N48" s="9" t="n">
        <v>795.8948545455933</v>
      </c>
      <c r="O48" s="9" t="n">
        <v>1072.4530944824219</v>
      </c>
      <c r="P48" s="9" t="n">
        <v>1341.7639513015747</v>
      </c>
      <c r="Q48" s="9" t="n">
        <v>389.66908073425293</v>
      </c>
      <c r="R48" s="9" t="n">
        <v>634.3597803115845</v>
      </c>
      <c r="S48" s="9" t="n">
        <v>1916.0953187942505</v>
      </c>
      <c r="T48" s="9" t="n">
        <v>0.0</v>
      </c>
      <c r="U48">
        <f si="1" t="shared"/>
        <v>18546.263427734375</v>
      </c>
    </row>
    <row r="49" spans="1:21" x14ac:dyDescent="0.25">
      <c r="A49" s="12">
        <v>0.95833333333333337</v>
      </c>
      <c r="B49" s="6" t="n">
        <v>3506.4624271637576</v>
      </c>
      <c r="C49" s="6" t="n">
        <v>437.42352965760114</v>
      </c>
      <c r="D49" s="6" t="n">
        <v>555.0613818032278</v>
      </c>
      <c r="E49" s="6" t="n">
        <v>947.0655303888493</v>
      </c>
      <c r="F49" s="6" t="n">
        <v>267.87651040288705</v>
      </c>
      <c r="G49" s="6" t="n">
        <v>114.37360256530911</v>
      </c>
      <c r="H49" s="6" t="n">
        <v>811.1534044388329</v>
      </c>
      <c r="I49" s="6" t="n">
        <v>0.0</v>
      </c>
      <c r="J49" s="6">
        <f si="0" t="shared"/>
        <v>9584.9730071624126</v>
      </c>
      <c r="L49" s="12">
        <v>0.95833333333333337</v>
      </c>
      <c r="M49" s="9" t="n">
        <v>4469.8594579696655</v>
      </c>
      <c r="N49" s="9" t="n">
        <v>562.5115127563477</v>
      </c>
      <c r="O49" s="9" t="n">
        <v>764.5123491287231</v>
      </c>
      <c r="P49" s="9" t="n">
        <v>946.1655216217041</v>
      </c>
      <c r="Q49" s="9" t="n">
        <v>288.69980239868164</v>
      </c>
      <c r="R49" s="9" t="n">
        <v>490.22517585754395</v>
      </c>
      <c r="S49" s="9" t="n">
        <v>1475.1444873809814</v>
      </c>
      <c r="T49" s="9" t="n">
        <v>0.0</v>
      </c>
      <c r="U49">
        <f si="1" t="shared"/>
        <v>13858.2612657547</v>
      </c>
    </row>
    <row r="50" spans="1:21" x14ac:dyDescent="0.25">
      <c r="A50" s="12">
        <v>0.97916666666666663</v>
      </c>
      <c r="B50" s="6" t="n">
        <v>2144.8802647183293</v>
      </c>
      <c r="C50" s="6" t="n">
        <v>244.56811392512782</v>
      </c>
      <c r="D50" s="6" t="n">
        <v>321.3132839493853</v>
      </c>
      <c r="E50" s="6" t="n">
        <v>593.324522481204</v>
      </c>
      <c r="F50" s="6" t="n">
        <v>222.33094134806885</v>
      </c>
      <c r="G50" s="6" t="n">
        <v>74.26339268544207</v>
      </c>
      <c r="H50" s="6" t="n">
        <v>451.9364428526737</v>
      </c>
      <c r="I50" s="6" t="n">
        <v>0.0</v>
      </c>
      <c r="J50" s="6">
        <f si="0" t="shared"/>
        <v>5901.3523908506531</v>
      </c>
      <c r="L50" s="12">
        <v>0.97916666666666663</v>
      </c>
      <c r="M50" s="9" t="n">
        <v>3074.5794134140015</v>
      </c>
      <c r="N50" s="9" t="n">
        <v>377.74972438812256</v>
      </c>
      <c r="O50" s="9" t="n">
        <v>520.5758428573608</v>
      </c>
      <c r="P50" s="9" t="n">
        <v>635.5461292266846</v>
      </c>
      <c r="Q50" s="9" t="n">
        <v>202.8221960067749</v>
      </c>
      <c r="R50" s="9" t="n">
        <v>355.548131942749</v>
      </c>
      <c r="S50" s="9" t="n">
        <v>1068.2520065307617</v>
      </c>
      <c r="T50" s="9" t="n">
        <v>0.0</v>
      </c>
      <c r="U50">
        <f si="1" t="shared"/>
        <v>9811.645336151123</v>
      </c>
    </row>
    <row r="51" spans="1:21" x14ac:dyDescent="0.25">
      <c r="A51" s="12">
        <v>1</v>
      </c>
      <c r="B51" s="6" t="n">
        <v>1205.355741354648</v>
      </c>
      <c r="C51" s="6" t="n">
        <v>118.34960432768824</v>
      </c>
      <c r="D51" s="6" t="n">
        <v>173.78309276875086</v>
      </c>
      <c r="E51" s="6" t="n">
        <v>339.58591295188614</v>
      </c>
      <c r="F51" s="6" t="n">
        <v>164.27743319445955</v>
      </c>
      <c r="G51" s="6" t="n">
        <v>49.353354118778356</v>
      </c>
      <c r="H51" s="6" t="n">
        <v>220.1968442544175</v>
      </c>
      <c r="I51" s="6" t="n">
        <v>0.0</v>
      </c>
      <c r="J51" s="6">
        <f si="0" t="shared"/>
        <v>3349.4268440607807</v>
      </c>
      <c r="L51" s="12">
        <v>1</v>
      </c>
      <c r="M51" s="9" t="n">
        <v>1951.3179769515991</v>
      </c>
      <c r="N51" s="9" t="n">
        <v>235.4788761138916</v>
      </c>
      <c r="O51" s="9" t="n">
        <v>328.7011909484863</v>
      </c>
      <c r="P51" s="9" t="n">
        <v>396.61803817749023</v>
      </c>
      <c r="Q51" s="9" t="n">
        <v>131.32008838653564</v>
      </c>
      <c r="R51" s="9" t="n">
        <v>235.4789695739746</v>
      </c>
      <c r="S51" s="9" t="n">
        <v>707.0310373306274</v>
      </c>
      <c r="T51" s="9" t="n">
        <v>0.0</v>
      </c>
      <c r="U51">
        <f si="1" t="shared"/>
        <v>6378.4411239624023</v>
      </c>
    </row>
    <row r="52" spans="1:21" x14ac:dyDescent="0.25">
      <c r="A52" s="12">
        <v>1.0208333333333333</v>
      </c>
      <c r="B52" s="6" t="n">
        <v>607.1627011246128</v>
      </c>
      <c r="C52" s="6" t="n">
        <v>48.56914753966066</v>
      </c>
      <c r="D52" s="6" t="n">
        <v>86.09120724349258</v>
      </c>
      <c r="E52" s="6" t="n">
        <v>174.0845875846934</v>
      </c>
      <c r="F52" s="6" t="n">
        <v>104.09839174851254</v>
      </c>
      <c r="G52" s="6" t="n">
        <v>30.472987593374338</v>
      </c>
      <c r="H52" s="6" t="n">
        <v>91.52206966351446</v>
      </c>
      <c r="I52" s="6" t="n">
        <v>0.0</v>
      </c>
      <c r="J52" s="6">
        <f si="0" t="shared"/>
        <v>1726.1749555988135</v>
      </c>
      <c r="L52" s="12">
        <v>1.0208333333333333</v>
      </c>
      <c r="M52" s="9" t="n">
        <v>1111.4874830245972</v>
      </c>
      <c r="N52" s="9" t="n">
        <v>132.55163764953613</v>
      </c>
      <c r="O52" s="9" t="n">
        <v>186.5324249267578</v>
      </c>
      <c r="P52" s="9" t="n">
        <v>223.37961673736572</v>
      </c>
      <c r="Q52" s="9" t="n">
        <v>76.06944942474365</v>
      </c>
      <c r="R52" s="9" t="n">
        <v>138.61455154418945</v>
      </c>
      <c r="S52" s="9" t="n">
        <v>415.86774730682373</v>
      </c>
      <c r="T52" s="9" t="n">
        <v>0.0</v>
      </c>
      <c r="U52">
        <f si="1" t="shared"/>
        <v>3694.759259223938</v>
      </c>
    </row>
    <row r="53" spans="1:21" x14ac:dyDescent="0.25">
      <c r="A53" s="12">
        <v>4.1666666666666664E-2</v>
      </c>
      <c r="B53" s="6" t="n">
        <v>267.17557364495417</v>
      </c>
      <c r="C53" s="6" t="n">
        <v>16.551490604839994</v>
      </c>
      <c r="D53" s="6" t="n">
        <v>37.919038907566964</v>
      </c>
      <c r="E53" s="6" t="n">
        <v>78.2519351148767</v>
      </c>
      <c r="F53" s="6" t="n">
        <v>55.285243969786</v>
      </c>
      <c r="G53" s="6" t="n">
        <v>16.290300143845066</v>
      </c>
      <c r="H53" s="6" t="n">
        <v>31.571378912685923</v>
      </c>
      <c r="I53" s="6" t="n">
        <v>0.0</v>
      </c>
      <c r="J53" s="6">
        <f si="0" t="shared"/>
        <v>793.55164114497416</v>
      </c>
      <c r="L53" s="12">
        <v>4.1666666666666664E-2</v>
      </c>
      <c r="M53" s="9" t="n">
        <v>552.9509563446045</v>
      </c>
      <c r="N53" s="9" t="n">
        <v>65.5106840133667</v>
      </c>
      <c r="O53" s="9" t="n">
        <v>92.42254257202148</v>
      </c>
      <c r="P53" s="9" t="n">
        <v>110.31225204467773</v>
      </c>
      <c r="Q53" s="9" t="n">
        <v>38.34541702270508</v>
      </c>
      <c r="R53" s="9" t="n">
        <v>70.71866035461426</v>
      </c>
      <c r="S53" s="9" t="n">
        <v>211.87679290771484</v>
      </c>
      <c r="T53" s="9" t="n">
        <v>0.0</v>
      </c>
      <c r="U53">
        <f si="1" t="shared"/>
        <v>1857.0069694519043</v>
      </c>
    </row>
    <row r="54" spans="1:21" x14ac:dyDescent="0.25">
      <c r="A54" s="12">
        <v>6.25E-2</v>
      </c>
      <c r="B54" s="6" t="n">
        <v>100.16680559292594</v>
      </c>
      <c r="C54" s="6" t="n">
        <v>4.5703839056162945</v>
      </c>
      <c r="D54" s="6" t="n">
        <v>14.36996728767749</v>
      </c>
      <c r="E54" s="6" t="n">
        <v>30.140150887091735</v>
      </c>
      <c r="F54" s="6" t="n">
        <v>24.159622693863394</v>
      </c>
      <c r="G54" s="6" t="n">
        <v>7.237410256400996</v>
      </c>
      <c r="H54" s="6" t="n">
        <v>8.747724282496227</v>
      </c>
      <c r="I54" s="6" t="n">
        <v>0.0</v>
      </c>
      <c r="J54" s="6">
        <f si="0" t="shared"/>
        <v>318.42133867148073</v>
      </c>
      <c r="L54" s="12">
        <v>6.25E-2</v>
      </c>
      <c r="M54" s="9" t="n">
        <v>233.96874904632568</v>
      </c>
      <c r="N54" s="9" t="n">
        <v>27.652125358581543</v>
      </c>
      <c r="O54" s="9" t="n">
        <v>38.92110347747803</v>
      </c>
      <c r="P54" s="9" t="n">
        <v>46.45195484161377</v>
      </c>
      <c r="Q54" s="9" t="n">
        <v>16.38560199737549</v>
      </c>
      <c r="R54" s="9" t="n">
        <v>30.51770305633545</v>
      </c>
      <c r="S54" s="9" t="n">
        <v>91.24273300170898</v>
      </c>
      <c r="T54" s="9" t="n">
        <v>0.0</v>
      </c>
      <c r="U54">
        <f si="1" t="shared"/>
        <v>790.06365776062012</v>
      </c>
    </row>
    <row r="55" spans="1:21" x14ac:dyDescent="0.25">
      <c r="A55" s="12">
        <v>8.3333333333333329E-2</v>
      </c>
      <c r="B55" s="6" t="n">
        <v>31.185710971322425</v>
      </c>
      <c r="C55" s="6" t="n">
        <v>0.9905980325757134</v>
      </c>
      <c r="D55" s="6" t="n">
        <v>4.534832152091257</v>
      </c>
      <c r="E55" s="6" t="n">
        <v>9.687907496880445</v>
      </c>
      <c r="F55" s="6" t="n">
        <v>8.515602537158516</v>
      </c>
      <c r="G55" s="6" t="n">
        <v>2.5973920560177453</v>
      </c>
      <c r="H55" s="6" t="n">
        <v>1.8639232577613454</v>
      </c>
      <c r="I55" s="6" t="n">
        <v>0.0</v>
      </c>
      <c r="J55" s="6">
        <f si="0" t="shared"/>
        <v>108.49194706298425</v>
      </c>
      <c r="L55" s="12">
        <v>8.3333333333333329E-2</v>
      </c>
      <c r="M55" s="9" t="n">
        <v>81.89904403686523</v>
      </c>
      <c r="N55" s="9" t="n">
        <v>9.685824394226074</v>
      </c>
      <c r="O55" s="9" t="n">
        <v>13.552434921264648</v>
      </c>
      <c r="P55" s="9" t="n">
        <v>16.208003997802734</v>
      </c>
      <c r="Q55" s="9" t="n">
        <v>5.776630401611328</v>
      </c>
      <c r="R55" s="9" t="n">
        <v>10.853694915771484</v>
      </c>
      <c r="S55" s="9" t="n">
        <v>32.36305522918701</v>
      </c>
      <c r="T55" s="9" t="n">
        <v>0.0</v>
      </c>
      <c r="U55">
        <f si="1" t="shared"/>
        <v>277.25254535675049</v>
      </c>
    </row>
    <row r="56" spans="1:21" x14ac:dyDescent="0.25">
      <c r="A56" s="12">
        <v>0.10416666666666667</v>
      </c>
      <c r="B56" s="6" t="n">
        <v>7.824772480950527</v>
      </c>
      <c r="C56" s="6" t="n">
        <v>0.16105504879941346</v>
      </c>
      <c r="D56" s="6" t="n">
        <v>1.1512280782249287</v>
      </c>
      <c r="E56" s="6" t="n">
        <v>2.514647016425779</v>
      </c>
      <c r="F56" s="6" t="n">
        <v>2.3577462332308805</v>
      </c>
      <c r="G56" s="6" t="n">
        <v>0.7314249547150472</v>
      </c>
      <c r="H56" s="6" t="n">
        <v>0.28594509270751634</v>
      </c>
      <c r="I56" s="6" t="n">
        <v>0.0</v>
      </c>
      <c r="J56" s="6">
        <f si="0" t="shared"/>
        <v>30.281364727193438</v>
      </c>
      <c r="L56" s="12">
        <v>0.10416666666666667</v>
      </c>
      <c r="M56" s="9" t="n">
        <v>22.95494842529297</v>
      </c>
      <c r="N56" s="9" t="n">
        <v>2.7226266860961914</v>
      </c>
      <c r="O56" s="9" t="n">
        <v>3.777838706970215</v>
      </c>
      <c r="P56" s="9" t="n">
        <v>4.53275203704834</v>
      </c>
      <c r="Q56" s="9" t="n">
        <v>1.6271915435791016</v>
      </c>
      <c r="R56" s="9" t="n">
        <v>3.0830020904541016</v>
      </c>
      <c r="S56" s="9" t="n">
        <v>9.163596153259277</v>
      </c>
      <c r="T56" s="9" t="n">
        <v>0.0</v>
      </c>
      <c r="U56">
        <f si="1" t="shared"/>
        <v>77.782635688781738</v>
      </c>
    </row>
    <row r="57" spans="1:21" x14ac:dyDescent="0.25">
      <c r="A57" s="12">
        <v>0.125</v>
      </c>
      <c r="B57" s="6" t="n">
        <v>1.500529532589449</v>
      </c>
      <c r="C57" s="6" t="n">
        <v>0.01824645663279921</v>
      </c>
      <c r="D57" s="6" t="n">
        <v>0.22246760630470785</v>
      </c>
      <c r="E57" s="6" t="n">
        <v>0.4976215019026359</v>
      </c>
      <c r="F57" s="6" t="n">
        <v>0.4866416327893153</v>
      </c>
      <c r="G57" s="6" t="n">
        <v>0.15324552132859348</v>
      </c>
      <c r="H57" s="6" t="n">
        <v>0.028062688552122572</v>
      </c>
      <c r="I57" s="6" t="n">
        <v>0.0</v>
      </c>
      <c r="J57" s="6">
        <f si="0" t="shared"/>
        <v>6.4949261991346745</v>
      </c>
      <c r="L57" s="12">
        <v>0.125</v>
      </c>
      <c r="M57" s="9" t="n">
        <v>4.861164093017578</v>
      </c>
      <c r="N57" s="9" t="n">
        <v>0.579045295715332</v>
      </c>
      <c r="O57" s="9" t="n">
        <v>0.7958583831787109</v>
      </c>
      <c r="P57" s="9" t="n">
        <v>0.9583902359008789</v>
      </c>
      <c r="Q57" s="9" t="n">
        <v>0.34573936462402344</v>
      </c>
      <c r="R57" s="9" t="n">
        <v>0.660334587097168</v>
      </c>
      <c r="S57" s="9" t="n">
        <v>1.9560823440551758</v>
      </c>
      <c r="T57" s="9" t="n">
        <v>0.0</v>
      </c>
      <c r="U57">
        <f si="1" t="shared"/>
        <v>16.476755142211914</v>
      </c>
    </row>
    <row ht="15.75" r="58" spans="1:21" thickBot="1" x14ac:dyDescent="0.3">
      <c r="A58" s="13" t="s">
        <v>6</v>
      </c>
      <c r="B58" s="7" t="n">
        <v>0.0</v>
      </c>
      <c r="C58" s="7" t="n">
        <v>0.0</v>
      </c>
      <c r="D58" s="7" t="n">
        <v>0.0</v>
      </c>
      <c r="E58" s="7" t="n">
        <v>0.0</v>
      </c>
      <c r="F58" s="7" t="n">
        <v>0.0</v>
      </c>
      <c r="G58" s="7" t="n">
        <v>0.0</v>
      </c>
      <c r="H58" s="7" t="n">
        <v>0.0</v>
      </c>
      <c r="I58" s="7" t="n">
        <v>0.0</v>
      </c>
      <c r="J58" s="7">
        <f si="0" t="shared"/>
        <v>0</v>
      </c>
      <c r="L58" s="13" t="s">
        <v>6</v>
      </c>
      <c r="M58" s="10" t="n">
        <v>0.0</v>
      </c>
      <c r="N58" s="10" t="n">
        <v>0.0</v>
      </c>
      <c r="O58" s="10" t="n">
        <v>0.0</v>
      </c>
      <c r="P58" s="10" t="n">
        <v>0.0</v>
      </c>
      <c r="Q58" s="10" t="n">
        <v>0.0</v>
      </c>
      <c r="R58" s="10" t="n">
        <v>0.0</v>
      </c>
      <c r="S58" s="10" t="n">
        <v>0.0</v>
      </c>
      <c r="T58" s="10" t="n">
        <v>0.0</v>
      </c>
      <c r="U58" s="1">
        <f si="1" t="shared"/>
        <v>0</v>
      </c>
    </row>
  </sheetData>
  <pageMargins bottom="0.75" footer="0.3" header="0.3" left="0.7" right="0.7" top="0.75"/>
  <drawing r:id="rId1"/>
</worksheet>
</file>

<file path=xl/worksheets/sheet1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AA58"/>
  <sheetViews>
    <sheetView workbookViewId="0">
      <selection activeCell="U1" sqref="U1:U1048576"/>
    </sheetView>
  </sheetViews>
  <sheetFormatPr defaultRowHeight="15" x14ac:dyDescent="0.25"/>
  <cols>
    <col min="1" max="1" customWidth="true" width="12.7109375" collapsed="true"/>
    <col min="2" max="10" customWidth="true" width="10.7109375" collapsed="true"/>
    <col min="11" max="11" customWidth="true" width="6.42578125" collapsed="true"/>
    <col min="12" max="12" customWidth="true" width="12.7109375" collapsed="true"/>
    <col min="13" max="21" customWidth="true" width="10.7109375" collapsed="true"/>
  </cols>
  <sheetData>
    <row r="1" spans="1:26" x14ac:dyDescent="0.25">
      <c r="A1" t="s">
        <v>44</v>
      </c>
    </row>
    <row r="2" spans="1:26" x14ac:dyDescent="0.25">
      <c r="A2" t="s">
        <v>59</v>
      </c>
    </row>
    <row r="3" spans="1:26" x14ac:dyDescent="0.25">
      <c r="A3" t="s">
        <v>7</v>
      </c>
    </row>
    <row r="4" spans="1:26" x14ac:dyDescent="0.25">
      <c r="A4" t="s">
        <v>8</v>
      </c>
    </row>
    <row r="5" spans="1:26" x14ac:dyDescent="0.25">
      <c r="W5" s="5"/>
      <c r="X5" s="5"/>
      <c r="Y5" s="5"/>
      <c r="Z5" s="5"/>
    </row>
    <row ht="15.75" r="6" spans="1:26" thickBot="1" x14ac:dyDescent="0.3">
      <c r="A6" s="3" t="s">
        <v>58</v>
      </c>
      <c r="B6" s="1"/>
      <c r="C6" s="1"/>
      <c r="D6" s="1"/>
      <c r="E6" s="1"/>
      <c r="F6" s="1"/>
      <c r="G6" s="1"/>
      <c r="H6" s="1"/>
      <c r="I6" s="1"/>
      <c r="J6" s="1"/>
      <c r="L6" s="3" t="s">
        <v>45</v>
      </c>
      <c r="M6" s="1"/>
      <c r="N6" s="1"/>
      <c r="O6" s="1"/>
      <c r="P6" s="1"/>
      <c r="Q6" s="1"/>
      <c r="R6" s="1"/>
      <c r="S6" s="1"/>
      <c r="T6" s="1"/>
      <c r="U6" s="1"/>
      <c r="W6" s="11"/>
      <c r="X6" s="5"/>
      <c r="Y6" s="5"/>
      <c r="Z6" s="5"/>
    </row>
    <row r="7" spans="1:26" x14ac:dyDescent="0.25">
      <c r="A7" s="2" t="s">
        <v>4</v>
      </c>
      <c r="B7" s="4" t="s">
        <v>17</v>
      </c>
      <c r="C7" s="4" t="s">
        <v>18</v>
      </c>
      <c r="D7" s="4" t="s">
        <v>19</v>
      </c>
      <c r="E7" s="4" t="s">
        <v>20</v>
      </c>
      <c r="F7" s="4" t="s">
        <v>21</v>
      </c>
      <c r="G7" s="4" t="s">
        <v>24</v>
      </c>
      <c r="H7" s="4" t="s">
        <v>22</v>
      </c>
      <c r="I7" s="4" t="s">
        <v>23</v>
      </c>
      <c r="J7" s="4" t="s">
        <v>0</v>
      </c>
      <c r="L7" s="2" t="s">
        <v>4</v>
      </c>
      <c r="M7" s="4" t="s">
        <v>17</v>
      </c>
      <c r="N7" s="4" t="s">
        <v>18</v>
      </c>
      <c r="O7" s="4" t="s">
        <v>19</v>
      </c>
      <c r="P7" s="4" t="s">
        <v>20</v>
      </c>
      <c r="Q7" s="4" t="s">
        <v>21</v>
      </c>
      <c r="R7" s="4" t="s">
        <v>24</v>
      </c>
      <c r="S7" s="4" t="s">
        <v>22</v>
      </c>
      <c r="T7" s="4" t="s">
        <v>23</v>
      </c>
      <c r="U7" s="4" t="s">
        <v>0</v>
      </c>
      <c r="W7" s="5"/>
      <c r="X7" s="14"/>
      <c r="Y7" s="14"/>
      <c r="Z7" s="5"/>
    </row>
    <row r="8" spans="1:26" x14ac:dyDescent="0.25">
      <c r="A8" t="s">
        <v>5</v>
      </c>
      <c r="B8" s="6" t="n">
        <v>0.0</v>
      </c>
      <c r="C8" s="6" t="n">
        <v>0.0</v>
      </c>
      <c r="D8" s="6" t="n">
        <v>0.0</v>
      </c>
      <c r="E8" s="6" t="n">
        <v>0.0</v>
      </c>
      <c r="F8" s="6" t="n">
        <v>0.0</v>
      </c>
      <c r="G8" s="6" t="n">
        <v>0.0</v>
      </c>
      <c r="H8" s="6" t="n">
        <v>0.0</v>
      </c>
      <c r="I8" s="6" t="n">
        <v>0.0</v>
      </c>
      <c r="J8" s="6">
        <f>SUM(B8:I8)</f>
        <v>0</v>
      </c>
      <c r="L8" t="s">
        <v>5</v>
      </c>
      <c r="M8" s="9" t="n">
        <v>9.0</v>
      </c>
      <c r="N8" s="9" t="n">
        <v>2.0</v>
      </c>
      <c r="O8" s="9" t="n">
        <v>0.0</v>
      </c>
      <c r="P8" s="9" t="n">
        <v>0.0</v>
      </c>
      <c r="Q8" s="9" t="n">
        <v>1.0</v>
      </c>
      <c r="R8" s="9" t="n">
        <v>0.0</v>
      </c>
      <c r="S8" s="9" t="n">
        <v>0.0</v>
      </c>
      <c r="T8" s="9" t="n">
        <v>0.0</v>
      </c>
      <c r="U8">
        <f>SUM(M8:T8)</f>
        <v>75</v>
      </c>
      <c r="W8" s="5"/>
      <c r="X8" s="16"/>
      <c r="Y8" s="16"/>
      <c r="Z8" s="5"/>
    </row>
    <row r="9" spans="1:26" x14ac:dyDescent="0.25">
      <c r="A9" s="12">
        <v>0.125</v>
      </c>
      <c r="B9" s="6" t="n">
        <v>0.06970912269265522</v>
      </c>
      <c r="C9" s="6" t="n">
        <v>0.0</v>
      </c>
      <c r="D9" s="6" t="n">
        <v>0.0</v>
      </c>
      <c r="E9" s="6" t="n">
        <v>0.0</v>
      </c>
      <c r="F9" s="6" t="n">
        <v>0.0</v>
      </c>
      <c r="G9" s="6" t="n">
        <v>0.0</v>
      </c>
      <c r="H9" s="6" t="n">
        <v>0.0</v>
      </c>
      <c r="I9" s="6" t="n">
        <v>0.0</v>
      </c>
      <c r="J9" s="6">
        <f ref="J9:J58" si="0" t="shared">SUM(B9:I9)</f>
        <v>4.4417298594485626</v>
      </c>
      <c r="L9" s="12">
        <v>0.125</v>
      </c>
      <c r="M9" s="9" t="n">
        <v>8.32999324798584</v>
      </c>
      <c r="N9" s="9" t="n">
        <v>1.4998455047607422</v>
      </c>
      <c r="O9" s="9" t="n">
        <v>0.0</v>
      </c>
      <c r="P9" s="9" t="n">
        <v>0.0</v>
      </c>
      <c r="Q9" s="9" t="n">
        <v>0.6681032180786133</v>
      </c>
      <c r="R9" s="9" t="n">
        <v>2.002716064453125E-4</v>
      </c>
      <c r="S9" s="9" t="n">
        <v>0.0</v>
      </c>
      <c r="T9" s="9" t="n">
        <v>0.0</v>
      </c>
      <c r="U9">
        <f ref="U9:U58" si="1" t="shared">SUM(M9:T9)</f>
        <v>71.934614181518555</v>
      </c>
      <c r="W9" s="5"/>
      <c r="X9" s="16"/>
      <c r="Y9" s="16"/>
      <c r="Z9" s="5"/>
    </row>
    <row r="10" spans="1:26" x14ac:dyDescent="0.25">
      <c r="A10" s="12">
        <v>0.14583333333333334</v>
      </c>
      <c r="B10" s="6" t="n">
        <v>0.46267711058416094</v>
      </c>
      <c r="C10" s="6" t="n">
        <v>1.3833088795497055E-4</v>
      </c>
      <c r="D10" s="6" t="n">
        <v>0.0</v>
      </c>
      <c r="E10" s="6" t="n">
        <v>0.0</v>
      </c>
      <c r="F10" s="6" t="n">
        <v>0.0</v>
      </c>
      <c r="G10" s="6" t="n">
        <v>0.0</v>
      </c>
      <c r="H10" s="6" t="n">
        <v>0.0</v>
      </c>
      <c r="I10" s="6" t="n">
        <v>0.0</v>
      </c>
      <c r="J10" s="6">
        <f si="0" t="shared"/>
        <v>13.917985948258814</v>
      </c>
      <c r="L10" s="12">
        <v>0.14583333333333334</v>
      </c>
      <c r="M10" s="9" t="n">
        <v>8.322311401367188</v>
      </c>
      <c r="N10" s="9" t="n">
        <v>1.1115140914916992</v>
      </c>
      <c r="O10" s="9" t="n">
        <v>0.0</v>
      </c>
      <c r="P10" s="9" t="n">
        <v>0.0</v>
      </c>
      <c r="Q10" s="9" t="n">
        <v>0.3984804153442383</v>
      </c>
      <c r="R10" s="9" t="n">
        <v>0.0012884140014648438</v>
      </c>
      <c r="S10" s="9" t="n">
        <v>0.0</v>
      </c>
      <c r="T10" s="9" t="n">
        <v>0.0</v>
      </c>
      <c r="U10">
        <f si="1" t="shared"/>
        <v>79.519104957580566</v>
      </c>
      <c r="W10" s="5"/>
      <c r="X10" s="16"/>
      <c r="Y10" s="16"/>
      <c r="Z10" s="5"/>
    </row>
    <row r="11" spans="1:26" x14ac:dyDescent="0.25">
      <c r="A11" s="12">
        <v>0.16666666666666666</v>
      </c>
      <c r="B11" s="6" t="n">
        <v>2.2047270667639522</v>
      </c>
      <c r="C11" s="6" t="n">
        <v>0.0029520703885913976</v>
      </c>
      <c r="D11" s="6" t="n">
        <v>0.0</v>
      </c>
      <c r="E11" s="6" t="n">
        <v>0.0</v>
      </c>
      <c r="F11" s="6" t="n">
        <v>0.0</v>
      </c>
      <c r="G11" s="6" t="n">
        <v>0.0</v>
      </c>
      <c r="H11" s="6" t="n">
        <v>0.0</v>
      </c>
      <c r="I11" s="6" t="n">
        <v>0.0</v>
      </c>
      <c r="J11" s="6">
        <f si="0" t="shared"/>
        <v>34.274866636350893</v>
      </c>
      <c r="L11" s="12">
        <v>0.16666666666666666</v>
      </c>
      <c r="M11" s="9" t="n">
        <v>9.523153305053711</v>
      </c>
      <c r="N11" s="9" t="n">
        <v>0.925166130065918</v>
      </c>
      <c r="O11" s="9" t="n">
        <v>0.0</v>
      </c>
      <c r="P11" s="9" t="n">
        <v>0.0</v>
      </c>
      <c r="Q11" s="9" t="n">
        <v>0.2288055419921875</v>
      </c>
      <c r="R11" s="9" t="n">
        <v>0.005908966064453125</v>
      </c>
      <c r="S11" s="9" t="n">
        <v>0.0</v>
      </c>
      <c r="T11" s="9" t="n">
        <v>0.0</v>
      </c>
      <c r="U11">
        <f si="1" t="shared"/>
        <v>106.44105911254883</v>
      </c>
      <c r="W11" s="5"/>
      <c r="X11" s="16"/>
      <c r="Y11" s="16"/>
      <c r="Z11" s="5"/>
    </row>
    <row r="12" spans="1:26" x14ac:dyDescent="0.25">
      <c r="A12" s="12">
        <v>0.1875</v>
      </c>
      <c r="B12" s="6" t="n">
        <v>8.098271434190432</v>
      </c>
      <c r="C12" s="6" t="n">
        <v>0.030158731049704374</v>
      </c>
      <c r="D12" s="6" t="n">
        <v>0.0</v>
      </c>
      <c r="E12" s="6" t="n">
        <v>0.0</v>
      </c>
      <c r="F12" s="6" t="n">
        <v>0.0</v>
      </c>
      <c r="G12" s="6" t="n">
        <v>0.0</v>
      </c>
      <c r="H12" s="6" t="n">
        <v>0.0</v>
      </c>
      <c r="I12" s="6" t="n">
        <v>0.0</v>
      </c>
      <c r="J12" s="6">
        <f si="0" t="shared"/>
        <v>71.381720169418642</v>
      </c>
      <c r="L12" s="12">
        <v>0.1875</v>
      </c>
      <c r="M12" s="9" t="n">
        <v>12.447044372558594</v>
      </c>
      <c r="N12" s="9" t="n">
        <v>1.0192861557006836</v>
      </c>
      <c r="O12" s="9" t="n">
        <v>0.0</v>
      </c>
      <c r="P12" s="9" t="n">
        <v>0.0</v>
      </c>
      <c r="Q12" s="9" t="n">
        <v>0.16426849365234375</v>
      </c>
      <c r="R12" s="9" t="n">
        <v>0.020694732666015625</v>
      </c>
      <c r="S12" s="9" t="n">
        <v>0.0</v>
      </c>
      <c r="T12" s="9" t="n">
        <v>0.0</v>
      </c>
      <c r="U12">
        <f si="1" t="shared"/>
        <v>159.69112396240234</v>
      </c>
      <c r="W12" s="5"/>
      <c r="X12" s="5"/>
      <c r="Y12" s="5"/>
      <c r="Z12" s="5"/>
    </row>
    <row r="13" spans="1:26" x14ac:dyDescent="0.25">
      <c r="A13" s="12">
        <v>0.20833333333333334</v>
      </c>
      <c r="B13" s="6" t="n">
        <v>23.949310156379497</v>
      </c>
      <c r="C13" s="6" t="n">
        <v>0.19626940684054864</v>
      </c>
      <c r="D13" s="6" t="n">
        <v>0.0</v>
      </c>
      <c r="E13" s="6" t="n">
        <v>0.0</v>
      </c>
      <c r="F13" s="6" t="n">
        <v>0.0</v>
      </c>
      <c r="G13" s="6" t="n">
        <v>0.0</v>
      </c>
      <c r="H13" s="6" t="n">
        <v>0.0</v>
      </c>
      <c r="I13" s="6" t="n">
        <v>0.0</v>
      </c>
      <c r="J13" s="6">
        <f si="0" t="shared"/>
        <v>129.23481612008342</v>
      </c>
      <c r="L13" s="12">
        <v>0.20833333333333334</v>
      </c>
      <c r="M13" s="9" t="n">
        <v>17.98702335357666</v>
      </c>
      <c r="N13" s="9" t="n">
        <v>1.4995555877685547</v>
      </c>
      <c r="O13" s="9" t="n">
        <v>0.0</v>
      </c>
      <c r="P13" s="9" t="n">
        <v>0.0</v>
      </c>
      <c r="Q13" s="9" t="n">
        <v>0.1891918182373047</v>
      </c>
      <c r="R13" s="9" t="n">
        <v>0.05766868591308594</v>
      </c>
      <c r="S13" s="9" t="n">
        <v>0.0</v>
      </c>
      <c r="T13" s="9" t="n">
        <v>0.0</v>
      </c>
      <c r="U13">
        <f si="1" t="shared"/>
        <v>247.78044700622559</v>
      </c>
    </row>
    <row r="14" spans="1:26" x14ac:dyDescent="0.25">
      <c r="A14" s="12">
        <v>0.22916666666666666</v>
      </c>
      <c r="B14" s="6" t="n">
        <v>58.85371349497015</v>
      </c>
      <c r="C14" s="6" t="n">
        <v>0.9133643845733344</v>
      </c>
      <c r="D14" s="6" t="n">
        <v>0.0</v>
      </c>
      <c r="E14" s="6" t="n">
        <v>0.0</v>
      </c>
      <c r="F14" s="6" t="n">
        <v>6.222368744867258E-5</v>
      </c>
      <c r="G14" s="6" t="n">
        <v>0.0</v>
      </c>
      <c r="H14" s="6" t="n">
        <v>0.0</v>
      </c>
      <c r="I14" s="6" t="n">
        <v>0.0</v>
      </c>
      <c r="J14" s="6">
        <f si="0" t="shared"/>
        <v>210.29307915530973</v>
      </c>
      <c r="L14" s="12">
        <v>0.22916666666666666</v>
      </c>
      <c r="M14" s="9" t="n">
        <v>28.031081199645996</v>
      </c>
      <c r="N14" s="9" t="n">
        <v>2.532917022705078</v>
      </c>
      <c r="O14" s="9" t="n">
        <v>0.0</v>
      </c>
      <c r="P14" s="9" t="n">
        <v>0.0</v>
      </c>
      <c r="Q14" s="9" t="n">
        <v>0.2882661819458008</v>
      </c>
      <c r="R14" s="9" t="n">
        <v>0.13178730010986328</v>
      </c>
      <c r="S14" s="9" t="n">
        <v>0.0</v>
      </c>
      <c r="T14" s="9" t="n">
        <v>0.0</v>
      </c>
      <c r="U14">
        <f si="1" t="shared"/>
        <v>385.35086154937744</v>
      </c>
    </row>
    <row r="15" spans="1:26" x14ac:dyDescent="0.25">
      <c r="A15" s="12">
        <v>0.25</v>
      </c>
      <c r="B15" s="6" t="n">
        <v>123.22023526040746</v>
      </c>
      <c r="C15" s="6" t="n">
        <v>3.234356880533576</v>
      </c>
      <c r="D15" s="6" t="n">
        <v>0.0</v>
      </c>
      <c r="E15" s="6" t="n">
        <v>0.0</v>
      </c>
      <c r="F15" s="6" t="n">
        <v>0.0012444737489734515</v>
      </c>
      <c r="G15" s="6" t="n">
        <v>0.0</v>
      </c>
      <c r="H15" s="6" t="n">
        <v>0.0</v>
      </c>
      <c r="I15" s="6" t="n">
        <v>0.0</v>
      </c>
      <c r="J15" s="6">
        <f si="0" t="shared"/>
        <v>321.23442013510902</v>
      </c>
      <c r="L15" s="12">
        <v>0.25</v>
      </c>
      <c r="M15" s="9" t="n">
        <v>46.137505531311035</v>
      </c>
      <c r="N15" s="9" t="n">
        <v>4.36208438873291</v>
      </c>
      <c r="O15" s="9" t="n">
        <v>0.0</v>
      </c>
      <c r="P15" s="9" t="n">
        <v>0.0</v>
      </c>
      <c r="Q15" s="9" t="n">
        <v>0.4674358367919922</v>
      </c>
      <c r="R15" s="9" t="n">
        <v>0.2537221908569336</v>
      </c>
      <c r="S15" s="9" t="n">
        <v>0.0</v>
      </c>
      <c r="T15" s="9" t="n">
        <v>0.0</v>
      </c>
      <c r="U15">
        <f si="1" t="shared"/>
        <v>595.75267791748047</v>
      </c>
    </row>
    <row r="16" spans="1:26" x14ac:dyDescent="0.25">
      <c r="A16" s="12">
        <v>0.27083333333333331</v>
      </c>
      <c r="B16" s="6" t="n">
        <v>224.62960821178328</v>
      </c>
      <c r="C16" s="6" t="n">
        <v>9.056734612101904</v>
      </c>
      <c r="D16" s="6" t="n">
        <v>0.0</v>
      </c>
      <c r="E16" s="6" t="n">
        <v>4.648895401627092E-5</v>
      </c>
      <c r="F16" s="6" t="n">
        <v>0.011870531938357416</v>
      </c>
      <c r="G16" s="6" t="n">
        <v>0.0</v>
      </c>
      <c r="H16" s="6" t="n">
        <v>0.0</v>
      </c>
      <c r="I16" s="6" t="n">
        <v>0.0</v>
      </c>
      <c r="J16" s="6">
        <f si="0" t="shared"/>
        <v>481.62059602706995</v>
      </c>
      <c r="L16" s="12">
        <v>0.27083333333333331</v>
      </c>
      <c r="M16" s="9" t="n">
        <v>79.2148323059082</v>
      </c>
      <c r="N16" s="9" t="n">
        <v>7.385724067687988</v>
      </c>
      <c r="O16" s="9" t="n">
        <v>0.0</v>
      </c>
      <c r="P16" s="9" t="n">
        <v>0.0</v>
      </c>
      <c r="Q16" s="9" t="n">
        <v>0.7794380187988281</v>
      </c>
      <c r="R16" s="9" t="n">
        <v>0.42473506927490234</v>
      </c>
      <c r="S16" s="9" t="n">
        <v>0.0</v>
      </c>
      <c r="T16" s="9" t="n">
        <v>0.0</v>
      </c>
      <c r="U16">
        <f si="1" t="shared"/>
        <v>908.73432159423828</v>
      </c>
    </row>
    <row r="17" spans="1:21" x14ac:dyDescent="0.25">
      <c r="A17" s="12">
        <v>0.29166666666666669</v>
      </c>
      <c r="B17" s="6" t="n">
        <v>364.38593854670404</v>
      </c>
      <c r="C17" s="6" t="n">
        <v>20.58580971567406</v>
      </c>
      <c r="D17" s="6" t="n">
        <v>0.0</v>
      </c>
      <c r="E17" s="6" t="n">
        <v>9.297790803254186E-4</v>
      </c>
      <c r="F17" s="6" t="n">
        <v>0.07189563015367925</v>
      </c>
      <c r="G17" s="6" t="n">
        <v>0.0</v>
      </c>
      <c r="H17" s="6" t="n">
        <v>0.0</v>
      </c>
      <c r="I17" s="6" t="n">
        <v>0.0</v>
      </c>
      <c r="J17" s="6">
        <f si="0" t="shared"/>
        <v>726.842083146758</v>
      </c>
      <c r="L17" s="12">
        <v>0.29166666666666669</v>
      </c>
      <c r="M17" s="9" t="n">
        <v>143.2183027267456</v>
      </c>
      <c r="N17" s="9" t="n">
        <v>12.523245811462402</v>
      </c>
      <c r="O17" s="9" t="n">
        <v>0.0</v>
      </c>
      <c r="P17" s="9" t="n">
        <v>0.0</v>
      </c>
      <c r="Q17" s="9" t="n">
        <v>1.3835525512695312</v>
      </c>
      <c r="R17" s="9" t="n">
        <v>0.6473207473754883</v>
      </c>
      <c r="S17" s="9" t="n">
        <v>0.0</v>
      </c>
      <c r="T17" s="9" t="n">
        <v>0.0</v>
      </c>
      <c r="U17">
        <f si="1" t="shared"/>
        <v>1354.7938680648804</v>
      </c>
    </row>
    <row r="18" spans="1:21" x14ac:dyDescent="0.25">
      <c r="A18" s="12">
        <v>0.3125</v>
      </c>
      <c r="B18" s="6" t="n">
        <v>539.7145770405814</v>
      </c>
      <c r="C18" s="6" t="n">
        <v>38.76099962310978</v>
      </c>
      <c r="D18" s="6" t="n">
        <v>0.0</v>
      </c>
      <c r="E18" s="6" t="n">
        <v>0.008899128383885159</v>
      </c>
      <c r="F18" s="6" t="n">
        <v>0.3105997170796476</v>
      </c>
      <c r="G18" s="6" t="n">
        <v>0.0</v>
      </c>
      <c r="H18" s="6" t="n">
        <v>0.0</v>
      </c>
      <c r="I18" s="6" t="n">
        <v>0.0</v>
      </c>
      <c r="J18" s="6">
        <f si="0" t="shared"/>
        <v>1099.9675787100582</v>
      </c>
      <c r="L18" s="12">
        <v>0.3125</v>
      </c>
      <c r="M18" s="9" t="n">
        <v>275.4729299545288</v>
      </c>
      <c r="N18" s="9" t="n">
        <v>22.016871452331543</v>
      </c>
      <c r="O18" s="9" t="n">
        <v>0.0</v>
      </c>
      <c r="P18" s="9" t="n">
        <v>0.0</v>
      </c>
      <c r="Q18" s="9" t="n">
        <v>2.6692581176757812</v>
      </c>
      <c r="R18" s="9" t="n">
        <v>0.957855224609375</v>
      </c>
      <c r="S18" s="9" t="n">
        <v>0.0</v>
      </c>
      <c r="T18" s="9" t="n">
        <v>0.0</v>
      </c>
      <c r="U18">
        <f si="1" t="shared"/>
        <v>1962.53746509552</v>
      </c>
    </row>
    <row r="19" spans="1:21" x14ac:dyDescent="0.25">
      <c r="A19" s="12">
        <v>0.33333333333333331</v>
      </c>
      <c r="B19" s="6" t="n">
        <v>756.0834711305483</v>
      </c>
      <c r="C19" s="6" t="n">
        <v>61.70293583841065</v>
      </c>
      <c r="D19" s="6" t="n">
        <v>0.0</v>
      </c>
      <c r="E19" s="6" t="n">
        <v>0.05434724306224964</v>
      </c>
      <c r="F19" s="6" t="n">
        <v>1.0194717585491935</v>
      </c>
      <c r="G19" s="6" t="n">
        <v>0.0</v>
      </c>
      <c r="H19" s="6" t="n">
        <v>0.0</v>
      </c>
      <c r="I19" s="6" t="n">
        <v>0.0</v>
      </c>
      <c r="J19" s="6">
        <f si="0" t="shared"/>
        <v>1639.9975947191283</v>
      </c>
      <c r="L19" s="12">
        <v>0.33333333333333331</v>
      </c>
      <c r="M19" s="9" t="n">
        <v>548.4439907073975</v>
      </c>
      <c r="N19" s="9" t="n">
        <v>40.27646541595459</v>
      </c>
      <c r="O19" s="9" t="n">
        <v>0.0</v>
      </c>
      <c r="P19" s="9" t="n">
        <v>0.0</v>
      </c>
      <c r="Q19" s="9" t="n">
        <v>5.3959245681762695</v>
      </c>
      <c r="R19" s="9" t="n">
        <v>1.4611806869506836</v>
      </c>
      <c r="S19" s="9" t="n">
        <v>0.0</v>
      </c>
      <c r="T19" s="9" t="n">
        <v>0.0</v>
      </c>
      <c r="U19">
        <f si="1" t="shared"/>
        <v>2762.7722978591919</v>
      </c>
    </row>
    <row r="20" spans="1:21" x14ac:dyDescent="0.25">
      <c r="A20" s="12">
        <v>0.35416666666666669</v>
      </c>
      <c r="B20" s="6" t="n">
        <v>1050.9076687011236</v>
      </c>
      <c r="C20" s="6" t="n">
        <v>85.54026171201248</v>
      </c>
      <c r="D20" s="6" t="n">
        <v>0.0</v>
      </c>
      <c r="E20" s="6" t="n">
        <v>0.23832799651617495</v>
      </c>
      <c r="F20" s="6" t="n">
        <v>2.644501885976688</v>
      </c>
      <c r="G20" s="6" t="n">
        <v>0.0</v>
      </c>
      <c r="H20" s="6" t="n">
        <v>0.0</v>
      </c>
      <c r="I20" s="6" t="n">
        <v>0.0</v>
      </c>
      <c r="J20" s="6">
        <f si="0" t="shared"/>
        <v>2381.7581913022304</v>
      </c>
      <c r="L20" s="12">
        <v>0.35416666666666669</v>
      </c>
      <c r="M20" s="9" t="n">
        <v>1067.5184803009033</v>
      </c>
      <c r="N20" s="9" t="n">
        <v>73.62066841125488</v>
      </c>
      <c r="O20" s="9" t="n">
        <v>0.0</v>
      </c>
      <c r="P20" s="9" t="n">
        <v>0.0</v>
      </c>
      <c r="Q20" s="9" t="n">
        <v>10.673747062683105</v>
      </c>
      <c r="R20" s="9" t="n">
        <v>2.3230819702148438</v>
      </c>
      <c r="S20" s="9" t="n">
        <v>0.0</v>
      </c>
      <c r="T20" s="9" t="n">
        <v>0.0</v>
      </c>
      <c r="U20">
        <f si="1" t="shared"/>
        <v>3791.8447732925415</v>
      </c>
    </row>
    <row r="21" spans="1:21" x14ac:dyDescent="0.25">
      <c r="A21" s="12">
        <v>0.375</v>
      </c>
      <c r="B21" s="6" t="n">
        <v>1523.3839228738734</v>
      </c>
      <c r="C21" s="6" t="n">
        <v>108.89994601490405</v>
      </c>
      <c r="D21" s="6" t="n">
        <v>0.0</v>
      </c>
      <c r="E21" s="6" t="n">
        <v>0.8010693436602171</v>
      </c>
      <c r="F21" s="6" t="n">
        <v>5.568257884512744</v>
      </c>
      <c r="G21" s="6" t="n">
        <v>0.0</v>
      </c>
      <c r="H21" s="6" t="n">
        <v>0.0</v>
      </c>
      <c r="I21" s="6" t="n">
        <v>0.0</v>
      </c>
      <c r="J21" s="6">
        <f si="0" t="shared"/>
        <v>3371.4652245021384</v>
      </c>
      <c r="L21" s="12">
        <v>0.375</v>
      </c>
      <c r="M21" s="9" t="n">
        <v>1935.2502508163452</v>
      </c>
      <c r="N21" s="9" t="n">
        <v>127.92132663726807</v>
      </c>
      <c r="O21" s="9" t="n">
        <v>0.0</v>
      </c>
      <c r="P21" s="9" t="n">
        <v>0.0</v>
      </c>
      <c r="Q21" s="9" t="n">
        <v>19.60866641998291</v>
      </c>
      <c r="R21" s="9" t="n">
        <v>3.6932573318481445</v>
      </c>
      <c r="S21" s="9" t="n">
        <v>0.0</v>
      </c>
      <c r="T21" s="9" t="n">
        <v>0.0</v>
      </c>
      <c r="U21">
        <f si="1" t="shared"/>
        <v>5080.1623582839966</v>
      </c>
    </row>
    <row r="22" spans="1:21" x14ac:dyDescent="0.25">
      <c r="A22" s="12">
        <v>0.39583333333333331</v>
      </c>
      <c r="B22" s="6" t="n">
        <v>2351.4755188821678</v>
      </c>
      <c r="C22" s="6" t="n">
        <v>138.27937483857414</v>
      </c>
      <c r="D22" s="6" t="n">
        <v>0.0</v>
      </c>
      <c r="E22" s="6" t="n">
        <v>2.1516163552389806</v>
      </c>
      <c r="F22" s="6" t="n">
        <v>9.700011991638396</v>
      </c>
      <c r="G22" s="6" t="n">
        <v>0.0</v>
      </c>
      <c r="H22" s="6" t="n">
        <v>0.0</v>
      </c>
      <c r="I22" s="6" t="n">
        <v>0.0</v>
      </c>
      <c r="J22" s="6">
        <f si="0" t="shared"/>
        <v>4678.6026181228763</v>
      </c>
      <c r="L22" s="12">
        <v>0.39583333333333331</v>
      </c>
      <c r="M22" s="9" t="n">
        <v>3189.6234674453735</v>
      </c>
      <c r="N22" s="9" t="n">
        <v>204.89288330078125</v>
      </c>
      <c r="O22" s="9" t="n">
        <v>0.0</v>
      </c>
      <c r="P22" s="9" t="n">
        <v>0.0</v>
      </c>
      <c r="Q22" s="9" t="n">
        <v>32.68610382080078</v>
      </c>
      <c r="R22" s="9" t="n">
        <v>5.596766471862793</v>
      </c>
      <c r="S22" s="9" t="n">
        <v>0.0</v>
      </c>
      <c r="T22" s="9" t="n">
        <v>0.0</v>
      </c>
      <c r="U22">
        <f si="1" t="shared"/>
        <v>6623.172025680542</v>
      </c>
    </row>
    <row r="23" spans="1:21" x14ac:dyDescent="0.25">
      <c r="A23" s="12">
        <v>0.41666666666666669</v>
      </c>
      <c r="B23" s="6" t="n">
        <v>3757.848746577849</v>
      </c>
      <c r="C23" s="6" t="n">
        <v>188.01905528751553</v>
      </c>
      <c r="D23" s="6" t="n">
        <v>0.0</v>
      </c>
      <c r="E23" s="6" t="n">
        <v>4.753153909749019</v>
      </c>
      <c r="F23" s="6" t="n">
        <v>14.17447871133727</v>
      </c>
      <c r="G23" s="6" t="n">
        <v>0.0</v>
      </c>
      <c r="H23" s="6" t="n">
        <v>0.0</v>
      </c>
      <c r="I23" s="6" t="n">
        <v>0.0</v>
      </c>
      <c r="J23" s="6">
        <f si="0" t="shared"/>
        <v>6374.1486693864117</v>
      </c>
      <c r="L23" s="12">
        <v>0.41666666666666669</v>
      </c>
      <c r="M23" s="9" t="n">
        <v>4755.295454978943</v>
      </c>
      <c r="N23" s="9" t="n">
        <v>299.5919408798218</v>
      </c>
      <c r="O23" s="9" t="n">
        <v>0.0</v>
      </c>
      <c r="P23" s="9" t="n">
        <v>0.0</v>
      </c>
      <c r="Q23" s="9" t="n">
        <v>49.277079582214355</v>
      </c>
      <c r="R23" s="9" t="n">
        <v>7.885046005249023</v>
      </c>
      <c r="S23" s="9" t="n">
        <v>0.0</v>
      </c>
      <c r="T23" s="9" t="n">
        <v>0.0</v>
      </c>
      <c r="U23">
        <f si="1" t="shared"/>
        <v>8351.785249710083</v>
      </c>
    </row>
    <row r="24" spans="1:21" x14ac:dyDescent="0.25">
      <c r="A24" s="12">
        <v>0.4375</v>
      </c>
      <c r="B24" s="6" t="n">
        <v>5887.986889670668</v>
      </c>
      <c r="C24" s="6" t="n">
        <v>271.00594706491887</v>
      </c>
      <c r="D24" s="6" t="n">
        <v>0.0</v>
      </c>
      <c r="E24" s="6" t="n">
        <v>8.815320462984602</v>
      </c>
      <c r="F24" s="6" t="n">
        <v>17.546705370386565</v>
      </c>
      <c r="G24" s="6" t="n">
        <v>0.0</v>
      </c>
      <c r="H24" s="6" t="n">
        <v>0.0</v>
      </c>
      <c r="I24" s="6" t="n">
        <v>0.0</v>
      </c>
      <c r="J24" s="6">
        <f si="0" t="shared"/>
        <v>8464.7582123538887</v>
      </c>
      <c r="L24" s="12">
        <v>0.4375</v>
      </c>
      <c r="M24" s="9" t="n">
        <v>6444.653269767761</v>
      </c>
      <c r="N24" s="9" t="n">
        <v>401.0822801589966</v>
      </c>
      <c r="O24" s="9" t="n">
        <v>0.0</v>
      </c>
      <c r="P24" s="9" t="n">
        <v>0.0</v>
      </c>
      <c r="Q24" s="9" t="n">
        <v>67.62533378601074</v>
      </c>
      <c r="R24" s="9" t="n">
        <v>10.30013370513916</v>
      </c>
      <c r="S24" s="9" t="n">
        <v>0.0</v>
      </c>
      <c r="T24" s="9" t="n">
        <v>0.0</v>
      </c>
      <c r="U24">
        <f si="1" t="shared"/>
        <v>10122.955121994019</v>
      </c>
    </row>
    <row r="25" spans="1:21" x14ac:dyDescent="0.25">
      <c r="A25" s="12">
        <v>0.45833333333333331</v>
      </c>
      <c r="B25" s="6" t="n">
        <v>8624.09502404795</v>
      </c>
      <c r="C25" s="6" t="n">
        <v>385.0873451716126</v>
      </c>
      <c r="D25" s="6" t="n">
        <v>0.0</v>
      </c>
      <c r="E25" s="6" t="n">
        <v>13.92257042947868</v>
      </c>
      <c r="F25" s="6" t="n">
        <v>18.518431573371863</v>
      </c>
      <c r="G25" s="6" t="n">
        <v>0.0</v>
      </c>
      <c r="H25" s="6" t="n">
        <v>0.0</v>
      </c>
      <c r="I25" s="6" t="n">
        <v>0.0</v>
      </c>
      <c r="J25" s="6">
        <f si="0" t="shared"/>
        <v>10810.65928115602</v>
      </c>
      <c r="L25" s="12">
        <v>0.45833333333333331</v>
      </c>
      <c r="M25" s="9" t="n">
        <v>8005.716941833496</v>
      </c>
      <c r="N25" s="9" t="n">
        <v>495.44172191619873</v>
      </c>
      <c r="O25" s="9" t="n">
        <v>0.0</v>
      </c>
      <c r="P25" s="9" t="n">
        <v>0.0</v>
      </c>
      <c r="Q25" s="9" t="n">
        <v>85.28831672668457</v>
      </c>
      <c r="R25" s="9" t="n">
        <v>12.599471092224121</v>
      </c>
      <c r="S25" s="9" t="n">
        <v>0.0</v>
      </c>
      <c r="T25" s="9" t="n">
        <v>0.0</v>
      </c>
      <c r="U25">
        <f si="1" t="shared"/>
        <v>11735.773992538452</v>
      </c>
    </row>
    <row r="26" spans="1:21" x14ac:dyDescent="0.25">
      <c r="A26" s="12">
        <v>0.47916666666666669</v>
      </c>
      <c r="B26" s="6" t="n">
        <v>11461.730744776636</v>
      </c>
      <c r="C26" s="6" t="n">
        <v>507.483075265474</v>
      </c>
      <c r="D26" s="6" t="n">
        <v>0.0</v>
      </c>
      <c r="E26" s="6" t="n">
        <v>18.892462212569427</v>
      </c>
      <c r="F26" s="6" t="n">
        <v>16.712393040351387</v>
      </c>
      <c r="G26" s="6" t="n">
        <v>0.0</v>
      </c>
      <c r="H26" s="6" t="n">
        <v>0.0</v>
      </c>
      <c r="I26" s="6" t="n">
        <v>0.0</v>
      </c>
      <c r="J26" s="6">
        <f si="0" t="shared"/>
        <v>13082.93583802252</v>
      </c>
      <c r="L26" s="12">
        <v>0.47916666666666669</v>
      </c>
      <c r="M26" s="9" t="n">
        <v>9184.97580242157</v>
      </c>
      <c r="N26" s="9" t="n">
        <v>568.8951272964478</v>
      </c>
      <c r="O26" s="9" t="n">
        <v>0.0</v>
      </c>
      <c r="P26" s="9" t="n">
        <v>0.0</v>
      </c>
      <c r="Q26" s="9" t="n">
        <v>99.72902393341064</v>
      </c>
      <c r="R26" s="9" t="n">
        <v>14.639888763427734</v>
      </c>
      <c r="S26" s="9" t="n">
        <v>0.0</v>
      </c>
      <c r="T26" s="9" t="n">
        <v>0.0</v>
      </c>
      <c r="U26">
        <f si="1" t="shared"/>
        <v>12968.26295375824</v>
      </c>
    </row>
    <row r="27" spans="1:21" x14ac:dyDescent="0.25">
      <c r="A27" s="12">
        <v>0.5</v>
      </c>
      <c r="B27" s="6" t="n">
        <v>13612.41807070635</v>
      </c>
      <c r="C27" s="6" t="n">
        <v>605.1756461384516</v>
      </c>
      <c r="D27" s="6" t="n">
        <v>0.0</v>
      </c>
      <c r="E27" s="6" t="n">
        <v>22.117959679263297</v>
      </c>
      <c r="F27" s="6" t="n">
        <v>12.890921280513915</v>
      </c>
      <c r="G27" s="6" t="n">
        <v>0.0</v>
      </c>
      <c r="H27" s="6" t="n">
        <v>0.0</v>
      </c>
      <c r="I27" s="6" t="n">
        <v>0.0</v>
      </c>
      <c r="J27" s="6">
        <f si="0" t="shared"/>
        <v>14815.127131602567</v>
      </c>
      <c r="L27" s="12">
        <v>0.5</v>
      </c>
      <c r="M27" s="9" t="n">
        <v>9786.358501434326</v>
      </c>
      <c r="N27" s="9" t="n">
        <v>610.4766445159912</v>
      </c>
      <c r="O27" s="9" t="n">
        <v>0.0</v>
      </c>
      <c r="P27" s="9" t="n">
        <v>0.0</v>
      </c>
      <c r="Q27" s="9" t="n">
        <v>108.8815050125122</v>
      </c>
      <c r="R27" s="9" t="n">
        <v>16.386746406555176</v>
      </c>
      <c r="S27" s="9" t="n">
        <v>0.0</v>
      </c>
      <c r="T27" s="9" t="n">
        <v>0.0</v>
      </c>
      <c r="U27">
        <f si="1" t="shared"/>
        <v>13633.417644500732</v>
      </c>
    </row>
    <row r="28" spans="1:21" x14ac:dyDescent="0.25">
      <c r="A28" s="12">
        <v>0.52083333333333337</v>
      </c>
      <c r="B28" s="6" t="n">
        <v>14360.46324433481</v>
      </c>
      <c r="C28" s="6" t="n">
        <v>654.3268875834175</v>
      </c>
      <c r="D28" s="6" t="n">
        <v>0.0</v>
      </c>
      <c r="E28" s="6" t="n">
        <v>22.340295139031934</v>
      </c>
      <c r="F28" s="6" t="n">
        <v>8.462295897630161</v>
      </c>
      <c r="G28" s="6" t="n">
        <v>0.0</v>
      </c>
      <c r="H28" s="6" t="n">
        <v>0.0</v>
      </c>
      <c r="I28" s="6" t="n">
        <v>0.0</v>
      </c>
      <c r="J28" s="6">
        <f si="0" t="shared"/>
        <v>15566.384837098354</v>
      </c>
      <c r="L28" s="12">
        <v>0.52083333333333337</v>
      </c>
      <c r="M28" s="9" t="n">
        <v>9725.35411643982</v>
      </c>
      <c r="N28" s="9" t="n">
        <v>614.9503269195557</v>
      </c>
      <c r="O28" s="9" t="n">
        <v>0.0</v>
      </c>
      <c r="P28" s="9" t="n">
        <v>0.0</v>
      </c>
      <c r="Q28" s="9" t="n">
        <v>111.68391418457031</v>
      </c>
      <c r="R28" s="9" t="n">
        <v>17.88882827758789</v>
      </c>
      <c r="S28" s="9" t="n">
        <v>0.0</v>
      </c>
      <c r="T28" s="9" t="n">
        <v>0.0</v>
      </c>
      <c r="U28">
        <f si="1" t="shared"/>
        <v>13644.722123146057</v>
      </c>
    </row>
    <row r="29" spans="1:21" x14ac:dyDescent="0.25">
      <c r="A29" s="12">
        <v>0.54166666666666663</v>
      </c>
      <c r="B29" s="6" t="n">
        <v>13466.176344483501</v>
      </c>
      <c r="C29" s="6" t="n">
        <v>651.6943508488555</v>
      </c>
      <c r="D29" s="6" t="n">
        <v>0.0</v>
      </c>
      <c r="E29" s="6" t="n">
        <v>19.400376963317377</v>
      </c>
      <c r="F29" s="6" t="n">
        <v>4.688104217662443</v>
      </c>
      <c r="G29" s="6" t="n">
        <v>0.0</v>
      </c>
      <c r="H29" s="6" t="n">
        <v>0.0</v>
      </c>
      <c r="I29" s="6" t="n">
        <v>0.0</v>
      </c>
      <c r="J29" s="6">
        <f si="0" t="shared"/>
        <v>15135.604872096927</v>
      </c>
      <c r="L29" s="12">
        <v>0.54166666666666663</v>
      </c>
      <c r="M29" s="9" t="n">
        <v>9060.325830459595</v>
      </c>
      <c r="N29" s="9" t="n">
        <v>584.9698762893677</v>
      </c>
      <c r="O29" s="9" t="n">
        <v>0.0</v>
      </c>
      <c r="P29" s="9" t="n">
        <v>0.0</v>
      </c>
      <c r="Q29" s="9" t="n">
        <v>108.4088191986084</v>
      </c>
      <c r="R29" s="9" t="n">
        <v>19.235310554504395</v>
      </c>
      <c r="S29" s="9" t="n">
        <v>0.0</v>
      </c>
      <c r="T29" s="9" t="n">
        <v>0.0</v>
      </c>
      <c r="U29">
        <f si="1" t="shared"/>
        <v>13054.002938270569</v>
      </c>
    </row>
    <row r="30" spans="1:21" x14ac:dyDescent="0.25">
      <c r="A30" s="12">
        <v>0.5625</v>
      </c>
      <c r="B30" s="6" t="n">
        <v>11308.796645595721</v>
      </c>
      <c r="C30" s="6" t="n">
        <v>608.9845060620452</v>
      </c>
      <c r="D30" s="6" t="n">
        <v>0.0</v>
      </c>
      <c r="E30" s="6" t="n">
        <v>14.392765936295515</v>
      </c>
      <c r="F30" s="6" t="n">
        <v>2.1631678494179303</v>
      </c>
      <c r="G30" s="6" t="n">
        <v>0.0</v>
      </c>
      <c r="H30" s="6" t="n">
        <v>0.0</v>
      </c>
      <c r="I30" s="6" t="n">
        <v>0.0</v>
      </c>
      <c r="J30" s="6">
        <f si="0" t="shared"/>
        <v>13689.22124957756</v>
      </c>
      <c r="L30" s="12">
        <v>0.5625</v>
      </c>
      <c r="M30" s="9" t="n">
        <v>7966.943251609802</v>
      </c>
      <c r="N30" s="9" t="n">
        <v>529.7851686477661</v>
      </c>
      <c r="O30" s="9" t="n">
        <v>0.0</v>
      </c>
      <c r="P30" s="9" t="n">
        <v>0.0</v>
      </c>
      <c r="Q30" s="9" t="n">
        <v>100.44943809509277</v>
      </c>
      <c r="R30" s="9" t="n">
        <v>20.463869094848633</v>
      </c>
      <c r="S30" s="9" t="n">
        <v>0.0</v>
      </c>
      <c r="T30" s="9" t="n">
        <v>0.0</v>
      </c>
      <c r="U30">
        <f si="1" t="shared"/>
        <v>12022.242178916931</v>
      </c>
    </row>
    <row r="31" spans="1:21" x14ac:dyDescent="0.25">
      <c r="A31" s="12">
        <v>0.58333333333333337</v>
      </c>
      <c r="B31" s="6" t="n">
        <v>8647.534720337026</v>
      </c>
      <c r="C31" s="6" t="n">
        <v>539.0611905820675</v>
      </c>
      <c r="D31" s="6" t="n">
        <v>0.0</v>
      </c>
      <c r="E31" s="6" t="n">
        <v>9.040858901178032</v>
      </c>
      <c r="F31" s="6" t="n">
        <v>0.8156126371831314</v>
      </c>
      <c r="G31" s="6" t="n">
        <v>0.0</v>
      </c>
      <c r="H31" s="6" t="n">
        <v>0.0</v>
      </c>
      <c r="I31" s="6" t="n">
        <v>0.0</v>
      </c>
      <c r="J31" s="6">
        <f si="0" t="shared"/>
        <v>11684.586329106371</v>
      </c>
      <c r="L31" s="12">
        <v>0.58333333333333337</v>
      </c>
      <c r="M31" s="9" t="n">
        <v>6658.217336654663</v>
      </c>
      <c r="N31" s="9" t="n">
        <v>460.35805797576904</v>
      </c>
      <c r="O31" s="9" t="n">
        <v>0.0</v>
      </c>
      <c r="P31" s="9" t="n">
        <v>0.0</v>
      </c>
      <c r="Q31" s="9" t="n">
        <v>89.56021213531494</v>
      </c>
      <c r="R31" s="9" t="n">
        <v>21.443968772888184</v>
      </c>
      <c r="S31" s="9" t="n">
        <v>0.0</v>
      </c>
      <c r="T31" s="9" t="n">
        <v>0.0</v>
      </c>
      <c r="U31">
        <f si="1" t="shared"/>
        <v>10735.938396453857</v>
      </c>
    </row>
    <row r="32" spans="1:21" x14ac:dyDescent="0.25">
      <c r="A32" s="12">
        <v>0.60416666666666663</v>
      </c>
      <c r="B32" s="6" t="n">
        <v>6192.259360258587</v>
      </c>
      <c r="C32" s="6" t="n">
        <v>449.45688087849703</v>
      </c>
      <c r="D32" s="6" t="n">
        <v>0.0</v>
      </c>
      <c r="E32" s="6" t="n">
        <v>4.752920802131041</v>
      </c>
      <c r="F32" s="6" t="n">
        <v>0.24453426108138676</v>
      </c>
      <c r="G32" s="6" t="n">
        <v>0.0</v>
      </c>
      <c r="H32" s="6" t="n">
        <v>0.0</v>
      </c>
      <c r="I32" s="6" t="n">
        <v>0.0</v>
      </c>
      <c r="J32" s="6">
        <f si="0" t="shared"/>
        <v>9620.4526402053179</v>
      </c>
      <c r="L32" s="12">
        <v>0.60416666666666663</v>
      </c>
      <c r="M32" s="9" t="n">
        <v>5307.492261886597</v>
      </c>
      <c r="N32" s="9" t="n">
        <v>384.89631748199463</v>
      </c>
      <c r="O32" s="9" t="n">
        <v>0.0</v>
      </c>
      <c r="P32" s="9" t="n">
        <v>0.0</v>
      </c>
      <c r="Q32" s="9" t="n">
        <v>77.11869430541992</v>
      </c>
      <c r="R32" s="9" t="n">
        <v>21.85817241668701</v>
      </c>
      <c r="S32" s="9" t="n">
        <v>0.0</v>
      </c>
      <c r="T32" s="9" t="n">
        <v>0.0</v>
      </c>
      <c r="U32">
        <f si="1" t="shared"/>
        <v>9335.1609945297241</v>
      </c>
    </row>
    <row r="33" spans="1:21" x14ac:dyDescent="0.25">
      <c r="A33" s="12">
        <v>0.625</v>
      </c>
      <c r="B33" s="6" t="n">
        <v>4305.592089022349</v>
      </c>
      <c r="C33" s="6" t="n">
        <v>346.8570390968662</v>
      </c>
      <c r="D33" s="6" t="n">
        <v>0.0</v>
      </c>
      <c r="E33" s="6" t="n">
        <v>2.0601419973433392</v>
      </c>
      <c r="F33" s="6" t="n">
        <v>0.05600018209394732</v>
      </c>
      <c r="G33" s="6" t="n">
        <v>0.0</v>
      </c>
      <c r="H33" s="6" t="n">
        <v>0.0</v>
      </c>
      <c r="I33" s="6" t="n">
        <v>0.0</v>
      </c>
      <c r="J33" s="6">
        <f si="0" t="shared"/>
        <v>7798.9343384831664</v>
      </c>
      <c r="L33" s="12">
        <v>0.625</v>
      </c>
      <c r="M33" s="9" t="n">
        <v>4026.6122035980225</v>
      </c>
      <c r="N33" s="9" t="n">
        <v>308.4388475418091</v>
      </c>
      <c r="O33" s="9" t="n">
        <v>0.0</v>
      </c>
      <c r="P33" s="9" t="n">
        <v>0.0</v>
      </c>
      <c r="Q33" s="9" t="n">
        <v>63.98548412322998</v>
      </c>
      <c r="R33" s="9" t="n">
        <v>21.373149871826172</v>
      </c>
      <c r="S33" s="9" t="n">
        <v>0.0</v>
      </c>
      <c r="T33" s="9" t="n">
        <v>0.0</v>
      </c>
      <c r="U33">
        <f si="1" t="shared"/>
        <v>7903.43177318573</v>
      </c>
    </row>
    <row r="34" spans="1:21" x14ac:dyDescent="0.25">
      <c r="A34" s="12">
        <v>0.64583333333333337</v>
      </c>
      <c r="B34" s="6" t="n">
        <v>2995.0627623924684</v>
      </c>
      <c r="C34" s="6" t="n">
        <v>242.73415323137976</v>
      </c>
      <c r="D34" s="6" t="n">
        <v>0.0</v>
      </c>
      <c r="E34" s="6" t="n">
        <v>0.7218470251002976</v>
      </c>
      <c r="F34" s="6" t="n">
        <v>0.009188175078277652</v>
      </c>
      <c r="G34" s="6" t="n">
        <v>0.0</v>
      </c>
      <c r="H34" s="6" t="n">
        <v>0.0</v>
      </c>
      <c r="I34" s="6" t="n">
        <v>0.0</v>
      </c>
      <c r="J34" s="6">
        <f si="0" t="shared"/>
        <v>6269.0927977583278</v>
      </c>
      <c r="L34" s="12">
        <v>0.64583333333333337</v>
      </c>
      <c r="M34" s="9" t="n">
        <v>2889.35036277771</v>
      </c>
      <c r="N34" s="9" t="n">
        <v>235.35321140289307</v>
      </c>
      <c r="O34" s="9" t="n">
        <v>0.0</v>
      </c>
      <c r="P34" s="9" t="n">
        <v>0.0</v>
      </c>
      <c r="Q34" s="9" t="n">
        <v>50.89696407318115</v>
      </c>
      <c r="R34" s="9" t="n">
        <v>19.909432411193848</v>
      </c>
      <c r="S34" s="9" t="n">
        <v>0.0</v>
      </c>
      <c r="T34" s="9" t="n">
        <v>0.0</v>
      </c>
      <c r="U34">
        <f si="1" t="shared"/>
        <v>6502.2590684890747</v>
      </c>
    </row>
    <row r="35" spans="1:21" x14ac:dyDescent="0.25">
      <c r="A35" s="12">
        <v>0.66666666666666663</v>
      </c>
      <c r="B35" s="6" t="n">
        <v>2097.1812473886584</v>
      </c>
      <c r="C35" s="6" t="n">
        <v>151.46400192182904</v>
      </c>
      <c r="D35" s="6" t="n">
        <v>0.0</v>
      </c>
      <c r="E35" s="6" t="n">
        <v>0.19897361040756542</v>
      </c>
      <c r="F35" s="6" t="n">
        <v>9.606264621925242E-4</v>
      </c>
      <c r="G35" s="6" t="n">
        <v>0.0</v>
      </c>
      <c r="H35" s="6" t="n">
        <v>0.0</v>
      </c>
      <c r="I35" s="6" t="n">
        <v>0.0</v>
      </c>
      <c r="J35" s="6">
        <f si="0" t="shared"/>
        <v>4948.3633434276417</v>
      </c>
      <c r="L35" s="12">
        <v>0.66666666666666663</v>
      </c>
      <c r="M35" s="9" t="n">
        <v>1952.227707862854</v>
      </c>
      <c r="N35" s="9" t="n">
        <v>170.7844467163086</v>
      </c>
      <c r="O35" s="9" t="n">
        <v>0.0</v>
      </c>
      <c r="P35" s="9" t="n">
        <v>0.0</v>
      </c>
      <c r="Q35" s="9" t="n">
        <v>38.80507946014404</v>
      </c>
      <c r="R35" s="9" t="n">
        <v>17.77726650238037</v>
      </c>
      <c r="S35" s="9" t="n">
        <v>0.0</v>
      </c>
      <c r="T35" s="9" t="n">
        <v>0.0</v>
      </c>
      <c r="U35">
        <f si="1" t="shared"/>
        <v>5198.1460475921631</v>
      </c>
    </row>
    <row r="36" spans="1:21" x14ac:dyDescent="0.25">
      <c r="A36" s="12">
        <v>0.6875</v>
      </c>
      <c r="B36" s="6" t="n">
        <v>1455.6341751136401</v>
      </c>
      <c r="C36" s="6" t="n">
        <v>83.30419630079886</v>
      </c>
      <c r="D36" s="6" t="n">
        <v>0.0</v>
      </c>
      <c r="E36" s="6" t="n">
        <v>0.04146373922774345</v>
      </c>
      <c r="F36" s="6" t="n">
        <v>4.80313231096262E-5</v>
      </c>
      <c r="G36" s="6" t="n">
        <v>0.0</v>
      </c>
      <c r="H36" s="6" t="n">
        <v>0.0</v>
      </c>
      <c r="I36" s="6" t="n">
        <v>0.0</v>
      </c>
      <c r="J36" s="6">
        <f si="0" t="shared"/>
        <v>3773.5619150818598</v>
      </c>
      <c r="L36" s="12">
        <v>0.6875</v>
      </c>
      <c r="M36" s="9" t="n">
        <v>1249.1367292404175</v>
      </c>
      <c r="N36" s="9" t="n">
        <v>119.34005165100098</v>
      </c>
      <c r="O36" s="9" t="n">
        <v>0.0</v>
      </c>
      <c r="P36" s="9" t="n">
        <v>0.0</v>
      </c>
      <c r="Q36" s="9" t="n">
        <v>28.743148803710938</v>
      </c>
      <c r="R36" s="9" t="n">
        <v>15.528509140014648</v>
      </c>
      <c r="S36" s="9" t="n">
        <v>0.0</v>
      </c>
      <c r="T36" s="9" t="n">
        <v>0.0</v>
      </c>
      <c r="U36">
        <f si="1" t="shared"/>
        <v>4057.7359485626221</v>
      </c>
    </row>
    <row r="37" spans="1:21" x14ac:dyDescent="0.25">
      <c r="A37" s="12">
        <v>0.70833333333333337</v>
      </c>
      <c r="B37" s="6" t="n">
        <v>986.9907706617016</v>
      </c>
      <c r="C37" s="6" t="n">
        <v>40.06584635720071</v>
      </c>
      <c r="D37" s="6" t="n">
        <v>0.0</v>
      </c>
      <c r="E37" s="6" t="n">
        <v>0.006130225303028233</v>
      </c>
      <c r="F37" s="6" t="n">
        <v>0.0</v>
      </c>
      <c r="G37" s="6" t="n">
        <v>0.0</v>
      </c>
      <c r="H37" s="6" t="n">
        <v>0.0</v>
      </c>
      <c r="I37" s="6" t="n">
        <v>0.0</v>
      </c>
      <c r="J37" s="6">
        <f si="0" t="shared"/>
        <v>2755.636208168401</v>
      </c>
      <c r="L37" s="12">
        <v>0.70833333333333337</v>
      </c>
      <c r="M37" s="9" t="n">
        <v>776.6261081695557</v>
      </c>
      <c r="N37" s="9" t="n">
        <v>82.86721515655518</v>
      </c>
      <c r="O37" s="9" t="n">
        <v>0.0</v>
      </c>
      <c r="P37" s="9" t="n">
        <v>0.0</v>
      </c>
      <c r="Q37" s="9" t="n">
        <v>21.355626106262207</v>
      </c>
      <c r="R37" s="9" t="n">
        <v>13.627413749694824</v>
      </c>
      <c r="S37" s="9" t="n">
        <v>0.0</v>
      </c>
      <c r="T37" s="9" t="n">
        <v>0.0</v>
      </c>
      <c r="U37">
        <f si="1" t="shared"/>
        <v>3127.2422409057617</v>
      </c>
    </row>
    <row r="38" spans="1:21" x14ac:dyDescent="0.25">
      <c r="A38" s="12">
        <v>0.72916666666666663</v>
      </c>
      <c r="B38" s="6" t="n">
        <v>658.1460067331768</v>
      </c>
      <c r="C38" s="6" t="n">
        <v>16.726894888707015</v>
      </c>
      <c r="D38" s="6" t="n">
        <v>0.0</v>
      </c>
      <c r="E38" s="6" t="n">
        <v>5.7208847733627E-4</v>
      </c>
      <c r="F38" s="6" t="n">
        <v>0.0</v>
      </c>
      <c r="G38" s="6" t="n">
        <v>0.0</v>
      </c>
      <c r="H38" s="6" t="n">
        <v>0.0</v>
      </c>
      <c r="I38" s="6" t="n">
        <v>0.0</v>
      </c>
      <c r="J38" s="6">
        <f si="0" t="shared"/>
        <v>1938.3530022257764</v>
      </c>
      <c r="L38" s="12">
        <v>0.72916666666666663</v>
      </c>
      <c r="M38" s="9" t="n">
        <v>493.76951122283936</v>
      </c>
      <c r="N38" s="9" t="n">
        <v>59.76374816894531</v>
      </c>
      <c r="O38" s="9" t="n">
        <v>0.0</v>
      </c>
      <c r="P38" s="9" t="n">
        <v>0.0</v>
      </c>
      <c r="Q38" s="9" t="n">
        <v>16.555519104003906</v>
      </c>
      <c r="R38" s="9" t="n">
        <v>12.20864486694336</v>
      </c>
      <c r="S38" s="9" t="n">
        <v>0.0</v>
      </c>
      <c r="T38" s="9" t="n">
        <v>0.0</v>
      </c>
      <c r="U38">
        <f si="1" t="shared"/>
        <v>2419.1116571426392</v>
      </c>
    </row>
    <row r="39" spans="1:21" x14ac:dyDescent="0.25">
      <c r="A39" s="12">
        <v>0.75</v>
      </c>
      <c r="B39" s="6" t="n">
        <v>446.41366125178837</v>
      </c>
      <c r="C39" s="6" t="n">
        <v>5.996683395032344</v>
      </c>
      <c r="D39" s="6" t="n">
        <v>0.0</v>
      </c>
      <c r="E39" s="6" t="n">
        <v>2.5293067827129364E-5</v>
      </c>
      <c r="F39" s="6" t="n">
        <v>0.0</v>
      </c>
      <c r="G39" s="6" t="n">
        <v>0.0</v>
      </c>
      <c r="H39" s="6" t="n">
        <v>0.0</v>
      </c>
      <c r="I39" s="6" t="n">
        <v>0.0</v>
      </c>
      <c r="J39" s="6">
        <f si="0" t="shared"/>
        <v>1340.2597556089086</v>
      </c>
      <c r="L39" s="12">
        <v>0.75</v>
      </c>
      <c r="M39" s="9" t="n">
        <v>340.06152725219727</v>
      </c>
      <c r="N39" s="9" t="n">
        <v>46.23141956329346</v>
      </c>
      <c r="O39" s="9" t="n">
        <v>0.0</v>
      </c>
      <c r="P39" s="9" t="n">
        <v>0.0</v>
      </c>
      <c r="Q39" s="9" t="n">
        <v>13.619232177734375</v>
      </c>
      <c r="R39" s="9" t="n">
        <v>11.093962669372559</v>
      </c>
      <c r="S39" s="9" t="n">
        <v>0.0</v>
      </c>
      <c r="T39" s="9" t="n">
        <v>0.0</v>
      </c>
      <c r="U39">
        <f si="1" t="shared"/>
        <v>1912.0956373214722</v>
      </c>
    </row>
    <row r="40" spans="1:21" x14ac:dyDescent="0.25">
      <c r="A40" s="12">
        <v>0.77083333333333337</v>
      </c>
      <c r="B40" s="6" t="n">
        <v>321.92175566678856</v>
      </c>
      <c r="C40" s="6" t="n">
        <v>1.8129064796188725</v>
      </c>
      <c r="D40" s="6" t="n">
        <v>0.0</v>
      </c>
      <c r="E40" s="6" t="n">
        <v>0.0</v>
      </c>
      <c r="F40" s="6" t="n">
        <v>0.0</v>
      </c>
      <c r="G40" s="6" t="n">
        <v>0.0</v>
      </c>
      <c r="H40" s="6" t="n">
        <v>0.0</v>
      </c>
      <c r="I40" s="6" t="n">
        <v>0.0</v>
      </c>
      <c r="J40" s="6">
        <f si="0" t="shared"/>
        <v>937.59017648598035</v>
      </c>
      <c r="L40" s="12">
        <v>0.77083333333333337</v>
      </c>
      <c r="M40" s="9" t="n">
        <v>258.16567611694336</v>
      </c>
      <c r="N40" s="9" t="n">
        <v>38.18046474456787</v>
      </c>
      <c r="O40" s="9" t="n">
        <v>0.0</v>
      </c>
      <c r="P40" s="9" t="n">
        <v>0.0</v>
      </c>
      <c r="Q40" s="9" t="n">
        <v>11.629535675048828</v>
      </c>
      <c r="R40" s="9" t="n">
        <v>9.998663902282715</v>
      </c>
      <c r="S40" s="9" t="n">
        <v>0.0</v>
      </c>
      <c r="T40" s="9" t="n">
        <v>0.0</v>
      </c>
      <c r="U40">
        <f si="1" t="shared"/>
        <v>1560.3715181350708</v>
      </c>
    </row>
    <row r="41" spans="1:21" x14ac:dyDescent="0.25">
      <c r="A41" s="12">
        <v>0.79166666666666663</v>
      </c>
      <c r="B41" s="6" t="n">
        <v>250.77698049181595</v>
      </c>
      <c r="C41" s="6" t="n">
        <v>0.44876549791618525</v>
      </c>
      <c r="D41" s="6" t="n">
        <v>0.0</v>
      </c>
      <c r="E41" s="6" t="n">
        <v>0.0</v>
      </c>
      <c r="F41" s="6" t="n">
        <v>0.0</v>
      </c>
      <c r="G41" s="6" t="n">
        <v>0.0</v>
      </c>
      <c r="H41" s="6" t="n">
        <v>0.0</v>
      </c>
      <c r="I41" s="6" t="n">
        <v>0.0</v>
      </c>
      <c r="J41" s="6">
        <f si="0" t="shared"/>
        <v>685.48707121292307</v>
      </c>
      <c r="L41" s="12">
        <v>0.79166666666666663</v>
      </c>
      <c r="M41" s="9" t="n">
        <v>208.393572807312</v>
      </c>
      <c r="N41" s="9" t="n">
        <v>32.523335456848145</v>
      </c>
      <c r="O41" s="9" t="n">
        <v>0.0</v>
      </c>
      <c r="P41" s="9" t="n">
        <v>0.0</v>
      </c>
      <c r="Q41" s="9" t="n">
        <v>9.917037963867188</v>
      </c>
      <c r="R41" s="9" t="n">
        <v>8.734665870666504</v>
      </c>
      <c r="S41" s="9" t="n">
        <v>0.0</v>
      </c>
      <c r="T41" s="9" t="n">
        <v>0.0</v>
      </c>
      <c r="U41">
        <f si="1" t="shared"/>
        <v>1308.2890796661377</v>
      </c>
    </row>
    <row r="42" spans="1:21" x14ac:dyDescent="0.25">
      <c r="A42" s="12">
        <v>0.8125</v>
      </c>
      <c r="B42" s="6" t="n">
        <v>203.92494748908507</v>
      </c>
      <c r="C42" s="6" t="n">
        <v>0.08691610588238753</v>
      </c>
      <c r="D42" s="6" t="n">
        <v>0.0</v>
      </c>
      <c r="E42" s="6" t="n">
        <v>0.0</v>
      </c>
      <c r="F42" s="6" t="n">
        <v>0.0</v>
      </c>
      <c r="G42" s="6" t="n">
        <v>0.0</v>
      </c>
      <c r="H42" s="6" t="n">
        <v>0.0</v>
      </c>
      <c r="I42" s="6" t="n">
        <v>0.0</v>
      </c>
      <c r="J42" s="6">
        <f si="0" t="shared"/>
        <v>544.77339354540334</v>
      </c>
      <c r="L42" s="12">
        <v>0.8125</v>
      </c>
      <c r="M42" s="9" t="n">
        <v>170.83657264709473</v>
      </c>
      <c r="N42" s="9" t="n">
        <v>27.531841278076172</v>
      </c>
      <c r="O42" s="9" t="n">
        <v>0.0</v>
      </c>
      <c r="P42" s="9" t="n">
        <v>0.0</v>
      </c>
      <c r="Q42" s="9" t="n">
        <v>8.221916198730469</v>
      </c>
      <c r="R42" s="9" t="n">
        <v>7.291332244873047</v>
      </c>
      <c r="S42" s="9" t="n">
        <v>0.0</v>
      </c>
      <c r="T42" s="9" t="n">
        <v>0.0</v>
      </c>
      <c r="U42">
        <f si="1" t="shared"/>
        <v>1107.4444770812988</v>
      </c>
    </row>
    <row r="43" spans="1:21" x14ac:dyDescent="0.25">
      <c r="A43" s="12">
        <v>0.83333333333333337</v>
      </c>
      <c r="B43" s="6" t="n">
        <v>162.95771943454275</v>
      </c>
      <c r="C43" s="6" t="n">
        <v>0.012267168468001202</v>
      </c>
      <c r="D43" s="6" t="n">
        <v>0.0</v>
      </c>
      <c r="E43" s="6" t="n">
        <v>0.0</v>
      </c>
      <c r="F43" s="6" t="n">
        <v>0.0</v>
      </c>
      <c r="G43" s="6" t="n">
        <v>0.0</v>
      </c>
      <c r="H43" s="6" t="n">
        <v>0.0</v>
      </c>
      <c r="I43" s="6" t="n">
        <v>0.0</v>
      </c>
      <c r="J43" s="6">
        <f si="0" t="shared"/>
        <v>490.69998060461069</v>
      </c>
      <c r="L43" s="12">
        <v>0.83333333333333337</v>
      </c>
      <c r="M43" s="9" t="n">
        <v>139.07023429870605</v>
      </c>
      <c r="N43" s="9" t="n">
        <v>22.59120464324951</v>
      </c>
      <c r="O43" s="9" t="n">
        <v>0.0</v>
      </c>
      <c r="P43" s="9" t="n">
        <v>0.0</v>
      </c>
      <c r="Q43" s="9" t="n">
        <v>6.573271751403809</v>
      </c>
      <c r="R43" s="9" t="n">
        <v>5.803539276123047</v>
      </c>
      <c r="S43" s="9" t="n">
        <v>0.0</v>
      </c>
      <c r="T43" s="9" t="n">
        <v>0.0</v>
      </c>
      <c r="U43">
        <f si="1" t="shared"/>
        <v>928.97104740142822</v>
      </c>
    </row>
    <row r="44" spans="1:21" x14ac:dyDescent="0.25">
      <c r="A44" s="12">
        <v>0.85416666666666663</v>
      </c>
      <c r="B44" s="6" t="n">
        <v>121.34795665993992</v>
      </c>
      <c r="C44" s="6" t="n">
        <v>0.0011137852810667438</v>
      </c>
      <c r="D44" s="6" t="n">
        <v>0.0</v>
      </c>
      <c r="E44" s="6" t="n">
        <v>0.0</v>
      </c>
      <c r="F44" s="6" t="n">
        <v>0.0</v>
      </c>
      <c r="G44" s="6" t="n">
        <v>0.0</v>
      </c>
      <c r="H44" s="6" t="n">
        <v>0.0</v>
      </c>
      <c r="I44" s="6" t="n">
        <v>0.0</v>
      </c>
      <c r="J44" s="6">
        <f si="0" t="shared"/>
        <v>502.83715398079926</v>
      </c>
      <c r="L44" s="12">
        <v>0.85416666666666663</v>
      </c>
      <c r="M44" s="9" t="n">
        <v>112.14750671386719</v>
      </c>
      <c r="N44" s="9" t="n">
        <v>17.761579513549805</v>
      </c>
      <c r="O44" s="9" t="n">
        <v>0.0</v>
      </c>
      <c r="P44" s="9" t="n">
        <v>0.0</v>
      </c>
      <c r="Q44" s="9" t="n">
        <v>5.080188751220703</v>
      </c>
      <c r="R44" s="9" t="n">
        <v>4.463639259338379</v>
      </c>
      <c r="S44" s="9" t="n">
        <v>0.0</v>
      </c>
      <c r="T44" s="9" t="n">
        <v>0.0</v>
      </c>
      <c r="U44">
        <f si="1" t="shared"/>
        <v>764.52282428741455</v>
      </c>
    </row>
    <row r="45" spans="1:21" x14ac:dyDescent="0.25">
      <c r="A45" s="12">
        <v>0.875</v>
      </c>
      <c r="B45" s="6" t="n">
        <v>81.54670474748694</v>
      </c>
      <c r="C45" s="6" t="n">
        <v>4.8485763118369197E-5</v>
      </c>
      <c r="D45" s="6" t="n">
        <v>0.0</v>
      </c>
      <c r="E45" s="6" t="n">
        <v>0.0</v>
      </c>
      <c r="F45" s="6" t="n">
        <v>0.0</v>
      </c>
      <c r="G45" s="6" t="n">
        <v>0.0</v>
      </c>
      <c r="H45" s="6" t="n">
        <v>0.0</v>
      </c>
      <c r="I45" s="6" t="n">
        <v>0.0</v>
      </c>
      <c r="J45" s="6">
        <f si="0" t="shared"/>
        <v>550.79334201802931</v>
      </c>
      <c r="L45" s="12">
        <v>0.875</v>
      </c>
      <c r="M45" s="9" t="n">
        <v>89.62834072113037</v>
      </c>
      <c r="N45" s="9" t="n">
        <v>13.375077247619629</v>
      </c>
      <c r="O45" s="9" t="n">
        <v>0.0</v>
      </c>
      <c r="P45" s="9" t="n">
        <v>0.0</v>
      </c>
      <c r="Q45" s="9" t="n">
        <v>3.8058738708496094</v>
      </c>
      <c r="R45" s="9" t="n">
        <v>3.4199914932250977</v>
      </c>
      <c r="S45" s="9" t="n">
        <v>0.0</v>
      </c>
      <c r="T45" s="9" t="n">
        <v>0.0</v>
      </c>
      <c r="U45">
        <f si="1" t="shared"/>
        <v>617.33029365539551</v>
      </c>
    </row>
    <row r="46" spans="1:21" x14ac:dyDescent="0.25">
      <c r="A46" s="12">
        <v>0.89583333333333337</v>
      </c>
      <c r="B46" s="6" t="n">
        <v>49.17366767155684</v>
      </c>
      <c r="C46" s="6" t="n">
        <v>0.0</v>
      </c>
      <c r="D46" s="6" t="n">
        <v>0.0</v>
      </c>
      <c r="E46" s="6" t="n">
        <v>0.0</v>
      </c>
      <c r="F46" s="6" t="n">
        <v>0.0</v>
      </c>
      <c r="G46" s="6" t="n">
        <v>0.0</v>
      </c>
      <c r="H46" s="6" t="n">
        <v>0.0</v>
      </c>
      <c r="I46" s="6" t="n">
        <v>0.0</v>
      </c>
      <c r="J46" s="6">
        <f si="0" t="shared"/>
        <v>591.84401529234265</v>
      </c>
      <c r="L46" s="12">
        <v>0.89583333333333337</v>
      </c>
      <c r="M46" s="9" t="n">
        <v>70.44854831695557</v>
      </c>
      <c r="N46" s="9" t="n">
        <v>9.744171142578125</v>
      </c>
      <c r="O46" s="9" t="n">
        <v>0.0</v>
      </c>
      <c r="P46" s="9" t="n">
        <v>0.0</v>
      </c>
      <c r="Q46" s="9" t="n">
        <v>2.754833221435547</v>
      </c>
      <c r="R46" s="9" t="n">
        <v>2.702481269836426</v>
      </c>
      <c r="S46" s="9" t="n">
        <v>0.0</v>
      </c>
      <c r="T46" s="9" t="n">
        <v>0.0</v>
      </c>
      <c r="U46">
        <f si="1" t="shared"/>
        <v>491.61054134368896</v>
      </c>
    </row>
    <row r="47" spans="1:21" x14ac:dyDescent="0.25">
      <c r="A47" s="12">
        <v>0.91666666666666663</v>
      </c>
      <c r="B47" s="6" t="n">
        <v>27.456390785152013</v>
      </c>
      <c r="C47" s="6" t="n">
        <v>0.0</v>
      </c>
      <c r="D47" s="6" t="n">
        <v>0.0</v>
      </c>
      <c r="E47" s="6" t="n">
        <v>0.0</v>
      </c>
      <c r="F47" s="6" t="n">
        <v>0.0</v>
      </c>
      <c r="G47" s="6" t="n">
        <v>0.0</v>
      </c>
      <c r="H47" s="6" t="n">
        <v>0.0</v>
      </c>
      <c r="I47" s="6" t="n">
        <v>0.0</v>
      </c>
      <c r="J47" s="6">
        <f si="0" t="shared"/>
        <v>585.38606025435126</v>
      </c>
      <c r="L47" s="12">
        <v>0.91666666666666663</v>
      </c>
      <c r="M47" s="9" t="n">
        <v>53.68413543701172</v>
      </c>
      <c r="N47" s="9" t="n">
        <v>6.996009826660156</v>
      </c>
      <c r="O47" s="9" t="n">
        <v>0.0</v>
      </c>
      <c r="P47" s="9" t="n">
        <v>0.0</v>
      </c>
      <c r="Q47" s="9" t="n">
        <v>1.9089250564575195</v>
      </c>
      <c r="R47" s="9" t="n">
        <v>2.218994140625</v>
      </c>
      <c r="S47" s="9" t="n">
        <v>0.0</v>
      </c>
      <c r="T47" s="9" t="n">
        <v>0.0</v>
      </c>
      <c r="U47">
        <f si="1" t="shared"/>
        <v>387.24762439727783</v>
      </c>
    </row>
    <row r="48" spans="1:21" x14ac:dyDescent="0.25">
      <c r="A48" s="12">
        <v>0.9375</v>
      </c>
      <c r="B48" s="6" t="n">
        <v>15.27044350809922</v>
      </c>
      <c r="C48" s="6" t="n">
        <v>0.0</v>
      </c>
      <c r="D48" s="6" t="n">
        <v>0.0</v>
      </c>
      <c r="E48" s="6" t="n">
        <v>0.0</v>
      </c>
      <c r="F48" s="6" t="n">
        <v>0.0</v>
      </c>
      <c r="G48" s="6" t="n">
        <v>0.0</v>
      </c>
      <c r="H48" s="6" t="n">
        <v>0.0</v>
      </c>
      <c r="I48" s="6" t="n">
        <v>0.0</v>
      </c>
      <c r="J48" s="6">
        <f si="0" t="shared"/>
        <v>513.72065627561892</v>
      </c>
      <c r="L48" s="12">
        <v>0.9375</v>
      </c>
      <c r="M48" s="9" t="n">
        <v>39.12763214111328</v>
      </c>
      <c r="N48" s="9" t="n">
        <v>5.036535263061523</v>
      </c>
      <c r="O48" s="9" t="n">
        <v>0.0</v>
      </c>
      <c r="P48" s="9" t="n">
        <v>0.0</v>
      </c>
      <c r="Q48" s="9" t="n">
        <v>1.2520332336425781</v>
      </c>
      <c r="R48" s="9" t="n">
        <v>1.8285293579101562</v>
      </c>
      <c r="S48" s="9" t="n">
        <v>0.0</v>
      </c>
      <c r="T48" s="9" t="n">
        <v>0.0</v>
      </c>
      <c r="U48">
        <f si="1" t="shared"/>
        <v>300.29242992401123</v>
      </c>
    </row>
    <row r="49" spans="1:21" x14ac:dyDescent="0.25">
      <c r="A49" s="12">
        <v>0.95833333333333337</v>
      </c>
      <c r="B49" s="6" t="n">
        <v>9.018431678536334</v>
      </c>
      <c r="C49" s="6" t="n">
        <v>0.0</v>
      </c>
      <c r="D49" s="6" t="n">
        <v>0.0</v>
      </c>
      <c r="E49" s="6" t="n">
        <v>0.0</v>
      </c>
      <c r="F49" s="6" t="n">
        <v>0.0</v>
      </c>
      <c r="G49" s="6" t="n">
        <v>0.0</v>
      </c>
      <c r="H49" s="6" t="n">
        <v>0.0</v>
      </c>
      <c r="I49" s="6" t="n">
        <v>0.0</v>
      </c>
      <c r="J49" s="6">
        <f si="0" t="shared"/>
        <v>391.57794611324016</v>
      </c>
      <c r="L49" s="12">
        <v>0.95833333333333337</v>
      </c>
      <c r="M49" s="9" t="n">
        <v>27.040149688720703</v>
      </c>
      <c r="N49" s="9" t="n">
        <v>3.6329574584960938</v>
      </c>
      <c r="O49" s="9" t="n">
        <v>0.0</v>
      </c>
      <c r="P49" s="9" t="n">
        <v>0.0</v>
      </c>
      <c r="Q49" s="9" t="n">
        <v>0.769648551940918</v>
      </c>
      <c r="R49" s="9" t="n">
        <v>1.4343137741088867</v>
      </c>
      <c r="S49" s="9" t="n">
        <v>0.0</v>
      </c>
      <c r="T49" s="9" t="n">
        <v>0.0</v>
      </c>
      <c r="U49">
        <f si="1" t="shared"/>
        <v>225.967698097229</v>
      </c>
    </row>
    <row r="50" spans="1:21" x14ac:dyDescent="0.25">
      <c r="A50" s="12">
        <v>0.97916666666666663</v>
      </c>
      <c r="B50" s="6" t="n">
        <v>5.490617983396883</v>
      </c>
      <c r="C50" s="6" t="n">
        <v>0.0</v>
      </c>
      <c r="D50" s="6" t="n">
        <v>0.0</v>
      </c>
      <c r="E50" s="6" t="n">
        <v>0.0</v>
      </c>
      <c r="F50" s="6" t="n">
        <v>0.0</v>
      </c>
      <c r="G50" s="6" t="n">
        <v>0.0</v>
      </c>
      <c r="H50" s="6" t="n">
        <v>0.0</v>
      </c>
      <c r="I50" s="6" t="n">
        <v>0.0</v>
      </c>
      <c r="J50" s="6">
        <f si="0" t="shared"/>
        <v>255.38805518071962</v>
      </c>
      <c r="L50" s="12">
        <v>0.97916666666666663</v>
      </c>
      <c r="M50" s="9" t="n">
        <v>17.609466552734375</v>
      </c>
      <c r="N50" s="9" t="n">
        <v>2.555169105529785</v>
      </c>
      <c r="O50" s="9" t="n">
        <v>0.0</v>
      </c>
      <c r="P50" s="9" t="n">
        <v>0.0</v>
      </c>
      <c r="Q50" s="9" t="n">
        <v>0.43982887268066406</v>
      </c>
      <c r="R50" s="9" t="n">
        <v>1.0257291793823242</v>
      </c>
      <c r="S50" s="9" t="n">
        <v>0.0</v>
      </c>
      <c r="T50" s="9" t="n">
        <v>0.0</v>
      </c>
      <c r="U50">
        <f si="1" t="shared"/>
        <v>161.33677959442139</v>
      </c>
    </row>
    <row r="51" spans="1:21" x14ac:dyDescent="0.25">
      <c r="A51" s="12">
        <v>1</v>
      </c>
      <c r="B51" s="6" t="n">
        <v>3.122545376502548</v>
      </c>
      <c r="C51" s="6" t="n">
        <v>0.0</v>
      </c>
      <c r="D51" s="6" t="n">
        <v>0.0</v>
      </c>
      <c r="E51" s="6" t="n">
        <v>0.0</v>
      </c>
      <c r="F51" s="6" t="n">
        <v>0.0</v>
      </c>
      <c r="G51" s="6" t="n">
        <v>0.0</v>
      </c>
      <c r="H51" s="6" t="n">
        <v>0.0</v>
      </c>
      <c r="I51" s="6" t="n">
        <v>0.0</v>
      </c>
      <c r="J51" s="6">
        <f si="0" t="shared"/>
        <v>140.56134861777127</v>
      </c>
      <c r="L51" s="12">
        <v>1</v>
      </c>
      <c r="M51" s="9" t="n">
        <v>10.703648567199707</v>
      </c>
      <c r="N51" s="9" t="n">
        <v>1.6788110733032227</v>
      </c>
      <c r="O51" s="9" t="n">
        <v>0.0</v>
      </c>
      <c r="P51" s="9" t="n">
        <v>0.0</v>
      </c>
      <c r="Q51" s="9" t="n">
        <v>0.2313861846923828</v>
      </c>
      <c r="R51" s="9" t="n">
        <v>0.650787353515625</v>
      </c>
      <c r="S51" s="9" t="n">
        <v>0.0</v>
      </c>
      <c r="T51" s="9" t="n">
        <v>0.0</v>
      </c>
      <c r="U51">
        <f si="1" t="shared"/>
        <v>106.35629653930664</v>
      </c>
    </row>
    <row r="52" spans="1:21" x14ac:dyDescent="0.25">
      <c r="A52" s="12">
        <v>1.0208333333333333</v>
      </c>
      <c r="B52" s="6" t="n">
        <v>1.524137916303876</v>
      </c>
      <c r="C52" s="6" t="n">
        <v>0.0</v>
      </c>
      <c r="D52" s="6" t="n">
        <v>0.0</v>
      </c>
      <c r="E52" s="6" t="n">
        <v>0.0</v>
      </c>
      <c r="F52" s="6" t="n">
        <v>0.0</v>
      </c>
      <c r="G52" s="6" t="n">
        <v>0.0</v>
      </c>
      <c r="H52" s="6" t="n">
        <v>0.0</v>
      </c>
      <c r="I52" s="6" t="n">
        <v>0.0</v>
      </c>
      <c r="J52" s="6">
        <f si="0" t="shared"/>
        <v>64.273221001388038</v>
      </c>
      <c r="L52" s="12">
        <v>1.0208333333333333</v>
      </c>
      <c r="M52" s="9" t="n">
        <v>5.965986251831055</v>
      </c>
      <c r="N52" s="9" t="n">
        <v>0.9877338409423828</v>
      </c>
      <c r="O52" s="9" t="n">
        <v>0.0</v>
      </c>
      <c r="P52" s="9" t="n">
        <v>0.0</v>
      </c>
      <c r="Q52" s="9" t="n">
        <v>0.11025333404541016</v>
      </c>
      <c r="R52" s="9" t="n">
        <v>0.36014556884765625</v>
      </c>
      <c r="S52" s="9" t="n">
        <v>0.0</v>
      </c>
      <c r="T52" s="9" t="n">
        <v>0.0</v>
      </c>
      <c r="U52">
        <f si="1" t="shared"/>
        <v>62.906112670898438</v>
      </c>
    </row>
    <row r="53" spans="1:21" x14ac:dyDescent="0.25">
      <c r="A53" s="12">
        <v>4.1666666666666664E-2</v>
      </c>
      <c r="B53" s="6" t="n">
        <v>0.6062146610760436</v>
      </c>
      <c r="C53" s="6" t="n">
        <v>0.0</v>
      </c>
      <c r="D53" s="6" t="n">
        <v>0.0</v>
      </c>
      <c r="E53" s="6" t="n">
        <v>0.0</v>
      </c>
      <c r="F53" s="6" t="n">
        <v>0.0</v>
      </c>
      <c r="G53" s="6" t="n">
        <v>0.0</v>
      </c>
      <c r="H53" s="6" t="n">
        <v>0.0</v>
      </c>
      <c r="I53" s="6" t="n">
        <v>0.0</v>
      </c>
      <c r="J53" s="6">
        <f si="0" t="shared"/>
        <v>23.938116276134345</v>
      </c>
      <c r="L53" s="12">
        <v>4.1666666666666664E-2</v>
      </c>
      <c r="M53" s="9" t="n">
        <v>2.970987319946289</v>
      </c>
      <c r="N53" s="9" t="n">
        <v>0.5026130676269531</v>
      </c>
      <c r="O53" s="9" t="n">
        <v>0.0</v>
      </c>
      <c r="P53" s="9" t="n">
        <v>0.0</v>
      </c>
      <c r="Q53" s="9" t="n">
        <v>0.046380043029785156</v>
      </c>
      <c r="R53" s="9" t="n">
        <v>0.17151260375976562</v>
      </c>
      <c r="S53" s="9" t="n">
        <v>0.0</v>
      </c>
      <c r="T53" s="9" t="n">
        <v>0.0</v>
      </c>
      <c r="U53">
        <f si="1" t="shared"/>
        <v>32.461380958557129</v>
      </c>
    </row>
    <row r="54" spans="1:21" x14ac:dyDescent="0.25">
      <c r="A54" s="12">
        <v>6.25E-2</v>
      </c>
      <c r="B54" s="6" t="n">
        <v>0.18928918970951158</v>
      </c>
      <c r="C54" s="6" t="n">
        <v>0.0</v>
      </c>
      <c r="D54" s="6" t="n">
        <v>0.0</v>
      </c>
      <c r="E54" s="6" t="n">
        <v>0.0</v>
      </c>
      <c r="F54" s="6" t="n">
        <v>0.0</v>
      </c>
      <c r="G54" s="6" t="n">
        <v>0.0</v>
      </c>
      <c r="H54" s="6" t="n">
        <v>0.0</v>
      </c>
      <c r="I54" s="6" t="n">
        <v>0.0</v>
      </c>
      <c r="J54" s="6">
        <f si="0" t="shared"/>
        <v>7.068037379240721</v>
      </c>
      <c r="L54" s="12">
        <v>6.25E-2</v>
      </c>
      <c r="M54" s="9" t="n">
        <v>1.2810554504394531</v>
      </c>
      <c r="N54" s="9" t="n">
        <v>0.21492767333984375</v>
      </c>
      <c r="O54" s="9" t="n">
        <v>0.0</v>
      </c>
      <c r="P54" s="9" t="n">
        <v>0.0</v>
      </c>
      <c r="Q54" s="9" t="n">
        <v>0.01663970947265625</v>
      </c>
      <c r="R54" s="9" t="n">
        <v>0.06925678253173828</v>
      </c>
      <c r="S54" s="9" t="n">
        <v>0.0</v>
      </c>
      <c r="T54" s="9" t="n">
        <v>0.0</v>
      </c>
      <c r="U54">
        <f si="1" t="shared"/>
        <v>14.221644401550293</v>
      </c>
    </row>
    <row r="55" spans="1:21" x14ac:dyDescent="0.25">
      <c r="A55" s="12">
        <v>8.3333333333333329E-2</v>
      </c>
      <c r="B55" s="6" t="n">
        <v>0.04453863287282625</v>
      </c>
      <c r="C55" s="6" t="n">
        <v>0.0</v>
      </c>
      <c r="D55" s="6" t="n">
        <v>0.0</v>
      </c>
      <c r="E55" s="6" t="n">
        <v>0.0</v>
      </c>
      <c r="F55" s="6" t="n">
        <v>0.0</v>
      </c>
      <c r="G55" s="6" t="n">
        <v>0.0</v>
      </c>
      <c r="H55" s="6" t="n">
        <v>0.0</v>
      </c>
      <c r="I55" s="6" t="n">
        <v>0.0</v>
      </c>
      <c r="J55" s="6">
        <f si="0" t="shared"/>
        <v>1.5902987951495589</v>
      </c>
      <c r="L55" s="12">
        <v>8.3333333333333329E-2</v>
      </c>
      <c r="M55" s="9" t="n">
        <v>0.46212291717529297</v>
      </c>
      <c r="N55" s="9" t="n">
        <v>0.07515525817871094</v>
      </c>
      <c r="O55" s="9" t="n">
        <v>0.0</v>
      </c>
      <c r="P55" s="9" t="n">
        <v>0.0</v>
      </c>
      <c r="Q55" s="9" t="n">
        <v>0.004879951477050781</v>
      </c>
      <c r="R55" s="9" t="n">
        <v>0.023250579833984375</v>
      </c>
      <c r="S55" s="9" t="n">
        <v>0.0</v>
      </c>
      <c r="T55" s="9" t="n">
        <v>0.0</v>
      </c>
      <c r="U55">
        <f si="1" t="shared"/>
        <v>5.1423740386962891</v>
      </c>
    </row>
    <row r="56" spans="1:21" x14ac:dyDescent="0.25">
      <c r="A56" s="12">
        <v>0.10416666666666667</v>
      </c>
      <c r="B56" s="6" t="n">
        <v>0.007423105478804376</v>
      </c>
      <c r="C56" s="6" t="n">
        <v>0.0</v>
      </c>
      <c r="D56" s="6" t="n">
        <v>0.0</v>
      </c>
      <c r="E56" s="6" t="n">
        <v>0.0</v>
      </c>
      <c r="F56" s="6" t="n">
        <v>0.0</v>
      </c>
      <c r="G56" s="6" t="n">
        <v>0.0</v>
      </c>
      <c r="H56" s="6" t="n">
        <v>0.0</v>
      </c>
      <c r="I56" s="6" t="n">
        <v>0.0</v>
      </c>
      <c r="J56" s="6">
        <f si="0" t="shared"/>
        <v>0.25596433536295771</v>
      </c>
      <c r="L56" s="12">
        <v>0.10416666666666667</v>
      </c>
      <c r="M56" s="9" t="n">
        <v>0.13421154022216797</v>
      </c>
      <c r="N56" s="9" t="n">
        <v>0.020829200744628906</v>
      </c>
      <c r="O56" s="9" t="n">
        <v>0.0</v>
      </c>
      <c r="P56" s="9" t="n">
        <v>0.0</v>
      </c>
      <c r="Q56" s="9" t="n">
        <v>0.001110076904296875</v>
      </c>
      <c r="R56" s="9" t="n">
        <v>0.00630950927734375</v>
      </c>
      <c r="S56" s="9" t="n">
        <v>0.0</v>
      </c>
      <c r="T56" s="9" t="n">
        <v>0.0</v>
      </c>
      <c r="U56">
        <f si="1" t="shared"/>
        <v>1.4849615097045898</v>
      </c>
    </row>
    <row r="57" spans="1:21" x14ac:dyDescent="0.25">
      <c r="A57" s="12">
        <v>0.125</v>
      </c>
      <c r="B57" s="6" t="n">
        <v>7.813795240846712E-4</v>
      </c>
      <c r="C57" s="6" t="n">
        <v>0.0</v>
      </c>
      <c r="D57" s="6" t="n">
        <v>0.0</v>
      </c>
      <c r="E57" s="6" t="n">
        <v>0.0</v>
      </c>
      <c r="F57" s="6" t="n">
        <v>0.0</v>
      </c>
      <c r="G57" s="6" t="n">
        <v>0.0</v>
      </c>
      <c r="H57" s="6" t="n">
        <v>0.0</v>
      </c>
      <c r="I57" s="6" t="n">
        <v>0.0</v>
      </c>
      <c r="J57" s="6">
        <f si="0" t="shared"/>
        <v>2.6232265313656317E-2</v>
      </c>
      <c r="L57" s="12">
        <v>0.125</v>
      </c>
      <c r="M57" s="9" t="n">
        <v>0.02946186065673828</v>
      </c>
      <c r="N57" s="9" t="n">
        <v>0.0043277740478515625</v>
      </c>
      <c r="O57" s="9" t="n">
        <v>0.0</v>
      </c>
      <c r="P57" s="9" t="n">
        <v>0.0</v>
      </c>
      <c r="Q57" s="9" t="n">
        <v>1.811981201171875E-4</v>
      </c>
      <c r="R57" s="9" t="n">
        <v>0.001308441162109375</v>
      </c>
      <c r="S57" s="9" t="n">
        <v>0.0</v>
      </c>
      <c r="T57" s="9" t="n">
        <v>0.0</v>
      </c>
      <c r="U57">
        <f si="1" t="shared"/>
        <v>0.32291412353515625</v>
      </c>
    </row>
    <row ht="15.75" r="58" spans="1:21" thickBot="1" x14ac:dyDescent="0.3">
      <c r="A58" s="13" t="s">
        <v>6</v>
      </c>
      <c r="B58" s="7" t="n">
        <v>0.0</v>
      </c>
      <c r="C58" s="7" t="n">
        <v>0.0</v>
      </c>
      <c r="D58" s="7" t="n">
        <v>0.0</v>
      </c>
      <c r="E58" s="7" t="n">
        <v>0.0</v>
      </c>
      <c r="F58" s="7" t="n">
        <v>0.0</v>
      </c>
      <c r="G58" s="7" t="n">
        <v>0.0</v>
      </c>
      <c r="H58" s="7" t="n">
        <v>0.0</v>
      </c>
      <c r="I58" s="7" t="n">
        <v>0.0</v>
      </c>
      <c r="J58" s="7">
        <f si="0" t="shared"/>
        <v>0</v>
      </c>
      <c r="L58" s="13" t="s">
        <v>6</v>
      </c>
      <c r="M58" s="10" t="n">
        <v>0.0</v>
      </c>
      <c r="N58" s="10" t="n">
        <v>0.0</v>
      </c>
      <c r="O58" s="10" t="n">
        <v>0.0</v>
      </c>
      <c r="P58" s="10" t="n">
        <v>0.0</v>
      </c>
      <c r="Q58" s="10" t="n">
        <v>0.0</v>
      </c>
      <c r="R58" s="10" t="n">
        <v>0.0</v>
      </c>
      <c r="S58" s="10" t="n">
        <v>0.0</v>
      </c>
      <c r="T58" s="10" t="n">
        <v>0.0</v>
      </c>
      <c r="U58" s="1">
        <f si="1" t="shared"/>
        <v>0</v>
      </c>
    </row>
  </sheetData>
  <pageMargins bottom="0.75" footer="0.3" header="0.3" left="0.7" right="0.7" top="0.75"/>
  <drawing r:id="rId1"/>
</worksheet>
</file>

<file path=xl/worksheets/sheet1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8"/>
  <dimension ref="A2:C22"/>
  <sheetViews>
    <sheetView workbookViewId="0"/>
  </sheetViews>
  <sheetFormatPr defaultRowHeight="15" x14ac:dyDescent="0.25"/>
  <sheetData>
    <row r="2" spans="1:2" x14ac:dyDescent="0.25">
      <c r="A2" s="8" t="s">
        <v>33</v>
      </c>
    </row>
    <row r="3" spans="1:2" x14ac:dyDescent="0.25">
      <c r="B3" t="s">
        <v>36</v>
      </c>
    </row>
    <row r="4" spans="1:2" x14ac:dyDescent="0.25">
      <c r="B4" t="s">
        <v>37</v>
      </c>
    </row>
    <row r="22" spans="1:1" x14ac:dyDescent="0.25">
      <c r="A22" s="8"/>
    </row>
  </sheetData>
  <pageMargins bottom="0.75" footer="0.3" header="0.3" left="0.7" right="0.7" top="0.75"/>
</worksheet>
</file>

<file path=xl/worksheets/sheet1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L265"/>
  <sheetViews>
    <sheetView workbookViewId="0">
      <selection activeCell="A8" sqref="A8:K265"/>
    </sheetView>
  </sheetViews>
  <sheetFormatPr defaultRowHeight="15" x14ac:dyDescent="0.25"/>
  <sheetData>
    <row r="1" spans="1:11" x14ac:dyDescent="0.25">
      <c r="A1" s="47" t="s">
        <v>92</v>
      </c>
      <c r="B1" s="48"/>
      <c r="C1" s="48"/>
      <c r="D1" s="48"/>
      <c r="E1" s="48"/>
      <c r="F1" s="48"/>
      <c r="G1" s="48"/>
      <c r="H1" s="48" t="s">
        <v>93</v>
      </c>
      <c r="I1" s="48"/>
      <c r="J1" s="48"/>
      <c r="K1" s="49"/>
    </row>
    <row r="2" spans="1:11" x14ac:dyDescent="0.25">
      <c r="A2" s="50">
        <v>1</v>
      </c>
      <c r="B2" s="51" t="s">
        <v>197</v>
      </c>
      <c r="C2" s="51"/>
      <c r="D2" s="51"/>
      <c r="E2" s="51"/>
      <c r="F2" s="51"/>
      <c r="G2" s="51"/>
      <c r="H2" s="51"/>
      <c r="I2" s="51"/>
      <c r="J2" s="51"/>
      <c r="K2" s="52"/>
    </row>
    <row r="3" spans="1:11" x14ac:dyDescent="0.25">
      <c r="A3" s="50">
        <v>2</v>
      </c>
      <c r="B3" s="51" t="s">
        <v>94</v>
      </c>
      <c r="C3" s="51"/>
      <c r="D3" s="51"/>
      <c r="E3" s="51"/>
      <c r="F3" s="51"/>
      <c r="G3" s="51"/>
      <c r="H3" s="51"/>
      <c r="I3" s="51"/>
      <c r="J3" s="51"/>
      <c r="K3" s="52"/>
    </row>
    <row r="4" spans="1:11" x14ac:dyDescent="0.25">
      <c r="A4" s="50">
        <v>3</v>
      </c>
      <c r="B4" s="51" t="s">
        <v>95</v>
      </c>
      <c r="C4" s="51"/>
      <c r="D4" s="51"/>
      <c r="E4" s="51"/>
      <c r="F4" s="51"/>
      <c r="G4" s="51"/>
      <c r="H4" s="51"/>
      <c r="I4" s="51"/>
      <c r="J4" s="51"/>
      <c r="K4" s="52"/>
    </row>
    <row r="5" spans="1:11" x14ac:dyDescent="0.25">
      <c r="A5" s="50">
        <v>4</v>
      </c>
      <c r="B5" s="51" t="s">
        <v>96</v>
      </c>
      <c r="C5" s="51"/>
      <c r="D5" s="51"/>
      <c r="E5" s="51"/>
      <c r="F5" s="51"/>
      <c r="G5" s="51"/>
      <c r="H5" s="51"/>
      <c r="I5" s="51"/>
      <c r="J5" s="51"/>
      <c r="K5" s="52"/>
    </row>
    <row r="6" spans="1:11" x14ac:dyDescent="0.25">
      <c r="A6" s="53"/>
      <c r="B6" s="54"/>
      <c r="C6" s="54"/>
      <c r="D6" s="54"/>
      <c r="E6" s="54"/>
      <c r="F6" s="54"/>
      <c r="G6" s="54"/>
      <c r="H6" s="54"/>
      <c r="I6" s="54"/>
      <c r="J6" s="54"/>
      <c r="K6" s="55"/>
    </row>
    <row r="8" spans="1:11" x14ac:dyDescent="0.25">
      <c r="A8" t="s">
        <v>97</v>
      </c>
      <c r="B8" t="s">
        <v>98</v>
      </c>
      <c r="C8" t="s">
        <v>99</v>
      </c>
    </row>
    <row r="9" spans="1:11" x14ac:dyDescent="0.25">
      <c r="A9" t="s">
        <v>100</v>
      </c>
      <c r="B9" t="s">
        <v>101</v>
      </c>
      <c r="C9" t="s">
        <v>102</v>
      </c>
      <c r="D9" t="s">
        <v>103</v>
      </c>
      <c r="E9">
        <v>4</v>
      </c>
      <c r="F9" s="56">
        <v>0.64187499999999997</v>
      </c>
      <c r="G9" t="s">
        <v>104</v>
      </c>
      <c r="H9">
        <v>7</v>
      </c>
      <c r="I9" t="s">
        <v>199</v>
      </c>
      <c r="J9">
        <v>12</v>
      </c>
    </row>
    <row r="10" spans="1:11" x14ac:dyDescent="0.25">
      <c r="A10" t="s">
        <v>105</v>
      </c>
    </row>
    <row r="11" spans="1:11" x14ac:dyDescent="0.25">
      <c r="B11">
        <v>11</v>
      </c>
      <c r="C11" t="s">
        <v>106</v>
      </c>
      <c r="D11" t="s">
        <v>107</v>
      </c>
      <c r="E11">
        <v>-10</v>
      </c>
      <c r="F11">
        <v>0</v>
      </c>
    </row>
    <row r="12" spans="1:11" x14ac:dyDescent="0.25">
      <c r="B12">
        <v>12</v>
      </c>
      <c r="C12" t="s">
        <v>108</v>
      </c>
      <c r="D12" t="s">
        <v>109</v>
      </c>
      <c r="E12">
        <v>-3.25373144395</v>
      </c>
      <c r="F12">
        <v>0.212443725818</v>
      </c>
    </row>
    <row r="13" spans="1:11" x14ac:dyDescent="0.25">
      <c r="B13">
        <v>13</v>
      </c>
      <c r="C13" t="s">
        <v>110</v>
      </c>
      <c r="D13" t="s">
        <v>109</v>
      </c>
      <c r="E13">
        <v>-0.21597678247800001</v>
      </c>
      <c r="F13" s="57">
        <v>8.1395299864599993E-2</v>
      </c>
    </row>
    <row r="14" spans="1:11" x14ac:dyDescent="0.25">
      <c r="B14">
        <v>14</v>
      </c>
      <c r="C14" t="s">
        <v>111</v>
      </c>
      <c r="D14" t="s">
        <v>107</v>
      </c>
      <c r="E14">
        <v>0</v>
      </c>
      <c r="F14">
        <v>0</v>
      </c>
    </row>
    <row r="15" spans="1:11" x14ac:dyDescent="0.25">
      <c r="B15">
        <v>15</v>
      </c>
      <c r="C15" t="s">
        <v>112</v>
      </c>
      <c r="D15" t="s">
        <v>109</v>
      </c>
      <c r="E15">
        <v>-1.2614952667399999</v>
      </c>
      <c r="F15" s="57">
        <v>0.116570218502</v>
      </c>
    </row>
    <row r="16" spans="1:11" x14ac:dyDescent="0.25">
      <c r="B16">
        <v>16</v>
      </c>
      <c r="C16" t="s">
        <v>113</v>
      </c>
      <c r="D16" t="s">
        <v>109</v>
      </c>
      <c r="E16">
        <v>-2.25578381447</v>
      </c>
      <c r="F16" s="57">
        <v>0.18421384461000001</v>
      </c>
    </row>
    <row r="17" spans="2:6" x14ac:dyDescent="0.25">
      <c r="B17">
        <v>17</v>
      </c>
      <c r="C17" t="s">
        <v>114</v>
      </c>
      <c r="D17" t="s">
        <v>109</v>
      </c>
      <c r="E17">
        <v>-2.9429385107799999</v>
      </c>
      <c r="F17">
        <v>0.33156200417499998</v>
      </c>
    </row>
    <row r="18" spans="2:6" x14ac:dyDescent="0.25">
      <c r="B18">
        <v>18</v>
      </c>
      <c r="C18" t="s">
        <v>115</v>
      </c>
      <c r="D18" t="s">
        <v>109</v>
      </c>
      <c r="E18">
        <v>-2.0422750131099998</v>
      </c>
      <c r="F18">
        <v>0.45465025791199998</v>
      </c>
    </row>
    <row r="19" spans="2:6" x14ac:dyDescent="0.25">
      <c r="B19">
        <v>19</v>
      </c>
      <c r="C19" t="s">
        <v>116</v>
      </c>
      <c r="D19" t="s">
        <v>109</v>
      </c>
      <c r="E19">
        <v>-3.4674414305300001</v>
      </c>
      <c r="F19">
        <v>0.63844613126600003</v>
      </c>
    </row>
    <row r="20" spans="2:6" x14ac:dyDescent="0.25">
      <c r="B20">
        <v>20</v>
      </c>
      <c r="C20" t="s">
        <v>117</v>
      </c>
      <c r="D20" t="s">
        <v>107</v>
      </c>
      <c r="E20">
        <v>-10</v>
      </c>
      <c r="F20">
        <v>0</v>
      </c>
    </row>
    <row r="21" spans="2:6" x14ac:dyDescent="0.25">
      <c r="B21">
        <v>21</v>
      </c>
      <c r="C21" t="s">
        <v>118</v>
      </c>
      <c r="D21" t="s">
        <v>107</v>
      </c>
      <c r="E21">
        <v>-10</v>
      </c>
      <c r="F21">
        <v>0</v>
      </c>
    </row>
    <row r="22" spans="2:6" x14ac:dyDescent="0.25">
      <c r="B22">
        <v>22</v>
      </c>
      <c r="C22" t="s">
        <v>119</v>
      </c>
      <c r="D22" t="s">
        <v>109</v>
      </c>
      <c r="E22">
        <v>-1.220998</v>
      </c>
      <c r="F22">
        <v>0.39542909695400003</v>
      </c>
    </row>
    <row r="23" spans="2:6" x14ac:dyDescent="0.25">
      <c r="B23">
        <v>23</v>
      </c>
      <c r="C23" t="s">
        <v>120</v>
      </c>
      <c r="D23" t="s">
        <v>109</v>
      </c>
      <c r="E23">
        <v>0.64485899999999996</v>
      </c>
      <c r="F23">
        <v>0.240054726957</v>
      </c>
    </row>
    <row r="24" spans="2:6" x14ac:dyDescent="0.25">
      <c r="B24">
        <v>24</v>
      </c>
      <c r="C24" t="s">
        <v>121</v>
      </c>
      <c r="D24" t="s">
        <v>109</v>
      </c>
      <c r="E24">
        <v>1.592598</v>
      </c>
      <c r="F24">
        <v>0.156285482088</v>
      </c>
    </row>
    <row r="25" spans="2:6" x14ac:dyDescent="0.25">
      <c r="B25">
        <v>25</v>
      </c>
      <c r="C25" t="s">
        <v>122</v>
      </c>
      <c r="D25" t="s">
        <v>107</v>
      </c>
      <c r="E25">
        <v>0</v>
      </c>
      <c r="F25">
        <v>0</v>
      </c>
    </row>
    <row r="26" spans="2:6" x14ac:dyDescent="0.25">
      <c r="B26">
        <v>26</v>
      </c>
      <c r="C26" t="s">
        <v>123</v>
      </c>
      <c r="D26" t="s">
        <v>109</v>
      </c>
      <c r="E26" s="57">
        <v>1.7683000000000001E-2</v>
      </c>
      <c r="F26" s="57">
        <v>0.144719460918</v>
      </c>
    </row>
    <row r="27" spans="2:6" x14ac:dyDescent="0.25">
      <c r="B27">
        <v>27</v>
      </c>
      <c r="C27" t="s">
        <v>124</v>
      </c>
      <c r="D27" t="s">
        <v>109</v>
      </c>
      <c r="E27">
        <v>-0.88386299999999995</v>
      </c>
      <c r="F27">
        <v>0.20496778773499999</v>
      </c>
    </row>
    <row r="28" spans="2:6" x14ac:dyDescent="0.25">
      <c r="B28">
        <v>28</v>
      </c>
      <c r="C28" t="s">
        <v>125</v>
      </c>
      <c r="D28" t="s">
        <v>109</v>
      </c>
      <c r="E28">
        <v>-1.604725</v>
      </c>
      <c r="F28">
        <v>0.245169334865</v>
      </c>
    </row>
    <row r="29" spans="2:6" x14ac:dyDescent="0.25">
      <c r="B29">
        <v>29</v>
      </c>
      <c r="C29" t="s">
        <v>126</v>
      </c>
      <c r="D29" t="s">
        <v>109</v>
      </c>
      <c r="E29">
        <v>-2.4918230000000001</v>
      </c>
      <c r="F29">
        <v>0.33452869444799999</v>
      </c>
    </row>
    <row r="30" spans="2:6" x14ac:dyDescent="0.25">
      <c r="B30">
        <v>30</v>
      </c>
      <c r="C30" t="s">
        <v>127</v>
      </c>
      <c r="D30" t="s">
        <v>107</v>
      </c>
      <c r="E30">
        <v>-10</v>
      </c>
      <c r="F30">
        <v>0</v>
      </c>
    </row>
    <row r="31" spans="2:6" x14ac:dyDescent="0.25">
      <c r="B31">
        <v>31</v>
      </c>
      <c r="C31" t="s">
        <v>128</v>
      </c>
      <c r="D31" t="s">
        <v>109</v>
      </c>
      <c r="E31">
        <v>-1.672868</v>
      </c>
      <c r="F31">
        <v>0.36667143581200001</v>
      </c>
    </row>
    <row r="32" spans="2:6" x14ac:dyDescent="0.25">
      <c r="B32">
        <v>32</v>
      </c>
      <c r="C32" t="s">
        <v>129</v>
      </c>
      <c r="D32" t="s">
        <v>109</v>
      </c>
      <c r="E32">
        <v>-1.041045</v>
      </c>
      <c r="F32">
        <v>0.27972481901200003</v>
      </c>
    </row>
    <row r="33" spans="2:6" x14ac:dyDescent="0.25">
      <c r="B33">
        <v>33</v>
      </c>
      <c r="C33" t="s">
        <v>130</v>
      </c>
      <c r="D33" t="s">
        <v>109</v>
      </c>
      <c r="E33">
        <v>-0.617788</v>
      </c>
      <c r="F33">
        <v>0.20452030135499999</v>
      </c>
    </row>
    <row r="34" spans="2:6" x14ac:dyDescent="0.25">
      <c r="B34">
        <v>34</v>
      </c>
      <c r="C34" t="s">
        <v>131</v>
      </c>
      <c r="D34" t="s">
        <v>109</v>
      </c>
      <c r="E34">
        <v>-0.160163</v>
      </c>
      <c r="F34">
        <v>0.147904033164</v>
      </c>
    </row>
    <row r="35" spans="2:6" x14ac:dyDescent="0.25">
      <c r="B35">
        <v>35</v>
      </c>
      <c r="C35" t="s">
        <v>132</v>
      </c>
      <c r="D35" t="s">
        <v>107</v>
      </c>
      <c r="E35">
        <v>-7.2091000000000002E-2</v>
      </c>
      <c r="F35">
        <v>0</v>
      </c>
    </row>
    <row r="36" spans="2:6" x14ac:dyDescent="0.25">
      <c r="B36">
        <v>36</v>
      </c>
      <c r="C36" t="s">
        <v>133</v>
      </c>
      <c r="D36" t="s">
        <v>109</v>
      </c>
      <c r="E36">
        <v>-0.79294299999999995</v>
      </c>
      <c r="F36">
        <v>0.197936565531</v>
      </c>
    </row>
    <row r="37" spans="2:6" x14ac:dyDescent="0.25">
      <c r="B37">
        <v>37</v>
      </c>
      <c r="C37" t="s">
        <v>134</v>
      </c>
      <c r="D37" t="s">
        <v>109</v>
      </c>
      <c r="E37">
        <v>-1.8158650000000001</v>
      </c>
      <c r="F37">
        <v>0.36414176398499998</v>
      </c>
    </row>
    <row r="38" spans="2:6" x14ac:dyDescent="0.25">
      <c r="B38">
        <v>38</v>
      </c>
      <c r="C38" t="s">
        <v>135</v>
      </c>
      <c r="D38" t="s">
        <v>109</v>
      </c>
      <c r="E38">
        <v>-3.215354</v>
      </c>
      <c r="F38">
        <v>0.51836226592599999</v>
      </c>
    </row>
    <row r="39" spans="2:6" x14ac:dyDescent="0.25">
      <c r="B39">
        <v>39</v>
      </c>
      <c r="C39" t="s">
        <v>136</v>
      </c>
      <c r="D39" t="s">
        <v>109</v>
      </c>
      <c r="E39">
        <v>-5.0070750000000004</v>
      </c>
      <c r="F39">
        <v>0.820740270509</v>
      </c>
    </row>
    <row r="40" spans="2:6" x14ac:dyDescent="0.25">
      <c r="B40">
        <v>40</v>
      </c>
      <c r="C40" t="s">
        <v>137</v>
      </c>
      <c r="D40" t="s">
        <v>107</v>
      </c>
      <c r="E40">
        <v>-10</v>
      </c>
      <c r="F40">
        <v>0</v>
      </c>
    </row>
    <row r="41" spans="2:6" x14ac:dyDescent="0.25">
      <c r="B41">
        <v>41</v>
      </c>
      <c r="C41" t="s">
        <v>138</v>
      </c>
      <c r="D41" t="s">
        <v>109</v>
      </c>
      <c r="E41" s="57">
        <v>0.28932022582700001</v>
      </c>
      <c r="F41" s="57">
        <v>8.1790819621500005E-2</v>
      </c>
    </row>
    <row r="42" spans="2:6" x14ac:dyDescent="0.25">
      <c r="B42">
        <v>42</v>
      </c>
      <c r="C42" t="s">
        <v>139</v>
      </c>
      <c r="D42" t="s">
        <v>109</v>
      </c>
      <c r="E42" s="57">
        <v>-0.126020317947</v>
      </c>
      <c r="F42" s="57">
        <v>0.14444759103999999</v>
      </c>
    </row>
    <row r="43" spans="2:6" x14ac:dyDescent="0.25">
      <c r="B43">
        <v>43</v>
      </c>
      <c r="C43" t="s">
        <v>140</v>
      </c>
      <c r="D43" t="s">
        <v>109</v>
      </c>
      <c r="E43">
        <v>0.21889169970399999</v>
      </c>
      <c r="F43" s="57">
        <v>0.114107825336</v>
      </c>
    </row>
    <row r="44" spans="2:6" x14ac:dyDescent="0.25">
      <c r="B44">
        <v>44</v>
      </c>
      <c r="C44" t="s">
        <v>141</v>
      </c>
      <c r="D44" t="s">
        <v>109</v>
      </c>
      <c r="E44" s="57">
        <v>-0.130191110389</v>
      </c>
      <c r="F44" s="57">
        <v>0.18202934117799999</v>
      </c>
    </row>
    <row r="45" spans="2:6" x14ac:dyDescent="0.25">
      <c r="B45">
        <v>45</v>
      </c>
      <c r="C45" t="s">
        <v>142</v>
      </c>
      <c r="D45" t="s">
        <v>109</v>
      </c>
      <c r="E45">
        <v>0.16568715041199999</v>
      </c>
      <c r="F45" s="57">
        <v>2.0000137764899999E-2</v>
      </c>
    </row>
    <row r="46" spans="2:6" x14ac:dyDescent="0.25">
      <c r="B46">
        <v>46</v>
      </c>
      <c r="C46" t="s">
        <v>143</v>
      </c>
      <c r="D46" t="s">
        <v>109</v>
      </c>
      <c r="E46" s="57">
        <v>-7.5649381697400001E-2</v>
      </c>
      <c r="F46" s="57">
        <v>1.8610123099900001E-2</v>
      </c>
    </row>
    <row r="47" spans="2:6" x14ac:dyDescent="0.25">
      <c r="B47">
        <v>49</v>
      </c>
      <c r="C47" t="s">
        <v>144</v>
      </c>
      <c r="D47" t="s">
        <v>109</v>
      </c>
      <c r="E47" s="57">
        <v>-6.2615357102599994E-2</v>
      </c>
      <c r="F47" s="57">
        <v>3.4710304796399999E-2</v>
      </c>
    </row>
    <row r="48" spans="2:6" x14ac:dyDescent="0.25">
      <c r="B48">
        <v>50</v>
      </c>
      <c r="C48" t="s">
        <v>145</v>
      </c>
      <c r="D48" t="s">
        <v>109</v>
      </c>
      <c r="E48" s="57">
        <v>5.8936801301500003E-2</v>
      </c>
      <c r="F48" s="57">
        <v>2.0920637709499999E-2</v>
      </c>
    </row>
    <row r="49" spans="2:6" x14ac:dyDescent="0.25">
      <c r="B49">
        <v>61</v>
      </c>
      <c r="C49" t="s">
        <v>146</v>
      </c>
      <c r="D49" t="s">
        <v>109</v>
      </c>
      <c r="E49" s="57">
        <v>1.3894069452699999E-2</v>
      </c>
      <c r="F49" s="57">
        <v>8.3411937746000007E-3</v>
      </c>
    </row>
    <row r="50" spans="2:6" x14ac:dyDescent="0.25">
      <c r="B50">
        <v>62</v>
      </c>
      <c r="C50" t="s">
        <v>147</v>
      </c>
      <c r="D50" t="s">
        <v>109</v>
      </c>
      <c r="E50" s="57">
        <v>-3.35065604818E-2</v>
      </c>
      <c r="F50" s="57">
        <v>8.38002977703E-3</v>
      </c>
    </row>
    <row r="51" spans="2:6" x14ac:dyDescent="0.25">
      <c r="B51">
        <v>65</v>
      </c>
      <c r="C51" t="s">
        <v>148</v>
      </c>
      <c r="D51" t="s">
        <v>109</v>
      </c>
      <c r="E51" s="57">
        <v>-5.4867372478100002E-3</v>
      </c>
      <c r="F51" s="57">
        <v>7.3917522604599996E-3</v>
      </c>
    </row>
    <row r="52" spans="2:6" x14ac:dyDescent="0.25">
      <c r="B52">
        <v>66</v>
      </c>
      <c r="C52" t="s">
        <v>149</v>
      </c>
      <c r="D52" t="s">
        <v>109</v>
      </c>
      <c r="E52" s="57">
        <v>-3.6193574736200003E-2</v>
      </c>
      <c r="F52" s="57">
        <v>7.8544593236800006E-3</v>
      </c>
    </row>
    <row r="53" spans="2:6" x14ac:dyDescent="0.25">
      <c r="B53">
        <v>67</v>
      </c>
      <c r="C53" t="s">
        <v>150</v>
      </c>
      <c r="D53" t="s">
        <v>109</v>
      </c>
      <c r="E53" s="57">
        <v>-2.12729108975E-2</v>
      </c>
      <c r="F53" s="57">
        <v>1.7916013650899999E-2</v>
      </c>
    </row>
    <row r="54" spans="2:6" x14ac:dyDescent="0.25">
      <c r="B54">
        <v>68</v>
      </c>
      <c r="C54" t="s">
        <v>151</v>
      </c>
      <c r="D54" t="s">
        <v>109</v>
      </c>
      <c r="E54" s="57">
        <v>3.8531785887300003E-2</v>
      </c>
      <c r="F54" s="57">
        <v>1.5124703998900001E-2</v>
      </c>
    </row>
    <row r="55" spans="2:6" x14ac:dyDescent="0.25">
      <c r="B55">
        <v>85</v>
      </c>
      <c r="C55" t="s">
        <v>152</v>
      </c>
      <c r="D55" t="s">
        <v>107</v>
      </c>
      <c r="E55">
        <v>0.25</v>
      </c>
      <c r="F55">
        <v>0</v>
      </c>
    </row>
    <row r="56" spans="2:6" x14ac:dyDescent="0.25">
      <c r="B56">
        <v>86</v>
      </c>
      <c r="C56" t="s">
        <v>153</v>
      </c>
      <c r="D56" t="s">
        <v>107</v>
      </c>
      <c r="E56">
        <v>0.25</v>
      </c>
      <c r="F56">
        <v>0</v>
      </c>
    </row>
    <row r="57" spans="2:6" x14ac:dyDescent="0.25">
      <c r="B57">
        <v>87</v>
      </c>
      <c r="C57" t="s">
        <v>154</v>
      </c>
      <c r="D57" t="s">
        <v>107</v>
      </c>
      <c r="E57">
        <v>0.25</v>
      </c>
      <c r="F57">
        <v>0</v>
      </c>
    </row>
    <row r="58" spans="2:6" x14ac:dyDescent="0.25">
      <c r="B58">
        <v>88</v>
      </c>
      <c r="C58" t="s">
        <v>155</v>
      </c>
      <c r="D58" t="s">
        <v>107</v>
      </c>
      <c r="E58">
        <v>0.25</v>
      </c>
      <c r="F58">
        <v>0</v>
      </c>
    </row>
    <row r="59" spans="2:6" x14ac:dyDescent="0.25">
      <c r="B59">
        <v>91</v>
      </c>
      <c r="C59" t="s">
        <v>156</v>
      </c>
      <c r="D59" t="s">
        <v>109</v>
      </c>
      <c r="E59">
        <v>4.3984912551099997</v>
      </c>
      <c r="F59">
        <v>1.96603329105</v>
      </c>
    </row>
    <row r="60" spans="2:6" x14ac:dyDescent="0.25">
      <c r="B60">
        <v>92</v>
      </c>
      <c r="C60" t="s">
        <v>157</v>
      </c>
      <c r="D60" t="s">
        <v>109</v>
      </c>
      <c r="E60">
        <v>1.2976531666</v>
      </c>
      <c r="F60">
        <v>1.1720550539300001</v>
      </c>
    </row>
    <row r="61" spans="2:6" x14ac:dyDescent="0.25">
      <c r="B61">
        <v>93</v>
      </c>
      <c r="C61" t="s">
        <v>158</v>
      </c>
      <c r="D61" t="s">
        <v>109</v>
      </c>
      <c r="E61">
        <v>-0.13712603030000001</v>
      </c>
      <c r="F61" s="57">
        <v>3.2875457459200001E-2</v>
      </c>
    </row>
    <row r="62" spans="2:6" x14ac:dyDescent="0.25">
      <c r="B62">
        <v>94</v>
      </c>
      <c r="C62" t="s">
        <v>159</v>
      </c>
      <c r="D62" t="s">
        <v>109</v>
      </c>
      <c r="E62">
        <v>-0.117727254534</v>
      </c>
      <c r="F62" s="57">
        <v>2.82168740236E-2</v>
      </c>
    </row>
    <row r="63" spans="2:6" x14ac:dyDescent="0.25">
      <c r="B63">
        <v>95</v>
      </c>
      <c r="C63" t="s">
        <v>160</v>
      </c>
      <c r="D63" t="s">
        <v>109</v>
      </c>
      <c r="E63" s="57">
        <v>-8.0903295982399995E-2</v>
      </c>
      <c r="F63" s="57">
        <v>3.8563633848499999E-2</v>
      </c>
    </row>
    <row r="64" spans="2:6" x14ac:dyDescent="0.25">
      <c r="B64">
        <v>96</v>
      </c>
      <c r="C64" t="s">
        <v>161</v>
      </c>
      <c r="D64" t="s">
        <v>109</v>
      </c>
      <c r="E64" s="57">
        <v>-2.0259430948599999E-2</v>
      </c>
      <c r="F64" s="57">
        <v>3.01211486939E-2</v>
      </c>
    </row>
    <row r="65" spans="2:11" x14ac:dyDescent="0.25">
      <c r="B65">
        <v>97</v>
      </c>
      <c r="C65" t="s">
        <v>162</v>
      </c>
      <c r="D65" t="s">
        <v>109</v>
      </c>
      <c r="E65">
        <v>-88.147824057299999</v>
      </c>
      <c r="F65">
        <v>14.178858871899999</v>
      </c>
    </row>
    <row r="66" spans="2:11" x14ac:dyDescent="0.25">
      <c r="B66">
        <v>99</v>
      </c>
      <c r="C66" t="s">
        <v>163</v>
      </c>
      <c r="D66" t="s">
        <v>109</v>
      </c>
      <c r="E66">
        <v>-0.515327957738</v>
      </c>
      <c r="F66">
        <v>0.26278775001999999</v>
      </c>
    </row>
    <row r="67" spans="2:11" x14ac:dyDescent="0.25">
      <c r="B67">
        <v>100</v>
      </c>
      <c r="C67" t="s">
        <v>164</v>
      </c>
      <c r="D67" t="s">
        <v>109</v>
      </c>
      <c r="E67" s="57">
        <v>-1.48342258525</v>
      </c>
      <c r="F67">
        <v>0.62838814571900004</v>
      </c>
    </row>
    <row r="68" spans="2:11" x14ac:dyDescent="0.25">
      <c r="B68">
        <v>124</v>
      </c>
      <c r="C68" t="s">
        <v>165</v>
      </c>
      <c r="D68" t="s">
        <v>109</v>
      </c>
      <c r="E68">
        <v>1.6847908809200001</v>
      </c>
      <c r="F68" s="57">
        <v>0.124449884057</v>
      </c>
    </row>
    <row r="69" spans="2:11" x14ac:dyDescent="0.25">
      <c r="B69">
        <v>139</v>
      </c>
      <c r="C69" t="s">
        <v>166</v>
      </c>
      <c r="D69" t="s">
        <v>109</v>
      </c>
      <c r="E69">
        <v>0.28553018058200003</v>
      </c>
      <c r="F69" s="57">
        <v>3.96616510337E-2</v>
      </c>
    </row>
    <row r="70" spans="2:11" x14ac:dyDescent="0.25">
      <c r="B70">
        <v>140</v>
      </c>
      <c r="C70" t="s">
        <v>167</v>
      </c>
      <c r="D70" t="s">
        <v>109</v>
      </c>
      <c r="E70" s="57">
        <v>0.115396426521</v>
      </c>
      <c r="F70" s="57">
        <v>4.6268888288900002E-2</v>
      </c>
    </row>
    <row r="71" spans="2:11" x14ac:dyDescent="0.25">
      <c r="B71">
        <v>143</v>
      </c>
      <c r="C71" t="s">
        <v>168</v>
      </c>
      <c r="D71" t="s">
        <v>109</v>
      </c>
      <c r="E71" s="57">
        <v>0.10498530294699999</v>
      </c>
      <c r="F71" s="57">
        <v>3.9099946337000001E-2</v>
      </c>
    </row>
    <row r="72" spans="2:11" x14ac:dyDescent="0.25">
      <c r="B72">
        <v>144</v>
      </c>
      <c r="C72" t="s">
        <v>169</v>
      </c>
      <c r="D72" t="s">
        <v>109</v>
      </c>
      <c r="E72" s="57">
        <v>0.15534523906299999</v>
      </c>
      <c r="F72" s="57">
        <v>2.8784104356000002E-2</v>
      </c>
    </row>
    <row r="73" spans="2:11" x14ac:dyDescent="0.25">
      <c r="B73">
        <v>-1</v>
      </c>
    </row>
    <row r="74" spans="2:11" x14ac:dyDescent="0.25">
      <c r="B74">
        <v>1422</v>
      </c>
      <c r="C74" s="57">
        <v>-6449.0449196199997</v>
      </c>
      <c r="D74" s="57">
        <v>-9890.1744363100006</v>
      </c>
      <c r="E74" s="57">
        <v>-6708.2478466499997</v>
      </c>
    </row>
    <row r="75" spans="2:11" x14ac:dyDescent="0.25">
      <c r="B75">
        <v>7</v>
      </c>
      <c r="C75" t="s">
        <v>221</v>
      </c>
      <c r="D75" t="s">
        <v>104</v>
      </c>
      <c r="E75">
        <v>7</v>
      </c>
      <c r="F75" t="s">
        <v>199</v>
      </c>
      <c r="G75">
        <v>12</v>
      </c>
    </row>
    <row r="76" spans="2:11" x14ac:dyDescent="0.25">
      <c r="B76">
        <v>0</v>
      </c>
      <c r="C76">
        <v>0</v>
      </c>
      <c r="D76">
        <v>43065</v>
      </c>
      <c r="E76">
        <v>0</v>
      </c>
      <c r="F76">
        <v>0</v>
      </c>
      <c r="G76">
        <v>0</v>
      </c>
      <c r="H76">
        <v>0</v>
      </c>
      <c r="I76">
        <v>-13227</v>
      </c>
      <c r="J76">
        <v>-6069</v>
      </c>
      <c r="K76">
        <v>0</v>
      </c>
    </row>
    <row r="77" spans="2:11" x14ac:dyDescent="0.25">
      <c r="B77">
        <v>0</v>
      </c>
      <c r="C77">
        <v>-30183</v>
      </c>
      <c r="D77">
        <v>-32672</v>
      </c>
      <c r="E77">
        <v>0</v>
      </c>
      <c r="F77">
        <v>43352</v>
      </c>
      <c r="G77">
        <v>0</v>
      </c>
      <c r="H77">
        <v>-32876</v>
      </c>
      <c r="I77">
        <v>-39428</v>
      </c>
      <c r="J77">
        <v>0</v>
      </c>
      <c r="K77">
        <v>39740</v>
      </c>
    </row>
    <row r="78" spans="2:11" x14ac:dyDescent="0.25">
      <c r="B78">
        <v>73936</v>
      </c>
      <c r="C78">
        <v>0</v>
      </c>
      <c r="D78">
        <v>-35223</v>
      </c>
      <c r="E78">
        <v>-42359</v>
      </c>
      <c r="F78">
        <v>0</v>
      </c>
      <c r="G78">
        <v>39035</v>
      </c>
      <c r="H78">
        <v>72702</v>
      </c>
      <c r="I78">
        <v>84825</v>
      </c>
      <c r="J78">
        <v>0</v>
      </c>
      <c r="K78">
        <v>-28385</v>
      </c>
    </row>
    <row r="79" spans="2:11" x14ac:dyDescent="0.25">
      <c r="B79">
        <v>-34705</v>
      </c>
      <c r="C79">
        <v>0</v>
      </c>
      <c r="D79">
        <v>32029</v>
      </c>
      <c r="E79">
        <v>61936</v>
      </c>
      <c r="F79">
        <v>73707</v>
      </c>
      <c r="G79">
        <v>83491</v>
      </c>
      <c r="H79">
        <v>0</v>
      </c>
      <c r="I79">
        <v>0</v>
      </c>
      <c r="J79">
        <v>0</v>
      </c>
      <c r="K79">
        <v>0</v>
      </c>
    </row>
    <row r="80" spans="2:11" x14ac:dyDescent="0.25"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</row>
    <row r="81" spans="2:11" x14ac:dyDescent="0.25"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-23828</v>
      </c>
      <c r="I81">
        <v>-30176</v>
      </c>
      <c r="J81">
        <v>0</v>
      </c>
      <c r="K81">
        <v>22496</v>
      </c>
    </row>
    <row r="82" spans="2:11" x14ac:dyDescent="0.25">
      <c r="B82">
        <v>40406</v>
      </c>
      <c r="C82">
        <v>43130</v>
      </c>
      <c r="D82">
        <v>45841</v>
      </c>
      <c r="E82">
        <v>39776</v>
      </c>
      <c r="F82">
        <v>0</v>
      </c>
      <c r="G82">
        <v>0</v>
      </c>
      <c r="H82">
        <v>0</v>
      </c>
      <c r="I82">
        <v>-25249</v>
      </c>
      <c r="J82">
        <v>-30577</v>
      </c>
      <c r="K82">
        <v>0</v>
      </c>
    </row>
    <row r="83" spans="2:11" x14ac:dyDescent="0.25">
      <c r="B83">
        <v>22293</v>
      </c>
      <c r="C83">
        <v>37926</v>
      </c>
      <c r="D83">
        <v>39928</v>
      </c>
      <c r="E83">
        <v>44544</v>
      </c>
      <c r="F83">
        <v>38858</v>
      </c>
      <c r="G83">
        <v>0</v>
      </c>
      <c r="H83">
        <v>0</v>
      </c>
      <c r="I83">
        <v>68512</v>
      </c>
      <c r="J83">
        <v>0</v>
      </c>
      <c r="K83">
        <v>-24009</v>
      </c>
    </row>
    <row r="84" spans="2:11" x14ac:dyDescent="0.25">
      <c r="B84">
        <v>-26436</v>
      </c>
      <c r="C84">
        <v>0</v>
      </c>
      <c r="D84">
        <v>17489</v>
      </c>
      <c r="E84">
        <v>25846</v>
      </c>
      <c r="F84">
        <v>28999</v>
      </c>
      <c r="G84">
        <v>36369</v>
      </c>
      <c r="H84">
        <v>30497</v>
      </c>
      <c r="I84">
        <v>0</v>
      </c>
      <c r="J84">
        <v>0</v>
      </c>
      <c r="K84">
        <v>59021</v>
      </c>
    </row>
    <row r="85" spans="2:11" x14ac:dyDescent="0.25">
      <c r="B85">
        <v>82246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</row>
    <row r="86" spans="2:11" x14ac:dyDescent="0.25"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11608</v>
      </c>
      <c r="I86">
        <v>14010</v>
      </c>
      <c r="J86">
        <v>0</v>
      </c>
      <c r="K86">
        <v>-7174</v>
      </c>
    </row>
    <row r="87" spans="2:11" x14ac:dyDescent="0.25">
      <c r="B87">
        <v>-11586</v>
      </c>
      <c r="C87">
        <v>-12466</v>
      </c>
      <c r="D87">
        <v>-19341</v>
      </c>
      <c r="E87">
        <v>-15699</v>
      </c>
      <c r="F87">
        <v>0</v>
      </c>
      <c r="G87">
        <v>0</v>
      </c>
      <c r="H87">
        <v>-3221</v>
      </c>
      <c r="I87">
        <v>1661</v>
      </c>
      <c r="J87">
        <v>17699</v>
      </c>
      <c r="K87">
        <v>0</v>
      </c>
    </row>
    <row r="88" spans="2:11" x14ac:dyDescent="0.25">
      <c r="B88">
        <v>0</v>
      </c>
      <c r="C88">
        <v>11775</v>
      </c>
      <c r="D88">
        <v>15830</v>
      </c>
      <c r="E88">
        <v>0</v>
      </c>
      <c r="F88">
        <v>-10739</v>
      </c>
      <c r="G88">
        <v>-15589</v>
      </c>
      <c r="H88">
        <v>-16294</v>
      </c>
      <c r="I88">
        <v>-24958</v>
      </c>
      <c r="J88">
        <v>-19570</v>
      </c>
      <c r="K88">
        <v>0</v>
      </c>
    </row>
    <row r="89" spans="2:11" x14ac:dyDescent="0.25">
      <c r="B89">
        <v>0</v>
      </c>
      <c r="C89">
        <v>-12576</v>
      </c>
      <c r="D89">
        <v>-11653</v>
      </c>
      <c r="E89">
        <v>2349</v>
      </c>
      <c r="F89">
        <v>0</v>
      </c>
      <c r="G89">
        <v>52442</v>
      </c>
      <c r="H89">
        <v>0</v>
      </c>
      <c r="I89">
        <v>13188</v>
      </c>
      <c r="J89">
        <v>18045</v>
      </c>
      <c r="K89">
        <v>0</v>
      </c>
    </row>
    <row r="90" spans="2:11" x14ac:dyDescent="0.25">
      <c r="B90">
        <v>-13816</v>
      </c>
      <c r="C90">
        <v>-25571</v>
      </c>
      <c r="D90">
        <v>-27085</v>
      </c>
      <c r="E90">
        <v>-36721</v>
      </c>
      <c r="F90">
        <v>-35536</v>
      </c>
      <c r="G90">
        <v>0</v>
      </c>
      <c r="H90">
        <v>0</v>
      </c>
      <c r="I90">
        <v>-24088</v>
      </c>
      <c r="J90">
        <v>-25004</v>
      </c>
      <c r="K90">
        <v>-9241</v>
      </c>
    </row>
    <row r="91" spans="2:11" x14ac:dyDescent="0.25">
      <c r="B91">
        <v>0</v>
      </c>
      <c r="C91">
        <v>48784</v>
      </c>
      <c r="D91">
        <v>52429</v>
      </c>
      <c r="E91">
        <v>0</v>
      </c>
      <c r="F91">
        <v>14659</v>
      </c>
      <c r="G91">
        <v>19666</v>
      </c>
      <c r="H91">
        <v>0</v>
      </c>
      <c r="I91">
        <v>-15019</v>
      </c>
      <c r="J91">
        <v>-30211</v>
      </c>
      <c r="K91">
        <v>-34933</v>
      </c>
    </row>
    <row r="92" spans="2:11" x14ac:dyDescent="0.25">
      <c r="B92">
        <v>-43249</v>
      </c>
      <c r="C92">
        <v>-46880</v>
      </c>
      <c r="D92">
        <v>0</v>
      </c>
      <c r="E92">
        <v>0</v>
      </c>
      <c r="F92">
        <v>-33356</v>
      </c>
      <c r="G92">
        <v>-36850</v>
      </c>
      <c r="H92">
        <v>-20037</v>
      </c>
      <c r="I92">
        <v>0</v>
      </c>
      <c r="J92">
        <v>42492</v>
      </c>
      <c r="K92">
        <v>47451</v>
      </c>
    </row>
    <row r="93" spans="2:11" x14ac:dyDescent="0.25">
      <c r="B93">
        <v>65365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</row>
    <row r="94" spans="2:11" x14ac:dyDescent="0.25"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</row>
    <row r="95" spans="2:11" x14ac:dyDescent="0.25">
      <c r="B95">
        <v>0</v>
      </c>
      <c r="C95">
        <v>4714</v>
      </c>
      <c r="D95">
        <v>-924</v>
      </c>
      <c r="E95">
        <v>0</v>
      </c>
      <c r="F95">
        <v>-7845</v>
      </c>
      <c r="G95">
        <v>-7232</v>
      </c>
      <c r="H95">
        <v>-3884</v>
      </c>
      <c r="I95">
        <v>-5109</v>
      </c>
      <c r="J95">
        <v>-7709</v>
      </c>
      <c r="K95">
        <v>0</v>
      </c>
    </row>
    <row r="96" spans="2:11" x14ac:dyDescent="0.25">
      <c r="B96">
        <v>0</v>
      </c>
      <c r="C96">
        <v>-18669</v>
      </c>
      <c r="D96">
        <v>-16538</v>
      </c>
      <c r="E96">
        <v>-11595</v>
      </c>
      <c r="F96">
        <v>0</v>
      </c>
      <c r="G96">
        <v>9907</v>
      </c>
      <c r="H96">
        <v>8057</v>
      </c>
      <c r="I96">
        <v>9161</v>
      </c>
      <c r="J96">
        <v>15186</v>
      </c>
      <c r="K96">
        <v>0</v>
      </c>
    </row>
    <row r="97" spans="2:11" x14ac:dyDescent="0.25">
      <c r="B97">
        <v>0</v>
      </c>
      <c r="C97">
        <v>7849</v>
      </c>
      <c r="D97">
        <v>1253</v>
      </c>
      <c r="E97">
        <v>0</v>
      </c>
      <c r="F97">
        <v>-9929</v>
      </c>
      <c r="G97">
        <v>-8061</v>
      </c>
      <c r="H97">
        <v>-2014</v>
      </c>
      <c r="I97">
        <v>-5284</v>
      </c>
      <c r="J97">
        <v>-6211</v>
      </c>
      <c r="K97">
        <v>0</v>
      </c>
    </row>
    <row r="98" spans="2:11" x14ac:dyDescent="0.25">
      <c r="B98">
        <v>0</v>
      </c>
      <c r="C98">
        <v>-13745</v>
      </c>
      <c r="D98">
        <v>-20820</v>
      </c>
      <c r="E98">
        <v>-16390</v>
      </c>
      <c r="F98">
        <v>0</v>
      </c>
      <c r="G98">
        <v>12268</v>
      </c>
      <c r="H98">
        <v>9407</v>
      </c>
      <c r="I98">
        <v>7457</v>
      </c>
      <c r="J98">
        <v>11556</v>
      </c>
      <c r="K98">
        <v>0</v>
      </c>
    </row>
    <row r="99" spans="2:11" x14ac:dyDescent="0.25">
      <c r="B99">
        <v>91290</v>
      </c>
      <c r="C99">
        <v>0</v>
      </c>
      <c r="D99">
        <v>12321</v>
      </c>
      <c r="E99">
        <v>4549</v>
      </c>
      <c r="F99">
        <v>0</v>
      </c>
      <c r="G99">
        <v>-9089</v>
      </c>
      <c r="H99">
        <v>-3032</v>
      </c>
      <c r="I99">
        <v>-474</v>
      </c>
      <c r="J99">
        <v>-6274</v>
      </c>
      <c r="K99">
        <v>-5653</v>
      </c>
    </row>
    <row r="100" spans="2:11" x14ac:dyDescent="0.25">
      <c r="B100">
        <v>0</v>
      </c>
      <c r="C100">
        <v>0</v>
      </c>
      <c r="D100">
        <v>-12771</v>
      </c>
      <c r="E100">
        <v>-18044</v>
      </c>
      <c r="F100">
        <v>-26199</v>
      </c>
      <c r="G100">
        <v>0</v>
      </c>
      <c r="H100">
        <v>15694</v>
      </c>
      <c r="I100">
        <v>11282</v>
      </c>
      <c r="J100">
        <v>8592</v>
      </c>
      <c r="K100">
        <v>10448</v>
      </c>
    </row>
    <row r="101" spans="2:11" x14ac:dyDescent="0.25">
      <c r="B101">
        <v>0</v>
      </c>
      <c r="C101">
        <v>83201</v>
      </c>
      <c r="D101">
        <v>88695</v>
      </c>
      <c r="E101">
        <v>0</v>
      </c>
      <c r="F101">
        <v>13354</v>
      </c>
      <c r="G101">
        <v>1008</v>
      </c>
      <c r="H101">
        <v>0</v>
      </c>
      <c r="I101">
        <v>-6332</v>
      </c>
      <c r="J101">
        <v>-3899</v>
      </c>
      <c r="K101">
        <v>-2667</v>
      </c>
    </row>
    <row r="102" spans="2:11" x14ac:dyDescent="0.25">
      <c r="B102">
        <v>-9840</v>
      </c>
      <c r="C102">
        <v>-8048</v>
      </c>
      <c r="D102">
        <v>0</v>
      </c>
      <c r="E102">
        <v>0</v>
      </c>
      <c r="F102">
        <v>-12127</v>
      </c>
      <c r="G102">
        <v>-16748</v>
      </c>
      <c r="H102">
        <v>-24033</v>
      </c>
      <c r="I102">
        <v>0</v>
      </c>
      <c r="J102">
        <v>21280</v>
      </c>
      <c r="K102">
        <v>14796</v>
      </c>
    </row>
    <row r="103" spans="2:11" x14ac:dyDescent="0.25">
      <c r="B103">
        <v>10865</v>
      </c>
      <c r="C103">
        <v>12141</v>
      </c>
      <c r="D103">
        <v>0</v>
      </c>
      <c r="E103">
        <v>66904</v>
      </c>
      <c r="F103">
        <v>74684</v>
      </c>
      <c r="G103">
        <v>84888</v>
      </c>
      <c r="H103">
        <v>0</v>
      </c>
      <c r="I103">
        <v>0</v>
      </c>
      <c r="J103">
        <v>0</v>
      </c>
      <c r="K103">
        <v>0</v>
      </c>
    </row>
    <row r="104" spans="2:11" x14ac:dyDescent="0.25"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</row>
    <row r="105" spans="2:11" x14ac:dyDescent="0.25"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</row>
    <row r="106" spans="2:11" x14ac:dyDescent="0.25">
      <c r="B106">
        <v>0</v>
      </c>
      <c r="C106">
        <v>2639</v>
      </c>
      <c r="D106">
        <v>-3433</v>
      </c>
      <c r="E106">
        <v>0</v>
      </c>
      <c r="F106">
        <v>693</v>
      </c>
      <c r="G106">
        <v>76</v>
      </c>
      <c r="H106">
        <v>-245</v>
      </c>
      <c r="I106">
        <v>2430</v>
      </c>
      <c r="J106">
        <v>2564</v>
      </c>
      <c r="K106">
        <v>0</v>
      </c>
    </row>
    <row r="107" spans="2:11" x14ac:dyDescent="0.25">
      <c r="B107">
        <v>0</v>
      </c>
      <c r="C107">
        <v>-1732</v>
      </c>
      <c r="D107">
        <v>-4172</v>
      </c>
      <c r="E107">
        <v>-7141</v>
      </c>
      <c r="F107">
        <v>0</v>
      </c>
      <c r="G107">
        <v>-14962</v>
      </c>
      <c r="H107">
        <v>-24943</v>
      </c>
      <c r="I107">
        <v>-17743</v>
      </c>
      <c r="J107">
        <v>-13071</v>
      </c>
      <c r="K107">
        <v>0</v>
      </c>
    </row>
    <row r="108" spans="2:11" x14ac:dyDescent="0.25">
      <c r="B108">
        <v>-8557</v>
      </c>
      <c r="C108">
        <v>-4547</v>
      </c>
      <c r="D108">
        <v>2562</v>
      </c>
      <c r="E108">
        <v>14866</v>
      </c>
      <c r="F108">
        <v>0</v>
      </c>
      <c r="G108">
        <v>0</v>
      </c>
      <c r="H108">
        <v>1732</v>
      </c>
      <c r="I108">
        <v>443</v>
      </c>
      <c r="J108">
        <v>0</v>
      </c>
      <c r="K108">
        <v>985</v>
      </c>
    </row>
    <row r="109" spans="2:11" x14ac:dyDescent="0.25">
      <c r="B109">
        <v>1564</v>
      </c>
      <c r="C109">
        <v>1135</v>
      </c>
      <c r="D109">
        <v>3451</v>
      </c>
      <c r="E109">
        <v>4756</v>
      </c>
      <c r="F109">
        <v>0</v>
      </c>
      <c r="G109">
        <v>0</v>
      </c>
      <c r="H109">
        <v>-720</v>
      </c>
      <c r="I109">
        <v>-3035</v>
      </c>
      <c r="J109">
        <v>-5466</v>
      </c>
      <c r="K109">
        <v>0</v>
      </c>
    </row>
    <row r="110" spans="2:11" x14ac:dyDescent="0.25">
      <c r="B110">
        <v>-2676</v>
      </c>
      <c r="C110">
        <v>-18359</v>
      </c>
      <c r="D110">
        <v>-25066</v>
      </c>
      <c r="E110">
        <v>-15048</v>
      </c>
      <c r="F110">
        <v>0</v>
      </c>
      <c r="G110">
        <v>-15316</v>
      </c>
      <c r="H110">
        <v>-11936</v>
      </c>
      <c r="I110">
        <v>-6571</v>
      </c>
      <c r="J110">
        <v>3134</v>
      </c>
      <c r="K110">
        <v>0</v>
      </c>
    </row>
    <row r="111" spans="2:11" x14ac:dyDescent="0.25">
      <c r="B111">
        <v>25640</v>
      </c>
      <c r="C111">
        <v>0</v>
      </c>
      <c r="D111">
        <v>3130</v>
      </c>
      <c r="E111">
        <v>2426</v>
      </c>
      <c r="F111">
        <v>0</v>
      </c>
      <c r="G111">
        <v>930</v>
      </c>
      <c r="H111">
        <v>1922</v>
      </c>
      <c r="I111">
        <v>1365</v>
      </c>
      <c r="J111">
        <v>2956</v>
      </c>
      <c r="K111">
        <v>6240</v>
      </c>
    </row>
    <row r="112" spans="2:11" x14ac:dyDescent="0.25">
      <c r="B112">
        <v>0</v>
      </c>
      <c r="C112">
        <v>0</v>
      </c>
      <c r="D112">
        <v>-802</v>
      </c>
      <c r="E112">
        <v>-3497</v>
      </c>
      <c r="F112">
        <v>-5951</v>
      </c>
      <c r="G112">
        <v>0</v>
      </c>
      <c r="H112">
        <v>-1133</v>
      </c>
      <c r="I112">
        <v>-6268</v>
      </c>
      <c r="J112">
        <v>-22303</v>
      </c>
      <c r="K112">
        <v>-20349</v>
      </c>
    </row>
    <row r="113" spans="2:11" x14ac:dyDescent="0.25">
      <c r="B113">
        <v>0</v>
      </c>
      <c r="C113">
        <v>-22710</v>
      </c>
      <c r="D113">
        <v>-19180</v>
      </c>
      <c r="E113">
        <v>-13714</v>
      </c>
      <c r="F113">
        <v>-3754</v>
      </c>
      <c r="G113">
        <v>0</v>
      </c>
      <c r="H113">
        <v>20988</v>
      </c>
      <c r="I113">
        <v>22745</v>
      </c>
      <c r="J113">
        <v>0</v>
      </c>
      <c r="K113">
        <v>2721</v>
      </c>
    </row>
    <row r="114" spans="2:11" x14ac:dyDescent="0.25">
      <c r="B114">
        <v>3144</v>
      </c>
      <c r="C114">
        <v>0</v>
      </c>
      <c r="D114">
        <v>788</v>
      </c>
      <c r="E114">
        <v>905</v>
      </c>
      <c r="F114">
        <v>349</v>
      </c>
      <c r="G114">
        <v>976</v>
      </c>
      <c r="H114">
        <v>4998</v>
      </c>
      <c r="I114">
        <v>0</v>
      </c>
      <c r="J114">
        <v>0</v>
      </c>
      <c r="K114">
        <v>-1652</v>
      </c>
    </row>
    <row r="115" spans="2:11" x14ac:dyDescent="0.25">
      <c r="B115">
        <v>-4415</v>
      </c>
      <c r="C115">
        <v>-6406</v>
      </c>
      <c r="D115">
        <v>0</v>
      </c>
      <c r="E115">
        <v>-213</v>
      </c>
      <c r="F115">
        <v>-3175</v>
      </c>
      <c r="G115">
        <v>-8087</v>
      </c>
      <c r="H115">
        <v>-21318</v>
      </c>
      <c r="I115">
        <v>0</v>
      </c>
      <c r="J115">
        <v>-26604</v>
      </c>
      <c r="K115">
        <v>-23738</v>
      </c>
    </row>
    <row r="116" spans="2:11" x14ac:dyDescent="0.25">
      <c r="B116">
        <v>-18709</v>
      </c>
      <c r="C116">
        <v>-9379</v>
      </c>
      <c r="D116">
        <v>0</v>
      </c>
      <c r="E116">
        <v>16807</v>
      </c>
      <c r="F116">
        <v>17836</v>
      </c>
      <c r="G116">
        <v>23144</v>
      </c>
      <c r="H116">
        <v>0</v>
      </c>
      <c r="I116">
        <v>0</v>
      </c>
      <c r="J116">
        <v>0</v>
      </c>
      <c r="K116">
        <v>0</v>
      </c>
    </row>
    <row r="117" spans="2:11" x14ac:dyDescent="0.25"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</row>
    <row r="118" spans="2:11" x14ac:dyDescent="0.25"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</row>
    <row r="119" spans="2:11" x14ac:dyDescent="0.25"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-3372</v>
      </c>
      <c r="I119">
        <v>-4241</v>
      </c>
      <c r="J119">
        <v>0</v>
      </c>
      <c r="K119">
        <v>2864</v>
      </c>
    </row>
    <row r="120" spans="2:11" x14ac:dyDescent="0.25">
      <c r="B120">
        <v>3401</v>
      </c>
      <c r="C120">
        <v>-459</v>
      </c>
      <c r="D120">
        <v>-4773</v>
      </c>
      <c r="E120">
        <v>-8610</v>
      </c>
      <c r="F120">
        <v>0</v>
      </c>
      <c r="G120">
        <v>0</v>
      </c>
      <c r="H120">
        <v>338</v>
      </c>
      <c r="I120">
        <v>1064</v>
      </c>
      <c r="J120">
        <v>893</v>
      </c>
      <c r="K120">
        <v>0</v>
      </c>
    </row>
    <row r="121" spans="2:11" x14ac:dyDescent="0.25">
      <c r="B121">
        <v>-1006</v>
      </c>
      <c r="C121">
        <v>-2323</v>
      </c>
      <c r="D121">
        <v>-3525</v>
      </c>
      <c r="E121">
        <v>-4763</v>
      </c>
      <c r="F121">
        <v>0</v>
      </c>
      <c r="G121">
        <v>-1727</v>
      </c>
      <c r="H121">
        <v>-2376</v>
      </c>
      <c r="I121">
        <v>-2430</v>
      </c>
      <c r="J121">
        <v>-1916</v>
      </c>
      <c r="K121">
        <v>0</v>
      </c>
    </row>
    <row r="122" spans="2:11" x14ac:dyDescent="0.25">
      <c r="B122">
        <v>1357</v>
      </c>
      <c r="C122">
        <v>1773</v>
      </c>
      <c r="D122">
        <v>2099</v>
      </c>
      <c r="E122">
        <v>2040</v>
      </c>
      <c r="F122">
        <v>0</v>
      </c>
      <c r="G122">
        <v>0</v>
      </c>
      <c r="H122">
        <v>-308</v>
      </c>
      <c r="I122">
        <v>-147</v>
      </c>
      <c r="J122">
        <v>0</v>
      </c>
      <c r="K122">
        <v>489</v>
      </c>
    </row>
    <row r="123" spans="2:11" x14ac:dyDescent="0.25">
      <c r="B123">
        <v>1021</v>
      </c>
      <c r="C123">
        <v>1499</v>
      </c>
      <c r="D123">
        <v>495</v>
      </c>
      <c r="E123">
        <v>-222</v>
      </c>
      <c r="F123">
        <v>0</v>
      </c>
      <c r="G123">
        <v>0</v>
      </c>
      <c r="H123">
        <v>-1451</v>
      </c>
      <c r="I123">
        <v>-625</v>
      </c>
      <c r="J123">
        <v>-19</v>
      </c>
      <c r="K123">
        <v>0</v>
      </c>
    </row>
    <row r="124" spans="2:11" x14ac:dyDescent="0.25">
      <c r="B124">
        <v>-654</v>
      </c>
      <c r="C124">
        <v>-1338</v>
      </c>
      <c r="D124">
        <v>-3054</v>
      </c>
      <c r="E124">
        <v>-4749</v>
      </c>
      <c r="F124">
        <v>0</v>
      </c>
      <c r="G124">
        <v>-1447</v>
      </c>
      <c r="H124">
        <v>-3249</v>
      </c>
      <c r="I124">
        <v>-3324</v>
      </c>
      <c r="J124">
        <v>-2504</v>
      </c>
      <c r="K124">
        <v>0</v>
      </c>
    </row>
    <row r="125" spans="2:11" x14ac:dyDescent="0.25">
      <c r="B125">
        <v>1562</v>
      </c>
      <c r="C125">
        <v>2120</v>
      </c>
      <c r="D125">
        <v>2744</v>
      </c>
      <c r="E125">
        <v>2730</v>
      </c>
      <c r="F125">
        <v>0</v>
      </c>
      <c r="G125">
        <v>53351</v>
      </c>
      <c r="H125">
        <v>0</v>
      </c>
      <c r="I125">
        <v>-2282</v>
      </c>
      <c r="J125">
        <v>-2791</v>
      </c>
      <c r="K125">
        <v>0</v>
      </c>
    </row>
    <row r="126" spans="2:11" x14ac:dyDescent="0.25">
      <c r="B126">
        <v>1700</v>
      </c>
      <c r="C126">
        <v>1267</v>
      </c>
      <c r="D126">
        <v>-1904</v>
      </c>
      <c r="E126">
        <v>-4570</v>
      </c>
      <c r="F126">
        <v>-6119</v>
      </c>
      <c r="G126">
        <v>0</v>
      </c>
      <c r="H126">
        <v>0</v>
      </c>
      <c r="I126">
        <v>1405</v>
      </c>
      <c r="J126">
        <v>1127</v>
      </c>
      <c r="K126">
        <v>528</v>
      </c>
    </row>
    <row r="127" spans="2:11" x14ac:dyDescent="0.25">
      <c r="B127">
        <v>0</v>
      </c>
      <c r="C127">
        <v>-447</v>
      </c>
      <c r="D127">
        <v>-1066</v>
      </c>
      <c r="E127">
        <v>-1275</v>
      </c>
      <c r="F127">
        <v>-1952</v>
      </c>
      <c r="G127">
        <v>0</v>
      </c>
      <c r="H127">
        <v>-951</v>
      </c>
      <c r="I127">
        <v>-1286</v>
      </c>
      <c r="J127">
        <v>-1332</v>
      </c>
      <c r="K127">
        <v>-1035</v>
      </c>
    </row>
    <row r="128" spans="2:11" x14ac:dyDescent="0.25">
      <c r="B128">
        <v>0</v>
      </c>
      <c r="C128">
        <v>679</v>
      </c>
      <c r="D128">
        <v>820</v>
      </c>
      <c r="E128">
        <v>967</v>
      </c>
      <c r="F128">
        <v>986</v>
      </c>
      <c r="G128">
        <v>0</v>
      </c>
      <c r="H128">
        <v>4274</v>
      </c>
      <c r="I128">
        <v>748</v>
      </c>
      <c r="J128">
        <v>0</v>
      </c>
      <c r="K128">
        <v>-316</v>
      </c>
    </row>
    <row r="129" spans="2:11" x14ac:dyDescent="0.25">
      <c r="B129">
        <v>-198</v>
      </c>
      <c r="C129">
        <v>0</v>
      </c>
      <c r="D129">
        <v>379</v>
      </c>
      <c r="E129">
        <v>636</v>
      </c>
      <c r="F129">
        <v>584</v>
      </c>
      <c r="G129">
        <v>-202</v>
      </c>
      <c r="H129">
        <v>-562</v>
      </c>
      <c r="I129">
        <v>0</v>
      </c>
      <c r="J129">
        <v>0</v>
      </c>
      <c r="K129">
        <v>-270</v>
      </c>
    </row>
    <row r="130" spans="2:11" x14ac:dyDescent="0.25">
      <c r="B130">
        <v>-237</v>
      </c>
      <c r="C130">
        <v>-36</v>
      </c>
      <c r="D130">
        <v>0</v>
      </c>
      <c r="E130">
        <v>-366</v>
      </c>
      <c r="F130">
        <v>-739</v>
      </c>
      <c r="G130">
        <v>-1442</v>
      </c>
      <c r="H130">
        <v>-2376</v>
      </c>
      <c r="I130">
        <v>0</v>
      </c>
      <c r="J130">
        <v>-610</v>
      </c>
      <c r="K130">
        <v>-2007</v>
      </c>
    </row>
    <row r="131" spans="2:11" x14ac:dyDescent="0.25">
      <c r="B131">
        <v>-2254</v>
      </c>
      <c r="C131">
        <v>-1700</v>
      </c>
      <c r="D131">
        <v>0</v>
      </c>
      <c r="E131">
        <v>978</v>
      </c>
      <c r="F131">
        <v>1245</v>
      </c>
      <c r="G131">
        <v>1566</v>
      </c>
      <c r="H131">
        <v>1537</v>
      </c>
      <c r="I131">
        <v>0</v>
      </c>
      <c r="J131">
        <v>1044</v>
      </c>
      <c r="K131">
        <v>909</v>
      </c>
    </row>
    <row r="132" spans="2:11" x14ac:dyDescent="0.25">
      <c r="B132">
        <v>58638</v>
      </c>
      <c r="C132">
        <v>0</v>
      </c>
      <c r="D132">
        <v>-3335</v>
      </c>
      <c r="E132">
        <v>-3518</v>
      </c>
      <c r="F132">
        <v>0</v>
      </c>
      <c r="G132">
        <v>586</v>
      </c>
      <c r="H132">
        <v>-8968</v>
      </c>
      <c r="I132">
        <v>-23770</v>
      </c>
      <c r="J132">
        <v>-32153</v>
      </c>
      <c r="K132">
        <v>-35406</v>
      </c>
    </row>
    <row r="133" spans="2:11" x14ac:dyDescent="0.25">
      <c r="B133">
        <v>0</v>
      </c>
      <c r="C133">
        <v>0</v>
      </c>
      <c r="D133">
        <v>9679</v>
      </c>
      <c r="E133">
        <v>10857</v>
      </c>
      <c r="F133">
        <v>7055</v>
      </c>
      <c r="G133">
        <v>0</v>
      </c>
      <c r="H133">
        <v>-4170</v>
      </c>
      <c r="I133">
        <v>-7726</v>
      </c>
      <c r="J133">
        <v>-10423</v>
      </c>
      <c r="K133">
        <v>-13720</v>
      </c>
    </row>
    <row r="134" spans="2:11" x14ac:dyDescent="0.25">
      <c r="B134">
        <v>0</v>
      </c>
      <c r="C134">
        <v>-6097</v>
      </c>
      <c r="D134">
        <v>-6368</v>
      </c>
      <c r="E134">
        <v>-6327</v>
      </c>
      <c r="F134">
        <v>-5071</v>
      </c>
      <c r="G134">
        <v>0</v>
      </c>
      <c r="H134">
        <v>3273</v>
      </c>
      <c r="I134">
        <v>3886</v>
      </c>
      <c r="J134">
        <v>4451</v>
      </c>
      <c r="K134">
        <v>4153</v>
      </c>
    </row>
    <row r="135" spans="2:11" x14ac:dyDescent="0.25">
      <c r="B135">
        <v>0</v>
      </c>
      <c r="C135">
        <v>21195</v>
      </c>
      <c r="D135">
        <v>3634</v>
      </c>
      <c r="E135">
        <v>13189</v>
      </c>
      <c r="F135">
        <v>2341</v>
      </c>
      <c r="G135">
        <v>0</v>
      </c>
      <c r="H135">
        <v>1189</v>
      </c>
      <c r="I135">
        <v>2360</v>
      </c>
      <c r="J135">
        <v>0</v>
      </c>
      <c r="K135">
        <v>-574</v>
      </c>
    </row>
    <row r="136" spans="2:11" x14ac:dyDescent="0.25">
      <c r="B136">
        <v>-1474</v>
      </c>
      <c r="C136">
        <v>-3460</v>
      </c>
      <c r="D136">
        <v>-6193</v>
      </c>
      <c r="E136">
        <v>-6925</v>
      </c>
      <c r="F136">
        <v>0</v>
      </c>
      <c r="G136">
        <v>0</v>
      </c>
      <c r="H136">
        <v>7223</v>
      </c>
      <c r="I136">
        <v>7289</v>
      </c>
      <c r="J136">
        <v>7077</v>
      </c>
      <c r="K136">
        <v>0</v>
      </c>
    </row>
    <row r="137" spans="2:11" x14ac:dyDescent="0.25">
      <c r="B137">
        <v>-5272</v>
      </c>
      <c r="C137">
        <v>-8372</v>
      </c>
      <c r="D137">
        <v>-12851</v>
      </c>
      <c r="E137">
        <v>-16143</v>
      </c>
      <c r="F137">
        <v>0</v>
      </c>
      <c r="G137">
        <v>1958</v>
      </c>
      <c r="H137">
        <v>-5581</v>
      </c>
      <c r="I137">
        <v>-8922</v>
      </c>
      <c r="J137">
        <v>-7963</v>
      </c>
      <c r="K137">
        <v>0</v>
      </c>
    </row>
    <row r="138" spans="2:11" x14ac:dyDescent="0.25">
      <c r="B138">
        <v>4681</v>
      </c>
      <c r="C138">
        <v>5611</v>
      </c>
      <c r="D138">
        <v>6496</v>
      </c>
      <c r="E138">
        <v>5619</v>
      </c>
      <c r="F138">
        <v>0</v>
      </c>
      <c r="G138">
        <v>6304</v>
      </c>
      <c r="H138">
        <v>6503</v>
      </c>
      <c r="I138">
        <v>3238</v>
      </c>
      <c r="J138">
        <v>4514</v>
      </c>
      <c r="K138">
        <v>42196</v>
      </c>
    </row>
    <row r="139" spans="2:11" x14ac:dyDescent="0.25">
      <c r="B139">
        <v>0</v>
      </c>
      <c r="C139">
        <v>11372</v>
      </c>
      <c r="D139">
        <v>11895</v>
      </c>
      <c r="E139">
        <v>0</v>
      </c>
      <c r="F139">
        <v>-5588</v>
      </c>
      <c r="G139">
        <v>-7501</v>
      </c>
      <c r="H139">
        <v>-6209</v>
      </c>
      <c r="I139">
        <v>-6812</v>
      </c>
      <c r="J139">
        <v>-6875</v>
      </c>
      <c r="K139">
        <v>0</v>
      </c>
    </row>
    <row r="140" spans="2:11" x14ac:dyDescent="0.25">
      <c r="B140">
        <v>0</v>
      </c>
      <c r="C140">
        <v>8103</v>
      </c>
      <c r="D140">
        <v>8194</v>
      </c>
      <c r="E140">
        <v>6941</v>
      </c>
      <c r="F140">
        <v>0</v>
      </c>
      <c r="G140">
        <v>-3703</v>
      </c>
      <c r="H140">
        <v>-5725</v>
      </c>
      <c r="I140">
        <v>-8354</v>
      </c>
      <c r="J140">
        <v>-10772</v>
      </c>
      <c r="K140">
        <v>0</v>
      </c>
    </row>
    <row r="141" spans="2:11" x14ac:dyDescent="0.25">
      <c r="B141">
        <v>2318</v>
      </c>
      <c r="C141">
        <v>1780</v>
      </c>
      <c r="D141">
        <v>1178</v>
      </c>
      <c r="E141">
        <v>434</v>
      </c>
      <c r="F141">
        <v>0</v>
      </c>
      <c r="G141">
        <v>15</v>
      </c>
      <c r="H141">
        <v>-3</v>
      </c>
      <c r="I141">
        <v>-223</v>
      </c>
      <c r="J141">
        <v>-726</v>
      </c>
      <c r="K141">
        <v>0</v>
      </c>
    </row>
    <row r="142" spans="2:11" x14ac:dyDescent="0.25">
      <c r="B142">
        <v>6776</v>
      </c>
      <c r="C142">
        <v>1488</v>
      </c>
      <c r="D142">
        <v>3536</v>
      </c>
      <c r="E142">
        <v>636</v>
      </c>
      <c r="F142">
        <v>23338</v>
      </c>
      <c r="G142">
        <v>6624</v>
      </c>
      <c r="H142">
        <v>0</v>
      </c>
      <c r="I142">
        <v>1122</v>
      </c>
      <c r="J142">
        <v>1219</v>
      </c>
      <c r="K142">
        <v>0</v>
      </c>
    </row>
    <row r="143" spans="2:11" x14ac:dyDescent="0.25">
      <c r="B143">
        <v>-1786</v>
      </c>
      <c r="C143">
        <v>-3136</v>
      </c>
      <c r="D143">
        <v>-3158</v>
      </c>
      <c r="E143">
        <v>-2955</v>
      </c>
      <c r="F143">
        <v>-2296</v>
      </c>
      <c r="G143">
        <v>0</v>
      </c>
      <c r="H143">
        <v>0</v>
      </c>
      <c r="I143">
        <v>7808</v>
      </c>
      <c r="J143">
        <v>7309</v>
      </c>
      <c r="K143">
        <v>6123</v>
      </c>
    </row>
    <row r="144" spans="2:11" x14ac:dyDescent="0.25">
      <c r="B144">
        <v>0</v>
      </c>
      <c r="C144">
        <v>-2033</v>
      </c>
      <c r="D144">
        <v>-2815</v>
      </c>
      <c r="E144">
        <v>-4394</v>
      </c>
      <c r="F144">
        <v>-6278</v>
      </c>
      <c r="G144">
        <v>0</v>
      </c>
      <c r="H144">
        <v>5063</v>
      </c>
      <c r="I144">
        <v>6068</v>
      </c>
      <c r="J144">
        <v>6609</v>
      </c>
      <c r="K144">
        <v>5123</v>
      </c>
    </row>
    <row r="145" spans="2:11" x14ac:dyDescent="0.25">
      <c r="B145">
        <v>0</v>
      </c>
      <c r="C145">
        <v>-3519</v>
      </c>
      <c r="D145">
        <v>-4069</v>
      </c>
      <c r="E145">
        <v>-5417</v>
      </c>
      <c r="F145">
        <v>-6617</v>
      </c>
      <c r="G145">
        <v>0</v>
      </c>
      <c r="H145">
        <v>3061</v>
      </c>
      <c r="I145">
        <v>3186</v>
      </c>
      <c r="J145">
        <v>1482</v>
      </c>
      <c r="K145">
        <v>2042</v>
      </c>
    </row>
    <row r="146" spans="2:11" x14ac:dyDescent="0.25">
      <c r="B146">
        <v>11235</v>
      </c>
      <c r="C146">
        <v>23146</v>
      </c>
      <c r="D146">
        <v>25699</v>
      </c>
      <c r="E146">
        <v>0</v>
      </c>
      <c r="F146">
        <v>-5096</v>
      </c>
      <c r="G146">
        <v>-5958</v>
      </c>
      <c r="H146">
        <v>0</v>
      </c>
      <c r="I146">
        <v>3275</v>
      </c>
      <c r="J146">
        <v>3552</v>
      </c>
      <c r="K146">
        <v>733</v>
      </c>
    </row>
    <row r="147" spans="2:11" x14ac:dyDescent="0.25">
      <c r="B147">
        <v>-2105</v>
      </c>
      <c r="C147">
        <v>-3609</v>
      </c>
      <c r="D147">
        <v>0</v>
      </c>
      <c r="E147">
        <v>0</v>
      </c>
      <c r="F147">
        <v>3259</v>
      </c>
      <c r="G147">
        <v>1864</v>
      </c>
      <c r="H147">
        <v>644</v>
      </c>
      <c r="I147">
        <v>0</v>
      </c>
      <c r="J147">
        <v>-17</v>
      </c>
      <c r="K147">
        <v>-123</v>
      </c>
    </row>
    <row r="148" spans="2:11" x14ac:dyDescent="0.25">
      <c r="B148">
        <v>475</v>
      </c>
      <c r="C148">
        <v>1721</v>
      </c>
      <c r="D148">
        <v>0</v>
      </c>
      <c r="E148">
        <v>759</v>
      </c>
      <c r="F148">
        <v>504</v>
      </c>
      <c r="G148">
        <v>299</v>
      </c>
      <c r="H148">
        <v>-15</v>
      </c>
      <c r="I148">
        <v>0</v>
      </c>
      <c r="J148">
        <v>99</v>
      </c>
      <c r="K148">
        <v>214</v>
      </c>
    </row>
    <row r="149" spans="2:11" x14ac:dyDescent="0.25">
      <c r="B149">
        <v>149</v>
      </c>
      <c r="C149">
        <v>262</v>
      </c>
      <c r="D149">
        <v>0</v>
      </c>
      <c r="E149">
        <v>2033</v>
      </c>
      <c r="F149">
        <v>-384</v>
      </c>
      <c r="G149">
        <v>1469</v>
      </c>
      <c r="H149">
        <v>105</v>
      </c>
      <c r="I149">
        <v>1324</v>
      </c>
      <c r="J149">
        <v>-1916</v>
      </c>
      <c r="K149">
        <v>-3028</v>
      </c>
    </row>
    <row r="150" spans="2:11" x14ac:dyDescent="0.25">
      <c r="B150">
        <v>-2004</v>
      </c>
      <c r="C150">
        <v>0</v>
      </c>
      <c r="D150">
        <v>-803</v>
      </c>
      <c r="E150">
        <v>-637</v>
      </c>
      <c r="F150">
        <v>0</v>
      </c>
      <c r="G150">
        <v>1098</v>
      </c>
      <c r="H150">
        <v>1775</v>
      </c>
      <c r="I150">
        <v>1321</v>
      </c>
      <c r="J150">
        <v>-156</v>
      </c>
      <c r="K150">
        <v>-956</v>
      </c>
    </row>
    <row r="151" spans="2:11" x14ac:dyDescent="0.25">
      <c r="B151">
        <v>0</v>
      </c>
      <c r="C151">
        <v>0</v>
      </c>
      <c r="D151">
        <v>1711</v>
      </c>
      <c r="E151">
        <v>849</v>
      </c>
      <c r="F151">
        <v>348</v>
      </c>
      <c r="G151">
        <v>0</v>
      </c>
      <c r="H151">
        <v>-832</v>
      </c>
      <c r="I151">
        <v>-1405</v>
      </c>
      <c r="J151">
        <v>-2182</v>
      </c>
      <c r="K151">
        <v>-1661</v>
      </c>
    </row>
    <row r="152" spans="2:11" x14ac:dyDescent="0.25">
      <c r="B152">
        <v>0</v>
      </c>
      <c r="C152">
        <v>38</v>
      </c>
      <c r="D152">
        <v>-3069</v>
      </c>
      <c r="E152">
        <v>-4684</v>
      </c>
      <c r="F152">
        <v>-4420</v>
      </c>
      <c r="G152">
        <v>0</v>
      </c>
      <c r="H152">
        <v>3193</v>
      </c>
      <c r="I152">
        <v>4073</v>
      </c>
      <c r="J152">
        <v>5438</v>
      </c>
      <c r="K152">
        <v>6448</v>
      </c>
    </row>
    <row r="153" spans="2:11" x14ac:dyDescent="0.25">
      <c r="B153">
        <v>0</v>
      </c>
      <c r="C153">
        <v>1025</v>
      </c>
      <c r="D153">
        <v>663</v>
      </c>
      <c r="E153">
        <v>188</v>
      </c>
      <c r="F153">
        <v>-756</v>
      </c>
      <c r="G153">
        <v>-1</v>
      </c>
      <c r="H153">
        <v>-963</v>
      </c>
      <c r="I153">
        <v>-1360</v>
      </c>
      <c r="J153">
        <v>-6718</v>
      </c>
      <c r="K153">
        <v>48640</v>
      </c>
    </row>
    <row r="154" spans="2:11" x14ac:dyDescent="0.25">
      <c r="B154">
        <v>0</v>
      </c>
      <c r="C154">
        <v>-3309</v>
      </c>
      <c r="D154">
        <v>-3466</v>
      </c>
      <c r="E154">
        <v>0</v>
      </c>
      <c r="F154">
        <v>1347</v>
      </c>
      <c r="G154">
        <v>-123</v>
      </c>
      <c r="H154">
        <v>-2575</v>
      </c>
      <c r="I154">
        <v>-5206</v>
      </c>
      <c r="J154">
        <v>-5651</v>
      </c>
      <c r="K154">
        <v>0</v>
      </c>
    </row>
    <row r="155" spans="2:11" x14ac:dyDescent="0.25">
      <c r="B155">
        <v>0</v>
      </c>
      <c r="C155">
        <v>10496</v>
      </c>
      <c r="D155">
        <v>4632</v>
      </c>
      <c r="E155">
        <v>1114</v>
      </c>
      <c r="F155">
        <v>0</v>
      </c>
      <c r="G155">
        <v>323</v>
      </c>
      <c r="H155">
        <v>621</v>
      </c>
      <c r="I155">
        <v>2411</v>
      </c>
      <c r="J155">
        <v>4547</v>
      </c>
      <c r="K155">
        <v>0</v>
      </c>
    </row>
    <row r="156" spans="2:11" x14ac:dyDescent="0.25">
      <c r="B156">
        <v>2030</v>
      </c>
      <c r="C156">
        <v>2051</v>
      </c>
      <c r="D156">
        <v>1875</v>
      </c>
      <c r="E156">
        <v>1182</v>
      </c>
      <c r="F156">
        <v>0</v>
      </c>
      <c r="G156">
        <v>-707</v>
      </c>
      <c r="H156">
        <v>-944</v>
      </c>
      <c r="I156">
        <v>-1435</v>
      </c>
      <c r="J156">
        <v>-1532</v>
      </c>
      <c r="K156">
        <v>0</v>
      </c>
    </row>
    <row r="157" spans="2:11" x14ac:dyDescent="0.25">
      <c r="B157">
        <v>-14798</v>
      </c>
      <c r="C157">
        <v>-5661</v>
      </c>
      <c r="D157">
        <v>1936</v>
      </c>
      <c r="E157">
        <v>32</v>
      </c>
      <c r="F157">
        <v>-8714</v>
      </c>
      <c r="G157">
        <v>-6266</v>
      </c>
      <c r="H157">
        <v>-10757</v>
      </c>
      <c r="I157">
        <v>-6253</v>
      </c>
      <c r="J157">
        <v>30199</v>
      </c>
      <c r="K157">
        <v>12879</v>
      </c>
    </row>
    <row r="158" spans="2:11" x14ac:dyDescent="0.25">
      <c r="B158">
        <v>0</v>
      </c>
      <c r="C158">
        <v>-275</v>
      </c>
      <c r="D158">
        <v>351</v>
      </c>
      <c r="E158">
        <v>0</v>
      </c>
      <c r="F158">
        <v>425</v>
      </c>
      <c r="G158">
        <v>-521</v>
      </c>
      <c r="H158">
        <v>-1331</v>
      </c>
      <c r="I158">
        <v>-3027</v>
      </c>
      <c r="J158">
        <v>-3233</v>
      </c>
      <c r="K158">
        <v>0</v>
      </c>
    </row>
    <row r="159" spans="2:11" x14ac:dyDescent="0.25">
      <c r="B159">
        <v>0</v>
      </c>
      <c r="C159">
        <v>7473</v>
      </c>
      <c r="D159">
        <v>2486</v>
      </c>
      <c r="E159">
        <v>109</v>
      </c>
      <c r="F159">
        <v>0</v>
      </c>
      <c r="G159">
        <v>-560</v>
      </c>
      <c r="H159">
        <v>-880</v>
      </c>
      <c r="I159">
        <v>-1153</v>
      </c>
      <c r="J159">
        <v>-668</v>
      </c>
      <c r="K159">
        <v>0</v>
      </c>
    </row>
    <row r="160" spans="2:11" x14ac:dyDescent="0.25">
      <c r="B160">
        <v>-155</v>
      </c>
      <c r="C160">
        <v>-4403</v>
      </c>
      <c r="D160">
        <v>-5731</v>
      </c>
      <c r="E160">
        <v>-4804</v>
      </c>
      <c r="F160">
        <v>0</v>
      </c>
      <c r="G160">
        <v>2969</v>
      </c>
      <c r="H160">
        <v>3562</v>
      </c>
      <c r="I160">
        <v>4416</v>
      </c>
      <c r="J160">
        <v>4677</v>
      </c>
      <c r="K160">
        <v>0</v>
      </c>
    </row>
    <row r="161" spans="2:11" x14ac:dyDescent="0.25">
      <c r="B161">
        <v>-5058</v>
      </c>
      <c r="C161">
        <v>-6330</v>
      </c>
      <c r="D161">
        <v>740</v>
      </c>
      <c r="E161">
        <v>2205</v>
      </c>
      <c r="F161">
        <v>-1858</v>
      </c>
      <c r="G161">
        <v>-2559</v>
      </c>
      <c r="H161">
        <v>-5075</v>
      </c>
      <c r="I161">
        <v>-11137</v>
      </c>
      <c r="J161">
        <v>14700</v>
      </c>
      <c r="K161">
        <v>26964</v>
      </c>
    </row>
    <row r="162" spans="2:11" x14ac:dyDescent="0.25">
      <c r="B162">
        <v>39566</v>
      </c>
      <c r="C162">
        <v>0</v>
      </c>
      <c r="D162">
        <v>5756</v>
      </c>
      <c r="E162">
        <v>7269</v>
      </c>
      <c r="F162">
        <v>0</v>
      </c>
      <c r="G162">
        <v>-4604</v>
      </c>
      <c r="H162">
        <v>-6731</v>
      </c>
      <c r="I162">
        <v>-5171</v>
      </c>
      <c r="J162">
        <v>-3222</v>
      </c>
      <c r="K162">
        <v>-1077</v>
      </c>
    </row>
    <row r="163" spans="2:11" x14ac:dyDescent="0.25">
      <c r="B163">
        <v>0</v>
      </c>
      <c r="C163">
        <v>0</v>
      </c>
      <c r="D163">
        <v>919</v>
      </c>
      <c r="E163">
        <v>1940</v>
      </c>
      <c r="F163">
        <v>2074</v>
      </c>
      <c r="G163">
        <v>0</v>
      </c>
      <c r="H163">
        <v>-1050</v>
      </c>
      <c r="I163">
        <v>-1586</v>
      </c>
      <c r="J163">
        <v>-2587</v>
      </c>
      <c r="K163">
        <v>-3095</v>
      </c>
    </row>
    <row r="164" spans="2:11" x14ac:dyDescent="0.25">
      <c r="B164">
        <v>0</v>
      </c>
      <c r="C164">
        <v>-1097</v>
      </c>
      <c r="D164">
        <v>-818</v>
      </c>
      <c r="E164">
        <v>-575</v>
      </c>
      <c r="F164">
        <v>-354</v>
      </c>
      <c r="G164">
        <v>0</v>
      </c>
      <c r="H164">
        <v>174</v>
      </c>
      <c r="I164">
        <v>201</v>
      </c>
      <c r="J164">
        <v>202</v>
      </c>
      <c r="K164">
        <v>48</v>
      </c>
    </row>
    <row r="165" spans="2:11" x14ac:dyDescent="0.25">
      <c r="B165">
        <v>0</v>
      </c>
      <c r="C165">
        <v>4956</v>
      </c>
      <c r="D165">
        <v>1759</v>
      </c>
      <c r="E165">
        <v>538</v>
      </c>
      <c r="F165">
        <v>180</v>
      </c>
      <c r="G165">
        <v>1814</v>
      </c>
      <c r="H165">
        <v>2092</v>
      </c>
      <c r="I165">
        <v>-282</v>
      </c>
      <c r="J165">
        <v>822</v>
      </c>
      <c r="K165">
        <v>-33996</v>
      </c>
    </row>
    <row r="166" spans="2:11" x14ac:dyDescent="0.25">
      <c r="B166">
        <v>-17601</v>
      </c>
      <c r="C166">
        <v>-33113</v>
      </c>
      <c r="D166">
        <v>-15455</v>
      </c>
      <c r="E166">
        <v>0</v>
      </c>
      <c r="F166">
        <v>1018</v>
      </c>
      <c r="G166">
        <v>1040</v>
      </c>
      <c r="H166">
        <v>0</v>
      </c>
      <c r="I166">
        <v>-1286</v>
      </c>
      <c r="J166">
        <v>-2024</v>
      </c>
      <c r="K166">
        <v>-1877</v>
      </c>
    </row>
    <row r="167" spans="2:11" x14ac:dyDescent="0.25">
      <c r="B167">
        <v>-1051</v>
      </c>
      <c r="C167">
        <v>-464</v>
      </c>
      <c r="D167">
        <v>0</v>
      </c>
      <c r="E167">
        <v>0</v>
      </c>
      <c r="F167">
        <v>950</v>
      </c>
      <c r="G167">
        <v>1983</v>
      </c>
      <c r="H167">
        <v>1941</v>
      </c>
      <c r="I167">
        <v>0</v>
      </c>
      <c r="J167">
        <v>-250</v>
      </c>
      <c r="K167">
        <v>-261</v>
      </c>
    </row>
    <row r="168" spans="2:11" x14ac:dyDescent="0.25">
      <c r="B168">
        <v>-283</v>
      </c>
      <c r="C168">
        <v>-301</v>
      </c>
      <c r="D168">
        <v>0</v>
      </c>
      <c r="E168">
        <v>1170</v>
      </c>
      <c r="F168">
        <v>3218</v>
      </c>
      <c r="G168">
        <v>3965</v>
      </c>
      <c r="H168">
        <v>3210</v>
      </c>
      <c r="I168">
        <v>0</v>
      </c>
      <c r="J168">
        <v>-2083</v>
      </c>
      <c r="K168">
        <v>-2505</v>
      </c>
    </row>
    <row r="169" spans="2:11" x14ac:dyDescent="0.25">
      <c r="B169">
        <v>-3249</v>
      </c>
      <c r="C169">
        <v>-3511</v>
      </c>
      <c r="D169">
        <v>0</v>
      </c>
      <c r="E169">
        <v>2739</v>
      </c>
      <c r="F169">
        <v>3149</v>
      </c>
      <c r="G169">
        <v>521</v>
      </c>
      <c r="H169">
        <v>996</v>
      </c>
      <c r="I169">
        <v>1885</v>
      </c>
      <c r="J169">
        <v>3873</v>
      </c>
      <c r="K169">
        <v>8</v>
      </c>
    </row>
    <row r="170" spans="2:11" x14ac:dyDescent="0.25">
      <c r="B170">
        <v>4261</v>
      </c>
      <c r="C170">
        <v>-21256</v>
      </c>
      <c r="D170">
        <v>-46185</v>
      </c>
      <c r="E170">
        <v>-17961</v>
      </c>
      <c r="F170">
        <v>-37835</v>
      </c>
      <c r="G170">
        <v>40481</v>
      </c>
      <c r="H170">
        <v>0</v>
      </c>
      <c r="I170">
        <v>0</v>
      </c>
      <c r="J170">
        <v>0</v>
      </c>
      <c r="K170">
        <v>0</v>
      </c>
    </row>
    <row r="171" spans="2:11" x14ac:dyDescent="0.25"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</row>
    <row r="172" spans="2:11" x14ac:dyDescent="0.25"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</row>
    <row r="173" spans="2:11" x14ac:dyDescent="0.25"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</row>
    <row r="174" spans="2:11" x14ac:dyDescent="0.25"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</row>
    <row r="175" spans="2:11" x14ac:dyDescent="0.25"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</row>
    <row r="176" spans="2:11" x14ac:dyDescent="0.25">
      <c r="B176">
        <v>0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</row>
    <row r="177" spans="2:11" x14ac:dyDescent="0.25"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</row>
    <row r="178" spans="2:11" x14ac:dyDescent="0.25">
      <c r="B178">
        <v>0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</row>
    <row r="179" spans="2:11" x14ac:dyDescent="0.25"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</row>
    <row r="180" spans="2:11" x14ac:dyDescent="0.25">
      <c r="B180">
        <v>0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</row>
    <row r="181" spans="2:11" x14ac:dyDescent="0.25">
      <c r="B181">
        <v>0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</row>
    <row r="182" spans="2:11" x14ac:dyDescent="0.25">
      <c r="B182">
        <v>0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</row>
    <row r="183" spans="2:11" x14ac:dyDescent="0.25"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</row>
    <row r="184" spans="2:11" x14ac:dyDescent="0.25"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</row>
    <row r="185" spans="2:11" x14ac:dyDescent="0.25">
      <c r="B185">
        <v>0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</row>
    <row r="186" spans="2:11" x14ac:dyDescent="0.25"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</row>
    <row r="187" spans="2:11" x14ac:dyDescent="0.25">
      <c r="B187">
        <v>0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</row>
    <row r="188" spans="2:11" x14ac:dyDescent="0.25">
      <c r="B188">
        <v>0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-703</v>
      </c>
    </row>
    <row r="189" spans="2:11" x14ac:dyDescent="0.25">
      <c r="B189">
        <v>-646</v>
      </c>
      <c r="C189">
        <v>0</v>
      </c>
      <c r="D189">
        <v>-50</v>
      </c>
      <c r="E189">
        <v>148</v>
      </c>
      <c r="F189">
        <v>-1176</v>
      </c>
      <c r="G189">
        <v>-1689</v>
      </c>
      <c r="H189">
        <v>-1786</v>
      </c>
      <c r="I189">
        <v>0</v>
      </c>
      <c r="J189">
        <v>0</v>
      </c>
      <c r="K189">
        <v>438</v>
      </c>
    </row>
    <row r="190" spans="2:11" x14ac:dyDescent="0.25">
      <c r="B190">
        <v>375</v>
      </c>
      <c r="C190">
        <v>152</v>
      </c>
      <c r="D190">
        <v>0</v>
      </c>
      <c r="E190">
        <v>28</v>
      </c>
      <c r="F190">
        <v>-61</v>
      </c>
      <c r="G190">
        <v>-284</v>
      </c>
      <c r="H190">
        <v>-209</v>
      </c>
      <c r="I190">
        <v>0</v>
      </c>
      <c r="J190">
        <v>-177</v>
      </c>
      <c r="K190">
        <v>-121</v>
      </c>
    </row>
    <row r="191" spans="2:11" x14ac:dyDescent="0.25">
      <c r="B191">
        <v>-64</v>
      </c>
      <c r="C191">
        <v>-3</v>
      </c>
      <c r="D191">
        <v>0</v>
      </c>
      <c r="E191">
        <v>22</v>
      </c>
      <c r="F191">
        <v>85</v>
      </c>
      <c r="G191">
        <v>99</v>
      </c>
      <c r="H191">
        <v>64</v>
      </c>
      <c r="I191">
        <v>0</v>
      </c>
      <c r="J191">
        <v>166</v>
      </c>
      <c r="K191">
        <v>-73</v>
      </c>
    </row>
    <row r="192" spans="2:11" x14ac:dyDescent="0.25">
      <c r="B192">
        <v>321</v>
      </c>
      <c r="C192">
        <v>56</v>
      </c>
      <c r="D192">
        <v>1314</v>
      </c>
      <c r="E192">
        <v>198</v>
      </c>
      <c r="F192">
        <v>-3821</v>
      </c>
      <c r="G192">
        <v>-969</v>
      </c>
      <c r="H192">
        <v>1361</v>
      </c>
      <c r="I192">
        <v>-39</v>
      </c>
      <c r="J192">
        <v>2492</v>
      </c>
      <c r="K192">
        <v>725</v>
      </c>
    </row>
    <row r="193" spans="2:11" x14ac:dyDescent="0.25">
      <c r="B193">
        <v>155</v>
      </c>
      <c r="C193">
        <v>-101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1316</v>
      </c>
      <c r="J193">
        <v>1538</v>
      </c>
      <c r="K193">
        <v>0</v>
      </c>
    </row>
    <row r="194" spans="2:11" x14ac:dyDescent="0.25">
      <c r="B194">
        <v>-1100</v>
      </c>
      <c r="C194">
        <v>-2426</v>
      </c>
      <c r="D194">
        <v>-3230</v>
      </c>
      <c r="E194">
        <v>-3551</v>
      </c>
      <c r="F194">
        <v>-2812</v>
      </c>
      <c r="G194">
        <v>0</v>
      </c>
      <c r="H194">
        <v>0</v>
      </c>
      <c r="I194">
        <v>1982</v>
      </c>
      <c r="J194">
        <v>1175</v>
      </c>
      <c r="K194">
        <v>789</v>
      </c>
    </row>
    <row r="195" spans="2:11" x14ac:dyDescent="0.25">
      <c r="B195">
        <v>0</v>
      </c>
      <c r="C195">
        <v>-1172</v>
      </c>
      <c r="D195">
        <v>-1399</v>
      </c>
      <c r="E195">
        <v>-2717</v>
      </c>
      <c r="F195">
        <v>-3928</v>
      </c>
      <c r="G195">
        <v>0</v>
      </c>
      <c r="H195">
        <v>-690</v>
      </c>
      <c r="I195">
        <v>-845</v>
      </c>
      <c r="J195">
        <v>-775</v>
      </c>
      <c r="K195">
        <v>-575</v>
      </c>
    </row>
    <row r="196" spans="2:11" x14ac:dyDescent="0.25">
      <c r="B196">
        <v>0</v>
      </c>
      <c r="C196">
        <v>484</v>
      </c>
      <c r="D196">
        <v>688</v>
      </c>
      <c r="E196">
        <v>994</v>
      </c>
      <c r="F196">
        <v>925</v>
      </c>
      <c r="G196">
        <v>0</v>
      </c>
      <c r="H196">
        <v>161</v>
      </c>
      <c r="I196">
        <v>132</v>
      </c>
      <c r="J196">
        <v>395</v>
      </c>
      <c r="K196">
        <v>183</v>
      </c>
    </row>
    <row r="197" spans="2:11" x14ac:dyDescent="0.25">
      <c r="B197">
        <v>2310</v>
      </c>
      <c r="C197">
        <v>1634</v>
      </c>
      <c r="D197">
        <v>-589</v>
      </c>
      <c r="E197">
        <v>1011</v>
      </c>
      <c r="F197">
        <v>-1368</v>
      </c>
      <c r="G197">
        <v>-1483</v>
      </c>
      <c r="H197">
        <v>249</v>
      </c>
      <c r="I197">
        <v>-1086</v>
      </c>
      <c r="J197">
        <v>852</v>
      </c>
      <c r="K197">
        <v>204</v>
      </c>
    </row>
    <row r="198" spans="2:11" x14ac:dyDescent="0.25">
      <c r="B198">
        <v>0</v>
      </c>
      <c r="C198">
        <v>0</v>
      </c>
      <c r="D198">
        <v>0</v>
      </c>
      <c r="E198">
        <v>0</v>
      </c>
      <c r="F198">
        <v>-8118</v>
      </c>
      <c r="G198">
        <v>0</v>
      </c>
      <c r="H198">
        <v>34048</v>
      </c>
      <c r="I198">
        <v>45955</v>
      </c>
      <c r="J198">
        <v>0</v>
      </c>
      <c r="K198">
        <v>-26392</v>
      </c>
    </row>
    <row r="199" spans="2:11" x14ac:dyDescent="0.25">
      <c r="B199">
        <v>-51065</v>
      </c>
      <c r="C199">
        <v>-54125</v>
      </c>
      <c r="D199">
        <v>-52883</v>
      </c>
      <c r="E199">
        <v>-40135</v>
      </c>
      <c r="F199">
        <v>0</v>
      </c>
      <c r="G199">
        <v>0</v>
      </c>
      <c r="H199">
        <v>-28935</v>
      </c>
      <c r="I199">
        <v>-29305</v>
      </c>
      <c r="J199">
        <v>-24598</v>
      </c>
      <c r="K199">
        <v>0</v>
      </c>
    </row>
    <row r="200" spans="2:11" x14ac:dyDescent="0.25">
      <c r="B200">
        <v>7630</v>
      </c>
      <c r="C200">
        <v>9492</v>
      </c>
      <c r="D200">
        <v>13897</v>
      </c>
      <c r="E200">
        <v>15167</v>
      </c>
      <c r="F200">
        <v>0</v>
      </c>
      <c r="G200">
        <v>-54624</v>
      </c>
      <c r="H200">
        <v>-51880</v>
      </c>
      <c r="I200">
        <v>-44565</v>
      </c>
      <c r="J200">
        <v>-28119</v>
      </c>
      <c r="K200">
        <v>0</v>
      </c>
    </row>
    <row r="201" spans="2:11" x14ac:dyDescent="0.25">
      <c r="B201">
        <v>15233</v>
      </c>
      <c r="C201">
        <v>16994</v>
      </c>
      <c r="D201">
        <v>21620</v>
      </c>
      <c r="E201">
        <v>23611</v>
      </c>
      <c r="F201">
        <v>0</v>
      </c>
      <c r="G201">
        <v>-5781</v>
      </c>
      <c r="H201">
        <v>2444</v>
      </c>
      <c r="I201">
        <v>-4128</v>
      </c>
      <c r="J201">
        <v>1105</v>
      </c>
      <c r="K201">
        <v>-7593</v>
      </c>
    </row>
    <row r="202" spans="2:11" x14ac:dyDescent="0.25">
      <c r="B202">
        <v>12102</v>
      </c>
      <c r="C202">
        <v>-4292</v>
      </c>
      <c r="D202">
        <v>3043</v>
      </c>
      <c r="E202">
        <v>-11221</v>
      </c>
      <c r="F202">
        <v>7893</v>
      </c>
      <c r="G202">
        <v>-6962</v>
      </c>
      <c r="H202">
        <v>3272</v>
      </c>
      <c r="I202">
        <v>5267</v>
      </c>
      <c r="J202">
        <v>-459</v>
      </c>
      <c r="K202">
        <v>0</v>
      </c>
    </row>
    <row r="203" spans="2:11" x14ac:dyDescent="0.25">
      <c r="B203">
        <v>0</v>
      </c>
      <c r="C203">
        <v>0</v>
      </c>
      <c r="D203">
        <v>0</v>
      </c>
      <c r="E203">
        <v>162</v>
      </c>
      <c r="F203">
        <v>2614</v>
      </c>
      <c r="G203">
        <v>0</v>
      </c>
      <c r="H203">
        <v>18340</v>
      </c>
      <c r="I203">
        <v>26325</v>
      </c>
      <c r="J203">
        <v>0</v>
      </c>
      <c r="K203">
        <v>-12175</v>
      </c>
    </row>
    <row r="204" spans="2:11" x14ac:dyDescent="0.25">
      <c r="B204">
        <v>-26757</v>
      </c>
      <c r="C204">
        <v>-32331</v>
      </c>
      <c r="D204">
        <v>-36483</v>
      </c>
      <c r="E204">
        <v>-30412</v>
      </c>
      <c r="F204">
        <v>0</v>
      </c>
      <c r="G204">
        <v>0</v>
      </c>
      <c r="H204">
        <v>-36591</v>
      </c>
      <c r="I204">
        <v>-48817</v>
      </c>
      <c r="J204">
        <v>-41090</v>
      </c>
      <c r="K204">
        <v>0</v>
      </c>
    </row>
    <row r="205" spans="2:11" x14ac:dyDescent="0.25">
      <c r="B205">
        <v>15107</v>
      </c>
      <c r="C205">
        <v>19482</v>
      </c>
      <c r="D205">
        <v>27068</v>
      </c>
      <c r="E205">
        <v>29241</v>
      </c>
      <c r="F205">
        <v>0</v>
      </c>
      <c r="G205">
        <v>-58542</v>
      </c>
      <c r="H205">
        <v>-56694</v>
      </c>
      <c r="I205">
        <v>-48598</v>
      </c>
      <c r="J205">
        <v>-30161</v>
      </c>
      <c r="K205">
        <v>0</v>
      </c>
    </row>
    <row r="206" spans="2:11" x14ac:dyDescent="0.25">
      <c r="B206">
        <v>16633</v>
      </c>
      <c r="C206">
        <v>19070</v>
      </c>
      <c r="D206">
        <v>24833</v>
      </c>
      <c r="E206">
        <v>27901</v>
      </c>
      <c r="F206">
        <v>0</v>
      </c>
      <c r="G206">
        <v>2318</v>
      </c>
      <c r="H206">
        <v>4302</v>
      </c>
      <c r="I206">
        <v>1563</v>
      </c>
      <c r="J206">
        <v>2645</v>
      </c>
      <c r="K206">
        <v>3217</v>
      </c>
    </row>
    <row r="207" spans="2:11" x14ac:dyDescent="0.25">
      <c r="B207">
        <v>10430</v>
      </c>
      <c r="C207">
        <v>-5726</v>
      </c>
      <c r="D207">
        <v>845</v>
      </c>
      <c r="E207">
        <v>3416</v>
      </c>
      <c r="F207">
        <v>14683</v>
      </c>
      <c r="G207">
        <v>-1622</v>
      </c>
      <c r="H207">
        <v>4615</v>
      </c>
      <c r="I207">
        <v>-542</v>
      </c>
      <c r="J207">
        <v>-3178</v>
      </c>
      <c r="K207">
        <v>0</v>
      </c>
    </row>
    <row r="208" spans="2:11" x14ac:dyDescent="0.25">
      <c r="B208">
        <v>0</v>
      </c>
      <c r="C208">
        <v>0</v>
      </c>
      <c r="D208">
        <v>0</v>
      </c>
      <c r="E208">
        <v>-277</v>
      </c>
      <c r="F208">
        <v>-469</v>
      </c>
      <c r="G208">
        <v>75879</v>
      </c>
      <c r="H208">
        <v>0</v>
      </c>
      <c r="I208">
        <v>18737</v>
      </c>
      <c r="J208">
        <v>24950</v>
      </c>
      <c r="K208">
        <v>0</v>
      </c>
    </row>
    <row r="209" spans="2:11" x14ac:dyDescent="0.25">
      <c r="B209">
        <v>-14729</v>
      </c>
      <c r="C209">
        <v>-26789</v>
      </c>
      <c r="D209">
        <v>-30586</v>
      </c>
      <c r="E209">
        <v>-34693</v>
      </c>
      <c r="F209">
        <v>-31270</v>
      </c>
      <c r="G209">
        <v>0</v>
      </c>
      <c r="H209">
        <v>0</v>
      </c>
      <c r="I209">
        <v>-15703</v>
      </c>
      <c r="J209">
        <v>-19644</v>
      </c>
      <c r="K209">
        <v>-17696</v>
      </c>
    </row>
    <row r="210" spans="2:11" x14ac:dyDescent="0.25">
      <c r="B210">
        <v>0</v>
      </c>
      <c r="C210">
        <v>7030</v>
      </c>
      <c r="D210">
        <v>8991</v>
      </c>
      <c r="E210">
        <v>16173</v>
      </c>
      <c r="F210">
        <v>22063</v>
      </c>
      <c r="G210">
        <v>0</v>
      </c>
      <c r="H210">
        <v>-33474</v>
      </c>
      <c r="I210">
        <v>-27292</v>
      </c>
      <c r="J210">
        <v>-21988</v>
      </c>
      <c r="K210">
        <v>-12669</v>
      </c>
    </row>
    <row r="211" spans="2:11" x14ac:dyDescent="0.25">
      <c r="B211">
        <v>0</v>
      </c>
      <c r="C211">
        <v>6673</v>
      </c>
      <c r="D211">
        <v>6668</v>
      </c>
      <c r="E211">
        <v>7921</v>
      </c>
      <c r="F211">
        <v>8867</v>
      </c>
      <c r="G211">
        <v>0</v>
      </c>
      <c r="H211">
        <v>-2429</v>
      </c>
      <c r="I211">
        <v>-146</v>
      </c>
      <c r="J211">
        <v>-1332</v>
      </c>
      <c r="K211">
        <v>-37</v>
      </c>
    </row>
    <row r="212" spans="2:11" x14ac:dyDescent="0.25">
      <c r="B212">
        <v>-3384</v>
      </c>
      <c r="C212">
        <v>10800</v>
      </c>
      <c r="D212">
        <v>-7238</v>
      </c>
      <c r="E212">
        <v>7339</v>
      </c>
      <c r="F212">
        <v>895</v>
      </c>
      <c r="G212">
        <v>-553</v>
      </c>
      <c r="H212">
        <v>1561</v>
      </c>
      <c r="I212">
        <v>351</v>
      </c>
      <c r="J212">
        <v>-250</v>
      </c>
      <c r="K212">
        <v>1494</v>
      </c>
    </row>
    <row r="213" spans="2:11" x14ac:dyDescent="0.25">
      <c r="B213">
        <v>0</v>
      </c>
      <c r="C213">
        <v>0</v>
      </c>
      <c r="D213">
        <v>0</v>
      </c>
      <c r="E213">
        <v>0</v>
      </c>
      <c r="F213">
        <v>-3806</v>
      </c>
      <c r="G213">
        <v>2954</v>
      </c>
      <c r="H213">
        <v>53879</v>
      </c>
      <c r="I213">
        <v>45653</v>
      </c>
      <c r="J213">
        <v>0</v>
      </c>
      <c r="K213">
        <v>17738</v>
      </c>
    </row>
    <row r="214" spans="2:11" x14ac:dyDescent="0.25">
      <c r="B214">
        <v>23803</v>
      </c>
      <c r="C214">
        <v>0</v>
      </c>
      <c r="D214">
        <v>-13431</v>
      </c>
      <c r="E214">
        <v>-27386</v>
      </c>
      <c r="F214">
        <v>-34180</v>
      </c>
      <c r="G214">
        <v>-36094</v>
      </c>
      <c r="H214">
        <v>-31755</v>
      </c>
      <c r="I214">
        <v>0</v>
      </c>
      <c r="J214">
        <v>0</v>
      </c>
      <c r="K214">
        <v>-11125</v>
      </c>
    </row>
    <row r="215" spans="2:11" x14ac:dyDescent="0.25">
      <c r="B215">
        <v>-23962</v>
      </c>
      <c r="C215">
        <v>-21968</v>
      </c>
      <c r="D215">
        <v>0</v>
      </c>
      <c r="E215">
        <v>9805</v>
      </c>
      <c r="F215">
        <v>13657</v>
      </c>
      <c r="G215">
        <v>24138</v>
      </c>
      <c r="H215">
        <v>33310</v>
      </c>
      <c r="I215">
        <v>0</v>
      </c>
      <c r="J215">
        <v>-37110</v>
      </c>
      <c r="K215">
        <v>-29688</v>
      </c>
    </row>
    <row r="216" spans="2:11" x14ac:dyDescent="0.25">
      <c r="B216">
        <v>-23398</v>
      </c>
      <c r="C216">
        <v>-12954</v>
      </c>
      <c r="D216">
        <v>0</v>
      </c>
      <c r="E216">
        <v>6115</v>
      </c>
      <c r="F216">
        <v>5445</v>
      </c>
      <c r="G216">
        <v>6241</v>
      </c>
      <c r="H216">
        <v>7343</v>
      </c>
      <c r="I216">
        <v>0</v>
      </c>
      <c r="J216">
        <v>-2562</v>
      </c>
      <c r="K216">
        <v>-1466</v>
      </c>
    </row>
    <row r="217" spans="2:11" x14ac:dyDescent="0.25">
      <c r="B217">
        <v>-437</v>
      </c>
      <c r="C217">
        <v>-329</v>
      </c>
      <c r="D217">
        <v>4281</v>
      </c>
      <c r="E217">
        <v>12331</v>
      </c>
      <c r="F217">
        <v>-6453</v>
      </c>
      <c r="G217">
        <v>9254</v>
      </c>
      <c r="H217">
        <v>-4224</v>
      </c>
      <c r="I217">
        <v>-3762</v>
      </c>
      <c r="J217">
        <v>763</v>
      </c>
      <c r="K217">
        <v>1440</v>
      </c>
    </row>
    <row r="218" spans="2:11" x14ac:dyDescent="0.25">
      <c r="B218">
        <v>1468</v>
      </c>
      <c r="C218">
        <v>2484</v>
      </c>
      <c r="D218">
        <v>0</v>
      </c>
      <c r="E218">
        <v>0</v>
      </c>
      <c r="F218">
        <v>0</v>
      </c>
      <c r="G218">
        <v>0</v>
      </c>
      <c r="H218">
        <v>74</v>
      </c>
      <c r="I218">
        <v>-2906</v>
      </c>
      <c r="J218">
        <v>52484</v>
      </c>
      <c r="K218">
        <v>53060</v>
      </c>
    </row>
    <row r="219" spans="2:11" x14ac:dyDescent="0.25">
      <c r="B219">
        <v>70419</v>
      </c>
      <c r="C219">
        <v>0</v>
      </c>
      <c r="D219">
        <v>-923</v>
      </c>
      <c r="E219">
        <v>-1176</v>
      </c>
      <c r="F219">
        <v>0</v>
      </c>
      <c r="G219">
        <v>1147</v>
      </c>
      <c r="H219">
        <v>2461</v>
      </c>
      <c r="I219">
        <v>2360</v>
      </c>
      <c r="J219">
        <v>1387</v>
      </c>
      <c r="K219">
        <v>249</v>
      </c>
    </row>
    <row r="220" spans="2:11" x14ac:dyDescent="0.25">
      <c r="B220">
        <v>0</v>
      </c>
      <c r="C220">
        <v>0</v>
      </c>
      <c r="D220">
        <v>1984</v>
      </c>
      <c r="E220">
        <v>1592</v>
      </c>
      <c r="F220">
        <v>632</v>
      </c>
      <c r="G220">
        <v>0</v>
      </c>
      <c r="H220">
        <v>-312</v>
      </c>
      <c r="I220">
        <v>-726</v>
      </c>
      <c r="J220">
        <v>-1077</v>
      </c>
      <c r="K220">
        <v>520</v>
      </c>
    </row>
    <row r="221" spans="2:11" x14ac:dyDescent="0.25">
      <c r="B221">
        <v>0</v>
      </c>
      <c r="C221">
        <v>1721</v>
      </c>
      <c r="D221">
        <v>73</v>
      </c>
      <c r="E221">
        <v>-1429</v>
      </c>
      <c r="F221">
        <v>-2221</v>
      </c>
      <c r="G221">
        <v>0</v>
      </c>
      <c r="H221">
        <v>2261</v>
      </c>
      <c r="I221">
        <v>2998</v>
      </c>
      <c r="J221">
        <v>4027</v>
      </c>
      <c r="K221">
        <v>4739</v>
      </c>
    </row>
    <row r="222" spans="2:11" x14ac:dyDescent="0.25">
      <c r="B222">
        <v>0</v>
      </c>
      <c r="C222">
        <v>403</v>
      </c>
      <c r="D222">
        <v>1156</v>
      </c>
      <c r="E222">
        <v>515</v>
      </c>
      <c r="F222">
        <v>-3208</v>
      </c>
      <c r="G222">
        <v>837</v>
      </c>
      <c r="H222">
        <v>-3196</v>
      </c>
      <c r="I222">
        <v>236</v>
      </c>
      <c r="J222">
        <v>-8543</v>
      </c>
      <c r="K222">
        <v>599</v>
      </c>
    </row>
    <row r="223" spans="2:11" x14ac:dyDescent="0.25">
      <c r="B223">
        <v>21367</v>
      </c>
      <c r="C223">
        <v>177</v>
      </c>
      <c r="D223">
        <v>-26272</v>
      </c>
      <c r="E223">
        <v>-287</v>
      </c>
      <c r="F223">
        <v>-5298</v>
      </c>
      <c r="G223">
        <v>0</v>
      </c>
      <c r="H223">
        <v>0</v>
      </c>
      <c r="I223">
        <v>0</v>
      </c>
      <c r="J223">
        <v>0</v>
      </c>
      <c r="K223">
        <v>-567</v>
      </c>
    </row>
    <row r="224" spans="2:11" x14ac:dyDescent="0.25">
      <c r="B224">
        <v>166</v>
      </c>
      <c r="C224">
        <v>10307</v>
      </c>
      <c r="D224">
        <v>13201</v>
      </c>
      <c r="E224">
        <v>5041</v>
      </c>
      <c r="F224">
        <v>3345</v>
      </c>
      <c r="G224">
        <v>0</v>
      </c>
      <c r="H224">
        <v>-1694</v>
      </c>
      <c r="I224">
        <v>-1693</v>
      </c>
      <c r="J224">
        <v>0</v>
      </c>
      <c r="K224">
        <v>864</v>
      </c>
    </row>
    <row r="225" spans="2:11" x14ac:dyDescent="0.25">
      <c r="B225">
        <v>-191</v>
      </c>
      <c r="C225">
        <v>804</v>
      </c>
      <c r="D225">
        <v>2568</v>
      </c>
      <c r="E225">
        <v>6906</v>
      </c>
      <c r="F225">
        <v>0</v>
      </c>
      <c r="G225">
        <v>0</v>
      </c>
      <c r="H225">
        <v>235</v>
      </c>
      <c r="I225">
        <v>-1805</v>
      </c>
      <c r="J225">
        <v>-1954</v>
      </c>
      <c r="K225">
        <v>0</v>
      </c>
    </row>
    <row r="226" spans="2:11" x14ac:dyDescent="0.25">
      <c r="B226">
        <v>1073</v>
      </c>
      <c r="C226">
        <v>1464</v>
      </c>
      <c r="D226">
        <v>1651</v>
      </c>
      <c r="E226">
        <v>978</v>
      </c>
      <c r="F226">
        <v>0</v>
      </c>
      <c r="G226">
        <v>188</v>
      </c>
      <c r="H226">
        <v>679</v>
      </c>
      <c r="I226">
        <v>896</v>
      </c>
      <c r="J226">
        <v>878</v>
      </c>
      <c r="K226">
        <v>0</v>
      </c>
    </row>
    <row r="227" spans="2:11" x14ac:dyDescent="0.25">
      <c r="B227">
        <v>-323</v>
      </c>
      <c r="C227">
        <v>-263</v>
      </c>
      <c r="D227">
        <v>-78</v>
      </c>
      <c r="E227">
        <v>86</v>
      </c>
      <c r="F227">
        <v>0</v>
      </c>
      <c r="G227">
        <v>-5344</v>
      </c>
      <c r="H227">
        <v>-1412</v>
      </c>
      <c r="I227">
        <v>-1091</v>
      </c>
      <c r="J227">
        <v>-429</v>
      </c>
      <c r="K227">
        <v>-9150</v>
      </c>
    </row>
    <row r="228" spans="2:11" x14ac:dyDescent="0.25">
      <c r="B228">
        <v>-3228</v>
      </c>
      <c r="C228">
        <v>1176</v>
      </c>
      <c r="D228">
        <v>-500</v>
      </c>
      <c r="E228">
        <v>10629</v>
      </c>
      <c r="F228">
        <v>-2490</v>
      </c>
      <c r="G228">
        <v>23128</v>
      </c>
      <c r="H228">
        <v>-1673</v>
      </c>
      <c r="I228">
        <v>935</v>
      </c>
      <c r="J228">
        <v>-1161</v>
      </c>
      <c r="K228">
        <v>0</v>
      </c>
    </row>
    <row r="229" spans="2:11" x14ac:dyDescent="0.25">
      <c r="B229">
        <v>0</v>
      </c>
      <c r="C229">
        <v>0</v>
      </c>
      <c r="D229">
        <v>0</v>
      </c>
      <c r="E229">
        <v>7502</v>
      </c>
      <c r="F229">
        <v>2768</v>
      </c>
      <c r="G229">
        <v>-311</v>
      </c>
      <c r="H229">
        <v>1204</v>
      </c>
      <c r="I229">
        <v>19607</v>
      </c>
      <c r="J229">
        <v>-352</v>
      </c>
      <c r="K229">
        <v>2141</v>
      </c>
    </row>
    <row r="230" spans="2:11" x14ac:dyDescent="0.25">
      <c r="B230">
        <v>0</v>
      </c>
      <c r="C230">
        <v>-1402</v>
      </c>
      <c r="D230">
        <v>-2096</v>
      </c>
      <c r="E230">
        <v>0</v>
      </c>
      <c r="F230">
        <v>1654</v>
      </c>
      <c r="G230">
        <v>2702</v>
      </c>
      <c r="H230">
        <v>3587</v>
      </c>
      <c r="I230">
        <v>4979</v>
      </c>
      <c r="J230">
        <v>4165</v>
      </c>
      <c r="K230">
        <v>0</v>
      </c>
    </row>
    <row r="231" spans="2:11" x14ac:dyDescent="0.25">
      <c r="B231">
        <v>0</v>
      </c>
      <c r="C231">
        <v>-5601</v>
      </c>
      <c r="D231">
        <v>-7715</v>
      </c>
      <c r="E231">
        <v>-7134</v>
      </c>
      <c r="F231">
        <v>0</v>
      </c>
      <c r="G231">
        <v>3585</v>
      </c>
      <c r="H231">
        <v>5276</v>
      </c>
      <c r="I231">
        <v>7880</v>
      </c>
      <c r="J231">
        <v>8059</v>
      </c>
      <c r="K231">
        <v>0</v>
      </c>
    </row>
    <row r="232" spans="2:11" x14ac:dyDescent="0.25">
      <c r="B232">
        <v>-2546</v>
      </c>
      <c r="C232">
        <v>-1534</v>
      </c>
      <c r="D232">
        <v>-570</v>
      </c>
      <c r="E232">
        <v>573</v>
      </c>
      <c r="F232">
        <v>0</v>
      </c>
      <c r="G232">
        <v>-508</v>
      </c>
      <c r="H232">
        <v>-856</v>
      </c>
      <c r="I232">
        <v>-786</v>
      </c>
      <c r="J232">
        <v>-541</v>
      </c>
      <c r="K232">
        <v>0</v>
      </c>
    </row>
    <row r="233" spans="2:11" x14ac:dyDescent="0.25">
      <c r="B233">
        <v>-4661</v>
      </c>
      <c r="C233">
        <v>-2263</v>
      </c>
      <c r="D233">
        <v>-244</v>
      </c>
      <c r="E233">
        <v>-396</v>
      </c>
      <c r="F233">
        <v>-5366</v>
      </c>
      <c r="G233">
        <v>-2839</v>
      </c>
      <c r="H233">
        <v>4362</v>
      </c>
      <c r="I233">
        <v>576</v>
      </c>
      <c r="J233">
        <v>-15954</v>
      </c>
      <c r="K233">
        <v>-16717</v>
      </c>
    </row>
    <row r="234" spans="2:11" x14ac:dyDescent="0.25">
      <c r="B234">
        <v>339</v>
      </c>
      <c r="C234">
        <v>-11460</v>
      </c>
      <c r="D234">
        <v>6493</v>
      </c>
      <c r="E234">
        <v>3676</v>
      </c>
      <c r="F234">
        <v>0</v>
      </c>
      <c r="G234">
        <v>0</v>
      </c>
      <c r="H234">
        <v>0</v>
      </c>
      <c r="I234">
        <v>0</v>
      </c>
      <c r="J234">
        <v>186</v>
      </c>
      <c r="K234">
        <v>9656</v>
      </c>
    </row>
    <row r="235" spans="2:11" x14ac:dyDescent="0.25">
      <c r="B235">
        <v>-2327</v>
      </c>
      <c r="C235">
        <v>8954</v>
      </c>
      <c r="D235">
        <v>5113</v>
      </c>
      <c r="E235">
        <v>23242</v>
      </c>
      <c r="F235">
        <v>1114</v>
      </c>
      <c r="G235">
        <v>16583</v>
      </c>
      <c r="H235">
        <v>0</v>
      </c>
      <c r="I235">
        <v>-15960</v>
      </c>
      <c r="J235">
        <v>-13400</v>
      </c>
      <c r="K235">
        <v>0</v>
      </c>
    </row>
    <row r="236" spans="2:11" x14ac:dyDescent="0.25">
      <c r="B236">
        <v>11131</v>
      </c>
      <c r="C236">
        <v>15157</v>
      </c>
      <c r="D236">
        <v>16586</v>
      </c>
      <c r="E236">
        <v>24336</v>
      </c>
      <c r="F236">
        <v>19779</v>
      </c>
      <c r="G236">
        <v>0</v>
      </c>
      <c r="H236">
        <v>0</v>
      </c>
      <c r="I236">
        <v>43810</v>
      </c>
      <c r="J236">
        <v>63759</v>
      </c>
      <c r="K236">
        <v>79653</v>
      </c>
    </row>
    <row r="237" spans="2:11" x14ac:dyDescent="0.25">
      <c r="B237">
        <v>0</v>
      </c>
      <c r="C237">
        <v>33612</v>
      </c>
      <c r="D237">
        <v>17686</v>
      </c>
      <c r="E237">
        <v>8781</v>
      </c>
      <c r="F237">
        <v>-1309</v>
      </c>
      <c r="G237">
        <v>0</v>
      </c>
      <c r="H237">
        <v>-11124</v>
      </c>
      <c r="I237">
        <v>-15270</v>
      </c>
      <c r="J237">
        <v>-22705</v>
      </c>
      <c r="K237">
        <v>-31034</v>
      </c>
    </row>
    <row r="238" spans="2:11" x14ac:dyDescent="0.25">
      <c r="B238">
        <v>0</v>
      </c>
      <c r="C238">
        <v>-7613</v>
      </c>
      <c r="D238">
        <v>-5192</v>
      </c>
      <c r="E238">
        <v>-4864</v>
      </c>
      <c r="F238">
        <v>-4509</v>
      </c>
      <c r="G238">
        <v>0</v>
      </c>
      <c r="H238">
        <v>288</v>
      </c>
      <c r="I238">
        <v>73</v>
      </c>
      <c r="J238">
        <v>65</v>
      </c>
      <c r="K238">
        <v>4</v>
      </c>
    </row>
    <row r="239" spans="2:11" x14ac:dyDescent="0.25">
      <c r="B239">
        <v>2921</v>
      </c>
      <c r="C239">
        <v>4280</v>
      </c>
      <c r="D239">
        <v>3822</v>
      </c>
      <c r="E239">
        <v>3232</v>
      </c>
      <c r="F239">
        <v>-107</v>
      </c>
      <c r="G239">
        <v>76</v>
      </c>
      <c r="H239">
        <v>-189</v>
      </c>
      <c r="I239">
        <v>-342</v>
      </c>
      <c r="J239">
        <v>1284</v>
      </c>
      <c r="K239">
        <v>1083</v>
      </c>
    </row>
    <row r="240" spans="2:11" x14ac:dyDescent="0.25">
      <c r="B240">
        <v>0</v>
      </c>
      <c r="C240">
        <v>0</v>
      </c>
      <c r="D240">
        <v>0</v>
      </c>
      <c r="E240">
        <v>0</v>
      </c>
      <c r="F240">
        <v>47</v>
      </c>
      <c r="G240">
        <v>155</v>
      </c>
      <c r="H240">
        <v>-13852</v>
      </c>
      <c r="I240">
        <v>-22861</v>
      </c>
      <c r="J240">
        <v>-10423</v>
      </c>
      <c r="K240">
        <v>-12598</v>
      </c>
    </row>
    <row r="241" spans="2:11" x14ac:dyDescent="0.25">
      <c r="B241">
        <v>166</v>
      </c>
      <c r="C241">
        <v>-1250</v>
      </c>
      <c r="D241">
        <v>-3608</v>
      </c>
      <c r="E241">
        <v>0</v>
      </c>
      <c r="F241">
        <v>-2161</v>
      </c>
      <c r="G241">
        <v>-2469</v>
      </c>
      <c r="H241">
        <v>0</v>
      </c>
      <c r="I241">
        <v>877</v>
      </c>
      <c r="J241">
        <v>-2929</v>
      </c>
      <c r="K241">
        <v>-9698</v>
      </c>
    </row>
    <row r="242" spans="2:11" x14ac:dyDescent="0.25">
      <c r="B242">
        <v>-13054</v>
      </c>
      <c r="C242">
        <v>-17338</v>
      </c>
      <c r="D242">
        <v>0</v>
      </c>
      <c r="E242">
        <v>0</v>
      </c>
      <c r="F242">
        <v>2219</v>
      </c>
      <c r="G242">
        <v>3093</v>
      </c>
      <c r="H242">
        <v>2685</v>
      </c>
      <c r="I242">
        <v>0</v>
      </c>
      <c r="J242">
        <v>-1657</v>
      </c>
      <c r="K242">
        <v>-3282</v>
      </c>
    </row>
    <row r="243" spans="2:11" x14ac:dyDescent="0.25">
      <c r="B243">
        <v>-6485</v>
      </c>
      <c r="C243">
        <v>-17672</v>
      </c>
      <c r="D243">
        <v>0</v>
      </c>
      <c r="E243">
        <v>-1834</v>
      </c>
      <c r="F243">
        <v>-2278</v>
      </c>
      <c r="G243">
        <v>-2603</v>
      </c>
      <c r="H243">
        <v>-2127</v>
      </c>
      <c r="I243">
        <v>0</v>
      </c>
      <c r="J243">
        <v>1607</v>
      </c>
      <c r="K243">
        <v>2399</v>
      </c>
    </row>
    <row r="244" spans="2:11" x14ac:dyDescent="0.25">
      <c r="B244">
        <v>4518</v>
      </c>
      <c r="C244">
        <v>5759</v>
      </c>
      <c r="D244">
        <v>0</v>
      </c>
      <c r="E244">
        <v>12663</v>
      </c>
      <c r="F244">
        <v>3203</v>
      </c>
      <c r="G244">
        <v>7084</v>
      </c>
      <c r="H244">
        <v>1755</v>
      </c>
      <c r="I244">
        <v>37328</v>
      </c>
      <c r="J244">
        <v>12284</v>
      </c>
      <c r="K244">
        <v>13024</v>
      </c>
    </row>
    <row r="245" spans="2:11" x14ac:dyDescent="0.25">
      <c r="B245">
        <v>5867</v>
      </c>
      <c r="C245">
        <v>1432</v>
      </c>
      <c r="D245">
        <v>790</v>
      </c>
      <c r="E245">
        <v>-8896</v>
      </c>
      <c r="F245">
        <v>-2187</v>
      </c>
      <c r="G245">
        <v>-1603</v>
      </c>
      <c r="H245">
        <v>-11</v>
      </c>
      <c r="I245">
        <v>0</v>
      </c>
      <c r="J245">
        <v>0</v>
      </c>
      <c r="K245">
        <v>0</v>
      </c>
    </row>
    <row r="246" spans="2:11" x14ac:dyDescent="0.25">
      <c r="B246">
        <v>0</v>
      </c>
      <c r="C246">
        <v>1212</v>
      </c>
      <c r="D246">
        <v>1265</v>
      </c>
      <c r="E246">
        <v>-5157</v>
      </c>
      <c r="F246">
        <v>1448</v>
      </c>
      <c r="G246">
        <v>-7836</v>
      </c>
      <c r="H246">
        <v>913</v>
      </c>
      <c r="I246">
        <v>508</v>
      </c>
      <c r="J246">
        <v>-4464</v>
      </c>
      <c r="K246">
        <v>-4054</v>
      </c>
    </row>
    <row r="247" spans="2:11" x14ac:dyDescent="0.25">
      <c r="B247">
        <v>1276</v>
      </c>
      <c r="C247">
        <v>0</v>
      </c>
      <c r="D247">
        <v>2029</v>
      </c>
      <c r="E247">
        <v>2541</v>
      </c>
      <c r="F247">
        <v>0</v>
      </c>
      <c r="G247">
        <v>-1907</v>
      </c>
      <c r="H247">
        <v>-2707</v>
      </c>
      <c r="I247">
        <v>-2774</v>
      </c>
      <c r="J247">
        <v>-1893</v>
      </c>
      <c r="K247">
        <v>602</v>
      </c>
    </row>
    <row r="248" spans="2:11" x14ac:dyDescent="0.25">
      <c r="B248">
        <v>0</v>
      </c>
      <c r="C248">
        <v>0</v>
      </c>
      <c r="D248">
        <v>1192</v>
      </c>
      <c r="E248">
        <v>1595</v>
      </c>
      <c r="F248">
        <v>2809</v>
      </c>
      <c r="G248">
        <v>0</v>
      </c>
      <c r="H248">
        <v>-1187</v>
      </c>
      <c r="I248">
        <v>-1564</v>
      </c>
      <c r="J248">
        <v>-4802</v>
      </c>
      <c r="K248">
        <v>-16856</v>
      </c>
    </row>
    <row r="249" spans="2:11" x14ac:dyDescent="0.25">
      <c r="B249">
        <v>0</v>
      </c>
      <c r="C249">
        <v>4916</v>
      </c>
      <c r="D249">
        <v>3404</v>
      </c>
      <c r="E249">
        <v>1888</v>
      </c>
      <c r="F249">
        <v>1086</v>
      </c>
      <c r="G249">
        <v>0</v>
      </c>
      <c r="H249">
        <v>-604</v>
      </c>
      <c r="I249">
        <v>-339</v>
      </c>
      <c r="J249">
        <v>1383</v>
      </c>
      <c r="K249">
        <v>2519</v>
      </c>
    </row>
    <row r="250" spans="2:11" x14ac:dyDescent="0.25">
      <c r="B250">
        <v>0</v>
      </c>
      <c r="C250">
        <v>2380</v>
      </c>
      <c r="D250">
        <v>2912</v>
      </c>
      <c r="E250">
        <v>931</v>
      </c>
      <c r="F250">
        <v>1744</v>
      </c>
      <c r="G250">
        <v>7829</v>
      </c>
      <c r="H250">
        <v>18094</v>
      </c>
      <c r="I250">
        <v>2952</v>
      </c>
      <c r="J250">
        <v>11751</v>
      </c>
      <c r="K250">
        <v>-1570</v>
      </c>
    </row>
    <row r="251" spans="2:11" x14ac:dyDescent="0.25">
      <c r="B251">
        <v>-2136</v>
      </c>
      <c r="C251">
        <v>-5170</v>
      </c>
      <c r="D251">
        <v>-4583</v>
      </c>
      <c r="E251">
        <v>852</v>
      </c>
      <c r="F251">
        <v>2070</v>
      </c>
      <c r="G251">
        <v>0</v>
      </c>
      <c r="H251">
        <v>0</v>
      </c>
      <c r="I251">
        <v>0</v>
      </c>
      <c r="J251">
        <v>0</v>
      </c>
      <c r="K251">
        <v>-64</v>
      </c>
    </row>
    <row r="252" spans="2:11" x14ac:dyDescent="0.25">
      <c r="B252">
        <v>785</v>
      </c>
      <c r="C252">
        <v>2350</v>
      </c>
      <c r="D252">
        <v>-1330</v>
      </c>
      <c r="E252">
        <v>10626</v>
      </c>
      <c r="F252">
        <v>13175</v>
      </c>
      <c r="G252">
        <v>-4889</v>
      </c>
      <c r="H252">
        <v>-594</v>
      </c>
      <c r="I252">
        <v>-495</v>
      </c>
      <c r="J252">
        <v>1918</v>
      </c>
      <c r="K252">
        <v>46663</v>
      </c>
    </row>
    <row r="253" spans="2:11" x14ac:dyDescent="0.25">
      <c r="B253">
        <v>0</v>
      </c>
      <c r="C253">
        <v>3065</v>
      </c>
      <c r="D253">
        <v>4202</v>
      </c>
      <c r="E253">
        <v>0</v>
      </c>
      <c r="F253">
        <v>-2999</v>
      </c>
      <c r="G253">
        <v>-6767</v>
      </c>
      <c r="H253">
        <v>-8022</v>
      </c>
      <c r="I253">
        <v>-6839</v>
      </c>
      <c r="J253">
        <v>-5931</v>
      </c>
      <c r="K253">
        <v>0</v>
      </c>
    </row>
    <row r="254" spans="2:11" x14ac:dyDescent="0.25">
      <c r="B254">
        <v>0</v>
      </c>
      <c r="C254">
        <v>-872</v>
      </c>
      <c r="D254">
        <v>-29</v>
      </c>
      <c r="E254">
        <v>1219</v>
      </c>
      <c r="F254">
        <v>0</v>
      </c>
      <c r="G254">
        <v>-3160</v>
      </c>
      <c r="H254">
        <v>-5850</v>
      </c>
      <c r="I254">
        <v>-9933</v>
      </c>
      <c r="J254">
        <v>-13957</v>
      </c>
      <c r="K254">
        <v>0</v>
      </c>
    </row>
    <row r="255" spans="2:11" x14ac:dyDescent="0.25">
      <c r="B255">
        <v>-1750</v>
      </c>
      <c r="C255">
        <v>-1758</v>
      </c>
      <c r="D255">
        <v>-2642</v>
      </c>
      <c r="E255">
        <v>-2573</v>
      </c>
      <c r="F255">
        <v>0</v>
      </c>
      <c r="G255">
        <v>2008</v>
      </c>
      <c r="H255">
        <v>1885</v>
      </c>
      <c r="I255">
        <v>1887</v>
      </c>
      <c r="J255">
        <v>1201</v>
      </c>
      <c r="K255">
        <v>0</v>
      </c>
    </row>
    <row r="256" spans="2:11" x14ac:dyDescent="0.25">
      <c r="B256">
        <v>7418</v>
      </c>
      <c r="C256">
        <v>1994</v>
      </c>
      <c r="D256">
        <v>5053</v>
      </c>
      <c r="E256">
        <v>1242</v>
      </c>
      <c r="F256">
        <v>26224</v>
      </c>
      <c r="G256">
        <v>7351</v>
      </c>
      <c r="H256">
        <v>13864</v>
      </c>
      <c r="I256">
        <v>5534</v>
      </c>
      <c r="J256">
        <v>-5951</v>
      </c>
      <c r="K256">
        <v>-301</v>
      </c>
    </row>
    <row r="257" spans="2:11" x14ac:dyDescent="0.25">
      <c r="B257">
        <v>-1689</v>
      </c>
      <c r="C257">
        <v>663</v>
      </c>
      <c r="D257">
        <v>-4216</v>
      </c>
      <c r="E257">
        <v>-2299</v>
      </c>
      <c r="F257">
        <v>0</v>
      </c>
      <c r="G257">
        <v>0</v>
      </c>
      <c r="H257">
        <v>0</v>
      </c>
      <c r="I257">
        <v>0</v>
      </c>
      <c r="J257">
        <v>-21</v>
      </c>
      <c r="K257">
        <v>855</v>
      </c>
    </row>
    <row r="258" spans="2:11" x14ac:dyDescent="0.25">
      <c r="B258">
        <v>-3488</v>
      </c>
      <c r="C258">
        <v>3507</v>
      </c>
      <c r="D258">
        <v>-3850</v>
      </c>
      <c r="E258">
        <v>-3212</v>
      </c>
      <c r="F258">
        <v>-146</v>
      </c>
      <c r="G258">
        <v>-1575</v>
      </c>
      <c r="H258">
        <v>-2646</v>
      </c>
      <c r="I258">
        <v>1515</v>
      </c>
      <c r="J258">
        <v>15884</v>
      </c>
      <c r="K258">
        <v>5123</v>
      </c>
    </row>
    <row r="259" spans="2:11" x14ac:dyDescent="0.25">
      <c r="B259">
        <v>0</v>
      </c>
      <c r="C259">
        <v>1377</v>
      </c>
      <c r="D259">
        <v>1175</v>
      </c>
      <c r="E259">
        <v>0</v>
      </c>
      <c r="F259">
        <v>-972</v>
      </c>
      <c r="G259">
        <v>-1460</v>
      </c>
      <c r="H259">
        <v>-1278</v>
      </c>
      <c r="I259">
        <v>-260</v>
      </c>
      <c r="J259">
        <v>500</v>
      </c>
      <c r="K259">
        <v>0</v>
      </c>
    </row>
    <row r="260" spans="2:11" x14ac:dyDescent="0.25">
      <c r="B260">
        <v>0</v>
      </c>
      <c r="C260">
        <v>719</v>
      </c>
      <c r="D260">
        <v>917</v>
      </c>
      <c r="E260">
        <v>1994</v>
      </c>
      <c r="F260">
        <v>0</v>
      </c>
      <c r="G260">
        <v>-2078</v>
      </c>
      <c r="H260">
        <v>-3502</v>
      </c>
      <c r="I260">
        <v>-5618</v>
      </c>
      <c r="J260">
        <v>-7848</v>
      </c>
      <c r="K260">
        <v>0</v>
      </c>
    </row>
    <row r="261" spans="2:11" x14ac:dyDescent="0.25">
      <c r="B261">
        <v>1158</v>
      </c>
      <c r="C261">
        <v>2407</v>
      </c>
      <c r="D261">
        <v>3815</v>
      </c>
      <c r="E261">
        <v>4285</v>
      </c>
      <c r="F261">
        <v>0</v>
      </c>
      <c r="G261">
        <v>-4537</v>
      </c>
      <c r="H261">
        <v>-6999</v>
      </c>
      <c r="I261">
        <v>-12247</v>
      </c>
      <c r="J261">
        <v>-18684</v>
      </c>
      <c r="K261">
        <v>0</v>
      </c>
    </row>
    <row r="262" spans="2:11" x14ac:dyDescent="0.25">
      <c r="B262">
        <v>1825</v>
      </c>
      <c r="C262">
        <v>2015</v>
      </c>
      <c r="D262">
        <v>1153</v>
      </c>
      <c r="E262">
        <v>1276</v>
      </c>
      <c r="F262">
        <v>6831</v>
      </c>
      <c r="G262">
        <v>13219</v>
      </c>
      <c r="H262">
        <v>4554</v>
      </c>
      <c r="I262">
        <v>16692</v>
      </c>
      <c r="J262">
        <v>-1806</v>
      </c>
      <c r="K262">
        <v>-5055</v>
      </c>
    </row>
    <row r="263" spans="2:11" x14ac:dyDescent="0.25">
      <c r="B263">
        <v>-1155</v>
      </c>
      <c r="C263">
        <v>-3675</v>
      </c>
      <c r="D263">
        <v>-1845</v>
      </c>
      <c r="E263">
        <v>-3312</v>
      </c>
      <c r="F263">
        <v>0</v>
      </c>
      <c r="G263">
        <v>0</v>
      </c>
      <c r="H263">
        <v>0</v>
      </c>
      <c r="I263">
        <v>0</v>
      </c>
      <c r="J263">
        <v>-147</v>
      </c>
      <c r="K263">
        <v>429</v>
      </c>
    </row>
    <row r="264" spans="2:11" x14ac:dyDescent="0.25">
      <c r="B264">
        <v>4356</v>
      </c>
      <c r="C264">
        <v>5324</v>
      </c>
      <c r="D264">
        <v>2584</v>
      </c>
      <c r="E264">
        <v>2232</v>
      </c>
      <c r="F264">
        <v>2345</v>
      </c>
      <c r="G264">
        <v>-194</v>
      </c>
      <c r="H264">
        <v>-1085</v>
      </c>
      <c r="I264">
        <v>1719</v>
      </c>
      <c r="J264">
        <v>4529</v>
      </c>
      <c r="K264">
        <v>6928</v>
      </c>
    </row>
    <row r="265" spans="2:11" x14ac:dyDescent="0.25">
      <c r="B265">
        <v>29242</v>
      </c>
    </row>
  </sheetData>
  <pageMargins bottom="0.75" footer="0.3" header="0.3" left="0.7" right="0.7" top="0.75"/>
</worksheet>
</file>

<file path=xl/worksheets/sheet1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L358"/>
  <sheetViews>
    <sheetView workbookViewId="0">
      <selection activeCell="A8" sqref="A8:K358"/>
    </sheetView>
  </sheetViews>
  <sheetFormatPr defaultRowHeight="15" x14ac:dyDescent="0.25"/>
  <sheetData>
    <row r="1" spans="1:11" x14ac:dyDescent="0.25">
      <c r="A1" s="47" t="s">
        <v>92</v>
      </c>
      <c r="B1" s="48"/>
      <c r="C1" s="48"/>
      <c r="D1" s="48"/>
      <c r="E1" s="48"/>
      <c r="F1" s="48"/>
      <c r="G1" s="48"/>
      <c r="H1" s="48" t="s">
        <v>93</v>
      </c>
      <c r="I1" s="48"/>
      <c r="J1" s="48"/>
      <c r="K1" s="49"/>
    </row>
    <row r="2" spans="1:11" x14ac:dyDescent="0.25">
      <c r="A2" s="50">
        <v>1</v>
      </c>
      <c r="B2" s="51" t="s">
        <v>196</v>
      </c>
      <c r="C2" s="51"/>
      <c r="D2" s="51"/>
      <c r="E2" s="51"/>
      <c r="F2" s="51"/>
      <c r="G2" s="51"/>
      <c r="H2" s="51"/>
      <c r="I2" s="51"/>
      <c r="J2" s="51"/>
      <c r="K2" s="52"/>
    </row>
    <row r="3" spans="1:11" x14ac:dyDescent="0.25">
      <c r="A3" s="50">
        <v>2</v>
      </c>
      <c r="B3" s="51" t="s">
        <v>94</v>
      </c>
      <c r="C3" s="51"/>
      <c r="D3" s="51"/>
      <c r="E3" s="51"/>
      <c r="F3" s="51"/>
      <c r="G3" s="51"/>
      <c r="H3" s="51"/>
      <c r="I3" s="51"/>
      <c r="J3" s="51"/>
      <c r="K3" s="52"/>
    </row>
    <row r="4" spans="1:11" x14ac:dyDescent="0.25">
      <c r="A4" s="50">
        <v>3</v>
      </c>
      <c r="B4" s="51" t="s">
        <v>95</v>
      </c>
      <c r="C4" s="51"/>
      <c r="D4" s="51"/>
      <c r="E4" s="51"/>
      <c r="F4" s="51"/>
      <c r="G4" s="51"/>
      <c r="H4" s="51"/>
      <c r="I4" s="51"/>
      <c r="J4" s="51"/>
      <c r="K4" s="52"/>
    </row>
    <row r="5" spans="1:11" x14ac:dyDescent="0.25">
      <c r="A5" s="50">
        <v>4</v>
      </c>
      <c r="B5" s="51" t="s">
        <v>96</v>
      </c>
      <c r="C5" s="51"/>
      <c r="D5" s="51"/>
      <c r="E5" s="51"/>
      <c r="F5" s="51"/>
      <c r="G5" s="51"/>
      <c r="H5" s="51"/>
      <c r="I5" s="51"/>
      <c r="J5" s="51"/>
      <c r="K5" s="52"/>
    </row>
    <row r="6" spans="1:11" x14ac:dyDescent="0.25">
      <c r="A6" s="53"/>
      <c r="B6" s="54"/>
      <c r="C6" s="54"/>
      <c r="D6" s="54"/>
      <c r="E6" s="54"/>
      <c r="F6" s="54"/>
      <c r="G6" s="54"/>
      <c r="H6" s="54"/>
      <c r="I6" s="54"/>
      <c r="J6" s="54"/>
      <c r="K6" s="55"/>
    </row>
    <row r="8" spans="1:11" x14ac:dyDescent="0.25">
      <c r="A8" t="s">
        <v>97</v>
      </c>
      <c r="B8" t="s">
        <v>198</v>
      </c>
      <c r="C8" t="s">
        <v>99</v>
      </c>
    </row>
    <row r="9" spans="1:11" x14ac:dyDescent="0.25">
      <c r="A9" t="s">
        <v>100</v>
      </c>
      <c r="B9" t="s">
        <v>101</v>
      </c>
      <c r="C9" t="s">
        <v>102</v>
      </c>
      <c r="D9" t="s">
        <v>103</v>
      </c>
      <c r="E9">
        <v>4</v>
      </c>
      <c r="F9" s="56">
        <v>0.68153935185185188</v>
      </c>
      <c r="G9" t="s">
        <v>104</v>
      </c>
      <c r="H9">
        <v>7</v>
      </c>
      <c r="I9" t="s">
        <v>199</v>
      </c>
      <c r="J9">
        <v>12</v>
      </c>
    </row>
    <row r="10" spans="1:11" x14ac:dyDescent="0.25">
      <c r="A10" t="s">
        <v>105</v>
      </c>
    </row>
    <row r="11" spans="1:11" x14ac:dyDescent="0.25">
      <c r="B11">
        <v>11</v>
      </c>
      <c r="C11" t="s">
        <v>106</v>
      </c>
      <c r="D11" t="s">
        <v>109</v>
      </c>
      <c r="E11">
        <v>-2.3394698170399999</v>
      </c>
      <c r="F11">
        <v>0.166554058826</v>
      </c>
    </row>
    <row r="12" spans="1:11" x14ac:dyDescent="0.25">
      <c r="B12">
        <v>12</v>
      </c>
      <c r="C12" t="s">
        <v>108</v>
      </c>
      <c r="D12" t="s">
        <v>109</v>
      </c>
      <c r="E12">
        <v>-0.67106220384299997</v>
      </c>
      <c r="F12" s="57">
        <v>9.8135717565100006E-2</v>
      </c>
    </row>
    <row r="13" spans="1:11" x14ac:dyDescent="0.25">
      <c r="B13">
        <v>13</v>
      </c>
      <c r="C13" t="s">
        <v>110</v>
      </c>
      <c r="D13" t="s">
        <v>109</v>
      </c>
      <c r="E13" s="57">
        <v>-1.81869725389E-2</v>
      </c>
      <c r="F13" s="57">
        <v>6.16066120838E-2</v>
      </c>
    </row>
    <row r="14" spans="1:11" x14ac:dyDescent="0.25">
      <c r="B14">
        <v>14</v>
      </c>
      <c r="C14" t="s">
        <v>111</v>
      </c>
      <c r="D14" t="s">
        <v>107</v>
      </c>
      <c r="E14">
        <v>0</v>
      </c>
      <c r="F14">
        <v>0</v>
      </c>
    </row>
    <row r="15" spans="1:11" x14ac:dyDescent="0.25">
      <c r="B15">
        <v>15</v>
      </c>
      <c r="C15" t="s">
        <v>112</v>
      </c>
      <c r="D15" t="s">
        <v>109</v>
      </c>
      <c r="E15">
        <v>-0.93649924875500001</v>
      </c>
      <c r="F15" s="57">
        <v>7.9616844312599994E-2</v>
      </c>
    </row>
    <row r="16" spans="1:11" x14ac:dyDescent="0.25">
      <c r="B16">
        <v>16</v>
      </c>
      <c r="C16" t="s">
        <v>113</v>
      </c>
      <c r="D16" t="s">
        <v>109</v>
      </c>
      <c r="E16">
        <v>-1.77743849575</v>
      </c>
      <c r="F16">
        <v>0.131835941939</v>
      </c>
    </row>
    <row r="17" spans="2:6" x14ac:dyDescent="0.25">
      <c r="B17">
        <v>17</v>
      </c>
      <c r="C17" t="s">
        <v>114</v>
      </c>
      <c r="D17" t="s">
        <v>109</v>
      </c>
      <c r="E17">
        <v>-1.86737256636</v>
      </c>
      <c r="F17">
        <v>0.22171354243499999</v>
      </c>
    </row>
    <row r="18" spans="2:6" x14ac:dyDescent="0.25">
      <c r="B18">
        <v>18</v>
      </c>
      <c r="C18" t="s">
        <v>115</v>
      </c>
      <c r="D18" t="s">
        <v>109</v>
      </c>
      <c r="E18">
        <v>-2.26568763106</v>
      </c>
      <c r="F18">
        <v>0.33096359431599998</v>
      </c>
    </row>
    <row r="19" spans="2:6" x14ac:dyDescent="0.25">
      <c r="B19">
        <v>19</v>
      </c>
      <c r="C19" t="s">
        <v>116</v>
      </c>
      <c r="D19" t="s">
        <v>109</v>
      </c>
      <c r="E19">
        <v>-3.1613092691400002</v>
      </c>
      <c r="F19">
        <v>0.49077839607000001</v>
      </c>
    </row>
    <row r="20" spans="2:6" x14ac:dyDescent="0.25">
      <c r="B20">
        <v>20</v>
      </c>
      <c r="C20" t="s">
        <v>117</v>
      </c>
      <c r="D20" t="s">
        <v>109</v>
      </c>
      <c r="E20">
        <v>-4.1209548115799999</v>
      </c>
      <c r="F20">
        <v>0.81739969350599995</v>
      </c>
    </row>
    <row r="21" spans="2:6" x14ac:dyDescent="0.25">
      <c r="B21">
        <v>21</v>
      </c>
      <c r="C21" t="s">
        <v>118</v>
      </c>
      <c r="D21" t="s">
        <v>109</v>
      </c>
      <c r="E21">
        <v>-2.7576260000000001</v>
      </c>
      <c r="F21">
        <v>0.50610763844399997</v>
      </c>
    </row>
    <row r="22" spans="2:6" x14ac:dyDescent="0.25">
      <c r="B22">
        <v>22</v>
      </c>
      <c r="C22" t="s">
        <v>119</v>
      </c>
      <c r="D22" t="s">
        <v>109</v>
      </c>
      <c r="E22">
        <v>-1.6259760000000001</v>
      </c>
      <c r="F22">
        <v>0.326935585779</v>
      </c>
    </row>
    <row r="23" spans="2:6" x14ac:dyDescent="0.25">
      <c r="B23">
        <v>23</v>
      </c>
      <c r="C23" t="s">
        <v>120</v>
      </c>
      <c r="D23" t="s">
        <v>109</v>
      </c>
      <c r="E23">
        <v>-0.57779599999999998</v>
      </c>
      <c r="F23">
        <v>0.19811168781399999</v>
      </c>
    </row>
    <row r="24" spans="2:6" x14ac:dyDescent="0.25">
      <c r="B24">
        <v>24</v>
      </c>
      <c r="C24" t="s">
        <v>121</v>
      </c>
      <c r="D24" t="s">
        <v>109</v>
      </c>
      <c r="E24">
        <v>-0.45795000000000002</v>
      </c>
      <c r="F24">
        <v>0.115798211597</v>
      </c>
    </row>
    <row r="25" spans="2:6" x14ac:dyDescent="0.25">
      <c r="B25">
        <v>25</v>
      </c>
      <c r="C25" t="s">
        <v>122</v>
      </c>
      <c r="D25" t="s">
        <v>107</v>
      </c>
      <c r="E25">
        <v>0</v>
      </c>
      <c r="F25">
        <v>0</v>
      </c>
    </row>
    <row r="26" spans="2:6" x14ac:dyDescent="0.25">
      <c r="B26">
        <v>26</v>
      </c>
      <c r="C26" t="s">
        <v>123</v>
      </c>
      <c r="D26" t="s">
        <v>109</v>
      </c>
      <c r="E26" s="57">
        <v>-5.4146E-2</v>
      </c>
      <c r="F26" s="57">
        <v>6.6387251918099993E-2</v>
      </c>
    </row>
    <row r="27" spans="2:6" x14ac:dyDescent="0.25">
      <c r="B27">
        <v>27</v>
      </c>
      <c r="C27" t="s">
        <v>124</v>
      </c>
      <c r="D27" t="s">
        <v>109</v>
      </c>
      <c r="E27">
        <v>-0.85907800000000001</v>
      </c>
      <c r="F27">
        <v>0.103880499463</v>
      </c>
    </row>
    <row r="28" spans="2:6" x14ac:dyDescent="0.25">
      <c r="B28">
        <v>28</v>
      </c>
      <c r="C28" t="s">
        <v>125</v>
      </c>
      <c r="D28" t="s">
        <v>109</v>
      </c>
      <c r="E28">
        <v>-1.93876</v>
      </c>
      <c r="F28">
        <v>0.16080869896200001</v>
      </c>
    </row>
    <row r="29" spans="2:6" x14ac:dyDescent="0.25">
      <c r="B29">
        <v>29</v>
      </c>
      <c r="C29" t="s">
        <v>126</v>
      </c>
      <c r="D29" t="s">
        <v>109</v>
      </c>
      <c r="E29">
        <v>-1.9554069999999999</v>
      </c>
      <c r="F29">
        <v>0.247496421287</v>
      </c>
    </row>
    <row r="30" spans="2:6" x14ac:dyDescent="0.25">
      <c r="B30">
        <v>30</v>
      </c>
      <c r="C30" t="s">
        <v>127</v>
      </c>
      <c r="D30" t="s">
        <v>109</v>
      </c>
      <c r="E30">
        <v>-3.4381330000000001</v>
      </c>
      <c r="F30">
        <v>0.394526618537</v>
      </c>
    </row>
    <row r="31" spans="2:6" x14ac:dyDescent="0.25">
      <c r="B31">
        <v>31</v>
      </c>
      <c r="C31" t="s">
        <v>128</v>
      </c>
      <c r="D31" t="s">
        <v>109</v>
      </c>
      <c r="E31">
        <v>0.94328400000000001</v>
      </c>
      <c r="F31">
        <v>0.29987452563</v>
      </c>
    </row>
    <row r="32" spans="2:6" x14ac:dyDescent="0.25">
      <c r="B32">
        <v>32</v>
      </c>
      <c r="C32" t="s">
        <v>129</v>
      </c>
      <c r="D32" t="s">
        <v>109</v>
      </c>
      <c r="E32">
        <v>1.0836619999999999</v>
      </c>
      <c r="F32">
        <v>0.226897888656</v>
      </c>
    </row>
    <row r="33" spans="2:6" x14ac:dyDescent="0.25">
      <c r="B33">
        <v>33</v>
      </c>
      <c r="C33" t="s">
        <v>130</v>
      </c>
      <c r="D33" t="s">
        <v>109</v>
      </c>
      <c r="E33">
        <v>0.42832700000000001</v>
      </c>
      <c r="F33">
        <v>0.174895181077</v>
      </c>
    </row>
    <row r="34" spans="2:6" x14ac:dyDescent="0.25">
      <c r="B34">
        <v>34</v>
      </c>
      <c r="C34" t="s">
        <v>131</v>
      </c>
      <c r="D34" t="s">
        <v>109</v>
      </c>
      <c r="E34">
        <v>0.61578100000000002</v>
      </c>
      <c r="F34">
        <v>0.12857557629899999</v>
      </c>
    </row>
    <row r="35" spans="2:6" x14ac:dyDescent="0.25">
      <c r="B35">
        <v>35</v>
      </c>
      <c r="C35" t="s">
        <v>132</v>
      </c>
      <c r="D35" t="s">
        <v>107</v>
      </c>
      <c r="E35">
        <v>-0.111499</v>
      </c>
      <c r="F35">
        <v>0</v>
      </c>
    </row>
    <row r="36" spans="2:6" x14ac:dyDescent="0.25">
      <c r="B36">
        <v>36</v>
      </c>
      <c r="C36" t="s">
        <v>133</v>
      </c>
      <c r="D36" t="s">
        <v>109</v>
      </c>
      <c r="E36">
        <v>-1.2529269999999999</v>
      </c>
      <c r="F36" s="57">
        <v>7.3847024576899997E-2</v>
      </c>
    </row>
    <row r="37" spans="2:6" x14ac:dyDescent="0.25">
      <c r="B37">
        <v>37</v>
      </c>
      <c r="C37" t="s">
        <v>134</v>
      </c>
      <c r="D37" t="s">
        <v>109</v>
      </c>
      <c r="E37">
        <v>-2.4258410000000001</v>
      </c>
      <c r="F37">
        <v>0.12614259511799999</v>
      </c>
    </row>
    <row r="38" spans="2:6" x14ac:dyDescent="0.25">
      <c r="B38">
        <v>38</v>
      </c>
      <c r="C38" t="s">
        <v>135</v>
      </c>
      <c r="D38" t="s">
        <v>109</v>
      </c>
      <c r="E38">
        <v>-3.6496620000000002</v>
      </c>
      <c r="F38">
        <v>0.18517755081600001</v>
      </c>
    </row>
    <row r="39" spans="2:6" x14ac:dyDescent="0.25">
      <c r="B39">
        <v>39</v>
      </c>
      <c r="C39" t="s">
        <v>136</v>
      </c>
      <c r="D39" t="s">
        <v>109</v>
      </c>
      <c r="E39">
        <v>-6.2620810000000002</v>
      </c>
      <c r="F39">
        <v>0.35203937082499998</v>
      </c>
    </row>
    <row r="40" spans="2:6" x14ac:dyDescent="0.25">
      <c r="B40">
        <v>40</v>
      </c>
      <c r="C40" t="s">
        <v>137</v>
      </c>
      <c r="D40" t="s">
        <v>109</v>
      </c>
      <c r="E40">
        <v>-9.2484599999999997</v>
      </c>
      <c r="F40">
        <v>1.11916797919</v>
      </c>
    </row>
    <row r="41" spans="2:6" x14ac:dyDescent="0.25">
      <c r="B41">
        <v>41</v>
      </c>
      <c r="C41" t="s">
        <v>138</v>
      </c>
      <c r="D41" t="s">
        <v>109</v>
      </c>
      <c r="E41" s="57">
        <v>4.0037136956699998E-2</v>
      </c>
      <c r="F41" s="57">
        <v>9.9685746281100007E-3</v>
      </c>
    </row>
    <row r="42" spans="2:6" x14ac:dyDescent="0.25">
      <c r="B42">
        <v>42</v>
      </c>
      <c r="C42" t="s">
        <v>139</v>
      </c>
      <c r="D42" t="s">
        <v>109</v>
      </c>
      <c r="E42" s="57">
        <v>-2.9029788634599998E-2</v>
      </c>
      <c r="F42" s="57">
        <v>1.2678570722499999E-2</v>
      </c>
    </row>
    <row r="43" spans="2:6" x14ac:dyDescent="0.25">
      <c r="B43">
        <v>43</v>
      </c>
      <c r="C43" t="s">
        <v>140</v>
      </c>
      <c r="D43" t="s">
        <v>109</v>
      </c>
      <c r="E43" s="57">
        <v>6.0083727421699998E-2</v>
      </c>
      <c r="F43" s="57">
        <v>2.5372281094700001E-2</v>
      </c>
    </row>
    <row r="44" spans="2:6" x14ac:dyDescent="0.25">
      <c r="B44">
        <v>44</v>
      </c>
      <c r="C44" t="s">
        <v>141</v>
      </c>
      <c r="D44" t="s">
        <v>109</v>
      </c>
      <c r="E44">
        <v>-0.13634249725200001</v>
      </c>
      <c r="F44" s="57">
        <v>3.6390381655799997E-2</v>
      </c>
    </row>
    <row r="45" spans="2:6" x14ac:dyDescent="0.25">
      <c r="B45">
        <v>45</v>
      </c>
      <c r="C45" t="s">
        <v>142</v>
      </c>
      <c r="D45" t="s">
        <v>109</v>
      </c>
      <c r="E45">
        <v>0.103738819739</v>
      </c>
      <c r="F45" s="57">
        <v>1.6616031351299999E-2</v>
      </c>
    </row>
    <row r="46" spans="2:6" x14ac:dyDescent="0.25">
      <c r="B46">
        <v>46</v>
      </c>
      <c r="C46" t="s">
        <v>143</v>
      </c>
      <c r="D46" t="s">
        <v>109</v>
      </c>
      <c r="E46" s="57">
        <v>1.35703205954E-2</v>
      </c>
      <c r="F46" s="57">
        <v>2.28690317452E-2</v>
      </c>
    </row>
    <row r="47" spans="2:6" x14ac:dyDescent="0.25">
      <c r="B47">
        <v>49</v>
      </c>
      <c r="C47" t="s">
        <v>144</v>
      </c>
      <c r="D47" t="s">
        <v>109</v>
      </c>
      <c r="E47">
        <v>0.19068824550399999</v>
      </c>
      <c r="F47" s="57">
        <v>2.65279140342E-2</v>
      </c>
    </row>
    <row r="48" spans="2:6" x14ac:dyDescent="0.25">
      <c r="B48">
        <v>50</v>
      </c>
      <c r="C48" t="s">
        <v>145</v>
      </c>
      <c r="D48" t="s">
        <v>109</v>
      </c>
      <c r="E48" s="57">
        <v>-4.7658902528499997E-2</v>
      </c>
      <c r="F48" s="57">
        <v>4.1478476952599999E-2</v>
      </c>
    </row>
    <row r="49" spans="2:6" x14ac:dyDescent="0.25">
      <c r="B49">
        <v>51</v>
      </c>
      <c r="C49" t="s">
        <v>200</v>
      </c>
      <c r="D49" t="s">
        <v>109</v>
      </c>
      <c r="E49" s="57">
        <v>1.74365636267E-2</v>
      </c>
      <c r="F49" s="57">
        <v>1.140252435E-2</v>
      </c>
    </row>
    <row r="50" spans="2:6" x14ac:dyDescent="0.25">
      <c r="B50">
        <v>52</v>
      </c>
      <c r="C50" t="s">
        <v>201</v>
      </c>
      <c r="D50" t="s">
        <v>109</v>
      </c>
      <c r="E50" s="57">
        <v>-1.1076555783700001E-2</v>
      </c>
      <c r="F50" s="57">
        <v>1.2858732606199999E-2</v>
      </c>
    </row>
    <row r="51" spans="2:6" x14ac:dyDescent="0.25">
      <c r="B51">
        <v>53</v>
      </c>
      <c r="C51" t="s">
        <v>202</v>
      </c>
      <c r="D51" t="s">
        <v>109</v>
      </c>
      <c r="E51" s="57">
        <v>-4.5799393531799999E-3</v>
      </c>
      <c r="F51" s="57">
        <v>1.7862377697600001E-2</v>
      </c>
    </row>
    <row r="52" spans="2:6" x14ac:dyDescent="0.25">
      <c r="B52">
        <v>54</v>
      </c>
      <c r="C52" t="s">
        <v>203</v>
      </c>
      <c r="D52" t="s">
        <v>109</v>
      </c>
      <c r="E52" s="57">
        <v>1.7562242850300001E-3</v>
      </c>
      <c r="F52" s="57">
        <v>1.4630867548599999E-2</v>
      </c>
    </row>
    <row r="53" spans="2:6" x14ac:dyDescent="0.25">
      <c r="B53">
        <v>57</v>
      </c>
      <c r="C53" t="s">
        <v>204</v>
      </c>
      <c r="D53" t="s">
        <v>109</v>
      </c>
      <c r="E53">
        <v>1.4622136722300001</v>
      </c>
      <c r="F53">
        <v>8.5992649050699992</v>
      </c>
    </row>
    <row r="54" spans="2:6" x14ac:dyDescent="0.25">
      <c r="B54">
        <v>58</v>
      </c>
      <c r="C54" t="s">
        <v>205</v>
      </c>
      <c r="D54" t="s">
        <v>109</v>
      </c>
      <c r="E54">
        <v>0.24430192177099999</v>
      </c>
      <c r="F54">
        <v>8.5689380652500002</v>
      </c>
    </row>
    <row r="55" spans="2:6" x14ac:dyDescent="0.25">
      <c r="B55">
        <v>61</v>
      </c>
      <c r="C55" t="s">
        <v>146</v>
      </c>
      <c r="D55" t="s">
        <v>109</v>
      </c>
      <c r="E55" s="57">
        <v>3.9458577753300004E-3</v>
      </c>
      <c r="F55" s="57">
        <v>3.6600568992000001E-3</v>
      </c>
    </row>
    <row r="56" spans="2:6" x14ac:dyDescent="0.25">
      <c r="B56">
        <v>62</v>
      </c>
      <c r="C56" t="s">
        <v>147</v>
      </c>
      <c r="D56" t="s">
        <v>109</v>
      </c>
      <c r="E56" s="57">
        <v>-4.5842264627900003E-2</v>
      </c>
      <c r="F56" s="57">
        <v>3.86497643E-3</v>
      </c>
    </row>
    <row r="57" spans="2:6" x14ac:dyDescent="0.25">
      <c r="B57">
        <v>63</v>
      </c>
      <c r="C57" t="s">
        <v>206</v>
      </c>
      <c r="D57" t="s">
        <v>109</v>
      </c>
      <c r="E57" s="57">
        <v>-6.5425870724599995E-4</v>
      </c>
      <c r="F57" s="57">
        <v>3.4123010024899999E-3</v>
      </c>
    </row>
    <row r="58" spans="2:6" x14ac:dyDescent="0.25">
      <c r="B58">
        <v>64</v>
      </c>
      <c r="C58" t="s">
        <v>207</v>
      </c>
      <c r="D58" t="s">
        <v>109</v>
      </c>
      <c r="E58" s="57">
        <v>-4.2823263761100003E-2</v>
      </c>
      <c r="F58" s="57">
        <v>3.7704440667799999E-3</v>
      </c>
    </row>
    <row r="59" spans="2:6" x14ac:dyDescent="0.25">
      <c r="B59">
        <v>67</v>
      </c>
      <c r="C59" t="s">
        <v>150</v>
      </c>
      <c r="D59" t="s">
        <v>109</v>
      </c>
      <c r="E59" s="57">
        <v>-1.43005534112E-2</v>
      </c>
      <c r="F59" s="57">
        <v>6.4460601462800002E-3</v>
      </c>
    </row>
    <row r="60" spans="2:6" x14ac:dyDescent="0.25">
      <c r="B60">
        <v>68</v>
      </c>
      <c r="C60" t="s">
        <v>151</v>
      </c>
      <c r="D60" t="s">
        <v>109</v>
      </c>
      <c r="E60" s="57">
        <v>4.5097327600000001E-2</v>
      </c>
      <c r="F60" s="57">
        <v>6.3326225988899996E-3</v>
      </c>
    </row>
    <row r="61" spans="2:6" x14ac:dyDescent="0.25">
      <c r="B61">
        <v>69</v>
      </c>
      <c r="C61" t="s">
        <v>208</v>
      </c>
      <c r="D61" t="s">
        <v>109</v>
      </c>
      <c r="E61" s="57">
        <v>1.3563955105100001E-2</v>
      </c>
      <c r="F61" s="57">
        <v>1.1330529709800001E-2</v>
      </c>
    </row>
    <row r="62" spans="2:6" x14ac:dyDescent="0.25">
      <c r="B62">
        <v>70</v>
      </c>
      <c r="C62" t="s">
        <v>209</v>
      </c>
      <c r="D62" t="s">
        <v>109</v>
      </c>
      <c r="E62">
        <v>0.16495387210699999</v>
      </c>
      <c r="F62" s="57">
        <v>1.12206895961E-2</v>
      </c>
    </row>
    <row r="63" spans="2:6" x14ac:dyDescent="0.25">
      <c r="B63">
        <v>71</v>
      </c>
      <c r="C63" t="s">
        <v>210</v>
      </c>
      <c r="D63" t="s">
        <v>109</v>
      </c>
      <c r="E63">
        <v>-1.2851468616399999</v>
      </c>
      <c r="F63">
        <v>0.133851118874</v>
      </c>
    </row>
    <row r="64" spans="2:6" x14ac:dyDescent="0.25">
      <c r="B64">
        <v>72</v>
      </c>
      <c r="C64" t="s">
        <v>211</v>
      </c>
      <c r="D64" t="s">
        <v>109</v>
      </c>
      <c r="E64">
        <v>-0.473472396189</v>
      </c>
      <c r="F64">
        <v>0.18373979583</v>
      </c>
    </row>
    <row r="65" spans="2:6" x14ac:dyDescent="0.25">
      <c r="B65">
        <v>73</v>
      </c>
      <c r="C65" t="s">
        <v>212</v>
      </c>
      <c r="D65" t="s">
        <v>109</v>
      </c>
      <c r="E65">
        <v>-0.81108460731200005</v>
      </c>
      <c r="F65">
        <v>0.35691249158299998</v>
      </c>
    </row>
    <row r="66" spans="2:6" x14ac:dyDescent="0.25">
      <c r="B66">
        <v>81</v>
      </c>
      <c r="C66" t="s">
        <v>213</v>
      </c>
      <c r="D66" t="s">
        <v>109</v>
      </c>
      <c r="E66">
        <v>2.0980899153400001</v>
      </c>
      <c r="F66">
        <v>0.242856799451</v>
      </c>
    </row>
    <row r="67" spans="2:6" x14ac:dyDescent="0.25">
      <c r="B67">
        <v>82</v>
      </c>
      <c r="C67" t="s">
        <v>214</v>
      </c>
      <c r="D67" t="s">
        <v>107</v>
      </c>
      <c r="E67">
        <v>5</v>
      </c>
      <c r="F67">
        <v>0</v>
      </c>
    </row>
    <row r="68" spans="2:6" x14ac:dyDescent="0.25">
      <c r="B68">
        <v>83</v>
      </c>
      <c r="C68" t="s">
        <v>215</v>
      </c>
      <c r="D68" t="s">
        <v>109</v>
      </c>
      <c r="E68">
        <v>-0.64054936577699995</v>
      </c>
      <c r="F68">
        <v>0.110855147249</v>
      </c>
    </row>
    <row r="69" spans="2:6" x14ac:dyDescent="0.25">
      <c r="B69">
        <v>85</v>
      </c>
      <c r="C69" t="s">
        <v>152</v>
      </c>
      <c r="D69" t="s">
        <v>107</v>
      </c>
      <c r="E69">
        <v>0.5</v>
      </c>
      <c r="F69">
        <v>0</v>
      </c>
    </row>
    <row r="70" spans="2:6" x14ac:dyDescent="0.25">
      <c r="B70">
        <v>86</v>
      </c>
      <c r="C70" t="s">
        <v>153</v>
      </c>
      <c r="D70" t="s">
        <v>107</v>
      </c>
      <c r="E70">
        <v>0.5</v>
      </c>
      <c r="F70">
        <v>0</v>
      </c>
    </row>
    <row r="71" spans="2:6" x14ac:dyDescent="0.25">
      <c r="B71">
        <v>87</v>
      </c>
      <c r="C71" t="s">
        <v>154</v>
      </c>
      <c r="D71" t="s">
        <v>107</v>
      </c>
      <c r="E71">
        <v>0.5</v>
      </c>
      <c r="F71">
        <v>0</v>
      </c>
    </row>
    <row r="72" spans="2:6" x14ac:dyDescent="0.25">
      <c r="B72">
        <v>88</v>
      </c>
      <c r="C72" t="s">
        <v>155</v>
      </c>
      <c r="D72" t="s">
        <v>107</v>
      </c>
      <c r="E72">
        <v>0.5</v>
      </c>
      <c r="F72">
        <v>0</v>
      </c>
    </row>
    <row r="73" spans="2:6" x14ac:dyDescent="0.25">
      <c r="B73">
        <v>89</v>
      </c>
      <c r="C73" t="s">
        <v>216</v>
      </c>
      <c r="D73" t="s">
        <v>109</v>
      </c>
      <c r="E73">
        <v>-2.9770165213499999</v>
      </c>
      <c r="F73">
        <v>0.93438368094400004</v>
      </c>
    </row>
    <row r="74" spans="2:6" x14ac:dyDescent="0.25">
      <c r="B74">
        <v>91</v>
      </c>
      <c r="C74" t="s">
        <v>182</v>
      </c>
      <c r="D74" t="s">
        <v>109</v>
      </c>
      <c r="E74">
        <v>3.1461924511900001</v>
      </c>
      <c r="F74">
        <v>2.30486769522</v>
      </c>
    </row>
    <row r="75" spans="2:6" x14ac:dyDescent="0.25">
      <c r="B75">
        <v>92</v>
      </c>
      <c r="C75" t="s">
        <v>183</v>
      </c>
      <c r="D75" t="s">
        <v>107</v>
      </c>
      <c r="E75">
        <v>5</v>
      </c>
      <c r="F75">
        <v>0</v>
      </c>
    </row>
    <row r="76" spans="2:6" x14ac:dyDescent="0.25">
      <c r="B76">
        <v>93</v>
      </c>
      <c r="C76" t="s">
        <v>158</v>
      </c>
      <c r="D76" t="s">
        <v>109</v>
      </c>
      <c r="E76">
        <v>-0.240163130498</v>
      </c>
      <c r="F76" s="57">
        <v>2.6404795602699999E-2</v>
      </c>
    </row>
    <row r="77" spans="2:6" x14ac:dyDescent="0.25">
      <c r="B77">
        <v>94</v>
      </c>
      <c r="C77" t="s">
        <v>159</v>
      </c>
      <c r="D77" t="s">
        <v>109</v>
      </c>
      <c r="E77">
        <v>-0.24977007544900001</v>
      </c>
      <c r="F77" s="57">
        <v>2.6664374720300001E-2</v>
      </c>
    </row>
    <row r="78" spans="2:6" x14ac:dyDescent="0.25">
      <c r="B78">
        <v>95</v>
      </c>
      <c r="C78" t="s">
        <v>160</v>
      </c>
      <c r="D78" t="s">
        <v>109</v>
      </c>
      <c r="E78">
        <v>-1.72821922101</v>
      </c>
      <c r="F78">
        <v>0.85871705533499998</v>
      </c>
    </row>
    <row r="79" spans="2:6" x14ac:dyDescent="0.25">
      <c r="B79">
        <v>96</v>
      </c>
      <c r="C79" t="s">
        <v>161</v>
      </c>
      <c r="D79" t="s">
        <v>109</v>
      </c>
      <c r="E79" s="57">
        <v>1.9500749384399999E-2</v>
      </c>
      <c r="F79">
        <v>8.5688875581000001</v>
      </c>
    </row>
    <row r="80" spans="2:6" x14ac:dyDescent="0.25">
      <c r="B80">
        <v>97</v>
      </c>
      <c r="C80" t="s">
        <v>162</v>
      </c>
      <c r="D80" t="s">
        <v>109</v>
      </c>
      <c r="E80">
        <v>-100.45727126200001</v>
      </c>
      <c r="F80">
        <v>11.389718690700001</v>
      </c>
    </row>
    <row r="81" spans="2:11" x14ac:dyDescent="0.25">
      <c r="B81">
        <v>98</v>
      </c>
      <c r="C81" t="s">
        <v>217</v>
      </c>
      <c r="D81" t="s">
        <v>109</v>
      </c>
      <c r="E81">
        <v>-23.747958025900001</v>
      </c>
      <c r="F81">
        <v>4.7914242846299997</v>
      </c>
    </row>
    <row r="82" spans="2:11" x14ac:dyDescent="0.25">
      <c r="B82">
        <v>99</v>
      </c>
      <c r="C82" t="s">
        <v>163</v>
      </c>
      <c r="D82" t="s">
        <v>109</v>
      </c>
      <c r="E82">
        <v>-0.58740415466499996</v>
      </c>
      <c r="F82">
        <v>0.111881203638</v>
      </c>
    </row>
    <row r="83" spans="2:11" x14ac:dyDescent="0.25">
      <c r="B83">
        <v>100</v>
      </c>
      <c r="C83" t="s">
        <v>164</v>
      </c>
      <c r="D83" t="s">
        <v>109</v>
      </c>
      <c r="E83">
        <v>-0.99452973540199996</v>
      </c>
      <c r="F83">
        <v>0.53861771576299999</v>
      </c>
    </row>
    <row r="84" spans="2:11" x14ac:dyDescent="0.25">
      <c r="B84">
        <v>124</v>
      </c>
      <c r="C84" t="s">
        <v>165</v>
      </c>
      <c r="D84" t="s">
        <v>109</v>
      </c>
      <c r="E84">
        <v>-0.12591233227500001</v>
      </c>
      <c r="F84" s="57">
        <v>7.3422333463599998E-2</v>
      </c>
    </row>
    <row r="85" spans="2:11" x14ac:dyDescent="0.25">
      <c r="B85">
        <v>-1</v>
      </c>
    </row>
    <row r="86" spans="2:11" x14ac:dyDescent="0.25">
      <c r="B86">
        <v>3328</v>
      </c>
      <c r="C86" s="57">
        <v>-17879.5405025</v>
      </c>
      <c r="D86" s="57">
        <v>-23288.8047677</v>
      </c>
      <c r="E86" s="57">
        <v>-17489.511809200001</v>
      </c>
    </row>
    <row r="87" spans="2:11" x14ac:dyDescent="0.25">
      <c r="B87">
        <v>17</v>
      </c>
      <c r="C87" t="s">
        <v>218</v>
      </c>
      <c r="D87" t="s">
        <v>104</v>
      </c>
      <c r="E87">
        <v>7</v>
      </c>
      <c r="F87" t="s">
        <v>199</v>
      </c>
      <c r="G87">
        <v>12</v>
      </c>
    </row>
    <row r="88" spans="2:11" x14ac:dyDescent="0.25">
      <c r="B88">
        <v>74147</v>
      </c>
      <c r="C88">
        <v>62576</v>
      </c>
      <c r="D88">
        <v>67025</v>
      </c>
      <c r="E88">
        <v>0</v>
      </c>
      <c r="F88">
        <v>0</v>
      </c>
      <c r="G88">
        <v>0</v>
      </c>
      <c r="H88">
        <v>-29058</v>
      </c>
      <c r="I88">
        <v>-19081</v>
      </c>
      <c r="J88">
        <v>-3284</v>
      </c>
      <c r="K88">
        <v>0</v>
      </c>
    </row>
    <row r="89" spans="2:11" x14ac:dyDescent="0.25">
      <c r="B89">
        <v>-62208</v>
      </c>
      <c r="C89">
        <v>-50819</v>
      </c>
      <c r="D89">
        <v>-33363</v>
      </c>
      <c r="E89">
        <v>0</v>
      </c>
      <c r="F89">
        <v>50969</v>
      </c>
      <c r="G89">
        <v>-71422</v>
      </c>
      <c r="H89">
        <v>-60926</v>
      </c>
      <c r="I89">
        <v>-44281</v>
      </c>
      <c r="J89">
        <v>0</v>
      </c>
      <c r="K89">
        <v>49232</v>
      </c>
    </row>
    <row r="90" spans="2:11" x14ac:dyDescent="0.25">
      <c r="B90">
        <v>83950</v>
      </c>
      <c r="C90">
        <v>-70033</v>
      </c>
      <c r="D90">
        <v>-61112</v>
      </c>
      <c r="E90">
        <v>-45839</v>
      </c>
      <c r="F90">
        <v>0</v>
      </c>
      <c r="G90">
        <v>45638</v>
      </c>
      <c r="H90">
        <v>78980</v>
      </c>
      <c r="I90">
        <v>89234</v>
      </c>
      <c r="J90">
        <v>-61561</v>
      </c>
      <c r="K90">
        <v>-53824</v>
      </c>
    </row>
    <row r="91" spans="2:11" x14ac:dyDescent="0.25">
      <c r="B91">
        <v>-40913</v>
      </c>
      <c r="C91">
        <v>0</v>
      </c>
      <c r="D91">
        <v>38880</v>
      </c>
      <c r="E91">
        <v>69011</v>
      </c>
      <c r="F91">
        <v>78703</v>
      </c>
      <c r="G91">
        <v>81579</v>
      </c>
      <c r="H91">
        <v>-46303</v>
      </c>
      <c r="I91">
        <v>-40773</v>
      </c>
      <c r="J91">
        <v>-31264</v>
      </c>
      <c r="K91">
        <v>0</v>
      </c>
    </row>
    <row r="92" spans="2:11" x14ac:dyDescent="0.25">
      <c r="B92">
        <v>28592</v>
      </c>
      <c r="C92">
        <v>51554</v>
      </c>
      <c r="D92">
        <v>59601</v>
      </c>
      <c r="E92">
        <v>62173</v>
      </c>
      <c r="F92">
        <v>59779</v>
      </c>
      <c r="G92">
        <v>-3756</v>
      </c>
      <c r="H92">
        <v>-295</v>
      </c>
      <c r="I92">
        <v>2297</v>
      </c>
      <c r="J92">
        <v>0</v>
      </c>
      <c r="K92">
        <v>-373</v>
      </c>
    </row>
    <row r="93" spans="2:11" x14ac:dyDescent="0.25">
      <c r="B93">
        <v>-2113</v>
      </c>
      <c r="C93">
        <v>-3059</v>
      </c>
      <c r="D93">
        <v>-2838</v>
      </c>
      <c r="E93">
        <v>-3155</v>
      </c>
      <c r="F93">
        <v>-2919</v>
      </c>
      <c r="G93">
        <v>-1052</v>
      </c>
      <c r="H93">
        <v>838</v>
      </c>
      <c r="I93">
        <v>1944</v>
      </c>
      <c r="J93">
        <v>0</v>
      </c>
      <c r="K93">
        <v>608</v>
      </c>
    </row>
    <row r="94" spans="2:11" x14ac:dyDescent="0.25">
      <c r="B94">
        <v>-589</v>
      </c>
      <c r="C94">
        <v>-1749</v>
      </c>
      <c r="D94">
        <v>-1837</v>
      </c>
      <c r="E94">
        <v>-2253</v>
      </c>
      <c r="F94">
        <v>-2432</v>
      </c>
      <c r="G94">
        <v>72253</v>
      </c>
      <c r="H94">
        <v>-544</v>
      </c>
      <c r="I94">
        <v>2535</v>
      </c>
      <c r="J94">
        <v>4021</v>
      </c>
      <c r="K94">
        <v>0</v>
      </c>
    </row>
    <row r="95" spans="2:11" x14ac:dyDescent="0.25">
      <c r="B95">
        <v>-298</v>
      </c>
      <c r="C95">
        <v>-1009</v>
      </c>
      <c r="D95">
        <v>-1937</v>
      </c>
      <c r="E95">
        <v>-2449</v>
      </c>
      <c r="F95">
        <v>-2673</v>
      </c>
      <c r="G95">
        <v>-3240</v>
      </c>
      <c r="H95">
        <v>74661</v>
      </c>
      <c r="I95">
        <v>85522</v>
      </c>
      <c r="J95">
        <v>-3994</v>
      </c>
      <c r="K95">
        <v>127</v>
      </c>
    </row>
    <row r="96" spans="2:11" x14ac:dyDescent="0.25">
      <c r="B96">
        <v>3487</v>
      </c>
      <c r="C96">
        <v>0</v>
      </c>
      <c r="D96">
        <v>-667</v>
      </c>
      <c r="E96">
        <v>-2141</v>
      </c>
      <c r="F96">
        <v>-2664</v>
      </c>
      <c r="G96">
        <v>-2449</v>
      </c>
      <c r="H96">
        <v>-2971</v>
      </c>
      <c r="I96">
        <v>-3364</v>
      </c>
      <c r="J96">
        <v>65642</v>
      </c>
      <c r="K96">
        <v>74970</v>
      </c>
    </row>
    <row r="97" spans="2:11" x14ac:dyDescent="0.25">
      <c r="B97">
        <v>82773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</row>
    <row r="98" spans="2:11" x14ac:dyDescent="0.25">
      <c r="B98">
        <v>0</v>
      </c>
      <c r="C98">
        <v>0</v>
      </c>
      <c r="D98">
        <v>0</v>
      </c>
      <c r="E98">
        <v>0</v>
      </c>
      <c r="F98">
        <v>0</v>
      </c>
      <c r="G98">
        <v>4035</v>
      </c>
      <c r="H98">
        <v>8749</v>
      </c>
      <c r="I98">
        <v>10382</v>
      </c>
      <c r="J98">
        <v>0</v>
      </c>
      <c r="K98">
        <v>1265</v>
      </c>
    </row>
    <row r="99" spans="2:11" x14ac:dyDescent="0.25">
      <c r="B99">
        <v>3232</v>
      </c>
      <c r="C99">
        <v>2401</v>
      </c>
      <c r="D99">
        <v>1148</v>
      </c>
      <c r="E99">
        <v>1870</v>
      </c>
      <c r="F99">
        <v>2088</v>
      </c>
      <c r="G99">
        <v>-38170</v>
      </c>
      <c r="H99">
        <v>-41141</v>
      </c>
      <c r="I99">
        <v>-39199</v>
      </c>
      <c r="J99">
        <v>-25910</v>
      </c>
      <c r="K99">
        <v>0</v>
      </c>
    </row>
    <row r="100" spans="2:11" x14ac:dyDescent="0.25">
      <c r="B100">
        <v>1730</v>
      </c>
      <c r="C100">
        <v>5818</v>
      </c>
      <c r="D100">
        <v>7775</v>
      </c>
      <c r="E100">
        <v>0</v>
      </c>
      <c r="F100">
        <v>-3829</v>
      </c>
      <c r="G100">
        <v>2649</v>
      </c>
      <c r="H100">
        <v>3180</v>
      </c>
      <c r="I100">
        <v>1976</v>
      </c>
      <c r="J100">
        <v>3304</v>
      </c>
      <c r="K100">
        <v>3460</v>
      </c>
    </row>
    <row r="101" spans="2:11" x14ac:dyDescent="0.25">
      <c r="B101">
        <v>-50959</v>
      </c>
      <c r="C101">
        <v>-56445</v>
      </c>
      <c r="D101">
        <v>-56792</v>
      </c>
      <c r="E101">
        <v>-44370</v>
      </c>
      <c r="F101">
        <v>0</v>
      </c>
      <c r="G101">
        <v>66775</v>
      </c>
      <c r="H101">
        <v>812</v>
      </c>
      <c r="I101">
        <v>2255</v>
      </c>
      <c r="J101">
        <v>3202</v>
      </c>
      <c r="K101">
        <v>0</v>
      </c>
    </row>
    <row r="102" spans="2:11" x14ac:dyDescent="0.25">
      <c r="B102">
        <v>-3284</v>
      </c>
      <c r="C102">
        <v>-2425</v>
      </c>
      <c r="D102">
        <v>388</v>
      </c>
      <c r="E102">
        <v>-309</v>
      </c>
      <c r="F102">
        <v>432</v>
      </c>
      <c r="G102">
        <v>2512</v>
      </c>
      <c r="H102">
        <v>-57978</v>
      </c>
      <c r="I102">
        <v>-65132</v>
      </c>
      <c r="J102">
        <v>-67271</v>
      </c>
      <c r="K102">
        <v>-55320</v>
      </c>
    </row>
    <row r="103" spans="2:11" x14ac:dyDescent="0.25">
      <c r="B103">
        <v>0</v>
      </c>
      <c r="C103">
        <v>61851</v>
      </c>
      <c r="D103">
        <v>71121</v>
      </c>
      <c r="E103">
        <v>-2975</v>
      </c>
      <c r="F103">
        <v>-1950</v>
      </c>
      <c r="G103">
        <v>-253</v>
      </c>
      <c r="H103">
        <v>0</v>
      </c>
      <c r="I103">
        <v>-398</v>
      </c>
      <c r="J103">
        <v>-802</v>
      </c>
      <c r="K103">
        <v>410</v>
      </c>
    </row>
    <row r="104" spans="2:11" x14ac:dyDescent="0.25">
      <c r="B104">
        <v>890</v>
      </c>
      <c r="C104">
        <v>133</v>
      </c>
      <c r="D104">
        <v>2752</v>
      </c>
      <c r="E104">
        <v>-63984</v>
      </c>
      <c r="F104">
        <v>-72568</v>
      </c>
      <c r="G104">
        <v>-76107</v>
      </c>
      <c r="H104">
        <v>-64366</v>
      </c>
      <c r="I104">
        <v>0</v>
      </c>
      <c r="J104">
        <v>60099</v>
      </c>
      <c r="K104">
        <v>71966</v>
      </c>
    </row>
    <row r="105" spans="2:11" x14ac:dyDescent="0.25">
      <c r="B105">
        <v>80289</v>
      </c>
      <c r="C105">
        <v>-4055</v>
      </c>
      <c r="D105">
        <v>-2776</v>
      </c>
      <c r="E105">
        <v>-1520</v>
      </c>
      <c r="F105">
        <v>0</v>
      </c>
      <c r="G105">
        <v>575</v>
      </c>
      <c r="H105">
        <v>1332</v>
      </c>
      <c r="I105">
        <v>1470</v>
      </c>
      <c r="J105">
        <v>305</v>
      </c>
      <c r="K105">
        <v>237</v>
      </c>
    </row>
    <row r="106" spans="2:11" x14ac:dyDescent="0.25">
      <c r="B106">
        <v>-1051</v>
      </c>
      <c r="C106">
        <v>-57342</v>
      </c>
      <c r="D106">
        <v>-65355</v>
      </c>
      <c r="E106">
        <v>-69488</v>
      </c>
      <c r="F106">
        <v>-59838</v>
      </c>
      <c r="G106">
        <v>0</v>
      </c>
      <c r="H106">
        <v>51877</v>
      </c>
      <c r="I106">
        <v>63462</v>
      </c>
      <c r="J106">
        <v>71658</v>
      </c>
      <c r="K106">
        <v>82544</v>
      </c>
    </row>
    <row r="107" spans="2:11" x14ac:dyDescent="0.25">
      <c r="B107">
        <v>-239</v>
      </c>
      <c r="C107">
        <v>-52</v>
      </c>
      <c r="D107">
        <v>212</v>
      </c>
      <c r="E107">
        <v>0</v>
      </c>
      <c r="F107">
        <v>-970</v>
      </c>
      <c r="G107">
        <v>-715</v>
      </c>
      <c r="H107">
        <v>-1430</v>
      </c>
      <c r="I107">
        <v>659</v>
      </c>
      <c r="J107">
        <v>-348</v>
      </c>
      <c r="K107">
        <v>1319</v>
      </c>
    </row>
    <row r="108" spans="2:11" x14ac:dyDescent="0.25">
      <c r="B108">
        <v>2659</v>
      </c>
      <c r="C108">
        <v>529</v>
      </c>
      <c r="D108">
        <v>-1065</v>
      </c>
      <c r="E108">
        <v>1428</v>
      </c>
      <c r="F108">
        <v>0</v>
      </c>
      <c r="G108">
        <v>-541</v>
      </c>
      <c r="H108">
        <v>-500</v>
      </c>
      <c r="I108">
        <v>-1164</v>
      </c>
      <c r="J108">
        <v>-1144</v>
      </c>
      <c r="K108">
        <v>-1999</v>
      </c>
    </row>
    <row r="109" spans="2:11" x14ac:dyDescent="0.25">
      <c r="B109">
        <v>831</v>
      </c>
      <c r="C109">
        <v>601</v>
      </c>
      <c r="D109">
        <v>476</v>
      </c>
      <c r="E109">
        <v>0</v>
      </c>
      <c r="F109">
        <v>-1535</v>
      </c>
      <c r="G109">
        <v>-2103</v>
      </c>
      <c r="H109">
        <v>-1947</v>
      </c>
      <c r="I109">
        <v>716</v>
      </c>
      <c r="J109">
        <v>-377</v>
      </c>
      <c r="K109">
        <v>1879</v>
      </c>
    </row>
    <row r="110" spans="2:11" x14ac:dyDescent="0.25">
      <c r="B110">
        <v>3217</v>
      </c>
      <c r="C110">
        <v>1420</v>
      </c>
      <c r="D110">
        <v>-3844</v>
      </c>
      <c r="E110">
        <v>-492</v>
      </c>
      <c r="F110">
        <v>0</v>
      </c>
      <c r="G110">
        <v>240</v>
      </c>
      <c r="H110">
        <v>237</v>
      </c>
      <c r="I110">
        <v>-115</v>
      </c>
      <c r="J110">
        <v>-195</v>
      </c>
      <c r="K110">
        <v>-1027</v>
      </c>
    </row>
    <row r="111" spans="2:11" x14ac:dyDescent="0.25">
      <c r="B111">
        <v>93965</v>
      </c>
      <c r="C111">
        <v>1785</v>
      </c>
      <c r="D111">
        <v>1820</v>
      </c>
      <c r="E111">
        <v>1464</v>
      </c>
      <c r="F111">
        <v>0</v>
      </c>
      <c r="G111">
        <v>-2692</v>
      </c>
      <c r="H111">
        <v>-2527</v>
      </c>
      <c r="I111">
        <v>-775</v>
      </c>
      <c r="J111">
        <v>690</v>
      </c>
      <c r="K111">
        <v>525</v>
      </c>
    </row>
    <row r="112" spans="2:11" x14ac:dyDescent="0.25">
      <c r="B112">
        <v>2272</v>
      </c>
      <c r="C112">
        <v>1260</v>
      </c>
      <c r="D112">
        <v>-11</v>
      </c>
      <c r="E112">
        <v>-3855</v>
      </c>
      <c r="F112">
        <v>-6069</v>
      </c>
      <c r="G112">
        <v>0</v>
      </c>
      <c r="H112">
        <v>2271</v>
      </c>
      <c r="I112">
        <v>1946</v>
      </c>
      <c r="J112">
        <v>1119</v>
      </c>
      <c r="K112">
        <v>957</v>
      </c>
    </row>
    <row r="113" spans="2:11" x14ac:dyDescent="0.25">
      <c r="B113">
        <v>225</v>
      </c>
      <c r="C113">
        <v>84353</v>
      </c>
      <c r="D113">
        <v>89478</v>
      </c>
      <c r="E113">
        <v>2338</v>
      </c>
      <c r="F113">
        <v>3997</v>
      </c>
      <c r="G113">
        <v>3508</v>
      </c>
      <c r="H113">
        <v>0</v>
      </c>
      <c r="I113">
        <v>-3328</v>
      </c>
      <c r="J113">
        <v>-718</v>
      </c>
      <c r="K113">
        <v>-420</v>
      </c>
    </row>
    <row r="114" spans="2:11" x14ac:dyDescent="0.25">
      <c r="B114">
        <v>414</v>
      </c>
      <c r="C114">
        <v>641</v>
      </c>
      <c r="D114">
        <v>1794</v>
      </c>
      <c r="E114">
        <v>761</v>
      </c>
      <c r="F114">
        <v>439</v>
      </c>
      <c r="G114">
        <v>-752</v>
      </c>
      <c r="H114">
        <v>-2218</v>
      </c>
      <c r="I114">
        <v>0</v>
      </c>
      <c r="J114">
        <v>5191</v>
      </c>
      <c r="K114">
        <v>4314</v>
      </c>
    </row>
    <row r="115" spans="2:11" x14ac:dyDescent="0.25">
      <c r="B115">
        <v>1989</v>
      </c>
      <c r="C115">
        <v>978</v>
      </c>
      <c r="D115">
        <v>379</v>
      </c>
      <c r="E115">
        <v>66142</v>
      </c>
      <c r="F115">
        <v>74534</v>
      </c>
      <c r="G115">
        <v>82731</v>
      </c>
      <c r="H115">
        <v>0</v>
      </c>
      <c r="I115">
        <v>0</v>
      </c>
      <c r="J115">
        <v>0</v>
      </c>
      <c r="K115">
        <v>0</v>
      </c>
    </row>
    <row r="116" spans="2:11" x14ac:dyDescent="0.25"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</row>
    <row r="117" spans="2:11" x14ac:dyDescent="0.25"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</row>
    <row r="118" spans="2:11" x14ac:dyDescent="0.25">
      <c r="B118">
        <v>-4243</v>
      </c>
      <c r="C118">
        <v>-7512</v>
      </c>
      <c r="D118">
        <v>-7680</v>
      </c>
      <c r="E118">
        <v>0</v>
      </c>
      <c r="F118">
        <v>336</v>
      </c>
      <c r="G118">
        <v>-2412</v>
      </c>
      <c r="H118">
        <v>-1222</v>
      </c>
      <c r="I118">
        <v>-1469</v>
      </c>
      <c r="J118">
        <v>-1021</v>
      </c>
      <c r="K118">
        <v>-1713</v>
      </c>
    </row>
    <row r="119" spans="2:11" x14ac:dyDescent="0.25">
      <c r="B119">
        <v>-2716</v>
      </c>
      <c r="C119">
        <v>-2755</v>
      </c>
      <c r="D119">
        <v>-1439</v>
      </c>
      <c r="E119">
        <v>-2111</v>
      </c>
      <c r="F119">
        <v>0</v>
      </c>
      <c r="G119">
        <v>-8079</v>
      </c>
      <c r="H119">
        <v>-11831</v>
      </c>
      <c r="I119">
        <v>-6507</v>
      </c>
      <c r="J119">
        <v>-3491</v>
      </c>
      <c r="K119">
        <v>-2217</v>
      </c>
    </row>
    <row r="120" spans="2:11" x14ac:dyDescent="0.25">
      <c r="B120">
        <v>-35736</v>
      </c>
      <c r="C120">
        <v>-31350</v>
      </c>
      <c r="D120">
        <v>-22095</v>
      </c>
      <c r="E120">
        <v>-5769</v>
      </c>
      <c r="F120">
        <v>0</v>
      </c>
      <c r="G120">
        <v>-5439</v>
      </c>
      <c r="H120">
        <v>-7482</v>
      </c>
      <c r="I120">
        <v>-4854</v>
      </c>
      <c r="J120">
        <v>0</v>
      </c>
      <c r="K120">
        <v>-367</v>
      </c>
    </row>
    <row r="121" spans="2:11" x14ac:dyDescent="0.25">
      <c r="B121">
        <v>-1749</v>
      </c>
      <c r="C121">
        <v>-688</v>
      </c>
      <c r="D121">
        <v>-1185</v>
      </c>
      <c r="E121">
        <v>-584</v>
      </c>
      <c r="F121">
        <v>-1694</v>
      </c>
      <c r="G121">
        <v>-2922</v>
      </c>
      <c r="H121">
        <v>-3136</v>
      </c>
      <c r="I121">
        <v>-1536</v>
      </c>
      <c r="J121">
        <v>-1842</v>
      </c>
      <c r="K121">
        <v>0</v>
      </c>
    </row>
    <row r="122" spans="2:11" x14ac:dyDescent="0.25">
      <c r="B122">
        <v>-5614</v>
      </c>
      <c r="C122">
        <v>-11460</v>
      </c>
      <c r="D122">
        <v>-10282</v>
      </c>
      <c r="E122">
        <v>-4754</v>
      </c>
      <c r="F122">
        <v>-3147</v>
      </c>
      <c r="G122">
        <v>-44666</v>
      </c>
      <c r="H122">
        <v>-40611</v>
      </c>
      <c r="I122">
        <v>-30743</v>
      </c>
      <c r="J122">
        <v>-12793</v>
      </c>
      <c r="K122">
        <v>0</v>
      </c>
    </row>
    <row r="123" spans="2:11" x14ac:dyDescent="0.25">
      <c r="B123">
        <v>45710</v>
      </c>
      <c r="C123">
        <v>-3604</v>
      </c>
      <c r="D123">
        <v>-723</v>
      </c>
      <c r="E123">
        <v>-79</v>
      </c>
      <c r="F123">
        <v>0</v>
      </c>
      <c r="G123">
        <v>-946</v>
      </c>
      <c r="H123">
        <v>-937</v>
      </c>
      <c r="I123">
        <v>-676</v>
      </c>
      <c r="J123">
        <v>-1918</v>
      </c>
      <c r="K123">
        <v>-589</v>
      </c>
    </row>
    <row r="124" spans="2:11" x14ac:dyDescent="0.25">
      <c r="B124">
        <v>-2312</v>
      </c>
      <c r="C124">
        <v>-2975</v>
      </c>
      <c r="D124">
        <v>-2832</v>
      </c>
      <c r="E124">
        <v>-405</v>
      </c>
      <c r="F124">
        <v>-540</v>
      </c>
      <c r="G124">
        <v>0</v>
      </c>
      <c r="H124">
        <v>-1789</v>
      </c>
      <c r="I124">
        <v>-5620</v>
      </c>
      <c r="J124">
        <v>-12050</v>
      </c>
      <c r="K124">
        <v>-9411</v>
      </c>
    </row>
    <row r="125" spans="2:11" x14ac:dyDescent="0.25">
      <c r="B125">
        <v>-5561</v>
      </c>
      <c r="C125">
        <v>-55284</v>
      </c>
      <c r="D125">
        <v>-51109</v>
      </c>
      <c r="E125">
        <v>-39594</v>
      </c>
      <c r="F125">
        <v>-17731</v>
      </c>
      <c r="G125">
        <v>0</v>
      </c>
      <c r="H125">
        <v>46625</v>
      </c>
      <c r="I125">
        <v>51818</v>
      </c>
      <c r="J125">
        <v>-31</v>
      </c>
      <c r="K125">
        <v>-24</v>
      </c>
    </row>
    <row r="126" spans="2:11" x14ac:dyDescent="0.25">
      <c r="B126">
        <v>62</v>
      </c>
      <c r="C126">
        <v>0</v>
      </c>
      <c r="D126">
        <v>-456</v>
      </c>
      <c r="E126">
        <v>7</v>
      </c>
      <c r="F126">
        <v>350</v>
      </c>
      <c r="G126">
        <v>-910</v>
      </c>
      <c r="H126">
        <v>792</v>
      </c>
      <c r="I126">
        <v>-246</v>
      </c>
      <c r="J126">
        <v>-6534</v>
      </c>
      <c r="K126">
        <v>-6230</v>
      </c>
    </row>
    <row r="127" spans="2:11" x14ac:dyDescent="0.25">
      <c r="B127">
        <v>-4248</v>
      </c>
      <c r="C127">
        <v>-4579</v>
      </c>
      <c r="D127">
        <v>0</v>
      </c>
      <c r="E127">
        <v>1233</v>
      </c>
      <c r="F127">
        <v>-275</v>
      </c>
      <c r="G127">
        <v>-2156</v>
      </c>
      <c r="H127">
        <v>-6714</v>
      </c>
      <c r="I127">
        <v>-7098</v>
      </c>
      <c r="J127">
        <v>-55097</v>
      </c>
      <c r="K127">
        <v>-51538</v>
      </c>
    </row>
    <row r="128" spans="2:11" x14ac:dyDescent="0.25">
      <c r="B128">
        <v>-40602</v>
      </c>
      <c r="C128">
        <v>-19088</v>
      </c>
      <c r="D128">
        <v>0</v>
      </c>
      <c r="E128">
        <v>41569</v>
      </c>
      <c r="F128">
        <v>47712</v>
      </c>
      <c r="G128">
        <v>59662</v>
      </c>
      <c r="H128">
        <v>-386</v>
      </c>
      <c r="I128">
        <v>893</v>
      </c>
      <c r="J128">
        <v>810</v>
      </c>
      <c r="K128">
        <v>0</v>
      </c>
    </row>
    <row r="129" spans="2:11" x14ac:dyDescent="0.25">
      <c r="B129">
        <v>-855</v>
      </c>
      <c r="C129">
        <v>-1400</v>
      </c>
      <c r="D129">
        <v>-1080</v>
      </c>
      <c r="E129">
        <v>-1234</v>
      </c>
      <c r="F129">
        <v>-114</v>
      </c>
      <c r="G129">
        <v>534</v>
      </c>
      <c r="H129">
        <v>-2329</v>
      </c>
      <c r="I129">
        <v>-2397</v>
      </c>
      <c r="J129">
        <v>-1526</v>
      </c>
      <c r="K129">
        <v>-1637</v>
      </c>
    </row>
    <row r="130" spans="2:11" x14ac:dyDescent="0.25">
      <c r="B130">
        <v>0</v>
      </c>
      <c r="C130">
        <v>616</v>
      </c>
      <c r="D130">
        <v>143</v>
      </c>
      <c r="E130">
        <v>-149</v>
      </c>
      <c r="F130">
        <v>-757</v>
      </c>
      <c r="G130">
        <v>-4014</v>
      </c>
      <c r="H130">
        <v>-27450</v>
      </c>
      <c r="I130">
        <v>-25936</v>
      </c>
      <c r="J130">
        <v>-20688</v>
      </c>
      <c r="K130">
        <v>-9898</v>
      </c>
    </row>
    <row r="131" spans="2:11" x14ac:dyDescent="0.25">
      <c r="B131">
        <v>0</v>
      </c>
      <c r="C131">
        <v>20312</v>
      </c>
      <c r="D131">
        <v>23812</v>
      </c>
      <c r="E131">
        <v>29823</v>
      </c>
      <c r="F131">
        <v>33385</v>
      </c>
      <c r="G131">
        <v>-10250</v>
      </c>
      <c r="H131">
        <v>-7824</v>
      </c>
      <c r="I131">
        <v>-5172</v>
      </c>
      <c r="J131">
        <v>0</v>
      </c>
      <c r="K131">
        <v>2569</v>
      </c>
    </row>
    <row r="132" spans="2:11" x14ac:dyDescent="0.25">
      <c r="B132">
        <v>2211</v>
      </c>
      <c r="C132">
        <v>-225</v>
      </c>
      <c r="D132">
        <v>-3615</v>
      </c>
      <c r="E132">
        <v>-5267</v>
      </c>
      <c r="F132">
        <v>-4571</v>
      </c>
      <c r="G132">
        <v>2809</v>
      </c>
      <c r="H132">
        <v>2516</v>
      </c>
      <c r="I132">
        <v>2198</v>
      </c>
      <c r="J132">
        <v>1580</v>
      </c>
      <c r="K132">
        <v>0</v>
      </c>
    </row>
    <row r="133" spans="2:11" x14ac:dyDescent="0.25">
      <c r="B133">
        <v>1028</v>
      </c>
      <c r="C133">
        <v>1831</v>
      </c>
      <c r="D133">
        <v>2368</v>
      </c>
      <c r="E133">
        <v>3409</v>
      </c>
      <c r="F133">
        <v>4143</v>
      </c>
      <c r="G133">
        <v>340</v>
      </c>
      <c r="H133">
        <v>300</v>
      </c>
      <c r="I133">
        <v>389</v>
      </c>
      <c r="J133">
        <v>923</v>
      </c>
      <c r="K133">
        <v>0</v>
      </c>
    </row>
    <row r="134" spans="2:11" x14ac:dyDescent="0.25">
      <c r="B134">
        <v>261</v>
      </c>
      <c r="C134">
        <v>335</v>
      </c>
      <c r="D134">
        <v>137</v>
      </c>
      <c r="E134">
        <v>-240</v>
      </c>
      <c r="F134">
        <v>-6</v>
      </c>
      <c r="G134">
        <v>-1410</v>
      </c>
      <c r="H134">
        <v>-909</v>
      </c>
      <c r="I134">
        <v>-418</v>
      </c>
      <c r="J134">
        <v>0</v>
      </c>
      <c r="K134">
        <v>-13</v>
      </c>
    </row>
    <row r="135" spans="2:11" x14ac:dyDescent="0.25">
      <c r="B135">
        <v>213</v>
      </c>
      <c r="C135">
        <v>-128</v>
      </c>
      <c r="D135">
        <v>-490</v>
      </c>
      <c r="E135">
        <v>-649</v>
      </c>
      <c r="F135">
        <v>-162</v>
      </c>
      <c r="G135">
        <v>-147</v>
      </c>
      <c r="H135">
        <v>78</v>
      </c>
      <c r="I135">
        <v>497</v>
      </c>
      <c r="J135">
        <v>881</v>
      </c>
      <c r="K135">
        <v>0</v>
      </c>
    </row>
    <row r="136" spans="2:11" x14ac:dyDescent="0.25">
      <c r="B136">
        <v>235</v>
      </c>
      <c r="C136">
        <v>402</v>
      </c>
      <c r="D136">
        <v>33</v>
      </c>
      <c r="E136">
        <v>-602</v>
      </c>
      <c r="F136">
        <v>-328</v>
      </c>
      <c r="G136">
        <v>17853</v>
      </c>
      <c r="H136">
        <v>21170</v>
      </c>
      <c r="I136">
        <v>26784</v>
      </c>
      <c r="J136">
        <v>37435</v>
      </c>
      <c r="K136">
        <v>0</v>
      </c>
    </row>
    <row r="137" spans="2:11" x14ac:dyDescent="0.25">
      <c r="B137">
        <v>6811</v>
      </c>
      <c r="C137">
        <v>8464</v>
      </c>
      <c r="D137">
        <v>11096</v>
      </c>
      <c r="E137">
        <v>11812</v>
      </c>
      <c r="F137">
        <v>6487</v>
      </c>
      <c r="G137">
        <v>32985</v>
      </c>
      <c r="H137">
        <v>-6154</v>
      </c>
      <c r="I137">
        <v>-4920</v>
      </c>
      <c r="J137">
        <v>-3776</v>
      </c>
      <c r="K137">
        <v>0</v>
      </c>
    </row>
    <row r="138" spans="2:11" x14ac:dyDescent="0.25">
      <c r="B138">
        <v>2540</v>
      </c>
      <c r="C138">
        <v>3121</v>
      </c>
      <c r="D138">
        <v>1048</v>
      </c>
      <c r="E138">
        <v>-1939</v>
      </c>
      <c r="F138">
        <v>-4104</v>
      </c>
      <c r="G138">
        <v>-4747</v>
      </c>
      <c r="H138">
        <v>2328</v>
      </c>
      <c r="I138">
        <v>2127</v>
      </c>
      <c r="J138">
        <v>842</v>
      </c>
      <c r="K138">
        <v>136</v>
      </c>
    </row>
    <row r="139" spans="2:11" x14ac:dyDescent="0.25">
      <c r="B139">
        <v>0</v>
      </c>
      <c r="C139">
        <v>661</v>
      </c>
      <c r="D139">
        <v>973</v>
      </c>
      <c r="E139">
        <v>1444</v>
      </c>
      <c r="F139">
        <v>2328</v>
      </c>
      <c r="G139">
        <v>3066</v>
      </c>
      <c r="H139">
        <v>40</v>
      </c>
      <c r="I139">
        <v>-28</v>
      </c>
      <c r="J139">
        <v>-184</v>
      </c>
      <c r="K139">
        <v>-73</v>
      </c>
    </row>
    <row r="140" spans="2:11" x14ac:dyDescent="0.25">
      <c r="B140">
        <v>0</v>
      </c>
      <c r="C140">
        <v>210</v>
      </c>
      <c r="D140">
        <v>205</v>
      </c>
      <c r="E140">
        <v>-133</v>
      </c>
      <c r="F140">
        <v>-601</v>
      </c>
      <c r="G140">
        <v>-310</v>
      </c>
      <c r="H140">
        <v>15231</v>
      </c>
      <c r="I140">
        <v>3651</v>
      </c>
      <c r="J140">
        <v>-983</v>
      </c>
      <c r="K140">
        <v>-752</v>
      </c>
    </row>
    <row r="141" spans="2:11" x14ac:dyDescent="0.25">
      <c r="B141">
        <v>-500</v>
      </c>
      <c r="C141">
        <v>0</v>
      </c>
      <c r="D141">
        <v>351</v>
      </c>
      <c r="E141">
        <v>561</v>
      </c>
      <c r="F141">
        <v>238</v>
      </c>
      <c r="G141">
        <v>-102</v>
      </c>
      <c r="H141">
        <v>-761</v>
      </c>
      <c r="I141">
        <v>-841</v>
      </c>
      <c r="J141">
        <v>457</v>
      </c>
      <c r="K141">
        <v>456</v>
      </c>
    </row>
    <row r="142" spans="2:11" x14ac:dyDescent="0.25">
      <c r="B142">
        <v>40</v>
      </c>
      <c r="C142">
        <v>155</v>
      </c>
      <c r="D142">
        <v>0</v>
      </c>
      <c r="E142">
        <v>50</v>
      </c>
      <c r="F142">
        <v>37</v>
      </c>
      <c r="G142">
        <v>-186</v>
      </c>
      <c r="H142">
        <v>-250</v>
      </c>
      <c r="I142">
        <v>50</v>
      </c>
      <c r="J142">
        <v>3330</v>
      </c>
      <c r="K142">
        <v>2420</v>
      </c>
    </row>
    <row r="143" spans="2:11" x14ac:dyDescent="0.25">
      <c r="B143">
        <v>3381</v>
      </c>
      <c r="C143">
        <v>6932</v>
      </c>
      <c r="D143">
        <v>0</v>
      </c>
      <c r="E143">
        <v>3802</v>
      </c>
      <c r="F143">
        <v>4614</v>
      </c>
      <c r="G143">
        <v>5793</v>
      </c>
      <c r="H143">
        <v>5731</v>
      </c>
      <c r="I143">
        <v>2903</v>
      </c>
      <c r="J143">
        <v>3394</v>
      </c>
      <c r="K143">
        <v>14019</v>
      </c>
    </row>
    <row r="144" spans="2:11" x14ac:dyDescent="0.25">
      <c r="B144">
        <v>42360</v>
      </c>
      <c r="C144">
        <v>-8437</v>
      </c>
      <c r="D144">
        <v>-6690</v>
      </c>
      <c r="E144">
        <v>-4797</v>
      </c>
      <c r="F144">
        <v>0</v>
      </c>
      <c r="G144">
        <v>2822</v>
      </c>
      <c r="H144">
        <v>3550</v>
      </c>
      <c r="I144">
        <v>1044</v>
      </c>
      <c r="J144">
        <v>-2653</v>
      </c>
      <c r="K144">
        <v>-5975</v>
      </c>
    </row>
    <row r="145" spans="2:11" x14ac:dyDescent="0.25">
      <c r="B145">
        <v>-6133</v>
      </c>
      <c r="C145">
        <v>-90</v>
      </c>
      <c r="D145">
        <v>-160</v>
      </c>
      <c r="E145">
        <v>110</v>
      </c>
      <c r="F145">
        <v>439</v>
      </c>
      <c r="G145">
        <v>0</v>
      </c>
      <c r="H145">
        <v>444</v>
      </c>
      <c r="I145">
        <v>798</v>
      </c>
      <c r="J145">
        <v>890</v>
      </c>
      <c r="K145">
        <v>555</v>
      </c>
    </row>
    <row r="146" spans="2:11" x14ac:dyDescent="0.25">
      <c r="B146">
        <v>-321</v>
      </c>
      <c r="C146">
        <v>230</v>
      </c>
      <c r="D146">
        <v>-80</v>
      </c>
      <c r="E146">
        <v>-184</v>
      </c>
      <c r="F146">
        <v>214</v>
      </c>
      <c r="G146">
        <v>0</v>
      </c>
      <c r="H146">
        <v>789</v>
      </c>
      <c r="I146">
        <v>1038</v>
      </c>
      <c r="J146">
        <v>1367</v>
      </c>
      <c r="K146">
        <v>1684</v>
      </c>
    </row>
    <row r="147" spans="2:11" x14ac:dyDescent="0.25">
      <c r="B147">
        <v>841</v>
      </c>
      <c r="C147">
        <v>21777</v>
      </c>
      <c r="D147">
        <v>5652</v>
      </c>
      <c r="E147">
        <v>10746</v>
      </c>
      <c r="F147">
        <v>2449</v>
      </c>
      <c r="G147">
        <v>27</v>
      </c>
      <c r="H147">
        <v>81</v>
      </c>
      <c r="I147">
        <v>190</v>
      </c>
      <c r="J147">
        <v>0</v>
      </c>
      <c r="K147">
        <v>-310</v>
      </c>
    </row>
    <row r="148" spans="2:11" x14ac:dyDescent="0.25">
      <c r="B148">
        <v>-25</v>
      </c>
      <c r="C148">
        <v>-56</v>
      </c>
      <c r="D148">
        <v>-7</v>
      </c>
      <c r="E148">
        <v>157</v>
      </c>
      <c r="F148">
        <v>752</v>
      </c>
      <c r="G148">
        <v>-2089</v>
      </c>
      <c r="H148">
        <v>-1933</v>
      </c>
      <c r="I148">
        <v>-1094</v>
      </c>
      <c r="J148">
        <v>-93</v>
      </c>
      <c r="K148">
        <v>0</v>
      </c>
    </row>
    <row r="149" spans="2:11" x14ac:dyDescent="0.25">
      <c r="B149">
        <v>27</v>
      </c>
      <c r="C149">
        <v>50</v>
      </c>
      <c r="D149">
        <v>-584</v>
      </c>
      <c r="E149">
        <v>-2213</v>
      </c>
      <c r="F149">
        <v>-3455</v>
      </c>
      <c r="G149">
        <v>10081</v>
      </c>
      <c r="H149">
        <v>11650</v>
      </c>
      <c r="I149">
        <v>14348</v>
      </c>
      <c r="J149">
        <v>20178</v>
      </c>
      <c r="K149">
        <v>0</v>
      </c>
    </row>
    <row r="150" spans="2:11" x14ac:dyDescent="0.25">
      <c r="B150">
        <v>3844</v>
      </c>
      <c r="C150">
        <v>4863</v>
      </c>
      <c r="D150">
        <v>6737</v>
      </c>
      <c r="E150">
        <v>7797</v>
      </c>
      <c r="F150">
        <v>4364</v>
      </c>
      <c r="G150">
        <v>4199</v>
      </c>
      <c r="H150">
        <v>25571</v>
      </c>
      <c r="I150">
        <v>1586</v>
      </c>
      <c r="J150">
        <v>8236</v>
      </c>
      <c r="K150">
        <v>42145</v>
      </c>
    </row>
    <row r="151" spans="2:11" x14ac:dyDescent="0.25">
      <c r="B151">
        <v>-7397</v>
      </c>
      <c r="C151">
        <v>-6216</v>
      </c>
      <c r="D151">
        <v>-4564</v>
      </c>
      <c r="E151">
        <v>0</v>
      </c>
      <c r="F151">
        <v>3176</v>
      </c>
      <c r="G151">
        <v>5088</v>
      </c>
      <c r="H151">
        <v>3453</v>
      </c>
      <c r="I151">
        <v>-666</v>
      </c>
      <c r="J151">
        <v>-7755</v>
      </c>
      <c r="K151">
        <v>-16603</v>
      </c>
    </row>
    <row r="152" spans="2:11" x14ac:dyDescent="0.25">
      <c r="B152">
        <v>-662</v>
      </c>
      <c r="C152">
        <v>-749</v>
      </c>
      <c r="D152">
        <v>-515</v>
      </c>
      <c r="E152">
        <v>-142</v>
      </c>
      <c r="F152">
        <v>0</v>
      </c>
      <c r="G152">
        <v>341</v>
      </c>
      <c r="H152">
        <v>448</v>
      </c>
      <c r="I152">
        <v>516</v>
      </c>
      <c r="J152">
        <v>152</v>
      </c>
      <c r="K152">
        <v>-1534</v>
      </c>
    </row>
    <row r="153" spans="2:11" x14ac:dyDescent="0.25">
      <c r="B153">
        <v>-364</v>
      </c>
      <c r="C153">
        <v>-1007</v>
      </c>
      <c r="D153">
        <v>-1193</v>
      </c>
      <c r="E153">
        <v>-903</v>
      </c>
      <c r="F153">
        <v>0</v>
      </c>
      <c r="G153">
        <v>1044</v>
      </c>
      <c r="H153">
        <v>1304</v>
      </c>
      <c r="I153">
        <v>1627</v>
      </c>
      <c r="J153">
        <v>2074</v>
      </c>
      <c r="K153">
        <v>1027</v>
      </c>
    </row>
    <row r="154" spans="2:11" x14ac:dyDescent="0.25">
      <c r="B154">
        <v>14599</v>
      </c>
      <c r="C154">
        <v>3442</v>
      </c>
      <c r="D154">
        <v>7671</v>
      </c>
      <c r="E154">
        <v>1749</v>
      </c>
      <c r="F154">
        <v>13155</v>
      </c>
      <c r="G154">
        <v>2573</v>
      </c>
      <c r="H154">
        <v>449</v>
      </c>
      <c r="I154">
        <v>328</v>
      </c>
      <c r="J154">
        <v>296</v>
      </c>
      <c r="K154">
        <v>0</v>
      </c>
    </row>
    <row r="155" spans="2:11" x14ac:dyDescent="0.25">
      <c r="B155">
        <v>-322</v>
      </c>
      <c r="C155">
        <v>-19</v>
      </c>
      <c r="D155">
        <v>212</v>
      </c>
      <c r="E155">
        <v>378</v>
      </c>
      <c r="F155">
        <v>-209</v>
      </c>
      <c r="G155">
        <v>7</v>
      </c>
      <c r="H155">
        <v>-2451</v>
      </c>
      <c r="I155">
        <v>-2562</v>
      </c>
      <c r="J155">
        <v>-1516</v>
      </c>
      <c r="K155">
        <v>-442</v>
      </c>
    </row>
    <row r="156" spans="2:11" x14ac:dyDescent="0.25">
      <c r="B156">
        <v>0</v>
      </c>
      <c r="C156">
        <v>-44</v>
      </c>
      <c r="D156">
        <v>-123</v>
      </c>
      <c r="E156">
        <v>-736</v>
      </c>
      <c r="F156">
        <v>-2326</v>
      </c>
      <c r="G156">
        <v>-4460</v>
      </c>
      <c r="H156">
        <v>3585</v>
      </c>
      <c r="I156">
        <v>2655</v>
      </c>
      <c r="J156">
        <v>3564</v>
      </c>
      <c r="K156">
        <v>6899</v>
      </c>
    </row>
    <row r="157" spans="2:11" x14ac:dyDescent="0.25">
      <c r="B157">
        <v>0</v>
      </c>
      <c r="C157">
        <v>3692</v>
      </c>
      <c r="D157">
        <v>4647</v>
      </c>
      <c r="E157">
        <v>6430</v>
      </c>
      <c r="F157">
        <v>7631</v>
      </c>
      <c r="G157">
        <v>4284</v>
      </c>
      <c r="H157">
        <v>1691</v>
      </c>
      <c r="I157">
        <v>12800</v>
      </c>
      <c r="J157">
        <v>430</v>
      </c>
      <c r="K157">
        <v>4538</v>
      </c>
    </row>
    <row r="158" spans="2:11" x14ac:dyDescent="0.25">
      <c r="B158">
        <v>2350</v>
      </c>
      <c r="C158">
        <v>8497</v>
      </c>
      <c r="D158">
        <v>48984</v>
      </c>
      <c r="E158">
        <v>-1978</v>
      </c>
      <c r="F158">
        <v>-1610</v>
      </c>
      <c r="G158">
        <v>-937</v>
      </c>
      <c r="H158">
        <v>0</v>
      </c>
      <c r="I158">
        <v>709</v>
      </c>
      <c r="J158">
        <v>674</v>
      </c>
      <c r="K158">
        <v>289</v>
      </c>
    </row>
    <row r="159" spans="2:11" x14ac:dyDescent="0.25">
      <c r="B159">
        <v>-324</v>
      </c>
      <c r="C159">
        <v>-1561</v>
      </c>
      <c r="D159">
        <v>-2452</v>
      </c>
      <c r="E159">
        <v>36</v>
      </c>
      <c r="F159">
        <v>165</v>
      </c>
      <c r="G159">
        <v>20</v>
      </c>
      <c r="H159">
        <v>-136</v>
      </c>
      <c r="I159">
        <v>0</v>
      </c>
      <c r="J159">
        <v>62</v>
      </c>
      <c r="K159">
        <v>71</v>
      </c>
    </row>
    <row r="160" spans="2:11" x14ac:dyDescent="0.25">
      <c r="B160">
        <v>172</v>
      </c>
      <c r="C160">
        <v>328</v>
      </c>
      <c r="D160">
        <v>192</v>
      </c>
      <c r="E160">
        <v>11</v>
      </c>
      <c r="F160">
        <v>-11</v>
      </c>
      <c r="G160">
        <v>8</v>
      </c>
      <c r="H160">
        <v>47</v>
      </c>
      <c r="I160">
        <v>0</v>
      </c>
      <c r="J160">
        <v>106</v>
      </c>
      <c r="K160">
        <v>117</v>
      </c>
    </row>
    <row r="161" spans="2:11" x14ac:dyDescent="0.25">
      <c r="B161">
        <v>85</v>
      </c>
      <c r="C161">
        <v>149</v>
      </c>
      <c r="D161">
        <v>65</v>
      </c>
      <c r="E161">
        <v>-7707</v>
      </c>
      <c r="F161">
        <v>-2446</v>
      </c>
      <c r="G161">
        <v>-8084</v>
      </c>
      <c r="H161">
        <v>-2599</v>
      </c>
      <c r="I161">
        <v>-15922</v>
      </c>
      <c r="J161">
        <v>-5333</v>
      </c>
      <c r="K161">
        <v>1076</v>
      </c>
    </row>
    <row r="162" spans="2:11" x14ac:dyDescent="0.25">
      <c r="B162">
        <v>-485</v>
      </c>
      <c r="C162">
        <v>2</v>
      </c>
      <c r="D162">
        <v>42</v>
      </c>
      <c r="E162">
        <v>6</v>
      </c>
      <c r="F162">
        <v>0</v>
      </c>
      <c r="G162">
        <v>38</v>
      </c>
      <c r="H162">
        <v>116</v>
      </c>
      <c r="I162">
        <v>108</v>
      </c>
      <c r="J162">
        <v>143</v>
      </c>
      <c r="K162">
        <v>-92</v>
      </c>
    </row>
    <row r="163" spans="2:11" x14ac:dyDescent="0.25">
      <c r="B163">
        <v>-174</v>
      </c>
      <c r="C163">
        <v>-524</v>
      </c>
      <c r="D163">
        <v>-296</v>
      </c>
      <c r="E163">
        <v>-160</v>
      </c>
      <c r="F163">
        <v>-108</v>
      </c>
      <c r="G163">
        <v>0</v>
      </c>
      <c r="H163">
        <v>58</v>
      </c>
      <c r="I163">
        <v>43</v>
      </c>
      <c r="J163">
        <v>-87</v>
      </c>
      <c r="K163">
        <v>-345</v>
      </c>
    </row>
    <row r="164" spans="2:11" x14ac:dyDescent="0.25">
      <c r="B164">
        <v>-585</v>
      </c>
      <c r="C164">
        <v>-705</v>
      </c>
      <c r="D164">
        <v>-1128</v>
      </c>
      <c r="E164">
        <v>-964</v>
      </c>
      <c r="F164">
        <v>-750</v>
      </c>
      <c r="G164">
        <v>0</v>
      </c>
      <c r="H164">
        <v>938</v>
      </c>
      <c r="I164">
        <v>1159</v>
      </c>
      <c r="J164">
        <v>1575</v>
      </c>
      <c r="K164">
        <v>1975</v>
      </c>
    </row>
    <row r="165" spans="2:11" x14ac:dyDescent="0.25">
      <c r="B165">
        <v>1284</v>
      </c>
      <c r="C165">
        <v>-3037</v>
      </c>
      <c r="D165">
        <v>-6403</v>
      </c>
      <c r="E165">
        <v>-3219</v>
      </c>
      <c r="F165">
        <v>-4736</v>
      </c>
      <c r="G165">
        <v>-6222</v>
      </c>
      <c r="H165">
        <v>-12350</v>
      </c>
      <c r="I165">
        <v>-62</v>
      </c>
      <c r="J165">
        <v>347</v>
      </c>
      <c r="K165">
        <v>38378</v>
      </c>
    </row>
    <row r="166" spans="2:11" x14ac:dyDescent="0.25">
      <c r="B166">
        <v>-5564</v>
      </c>
      <c r="C166">
        <v>-8350</v>
      </c>
      <c r="D166">
        <v>1174</v>
      </c>
      <c r="E166">
        <v>0</v>
      </c>
      <c r="F166">
        <v>-779</v>
      </c>
      <c r="G166">
        <v>-1225</v>
      </c>
      <c r="H166">
        <v>-767</v>
      </c>
      <c r="I166">
        <v>-217</v>
      </c>
      <c r="J166">
        <v>249</v>
      </c>
      <c r="K166">
        <v>278</v>
      </c>
    </row>
    <row r="167" spans="2:11" x14ac:dyDescent="0.25">
      <c r="B167">
        <v>-345</v>
      </c>
      <c r="C167">
        <v>358</v>
      </c>
      <c r="D167">
        <v>510</v>
      </c>
      <c r="E167">
        <v>435</v>
      </c>
      <c r="F167">
        <v>0</v>
      </c>
      <c r="G167">
        <v>-610</v>
      </c>
      <c r="H167">
        <v>-856</v>
      </c>
      <c r="I167">
        <v>-1017</v>
      </c>
      <c r="J167">
        <v>6493</v>
      </c>
      <c r="K167">
        <v>4602</v>
      </c>
    </row>
    <row r="168" spans="2:11" x14ac:dyDescent="0.25">
      <c r="B168">
        <v>-63</v>
      </c>
      <c r="C168">
        <v>25</v>
      </c>
      <c r="D168">
        <v>-48</v>
      </c>
      <c r="E168">
        <v>-160</v>
      </c>
      <c r="F168">
        <v>0</v>
      </c>
      <c r="G168">
        <v>112</v>
      </c>
      <c r="H168">
        <v>147</v>
      </c>
      <c r="I168">
        <v>-342</v>
      </c>
      <c r="J168">
        <v>-868</v>
      </c>
      <c r="K168">
        <v>-524</v>
      </c>
    </row>
    <row r="169" spans="2:11" x14ac:dyDescent="0.25">
      <c r="B169">
        <v>2810</v>
      </c>
      <c r="C169">
        <v>611</v>
      </c>
      <c r="D169">
        <v>-2674</v>
      </c>
      <c r="E169">
        <v>-816</v>
      </c>
      <c r="F169">
        <v>-388</v>
      </c>
      <c r="G169">
        <v>-167</v>
      </c>
      <c r="H169">
        <v>1833</v>
      </c>
      <c r="I169">
        <v>-230</v>
      </c>
      <c r="J169">
        <v>10685</v>
      </c>
      <c r="K169">
        <v>3005</v>
      </c>
    </row>
    <row r="170" spans="2:11" x14ac:dyDescent="0.25">
      <c r="B170">
        <v>-1332</v>
      </c>
      <c r="C170">
        <v>-1643</v>
      </c>
      <c r="D170">
        <v>-169</v>
      </c>
      <c r="E170">
        <v>0</v>
      </c>
      <c r="F170">
        <v>133</v>
      </c>
      <c r="G170">
        <v>28</v>
      </c>
      <c r="H170">
        <v>-100</v>
      </c>
      <c r="I170">
        <v>-170</v>
      </c>
      <c r="J170">
        <v>-430</v>
      </c>
      <c r="K170">
        <v>-494</v>
      </c>
    </row>
    <row r="171" spans="2:11" x14ac:dyDescent="0.25">
      <c r="B171">
        <v>-1073</v>
      </c>
      <c r="C171">
        <v>-188</v>
      </c>
      <c r="D171">
        <v>83</v>
      </c>
      <c r="E171">
        <v>193</v>
      </c>
      <c r="F171">
        <v>0</v>
      </c>
      <c r="G171">
        <v>-659</v>
      </c>
      <c r="H171">
        <v>-986</v>
      </c>
      <c r="I171">
        <v>-1299</v>
      </c>
      <c r="J171">
        <v>4740</v>
      </c>
      <c r="K171">
        <v>3174</v>
      </c>
    </row>
    <row r="172" spans="2:11" x14ac:dyDescent="0.25">
      <c r="B172">
        <v>117</v>
      </c>
      <c r="C172">
        <v>-46</v>
      </c>
      <c r="D172">
        <v>-337</v>
      </c>
      <c r="E172">
        <v>-505</v>
      </c>
      <c r="F172">
        <v>0</v>
      </c>
      <c r="G172">
        <v>337</v>
      </c>
      <c r="H172">
        <v>629</v>
      </c>
      <c r="I172">
        <v>933</v>
      </c>
      <c r="J172">
        <v>1752</v>
      </c>
      <c r="K172">
        <v>1232</v>
      </c>
    </row>
    <row r="173" spans="2:11" x14ac:dyDescent="0.25">
      <c r="B173">
        <v>1335</v>
      </c>
      <c r="C173">
        <v>1464</v>
      </c>
      <c r="D173">
        <v>-1026</v>
      </c>
      <c r="E173">
        <v>-1493</v>
      </c>
      <c r="F173">
        <v>-148</v>
      </c>
      <c r="G173">
        <v>-339</v>
      </c>
      <c r="H173">
        <v>846</v>
      </c>
      <c r="I173">
        <v>1466</v>
      </c>
      <c r="J173">
        <v>4579</v>
      </c>
      <c r="K173">
        <v>11207</v>
      </c>
    </row>
    <row r="174" spans="2:11" x14ac:dyDescent="0.25">
      <c r="B174">
        <v>46318</v>
      </c>
      <c r="C174">
        <v>153</v>
      </c>
      <c r="D174">
        <v>160</v>
      </c>
      <c r="E174">
        <v>121</v>
      </c>
      <c r="F174">
        <v>0</v>
      </c>
      <c r="G174">
        <v>-91</v>
      </c>
      <c r="H174">
        <v>-184</v>
      </c>
      <c r="I174">
        <v>-248</v>
      </c>
      <c r="J174">
        <v>-248</v>
      </c>
      <c r="K174">
        <v>-191</v>
      </c>
    </row>
    <row r="175" spans="2:11" x14ac:dyDescent="0.25">
      <c r="B175">
        <v>-156</v>
      </c>
      <c r="C175">
        <v>167</v>
      </c>
      <c r="D175">
        <v>197</v>
      </c>
      <c r="E175">
        <v>216</v>
      </c>
      <c r="F175">
        <v>184</v>
      </c>
      <c r="G175">
        <v>0</v>
      </c>
      <c r="H175">
        <v>-134</v>
      </c>
      <c r="I175">
        <v>-171</v>
      </c>
      <c r="J175">
        <v>-193</v>
      </c>
      <c r="K175">
        <v>-220</v>
      </c>
    </row>
    <row r="176" spans="2:11" x14ac:dyDescent="0.25">
      <c r="B176">
        <v>-202</v>
      </c>
      <c r="C176">
        <v>-9</v>
      </c>
      <c r="D176">
        <v>-11</v>
      </c>
      <c r="E176">
        <v>-12</v>
      </c>
      <c r="F176">
        <v>-5</v>
      </c>
      <c r="G176">
        <v>0</v>
      </c>
      <c r="H176">
        <v>13</v>
      </c>
      <c r="I176">
        <v>15</v>
      </c>
      <c r="J176">
        <v>22</v>
      </c>
      <c r="K176">
        <v>10</v>
      </c>
    </row>
    <row r="177" spans="2:11" x14ac:dyDescent="0.25">
      <c r="B177">
        <v>1</v>
      </c>
      <c r="C177">
        <v>-41</v>
      </c>
      <c r="D177">
        <v>-7</v>
      </c>
      <c r="E177">
        <v>-4</v>
      </c>
      <c r="F177">
        <v>-2</v>
      </c>
      <c r="G177">
        <v>-3</v>
      </c>
      <c r="H177">
        <v>0</v>
      </c>
      <c r="I177">
        <v>-16</v>
      </c>
      <c r="J177">
        <v>-4</v>
      </c>
      <c r="K177">
        <v>-17</v>
      </c>
    </row>
    <row r="178" spans="2:11" x14ac:dyDescent="0.25">
      <c r="B178">
        <v>-3</v>
      </c>
      <c r="C178">
        <v>-61</v>
      </c>
      <c r="D178">
        <v>-13</v>
      </c>
      <c r="E178">
        <v>6</v>
      </c>
      <c r="F178">
        <v>-1</v>
      </c>
      <c r="G178">
        <v>2</v>
      </c>
      <c r="H178">
        <v>0</v>
      </c>
      <c r="I178">
        <v>3</v>
      </c>
      <c r="J178">
        <v>11</v>
      </c>
      <c r="K178">
        <v>-7</v>
      </c>
    </row>
    <row r="179" spans="2:11" x14ac:dyDescent="0.25">
      <c r="B179">
        <v>-1</v>
      </c>
      <c r="C179">
        <v>-10</v>
      </c>
      <c r="D179">
        <v>-9</v>
      </c>
      <c r="E179">
        <v>177</v>
      </c>
      <c r="F179">
        <v>193</v>
      </c>
      <c r="G179">
        <v>217</v>
      </c>
      <c r="H179">
        <v>199</v>
      </c>
      <c r="I179">
        <v>0</v>
      </c>
      <c r="J179">
        <v>-138</v>
      </c>
      <c r="K179">
        <v>-177</v>
      </c>
    </row>
    <row r="180" spans="2:11" x14ac:dyDescent="0.25">
      <c r="B180">
        <v>-205</v>
      </c>
      <c r="C180">
        <v>-226</v>
      </c>
      <c r="D180">
        <v>-210</v>
      </c>
      <c r="E180">
        <v>163</v>
      </c>
      <c r="F180">
        <v>131</v>
      </c>
      <c r="G180">
        <v>92</v>
      </c>
      <c r="H180">
        <v>43</v>
      </c>
      <c r="I180">
        <v>0</v>
      </c>
      <c r="J180">
        <v>-77</v>
      </c>
      <c r="K180">
        <v>-90</v>
      </c>
    </row>
    <row r="181" spans="2:11" x14ac:dyDescent="0.25">
      <c r="B181">
        <v>-107</v>
      </c>
      <c r="C181">
        <v>-117</v>
      </c>
      <c r="D181">
        <v>-60</v>
      </c>
      <c r="E181">
        <v>-8</v>
      </c>
      <c r="F181">
        <v>-27</v>
      </c>
      <c r="G181">
        <v>-2</v>
      </c>
      <c r="H181">
        <v>-4</v>
      </c>
      <c r="I181">
        <v>-6</v>
      </c>
      <c r="J181">
        <v>-12</v>
      </c>
      <c r="K181">
        <v>-2</v>
      </c>
    </row>
    <row r="182" spans="2:11" x14ac:dyDescent="0.25">
      <c r="B182">
        <v>-4</v>
      </c>
      <c r="C182">
        <v>-5</v>
      </c>
      <c r="D182">
        <v>-17</v>
      </c>
      <c r="E182">
        <v>5</v>
      </c>
      <c r="F182">
        <v>-12</v>
      </c>
      <c r="G182">
        <v>99502</v>
      </c>
      <c r="H182">
        <v>-6675</v>
      </c>
      <c r="I182">
        <v>-2008</v>
      </c>
      <c r="J182">
        <v>-651</v>
      </c>
      <c r="K182">
        <v>0</v>
      </c>
    </row>
    <row r="183" spans="2:11" x14ac:dyDescent="0.25">
      <c r="B183">
        <v>-246</v>
      </c>
      <c r="C183">
        <v>-3221</v>
      </c>
      <c r="D183">
        <v>-4215</v>
      </c>
      <c r="E183">
        <v>-4455</v>
      </c>
      <c r="F183">
        <v>-2775</v>
      </c>
      <c r="G183">
        <v>-563</v>
      </c>
      <c r="H183">
        <v>7624</v>
      </c>
      <c r="I183">
        <v>9187</v>
      </c>
      <c r="J183">
        <v>6717</v>
      </c>
      <c r="K183">
        <v>4139</v>
      </c>
    </row>
    <row r="184" spans="2:11" x14ac:dyDescent="0.25">
      <c r="B184">
        <v>0</v>
      </c>
      <c r="C184">
        <v>-940</v>
      </c>
      <c r="D184">
        <v>-558</v>
      </c>
      <c r="E184">
        <v>1506</v>
      </c>
      <c r="F184">
        <v>6246</v>
      </c>
      <c r="G184">
        <v>14972</v>
      </c>
      <c r="H184">
        <v>57</v>
      </c>
      <c r="I184">
        <v>590</v>
      </c>
      <c r="J184">
        <v>766</v>
      </c>
      <c r="K184">
        <v>635</v>
      </c>
    </row>
    <row r="185" spans="2:11" x14ac:dyDescent="0.25">
      <c r="B185">
        <v>0</v>
      </c>
      <c r="C185">
        <v>-717</v>
      </c>
      <c r="D185">
        <v>-1144</v>
      </c>
      <c r="E185">
        <v>-2919</v>
      </c>
      <c r="F185">
        <v>-3320</v>
      </c>
      <c r="G185">
        <v>2152</v>
      </c>
      <c r="H185">
        <v>5455</v>
      </c>
      <c r="I185">
        <v>1434</v>
      </c>
      <c r="J185">
        <v>-248</v>
      </c>
      <c r="K185">
        <v>-590</v>
      </c>
    </row>
    <row r="186" spans="2:11" x14ac:dyDescent="0.25">
      <c r="B186">
        <v>8806</v>
      </c>
      <c r="C186">
        <v>1156</v>
      </c>
      <c r="D186">
        <v>5839</v>
      </c>
      <c r="E186">
        <v>-140</v>
      </c>
      <c r="F186">
        <v>2375</v>
      </c>
      <c r="G186">
        <v>729</v>
      </c>
      <c r="H186">
        <v>-305</v>
      </c>
      <c r="I186">
        <v>-768</v>
      </c>
      <c r="J186">
        <v>46</v>
      </c>
      <c r="K186">
        <v>-28</v>
      </c>
    </row>
    <row r="187" spans="2:11" x14ac:dyDescent="0.25">
      <c r="B187">
        <v>-1339</v>
      </c>
      <c r="C187">
        <v>-156</v>
      </c>
      <c r="D187">
        <v>198</v>
      </c>
      <c r="E187">
        <v>0</v>
      </c>
      <c r="F187">
        <v>-165</v>
      </c>
      <c r="G187">
        <v>-1079</v>
      </c>
      <c r="H187">
        <v>-1137</v>
      </c>
      <c r="I187">
        <v>-643</v>
      </c>
      <c r="J187">
        <v>-73</v>
      </c>
      <c r="K187">
        <v>1042</v>
      </c>
    </row>
    <row r="188" spans="2:11" x14ac:dyDescent="0.25">
      <c r="B188">
        <v>4769</v>
      </c>
      <c r="C188">
        <v>5853</v>
      </c>
      <c r="D188">
        <v>4570</v>
      </c>
      <c r="E188">
        <v>3387</v>
      </c>
      <c r="F188">
        <v>0</v>
      </c>
      <c r="G188">
        <v>-1241</v>
      </c>
      <c r="H188">
        <v>-1308</v>
      </c>
      <c r="I188">
        <v>-486</v>
      </c>
      <c r="J188">
        <v>2182</v>
      </c>
      <c r="K188">
        <v>9046</v>
      </c>
    </row>
    <row r="189" spans="2:11" x14ac:dyDescent="0.25">
      <c r="B189">
        <v>303</v>
      </c>
      <c r="C189">
        <v>-2497</v>
      </c>
      <c r="D189">
        <v>-3375</v>
      </c>
      <c r="E189">
        <v>-2334</v>
      </c>
      <c r="F189">
        <v>0</v>
      </c>
      <c r="G189">
        <v>6562</v>
      </c>
      <c r="H189">
        <v>8152</v>
      </c>
      <c r="I189">
        <v>10243</v>
      </c>
      <c r="J189">
        <v>11859</v>
      </c>
      <c r="K189">
        <v>10918</v>
      </c>
    </row>
    <row r="190" spans="2:11" x14ac:dyDescent="0.25">
      <c r="B190">
        <v>1818</v>
      </c>
      <c r="C190">
        <v>7767</v>
      </c>
      <c r="D190">
        <v>-502</v>
      </c>
      <c r="E190">
        <v>1598</v>
      </c>
      <c r="F190">
        <v>2514</v>
      </c>
      <c r="G190">
        <v>4873</v>
      </c>
      <c r="H190">
        <v>1510</v>
      </c>
      <c r="I190">
        <v>4653</v>
      </c>
      <c r="J190">
        <v>876</v>
      </c>
      <c r="K190">
        <v>2928</v>
      </c>
    </row>
    <row r="191" spans="2:11" x14ac:dyDescent="0.25">
      <c r="B191">
        <v>-336</v>
      </c>
      <c r="C191">
        <v>-1800</v>
      </c>
      <c r="D191">
        <v>-7</v>
      </c>
      <c r="E191">
        <v>-23</v>
      </c>
      <c r="F191">
        <v>47793</v>
      </c>
      <c r="G191">
        <v>-12179</v>
      </c>
      <c r="H191">
        <v>-6749</v>
      </c>
      <c r="I191">
        <v>-4710</v>
      </c>
      <c r="J191">
        <v>0</v>
      </c>
      <c r="K191">
        <v>3036</v>
      </c>
    </row>
    <row r="192" spans="2:11" x14ac:dyDescent="0.25">
      <c r="B192">
        <v>1528</v>
      </c>
      <c r="C192">
        <v>-2128</v>
      </c>
      <c r="D192">
        <v>-6346</v>
      </c>
      <c r="E192">
        <v>-6907</v>
      </c>
      <c r="F192">
        <v>-4705</v>
      </c>
      <c r="G192">
        <v>9886</v>
      </c>
      <c r="H192">
        <v>9904</v>
      </c>
      <c r="I192">
        <v>4616</v>
      </c>
      <c r="J192">
        <v>1110</v>
      </c>
      <c r="K192">
        <v>0</v>
      </c>
    </row>
    <row r="193" spans="2:11" x14ac:dyDescent="0.25">
      <c r="B193">
        <v>1415</v>
      </c>
      <c r="C193">
        <v>2429</v>
      </c>
      <c r="D193">
        <v>4257</v>
      </c>
      <c r="E193">
        <v>7690</v>
      </c>
      <c r="F193">
        <v>16042</v>
      </c>
      <c r="G193">
        <v>276</v>
      </c>
      <c r="H193">
        <v>887</v>
      </c>
      <c r="I193">
        <v>833</v>
      </c>
      <c r="J193">
        <v>628</v>
      </c>
      <c r="K193">
        <v>0</v>
      </c>
    </row>
    <row r="194" spans="2:11" x14ac:dyDescent="0.25">
      <c r="B194">
        <v>-1040</v>
      </c>
      <c r="C194">
        <v>-1360</v>
      </c>
      <c r="D194">
        <v>-2564</v>
      </c>
      <c r="E194">
        <v>-2265</v>
      </c>
      <c r="F194">
        <v>2103</v>
      </c>
      <c r="G194">
        <v>3859</v>
      </c>
      <c r="H194">
        <v>225</v>
      </c>
      <c r="I194">
        <v>2414</v>
      </c>
      <c r="J194">
        <v>-371</v>
      </c>
      <c r="K194">
        <v>5494</v>
      </c>
    </row>
    <row r="195" spans="2:11" x14ac:dyDescent="0.25">
      <c r="B195">
        <v>-1050</v>
      </c>
      <c r="C195">
        <v>3213</v>
      </c>
      <c r="D195">
        <v>-2599</v>
      </c>
      <c r="E195">
        <v>381</v>
      </c>
      <c r="F195">
        <v>-300</v>
      </c>
      <c r="G195">
        <v>-2896</v>
      </c>
      <c r="H195">
        <v>-1808</v>
      </c>
      <c r="I195">
        <v>72</v>
      </c>
      <c r="J195">
        <v>-41</v>
      </c>
      <c r="K195">
        <v>52144</v>
      </c>
    </row>
    <row r="196" spans="2:11" x14ac:dyDescent="0.25">
      <c r="B196">
        <v>26121</v>
      </c>
      <c r="C196">
        <v>-2989</v>
      </c>
      <c r="D196">
        <v>-1621</v>
      </c>
      <c r="E196">
        <v>-1033</v>
      </c>
      <c r="F196">
        <v>0</v>
      </c>
      <c r="G196">
        <v>1067</v>
      </c>
      <c r="H196">
        <v>879</v>
      </c>
      <c r="I196">
        <v>-442</v>
      </c>
      <c r="J196">
        <v>-1105</v>
      </c>
      <c r="K196">
        <v>-1526</v>
      </c>
    </row>
    <row r="197" spans="2:11" x14ac:dyDescent="0.25">
      <c r="B197">
        <v>-647</v>
      </c>
      <c r="C197">
        <v>6072</v>
      </c>
      <c r="D197">
        <v>6398</v>
      </c>
      <c r="E197">
        <v>2647</v>
      </c>
      <c r="F197">
        <v>533</v>
      </c>
      <c r="G197">
        <v>0</v>
      </c>
      <c r="H197">
        <v>341</v>
      </c>
      <c r="I197">
        <v>637</v>
      </c>
      <c r="J197">
        <v>1165</v>
      </c>
      <c r="K197">
        <v>2944</v>
      </c>
    </row>
    <row r="198" spans="2:11" x14ac:dyDescent="0.25">
      <c r="B198">
        <v>8917</v>
      </c>
      <c r="C198">
        <v>87</v>
      </c>
      <c r="D198">
        <v>-4618</v>
      </c>
      <c r="E198">
        <v>-6105</v>
      </c>
      <c r="F198">
        <v>-3035</v>
      </c>
      <c r="G198">
        <v>0</v>
      </c>
      <c r="H198">
        <v>6072</v>
      </c>
      <c r="I198">
        <v>7535</v>
      </c>
      <c r="J198">
        <v>9561</v>
      </c>
      <c r="K198">
        <v>11518</v>
      </c>
    </row>
    <row r="199" spans="2:11" x14ac:dyDescent="0.25">
      <c r="B199">
        <v>9910</v>
      </c>
      <c r="C199">
        <v>1505</v>
      </c>
      <c r="D199">
        <v>5907</v>
      </c>
      <c r="E199">
        <v>760</v>
      </c>
      <c r="F199">
        <v>3726</v>
      </c>
      <c r="G199">
        <v>1350</v>
      </c>
      <c r="H199">
        <v>6189</v>
      </c>
      <c r="I199">
        <v>877</v>
      </c>
      <c r="J199">
        <v>4276</v>
      </c>
      <c r="K199">
        <v>193</v>
      </c>
    </row>
    <row r="200" spans="2:11" x14ac:dyDescent="0.25">
      <c r="B200">
        <v>2042</v>
      </c>
      <c r="C200">
        <v>-1503</v>
      </c>
      <c r="D200">
        <v>-3850</v>
      </c>
      <c r="E200">
        <v>-6</v>
      </c>
      <c r="F200">
        <v>-40</v>
      </c>
      <c r="G200">
        <v>24904</v>
      </c>
      <c r="H200">
        <v>40854</v>
      </c>
      <c r="I200">
        <v>40876</v>
      </c>
      <c r="J200">
        <v>4906</v>
      </c>
      <c r="K200">
        <v>4081</v>
      </c>
    </row>
    <row r="201" spans="2:11" x14ac:dyDescent="0.25">
      <c r="B201">
        <v>2888</v>
      </c>
      <c r="C201">
        <v>0</v>
      </c>
      <c r="D201">
        <v>-1615</v>
      </c>
      <c r="E201">
        <v>-1412</v>
      </c>
      <c r="F201">
        <v>223</v>
      </c>
      <c r="G201">
        <v>1333</v>
      </c>
      <c r="H201">
        <v>2092</v>
      </c>
      <c r="I201">
        <v>1820</v>
      </c>
      <c r="J201">
        <v>-2299</v>
      </c>
      <c r="K201">
        <v>-2350</v>
      </c>
    </row>
    <row r="202" spans="2:11" x14ac:dyDescent="0.25">
      <c r="B202">
        <v>-1524</v>
      </c>
      <c r="C202">
        <v>-509</v>
      </c>
      <c r="D202">
        <v>0</v>
      </c>
      <c r="E202">
        <v>-651</v>
      </c>
      <c r="F202">
        <v>-1119</v>
      </c>
      <c r="G202">
        <v>-1921</v>
      </c>
      <c r="H202">
        <v>-3252</v>
      </c>
      <c r="I202">
        <v>-3719</v>
      </c>
      <c r="J202">
        <v>110</v>
      </c>
      <c r="K202">
        <v>12</v>
      </c>
    </row>
    <row r="203" spans="2:11" x14ac:dyDescent="0.25">
      <c r="B203">
        <v>-43</v>
      </c>
      <c r="C203">
        <v>-115</v>
      </c>
      <c r="D203">
        <v>0</v>
      </c>
      <c r="E203">
        <v>144</v>
      </c>
      <c r="F203">
        <v>268</v>
      </c>
      <c r="G203">
        <v>712</v>
      </c>
      <c r="H203">
        <v>948</v>
      </c>
      <c r="I203">
        <v>406</v>
      </c>
      <c r="J203">
        <v>-9611</v>
      </c>
      <c r="K203">
        <v>-2473</v>
      </c>
    </row>
    <row r="204" spans="2:11" x14ac:dyDescent="0.25">
      <c r="B204">
        <v>-1230</v>
      </c>
      <c r="C204">
        <v>-186</v>
      </c>
      <c r="D204">
        <v>-4501</v>
      </c>
      <c r="E204">
        <v>-182</v>
      </c>
      <c r="F204">
        <v>-2940</v>
      </c>
      <c r="G204">
        <v>615</v>
      </c>
      <c r="H204">
        <v>1517</v>
      </c>
      <c r="I204">
        <v>754</v>
      </c>
      <c r="J204">
        <v>1535</v>
      </c>
      <c r="K204">
        <v>785</v>
      </c>
    </row>
    <row r="205" spans="2:11" x14ac:dyDescent="0.25">
      <c r="B205">
        <v>14</v>
      </c>
      <c r="C205">
        <v>8</v>
      </c>
      <c r="D205">
        <v>-36274</v>
      </c>
      <c r="E205">
        <v>-14746</v>
      </c>
      <c r="F205">
        <v>-39322</v>
      </c>
      <c r="G205">
        <v>-14945</v>
      </c>
      <c r="H205">
        <v>1000</v>
      </c>
      <c r="I205">
        <v>565</v>
      </c>
      <c r="J205">
        <v>247</v>
      </c>
      <c r="K205">
        <v>0</v>
      </c>
    </row>
    <row r="206" spans="2:11" x14ac:dyDescent="0.25">
      <c r="B206">
        <v>-148</v>
      </c>
      <c r="C206">
        <v>-62</v>
      </c>
      <c r="D206">
        <v>181</v>
      </c>
      <c r="E206">
        <v>215</v>
      </c>
      <c r="F206">
        <v>650</v>
      </c>
      <c r="G206">
        <v>499</v>
      </c>
      <c r="H206">
        <v>-647</v>
      </c>
      <c r="I206">
        <v>-937</v>
      </c>
      <c r="J206">
        <v>-512</v>
      </c>
      <c r="K206">
        <v>-166</v>
      </c>
    </row>
    <row r="207" spans="2:11" x14ac:dyDescent="0.25">
      <c r="B207">
        <v>0</v>
      </c>
      <c r="C207">
        <v>-126</v>
      </c>
      <c r="D207">
        <v>-198</v>
      </c>
      <c r="E207">
        <v>-327</v>
      </c>
      <c r="F207">
        <v>-715</v>
      </c>
      <c r="G207">
        <v>-914</v>
      </c>
      <c r="H207">
        <v>-907</v>
      </c>
      <c r="I207">
        <v>1423</v>
      </c>
      <c r="J207">
        <v>2399</v>
      </c>
      <c r="K207">
        <v>989</v>
      </c>
    </row>
    <row r="208" spans="2:11" x14ac:dyDescent="0.25">
      <c r="B208">
        <v>0</v>
      </c>
      <c r="C208">
        <v>-3808</v>
      </c>
      <c r="D208">
        <v>-4846</v>
      </c>
      <c r="E208">
        <v>-6365</v>
      </c>
      <c r="F208">
        <v>-7292</v>
      </c>
      <c r="G208">
        <v>-4843</v>
      </c>
      <c r="H208">
        <v>-3124</v>
      </c>
      <c r="I208">
        <v>-9658</v>
      </c>
      <c r="J208">
        <v>238</v>
      </c>
      <c r="K208">
        <v>-269</v>
      </c>
    </row>
    <row r="209" spans="2:11" x14ac:dyDescent="0.25">
      <c r="B209">
        <v>-1108</v>
      </c>
      <c r="C209">
        <v>-2659</v>
      </c>
      <c r="D209">
        <v>-617</v>
      </c>
      <c r="E209">
        <v>-1943</v>
      </c>
      <c r="F209">
        <v>697</v>
      </c>
      <c r="G209">
        <v>1253</v>
      </c>
      <c r="H209">
        <v>310</v>
      </c>
      <c r="I209">
        <v>1103</v>
      </c>
      <c r="J209">
        <v>5</v>
      </c>
      <c r="K209">
        <v>11</v>
      </c>
    </row>
    <row r="210" spans="2:11" x14ac:dyDescent="0.25">
      <c r="B210">
        <v>-15801</v>
      </c>
      <c r="C210">
        <v>-42723</v>
      </c>
      <c r="D210">
        <v>-15560</v>
      </c>
      <c r="E210">
        <v>-41986</v>
      </c>
      <c r="F210">
        <v>34483</v>
      </c>
      <c r="G210">
        <v>6682</v>
      </c>
      <c r="H210">
        <v>5588</v>
      </c>
      <c r="I210">
        <v>4107</v>
      </c>
      <c r="J210">
        <v>0</v>
      </c>
      <c r="K210">
        <v>-2293</v>
      </c>
    </row>
    <row r="211" spans="2:11" x14ac:dyDescent="0.25">
      <c r="B211">
        <v>-2461</v>
      </c>
      <c r="C211">
        <v>-683</v>
      </c>
      <c r="D211">
        <v>1450</v>
      </c>
      <c r="E211">
        <v>3662</v>
      </c>
      <c r="F211">
        <v>4000</v>
      </c>
      <c r="G211">
        <v>-4075</v>
      </c>
      <c r="H211">
        <v>-3207</v>
      </c>
      <c r="I211">
        <v>-1767</v>
      </c>
      <c r="J211">
        <v>-33</v>
      </c>
      <c r="K211">
        <v>0</v>
      </c>
    </row>
    <row r="212" spans="2:11" x14ac:dyDescent="0.25">
      <c r="B212">
        <v>-2244</v>
      </c>
      <c r="C212">
        <v>-3706</v>
      </c>
      <c r="D212">
        <v>-5457</v>
      </c>
      <c r="E212">
        <v>-7419</v>
      </c>
      <c r="F212">
        <v>-5223</v>
      </c>
      <c r="G212">
        <v>456</v>
      </c>
      <c r="H212">
        <v>143</v>
      </c>
      <c r="I212">
        <v>-59</v>
      </c>
      <c r="J212">
        <v>-235</v>
      </c>
      <c r="K212">
        <v>0</v>
      </c>
    </row>
    <row r="213" spans="2:11" x14ac:dyDescent="0.25">
      <c r="B213">
        <v>1111</v>
      </c>
      <c r="C213">
        <v>1532</v>
      </c>
      <c r="D213">
        <v>1968</v>
      </c>
      <c r="E213">
        <v>1219</v>
      </c>
      <c r="F213">
        <v>3487</v>
      </c>
      <c r="G213">
        <v>3806</v>
      </c>
      <c r="H213">
        <v>1996</v>
      </c>
      <c r="I213">
        <v>3570</v>
      </c>
      <c r="J213">
        <v>1647</v>
      </c>
      <c r="K213">
        <v>-1513</v>
      </c>
    </row>
    <row r="214" spans="2:11" x14ac:dyDescent="0.25">
      <c r="B214">
        <v>1968</v>
      </c>
      <c r="C214">
        <v>-91</v>
      </c>
      <c r="D214">
        <v>2797</v>
      </c>
      <c r="E214">
        <v>-927</v>
      </c>
      <c r="F214">
        <v>142</v>
      </c>
      <c r="G214">
        <v>-2133</v>
      </c>
      <c r="H214">
        <v>-1027</v>
      </c>
      <c r="I214">
        <v>17</v>
      </c>
      <c r="J214">
        <v>7</v>
      </c>
      <c r="K214">
        <v>-16690</v>
      </c>
    </row>
    <row r="215" spans="2:11" x14ac:dyDescent="0.25">
      <c r="B215">
        <v>-4389</v>
      </c>
      <c r="C215">
        <v>-10898</v>
      </c>
      <c r="D215">
        <v>-1434</v>
      </c>
      <c r="E215">
        <v>10637</v>
      </c>
      <c r="F215">
        <v>4551</v>
      </c>
      <c r="G215">
        <v>2810</v>
      </c>
      <c r="H215">
        <v>1673</v>
      </c>
      <c r="I215">
        <v>972</v>
      </c>
      <c r="J215">
        <v>0</v>
      </c>
      <c r="K215">
        <v>-546</v>
      </c>
    </row>
    <row r="216" spans="2:11" x14ac:dyDescent="0.25">
      <c r="B216">
        <v>-537</v>
      </c>
      <c r="C216">
        <v>55</v>
      </c>
      <c r="D216">
        <v>689</v>
      </c>
      <c r="E216">
        <v>2006</v>
      </c>
      <c r="F216">
        <v>2373</v>
      </c>
      <c r="G216">
        <v>-1221</v>
      </c>
      <c r="H216">
        <v>-1130</v>
      </c>
      <c r="I216">
        <v>-333</v>
      </c>
      <c r="J216">
        <v>177</v>
      </c>
      <c r="K216">
        <v>0</v>
      </c>
    </row>
    <row r="217" spans="2:11" x14ac:dyDescent="0.25">
      <c r="B217">
        <v>-1353</v>
      </c>
      <c r="C217">
        <v>-2008</v>
      </c>
      <c r="D217">
        <v>-2724</v>
      </c>
      <c r="E217">
        <v>-3023</v>
      </c>
      <c r="F217">
        <v>-1027</v>
      </c>
      <c r="G217">
        <v>-2445</v>
      </c>
      <c r="H217">
        <v>264</v>
      </c>
      <c r="I217">
        <v>1755</v>
      </c>
      <c r="J217">
        <v>1502</v>
      </c>
      <c r="K217">
        <v>0</v>
      </c>
    </row>
    <row r="218" spans="2:11" x14ac:dyDescent="0.25">
      <c r="B218">
        <v>-5872</v>
      </c>
      <c r="C218">
        <v>-8094</v>
      </c>
      <c r="D218">
        <v>-12739</v>
      </c>
      <c r="E218">
        <v>-21980</v>
      </c>
      <c r="F218">
        <v>-14902</v>
      </c>
      <c r="G218">
        <v>869</v>
      </c>
      <c r="H218">
        <v>-1199</v>
      </c>
      <c r="I218">
        <v>1011</v>
      </c>
      <c r="J218">
        <v>1066</v>
      </c>
      <c r="K218">
        <v>-553</v>
      </c>
    </row>
    <row r="219" spans="2:11" x14ac:dyDescent="0.25">
      <c r="B219">
        <v>-1951</v>
      </c>
      <c r="C219">
        <v>-308</v>
      </c>
      <c r="D219">
        <v>-956</v>
      </c>
      <c r="E219">
        <v>-391</v>
      </c>
      <c r="F219">
        <v>-712</v>
      </c>
      <c r="G219">
        <v>-809</v>
      </c>
      <c r="H219">
        <v>-4095</v>
      </c>
      <c r="I219">
        <v>3</v>
      </c>
      <c r="J219">
        <v>5</v>
      </c>
      <c r="K219">
        <v>-5403</v>
      </c>
    </row>
    <row r="220" spans="2:11" x14ac:dyDescent="0.25">
      <c r="B220">
        <v>-28936</v>
      </c>
      <c r="C220">
        <v>-1568</v>
      </c>
      <c r="D220">
        <v>-17399</v>
      </c>
      <c r="E220">
        <v>5372</v>
      </c>
      <c r="F220">
        <v>15121</v>
      </c>
      <c r="G220">
        <v>35775</v>
      </c>
      <c r="H220">
        <v>-265</v>
      </c>
      <c r="I220">
        <v>-386</v>
      </c>
      <c r="J220">
        <v>-451</v>
      </c>
      <c r="K220">
        <v>0</v>
      </c>
    </row>
    <row r="221" spans="2:11" x14ac:dyDescent="0.25">
      <c r="B221">
        <v>623</v>
      </c>
      <c r="C221">
        <v>514</v>
      </c>
      <c r="D221">
        <v>308</v>
      </c>
      <c r="E221">
        <v>-35</v>
      </c>
      <c r="F221">
        <v>-408</v>
      </c>
      <c r="G221">
        <v>-1078</v>
      </c>
      <c r="H221">
        <v>280</v>
      </c>
      <c r="I221">
        <v>131</v>
      </c>
      <c r="J221">
        <v>-435</v>
      </c>
      <c r="K221">
        <v>-881</v>
      </c>
    </row>
    <row r="222" spans="2:11" x14ac:dyDescent="0.25">
      <c r="B222">
        <v>0</v>
      </c>
      <c r="C222">
        <v>-87</v>
      </c>
      <c r="D222">
        <v>-193</v>
      </c>
      <c r="E222">
        <v>85</v>
      </c>
      <c r="F222">
        <v>639</v>
      </c>
      <c r="G222">
        <v>587</v>
      </c>
      <c r="H222">
        <v>-36027</v>
      </c>
      <c r="I222">
        <v>-46145</v>
      </c>
      <c r="J222">
        <v>-59660</v>
      </c>
      <c r="K222">
        <v>-82197</v>
      </c>
    </row>
    <row r="223" spans="2:11" x14ac:dyDescent="0.25">
      <c r="B223">
        <v>0</v>
      </c>
      <c r="C223">
        <v>-3346</v>
      </c>
      <c r="D223">
        <v>-4274</v>
      </c>
      <c r="E223">
        <v>-5839</v>
      </c>
      <c r="F223">
        <v>-6510</v>
      </c>
      <c r="G223">
        <v>-3641</v>
      </c>
      <c r="H223">
        <v>-1331</v>
      </c>
      <c r="I223">
        <v>-51144</v>
      </c>
      <c r="J223">
        <v>-196</v>
      </c>
      <c r="K223">
        <v>-12353</v>
      </c>
    </row>
    <row r="224" spans="2:11" x14ac:dyDescent="0.25">
      <c r="B224">
        <v>-753</v>
      </c>
      <c r="C224">
        <v>-27848</v>
      </c>
      <c r="D224">
        <v>285</v>
      </c>
      <c r="E224">
        <v>-11881</v>
      </c>
      <c r="F224">
        <v>-109</v>
      </c>
      <c r="G224">
        <v>360</v>
      </c>
      <c r="H224">
        <v>185</v>
      </c>
      <c r="I224">
        <v>494</v>
      </c>
      <c r="J224">
        <v>-4</v>
      </c>
      <c r="K224">
        <v>15</v>
      </c>
    </row>
    <row r="225" spans="2:11" x14ac:dyDescent="0.25">
      <c r="B225">
        <v>-181</v>
      </c>
      <c r="C225">
        <v>-1202</v>
      </c>
      <c r="D225">
        <v>-63</v>
      </c>
      <c r="E225">
        <v>-1985</v>
      </c>
      <c r="F225">
        <v>63</v>
      </c>
      <c r="G225">
        <v>1827</v>
      </c>
      <c r="H225">
        <v>-194</v>
      </c>
      <c r="I225">
        <v>1116</v>
      </c>
      <c r="J225">
        <v>-10281</v>
      </c>
      <c r="K225">
        <v>-17084</v>
      </c>
    </row>
    <row r="226" spans="2:11" x14ac:dyDescent="0.25">
      <c r="B226">
        <v>885</v>
      </c>
      <c r="C226">
        <v>0</v>
      </c>
      <c r="D226">
        <v>-571</v>
      </c>
      <c r="E226">
        <v>-775</v>
      </c>
      <c r="F226">
        <v>-423</v>
      </c>
      <c r="G226">
        <v>49</v>
      </c>
      <c r="H226">
        <v>477</v>
      </c>
      <c r="I226">
        <v>604</v>
      </c>
      <c r="J226">
        <v>165</v>
      </c>
      <c r="K226">
        <v>309</v>
      </c>
    </row>
    <row r="227" spans="2:11" x14ac:dyDescent="0.25">
      <c r="B227">
        <v>366</v>
      </c>
      <c r="C227">
        <v>325</v>
      </c>
      <c r="D227">
        <v>0</v>
      </c>
      <c r="E227">
        <v>-87</v>
      </c>
      <c r="F227">
        <v>-113</v>
      </c>
      <c r="G227">
        <v>-182</v>
      </c>
      <c r="H227">
        <v>1913</v>
      </c>
      <c r="I227">
        <v>1450</v>
      </c>
      <c r="J227">
        <v>-86</v>
      </c>
      <c r="K227">
        <v>-74</v>
      </c>
    </row>
    <row r="228" spans="2:11" x14ac:dyDescent="0.25">
      <c r="B228">
        <v>-113</v>
      </c>
      <c r="C228">
        <v>-196</v>
      </c>
      <c r="D228">
        <v>0</v>
      </c>
      <c r="E228">
        <v>-132</v>
      </c>
      <c r="F228">
        <v>-284</v>
      </c>
      <c r="G228">
        <v>-673</v>
      </c>
      <c r="H228">
        <v>-458</v>
      </c>
      <c r="I228">
        <v>61</v>
      </c>
      <c r="J228">
        <v>994</v>
      </c>
      <c r="K228">
        <v>-24</v>
      </c>
    </row>
    <row r="229" spans="2:11" x14ac:dyDescent="0.25">
      <c r="B229">
        <v>-689</v>
      </c>
      <c r="C229">
        <v>-131</v>
      </c>
      <c r="D229">
        <v>258</v>
      </c>
      <c r="E229">
        <v>26</v>
      </c>
      <c r="F229">
        <v>924</v>
      </c>
      <c r="G229">
        <v>-202</v>
      </c>
      <c r="H229">
        <v>1632</v>
      </c>
      <c r="I229">
        <v>-62</v>
      </c>
      <c r="J229">
        <v>44763</v>
      </c>
      <c r="K229">
        <v>7550</v>
      </c>
    </row>
    <row r="230" spans="2:11" x14ac:dyDescent="0.25">
      <c r="B230">
        <v>-33</v>
      </c>
      <c r="C230">
        <v>5</v>
      </c>
      <c r="D230">
        <v>770</v>
      </c>
      <c r="E230">
        <v>318</v>
      </c>
      <c r="F230">
        <v>-458</v>
      </c>
      <c r="G230">
        <v>119</v>
      </c>
      <c r="H230">
        <v>181</v>
      </c>
      <c r="I230">
        <v>-29</v>
      </c>
      <c r="J230">
        <v>1705</v>
      </c>
      <c r="K230">
        <v>61</v>
      </c>
    </row>
    <row r="231" spans="2:11" x14ac:dyDescent="0.25">
      <c r="B231">
        <v>257</v>
      </c>
      <c r="C231">
        <v>1851</v>
      </c>
      <c r="D231">
        <v>2570</v>
      </c>
      <c r="E231">
        <v>-68</v>
      </c>
      <c r="F231">
        <v>0</v>
      </c>
      <c r="G231">
        <v>15</v>
      </c>
      <c r="H231">
        <v>177</v>
      </c>
      <c r="I231">
        <v>294</v>
      </c>
      <c r="J231">
        <v>320</v>
      </c>
      <c r="K231">
        <v>-29</v>
      </c>
    </row>
    <row r="232" spans="2:11" x14ac:dyDescent="0.25">
      <c r="B232">
        <v>221</v>
      </c>
      <c r="C232">
        <v>798</v>
      </c>
      <c r="D232">
        <v>430</v>
      </c>
      <c r="E232">
        <v>294</v>
      </c>
      <c r="F232">
        <v>10</v>
      </c>
      <c r="G232">
        <v>0</v>
      </c>
      <c r="H232">
        <v>493</v>
      </c>
      <c r="I232">
        <v>860</v>
      </c>
      <c r="J232">
        <v>1211</v>
      </c>
      <c r="K232">
        <v>-10286</v>
      </c>
    </row>
    <row r="233" spans="2:11" x14ac:dyDescent="0.25">
      <c r="B233">
        <v>-6370</v>
      </c>
      <c r="C233">
        <v>36</v>
      </c>
      <c r="D233">
        <v>6</v>
      </c>
      <c r="E233">
        <v>229</v>
      </c>
      <c r="F233">
        <v>469</v>
      </c>
      <c r="G233">
        <v>0</v>
      </c>
      <c r="H233">
        <v>-202</v>
      </c>
      <c r="I233">
        <v>-317</v>
      </c>
      <c r="J233">
        <v>-416</v>
      </c>
      <c r="K233">
        <v>-225</v>
      </c>
    </row>
    <row r="234" spans="2:11" x14ac:dyDescent="0.25">
      <c r="B234">
        <v>476</v>
      </c>
      <c r="C234">
        <v>-570</v>
      </c>
      <c r="D234">
        <v>374</v>
      </c>
      <c r="E234">
        <v>386</v>
      </c>
      <c r="F234">
        <v>354</v>
      </c>
      <c r="G234">
        <v>359</v>
      </c>
      <c r="H234">
        <v>206</v>
      </c>
      <c r="I234">
        <v>717</v>
      </c>
      <c r="J234">
        <v>941</v>
      </c>
      <c r="K234">
        <v>35</v>
      </c>
    </row>
    <row r="235" spans="2:11" x14ac:dyDescent="0.25">
      <c r="B235">
        <v>339</v>
      </c>
      <c r="C235">
        <v>-43069</v>
      </c>
      <c r="D235">
        <v>-35248</v>
      </c>
      <c r="E235">
        <v>20</v>
      </c>
      <c r="F235">
        <v>-3</v>
      </c>
      <c r="G235">
        <v>11</v>
      </c>
      <c r="H235">
        <v>278</v>
      </c>
      <c r="I235">
        <v>1320</v>
      </c>
      <c r="J235">
        <v>1295</v>
      </c>
      <c r="K235">
        <v>120</v>
      </c>
    </row>
    <row r="236" spans="2:11" x14ac:dyDescent="0.25">
      <c r="B236">
        <v>633</v>
      </c>
      <c r="C236">
        <v>-1518</v>
      </c>
      <c r="D236">
        <v>-1566</v>
      </c>
      <c r="E236">
        <v>-510</v>
      </c>
      <c r="F236">
        <v>-12961</v>
      </c>
      <c r="G236">
        <v>498</v>
      </c>
      <c r="H236">
        <v>468</v>
      </c>
      <c r="I236">
        <v>528</v>
      </c>
      <c r="J236">
        <v>0</v>
      </c>
      <c r="K236">
        <v>-294</v>
      </c>
    </row>
    <row r="237" spans="2:11" x14ac:dyDescent="0.25">
      <c r="B237">
        <v>-147</v>
      </c>
      <c r="C237">
        <v>-233</v>
      </c>
      <c r="D237">
        <v>-76</v>
      </c>
      <c r="E237">
        <v>-113</v>
      </c>
      <c r="F237">
        <v>230</v>
      </c>
      <c r="G237">
        <v>857</v>
      </c>
      <c r="H237">
        <v>439</v>
      </c>
      <c r="I237">
        <v>-895</v>
      </c>
      <c r="J237">
        <v>-2251</v>
      </c>
      <c r="K237">
        <v>0</v>
      </c>
    </row>
    <row r="238" spans="2:11" x14ac:dyDescent="0.25">
      <c r="B238">
        <v>-33</v>
      </c>
      <c r="C238">
        <v>-126</v>
      </c>
      <c r="D238">
        <v>31</v>
      </c>
      <c r="E238">
        <v>328</v>
      </c>
      <c r="F238">
        <v>275</v>
      </c>
      <c r="G238">
        <v>3410</v>
      </c>
      <c r="H238">
        <v>749</v>
      </c>
      <c r="I238">
        <v>-2482</v>
      </c>
      <c r="J238">
        <v>-338</v>
      </c>
      <c r="K238">
        <v>0</v>
      </c>
    </row>
    <row r="239" spans="2:11" x14ac:dyDescent="0.25">
      <c r="B239">
        <v>-5204</v>
      </c>
      <c r="C239">
        <v>-5656</v>
      </c>
      <c r="D239">
        <v>-6123</v>
      </c>
      <c r="E239">
        <v>-5282</v>
      </c>
      <c r="F239">
        <v>-2725</v>
      </c>
      <c r="G239">
        <v>-168</v>
      </c>
      <c r="H239">
        <v>-3840</v>
      </c>
      <c r="I239">
        <v>1</v>
      </c>
      <c r="J239">
        <v>-1395</v>
      </c>
      <c r="K239">
        <v>-79</v>
      </c>
    </row>
    <row r="240" spans="2:11" x14ac:dyDescent="0.25">
      <c r="B240">
        <v>-2354</v>
      </c>
      <c r="C240">
        <v>-319</v>
      </c>
      <c r="D240">
        <v>-1651</v>
      </c>
      <c r="E240">
        <v>1</v>
      </c>
      <c r="F240">
        <v>-1201</v>
      </c>
      <c r="G240">
        <v>106</v>
      </c>
      <c r="H240">
        <v>-54</v>
      </c>
      <c r="I240">
        <v>-5</v>
      </c>
      <c r="J240">
        <v>0</v>
      </c>
      <c r="K240">
        <v>-524</v>
      </c>
    </row>
    <row r="241" spans="2:11" x14ac:dyDescent="0.25">
      <c r="B241">
        <v>-4213</v>
      </c>
      <c r="C241">
        <v>497</v>
      </c>
      <c r="D241">
        <v>253</v>
      </c>
      <c r="E241">
        <v>151</v>
      </c>
      <c r="F241">
        <v>-316</v>
      </c>
      <c r="G241">
        <v>-166</v>
      </c>
      <c r="H241">
        <v>4142</v>
      </c>
      <c r="I241">
        <v>-653</v>
      </c>
      <c r="J241">
        <v>23</v>
      </c>
      <c r="K241">
        <v>-2</v>
      </c>
    </row>
    <row r="242" spans="2:11" x14ac:dyDescent="0.25">
      <c r="B242">
        <v>0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</row>
    <row r="243" spans="2:11" x14ac:dyDescent="0.25">
      <c r="B243">
        <v>0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</row>
    <row r="244" spans="2:11" x14ac:dyDescent="0.25">
      <c r="B244">
        <v>0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</row>
    <row r="245" spans="2:11" x14ac:dyDescent="0.25">
      <c r="B245">
        <v>0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</row>
    <row r="246" spans="2:11" x14ac:dyDescent="0.25">
      <c r="B246">
        <v>0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</row>
    <row r="247" spans="2:11" x14ac:dyDescent="0.25">
      <c r="B247">
        <v>0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1227</v>
      </c>
      <c r="I247">
        <v>1208</v>
      </c>
      <c r="J247">
        <v>1319</v>
      </c>
      <c r="K247">
        <v>0</v>
      </c>
    </row>
    <row r="248" spans="2:11" x14ac:dyDescent="0.25">
      <c r="B248">
        <v>-810</v>
      </c>
      <c r="C248">
        <v>-566</v>
      </c>
      <c r="D248">
        <v>-656</v>
      </c>
      <c r="E248">
        <v>-244</v>
      </c>
      <c r="F248">
        <v>-389</v>
      </c>
      <c r="G248">
        <v>620</v>
      </c>
      <c r="H248">
        <v>1875</v>
      </c>
      <c r="I248">
        <v>999</v>
      </c>
      <c r="J248">
        <v>-1985</v>
      </c>
      <c r="K248">
        <v>-4904</v>
      </c>
    </row>
    <row r="249" spans="2:11" x14ac:dyDescent="0.25">
      <c r="B249">
        <v>0</v>
      </c>
      <c r="C249">
        <v>37</v>
      </c>
      <c r="D249">
        <v>-107</v>
      </c>
      <c r="E249">
        <v>150</v>
      </c>
      <c r="F249">
        <v>633</v>
      </c>
      <c r="G249">
        <v>480</v>
      </c>
      <c r="H249">
        <v>6848</v>
      </c>
      <c r="I249">
        <v>145</v>
      </c>
      <c r="J249">
        <v>-7190</v>
      </c>
      <c r="K249">
        <v>-2253</v>
      </c>
    </row>
    <row r="250" spans="2:11" x14ac:dyDescent="0.25">
      <c r="B250">
        <v>0</v>
      </c>
      <c r="C250">
        <v>-10219</v>
      </c>
      <c r="D250">
        <v>-10803</v>
      </c>
      <c r="E250">
        <v>-11107</v>
      </c>
      <c r="F250">
        <v>-8428</v>
      </c>
      <c r="G250">
        <v>-3880</v>
      </c>
      <c r="H250">
        <v>-145</v>
      </c>
      <c r="I250">
        <v>-323</v>
      </c>
      <c r="J250">
        <v>111</v>
      </c>
      <c r="K250">
        <v>138</v>
      </c>
    </row>
    <row r="251" spans="2:11" x14ac:dyDescent="0.25">
      <c r="B251">
        <v>-300</v>
      </c>
      <c r="C251">
        <v>2399</v>
      </c>
      <c r="D251">
        <v>-802</v>
      </c>
      <c r="E251">
        <v>1518</v>
      </c>
      <c r="F251">
        <v>-14</v>
      </c>
      <c r="G251">
        <v>-2296</v>
      </c>
      <c r="H251">
        <v>22</v>
      </c>
      <c r="I251">
        <v>-292</v>
      </c>
      <c r="J251">
        <v>-11</v>
      </c>
      <c r="K251">
        <v>-5</v>
      </c>
    </row>
    <row r="252" spans="2:11" x14ac:dyDescent="0.25">
      <c r="B252">
        <v>-638</v>
      </c>
      <c r="C252">
        <v>-5432</v>
      </c>
      <c r="D252">
        <v>1055</v>
      </c>
      <c r="E252">
        <v>8813</v>
      </c>
      <c r="F252">
        <v>65</v>
      </c>
      <c r="G252">
        <v>-3613</v>
      </c>
      <c r="H252">
        <v>-246</v>
      </c>
      <c r="I252">
        <v>1068</v>
      </c>
      <c r="J252">
        <v>1245</v>
      </c>
      <c r="K252">
        <v>64</v>
      </c>
    </row>
    <row r="253" spans="2:11" x14ac:dyDescent="0.25">
      <c r="B253">
        <v>296</v>
      </c>
      <c r="C253">
        <v>23472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</row>
    <row r="254" spans="2:11" x14ac:dyDescent="0.25">
      <c r="B254">
        <v>0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</row>
    <row r="255" spans="2:11" x14ac:dyDescent="0.25">
      <c r="B255">
        <v>0</v>
      </c>
      <c r="C255">
        <v>0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</row>
    <row r="256" spans="2:11" x14ac:dyDescent="0.25">
      <c r="B256">
        <v>0</v>
      </c>
      <c r="C256">
        <v>0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</row>
    <row r="257" spans="2:11" x14ac:dyDescent="0.25">
      <c r="B257">
        <v>0</v>
      </c>
      <c r="C257">
        <v>0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</row>
    <row r="258" spans="2:11" x14ac:dyDescent="0.25">
      <c r="B258">
        <v>0</v>
      </c>
      <c r="C258">
        <v>0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</row>
    <row r="259" spans="2:11" x14ac:dyDescent="0.25">
      <c r="B259">
        <v>0</v>
      </c>
      <c r="C259">
        <v>0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</row>
    <row r="260" spans="2:11" x14ac:dyDescent="0.25">
      <c r="B260">
        <v>0</v>
      </c>
      <c r="C260">
        <v>0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</row>
    <row r="261" spans="2:11" x14ac:dyDescent="0.25">
      <c r="B261">
        <v>0</v>
      </c>
      <c r="C261">
        <v>0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</row>
    <row r="262" spans="2:11" x14ac:dyDescent="0.25">
      <c r="B262">
        <v>0</v>
      </c>
      <c r="C262">
        <v>0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</row>
    <row r="263" spans="2:11" x14ac:dyDescent="0.25">
      <c r="B263">
        <v>0</v>
      </c>
      <c r="C263">
        <v>0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</row>
    <row r="264" spans="2:11" x14ac:dyDescent="0.25">
      <c r="B264">
        <v>0</v>
      </c>
      <c r="C264">
        <v>0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</row>
    <row r="265" spans="2:11" x14ac:dyDescent="0.25">
      <c r="B265">
        <v>0</v>
      </c>
      <c r="C265">
        <v>0</v>
      </c>
      <c r="D265">
        <v>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</row>
    <row r="266" spans="2:11" x14ac:dyDescent="0.25">
      <c r="B266">
        <v>0</v>
      </c>
      <c r="C266">
        <v>0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</row>
    <row r="267" spans="2:11" x14ac:dyDescent="0.25">
      <c r="B267">
        <v>0</v>
      </c>
      <c r="C267">
        <v>0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</row>
    <row r="268" spans="2:11" x14ac:dyDescent="0.25">
      <c r="B268">
        <v>0</v>
      </c>
      <c r="C268">
        <v>0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</row>
    <row r="269" spans="2:11" x14ac:dyDescent="0.25">
      <c r="B269">
        <v>0</v>
      </c>
      <c r="C269">
        <v>0</v>
      </c>
      <c r="D269">
        <v>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</row>
    <row r="270" spans="2:11" x14ac:dyDescent="0.25"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</row>
    <row r="271" spans="2:11" x14ac:dyDescent="0.25"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</row>
    <row r="272" spans="2:11" x14ac:dyDescent="0.25"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</row>
    <row r="273" spans="2:11" x14ac:dyDescent="0.25"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</row>
    <row r="274" spans="2:11" x14ac:dyDescent="0.25"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</row>
    <row r="275" spans="2:11" x14ac:dyDescent="0.25"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</row>
    <row r="276" spans="2:11" x14ac:dyDescent="0.25">
      <c r="B276">
        <v>0</v>
      </c>
      <c r="C276">
        <v>0</v>
      </c>
      <c r="D276">
        <v>0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</row>
    <row r="277" spans="2:11" x14ac:dyDescent="0.25">
      <c r="B277">
        <v>0</v>
      </c>
      <c r="C277">
        <v>-847</v>
      </c>
      <c r="D277">
        <v>648</v>
      </c>
      <c r="E277">
        <v>530</v>
      </c>
      <c r="F277">
        <v>0</v>
      </c>
      <c r="G277">
        <v>-434</v>
      </c>
      <c r="H277">
        <v>-780</v>
      </c>
      <c r="I277">
        <v>-960</v>
      </c>
      <c r="J277">
        <v>-942</v>
      </c>
      <c r="K277">
        <v>-872</v>
      </c>
    </row>
    <row r="278" spans="2:11" x14ac:dyDescent="0.25">
      <c r="B278">
        <v>-628</v>
      </c>
      <c r="C278">
        <v>-439</v>
      </c>
      <c r="D278">
        <v>-505</v>
      </c>
      <c r="E278">
        <v>-507</v>
      </c>
      <c r="F278">
        <v>-342</v>
      </c>
      <c r="G278">
        <v>0</v>
      </c>
      <c r="H278">
        <v>284</v>
      </c>
      <c r="I278">
        <v>145</v>
      </c>
      <c r="J278">
        <v>178</v>
      </c>
      <c r="K278">
        <v>-459</v>
      </c>
    </row>
    <row r="279" spans="2:11" x14ac:dyDescent="0.25">
      <c r="B279">
        <v>-517</v>
      </c>
      <c r="C279">
        <v>-94</v>
      </c>
      <c r="D279">
        <v>-106</v>
      </c>
      <c r="E279">
        <v>-100</v>
      </c>
      <c r="F279">
        <v>-96</v>
      </c>
      <c r="G279">
        <v>0</v>
      </c>
      <c r="H279">
        <v>16</v>
      </c>
      <c r="I279">
        <v>-89</v>
      </c>
      <c r="J279">
        <v>-246</v>
      </c>
      <c r="K279">
        <v>-259</v>
      </c>
    </row>
    <row r="280" spans="2:11" x14ac:dyDescent="0.25">
      <c r="B280">
        <v>51</v>
      </c>
      <c r="C280">
        <v>-473</v>
      </c>
      <c r="D280">
        <v>-128</v>
      </c>
      <c r="E280">
        <v>97</v>
      </c>
      <c r="F280">
        <v>43</v>
      </c>
      <c r="G280">
        <v>654</v>
      </c>
      <c r="H280">
        <v>370</v>
      </c>
      <c r="I280">
        <v>570</v>
      </c>
      <c r="J280">
        <v>364</v>
      </c>
      <c r="K280">
        <v>-977</v>
      </c>
    </row>
    <row r="281" spans="2:11" x14ac:dyDescent="0.25">
      <c r="B281">
        <v>-345</v>
      </c>
      <c r="C281">
        <v>-75</v>
      </c>
      <c r="D281">
        <v>68</v>
      </c>
      <c r="E281">
        <v>3</v>
      </c>
      <c r="F281">
        <v>-1</v>
      </c>
      <c r="G281">
        <v>-154</v>
      </c>
      <c r="H281">
        <v>-122</v>
      </c>
      <c r="I281">
        <v>12</v>
      </c>
      <c r="J281">
        <v>-88</v>
      </c>
      <c r="K281">
        <v>166</v>
      </c>
    </row>
    <row r="282" spans="2:11" x14ac:dyDescent="0.25">
      <c r="B282">
        <v>286</v>
      </c>
      <c r="C282">
        <v>10</v>
      </c>
      <c r="D282">
        <v>303</v>
      </c>
      <c r="E282">
        <v>65</v>
      </c>
      <c r="F282">
        <v>162</v>
      </c>
      <c r="G282">
        <v>133</v>
      </c>
      <c r="H282">
        <v>-76</v>
      </c>
      <c r="I282">
        <v>0</v>
      </c>
      <c r="J282">
        <v>-40</v>
      </c>
      <c r="K282">
        <v>0</v>
      </c>
    </row>
    <row r="283" spans="2:11" x14ac:dyDescent="0.25">
      <c r="B283">
        <v>0</v>
      </c>
      <c r="C283">
        <v>0</v>
      </c>
      <c r="D283">
        <v>0</v>
      </c>
      <c r="E283">
        <v>111</v>
      </c>
      <c r="F283">
        <v>44</v>
      </c>
      <c r="G283">
        <v>79</v>
      </c>
      <c r="H283">
        <v>0</v>
      </c>
      <c r="I283">
        <v>-38</v>
      </c>
      <c r="J283">
        <v>323</v>
      </c>
      <c r="K283">
        <v>-297</v>
      </c>
    </row>
    <row r="284" spans="2:11" x14ac:dyDescent="0.25">
      <c r="B284">
        <v>83</v>
      </c>
      <c r="C284">
        <v>-192</v>
      </c>
      <c r="D284">
        <v>-80</v>
      </c>
      <c r="E284">
        <v>30</v>
      </c>
      <c r="F284">
        <v>14</v>
      </c>
      <c r="G284">
        <v>32</v>
      </c>
      <c r="H284">
        <v>39</v>
      </c>
      <c r="I284">
        <v>0</v>
      </c>
      <c r="J284">
        <v>-62</v>
      </c>
      <c r="K284">
        <v>-90</v>
      </c>
    </row>
    <row r="285" spans="2:11" x14ac:dyDescent="0.25">
      <c r="B285">
        <v>-161</v>
      </c>
      <c r="C285">
        <v>-53</v>
      </c>
      <c r="D285">
        <v>-47</v>
      </c>
      <c r="E285">
        <v>83</v>
      </c>
      <c r="F285">
        <v>38</v>
      </c>
      <c r="G285">
        <v>63</v>
      </c>
      <c r="H285">
        <v>-7</v>
      </c>
      <c r="I285">
        <v>0</v>
      </c>
      <c r="J285">
        <v>-34</v>
      </c>
      <c r="K285">
        <v>-37</v>
      </c>
    </row>
    <row r="286" spans="2:11" x14ac:dyDescent="0.25">
      <c r="B286">
        <v>-45</v>
      </c>
      <c r="C286">
        <v>-64</v>
      </c>
      <c r="D286">
        <v>-26</v>
      </c>
      <c r="E286">
        <v>150</v>
      </c>
      <c r="F286">
        <v>-8</v>
      </c>
      <c r="G286">
        <v>10</v>
      </c>
      <c r="H286">
        <v>-2</v>
      </c>
      <c r="I286">
        <v>-64</v>
      </c>
      <c r="J286">
        <v>-13</v>
      </c>
      <c r="K286">
        <v>75</v>
      </c>
    </row>
    <row r="287" spans="2:11" x14ac:dyDescent="0.25">
      <c r="B287">
        <v>11</v>
      </c>
      <c r="C287">
        <v>4</v>
      </c>
      <c r="D287">
        <v>-13</v>
      </c>
      <c r="E287">
        <v>488</v>
      </c>
      <c r="F287">
        <v>87</v>
      </c>
      <c r="G287">
        <v>-6861</v>
      </c>
      <c r="H287">
        <v>1117</v>
      </c>
      <c r="I287">
        <v>-54</v>
      </c>
      <c r="J287">
        <v>-19</v>
      </c>
      <c r="K287">
        <v>-154</v>
      </c>
    </row>
    <row r="288" spans="2:11" x14ac:dyDescent="0.25">
      <c r="B288">
        <v>-39</v>
      </c>
      <c r="C288">
        <v>-4</v>
      </c>
      <c r="D288">
        <v>16</v>
      </c>
      <c r="E288">
        <v>-3</v>
      </c>
      <c r="F288">
        <v>29</v>
      </c>
      <c r="G288">
        <v>25</v>
      </c>
      <c r="H288">
        <v>253</v>
      </c>
      <c r="I288">
        <v>-163</v>
      </c>
      <c r="J288">
        <v>-28</v>
      </c>
      <c r="K288">
        <v>0</v>
      </c>
    </row>
    <row r="289" spans="2:11" x14ac:dyDescent="0.25">
      <c r="B289">
        <v>-66</v>
      </c>
      <c r="C289">
        <v>0</v>
      </c>
      <c r="D289">
        <v>0</v>
      </c>
      <c r="E289">
        <v>0</v>
      </c>
      <c r="F289">
        <v>0</v>
      </c>
      <c r="G289">
        <v>3</v>
      </c>
      <c r="H289">
        <v>0</v>
      </c>
      <c r="I289">
        <v>0</v>
      </c>
      <c r="J289">
        <v>0</v>
      </c>
      <c r="K289">
        <v>0</v>
      </c>
    </row>
    <row r="290" spans="2:11" x14ac:dyDescent="0.25">
      <c r="B290">
        <v>0</v>
      </c>
      <c r="C290">
        <v>0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</row>
    <row r="291" spans="2:11" x14ac:dyDescent="0.25">
      <c r="B291">
        <v>0</v>
      </c>
      <c r="C291">
        <v>0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</row>
    <row r="292" spans="2:11" x14ac:dyDescent="0.25">
      <c r="B292">
        <v>0</v>
      </c>
      <c r="C292">
        <v>0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</row>
    <row r="293" spans="2:11" x14ac:dyDescent="0.25">
      <c r="B293">
        <v>0</v>
      </c>
      <c r="C293">
        <v>0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</row>
    <row r="294" spans="2:11" x14ac:dyDescent="0.25">
      <c r="B294">
        <v>0</v>
      </c>
      <c r="C294">
        <v>0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</row>
    <row r="295" spans="2:11" x14ac:dyDescent="0.25">
      <c r="B295">
        <v>0</v>
      </c>
      <c r="C295">
        <v>0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</row>
    <row r="296" spans="2:11" x14ac:dyDescent="0.25">
      <c r="B296">
        <v>57317</v>
      </c>
      <c r="C296">
        <v>50653</v>
      </c>
      <c r="D296">
        <v>39592</v>
      </c>
      <c r="E296">
        <v>0</v>
      </c>
      <c r="F296">
        <v>-30755</v>
      </c>
      <c r="G296">
        <v>-56077</v>
      </c>
      <c r="H296">
        <v>-61801</v>
      </c>
      <c r="I296">
        <v>-61742</v>
      </c>
      <c r="J296">
        <v>-53636</v>
      </c>
      <c r="K296">
        <v>-41708</v>
      </c>
    </row>
    <row r="297" spans="2:11" x14ac:dyDescent="0.25">
      <c r="B297">
        <v>-3005</v>
      </c>
      <c r="C297">
        <v>-2350</v>
      </c>
      <c r="D297">
        <v>865</v>
      </c>
      <c r="E297">
        <v>122</v>
      </c>
      <c r="F297">
        <v>0</v>
      </c>
      <c r="G297">
        <v>-527</v>
      </c>
      <c r="H297">
        <v>-2676</v>
      </c>
      <c r="I297">
        <v>-2494</v>
      </c>
      <c r="J297">
        <v>-4998</v>
      </c>
      <c r="K297">
        <v>-4898</v>
      </c>
    </row>
    <row r="298" spans="2:11" x14ac:dyDescent="0.25">
      <c r="B298">
        <v>-55990</v>
      </c>
      <c r="C298">
        <v>-51954</v>
      </c>
      <c r="D298">
        <v>-41177</v>
      </c>
      <c r="E298">
        <v>-19467</v>
      </c>
      <c r="F298">
        <v>0</v>
      </c>
      <c r="G298">
        <v>35013</v>
      </c>
      <c r="H298">
        <v>41527</v>
      </c>
      <c r="I298">
        <v>52359</v>
      </c>
      <c r="J298">
        <v>52218</v>
      </c>
      <c r="K298">
        <v>26888</v>
      </c>
    </row>
    <row r="299" spans="2:11" x14ac:dyDescent="0.25">
      <c r="B299">
        <v>-9188</v>
      </c>
      <c r="C299">
        <v>11876</v>
      </c>
      <c r="D299">
        <v>-4518</v>
      </c>
      <c r="E299">
        <v>5285</v>
      </c>
      <c r="F299">
        <v>-6140</v>
      </c>
      <c r="G299">
        <v>6186</v>
      </c>
      <c r="H299">
        <v>-5403</v>
      </c>
      <c r="I299">
        <v>5953</v>
      </c>
      <c r="J299">
        <v>-3982</v>
      </c>
      <c r="K299">
        <v>4937</v>
      </c>
    </row>
    <row r="300" spans="2:11" x14ac:dyDescent="0.25">
      <c r="B300">
        <v>-4294</v>
      </c>
      <c r="C300">
        <v>2674</v>
      </c>
      <c r="D300">
        <v>173</v>
      </c>
      <c r="E300">
        <v>-115</v>
      </c>
      <c r="F300">
        <v>-6721</v>
      </c>
      <c r="G300">
        <v>12960</v>
      </c>
      <c r="H300">
        <v>-7790</v>
      </c>
      <c r="I300">
        <v>6394</v>
      </c>
      <c r="J300">
        <v>3171</v>
      </c>
      <c r="K300">
        <v>-4471</v>
      </c>
    </row>
    <row r="301" spans="2:11" x14ac:dyDescent="0.25">
      <c r="B301">
        <v>1646</v>
      </c>
      <c r="C301">
        <v>-2569</v>
      </c>
      <c r="D301">
        <v>-8177</v>
      </c>
      <c r="E301">
        <v>-2893</v>
      </c>
      <c r="F301">
        <v>1151</v>
      </c>
      <c r="G301">
        <v>-3935</v>
      </c>
      <c r="H301">
        <v>0</v>
      </c>
      <c r="I301">
        <v>-7033</v>
      </c>
      <c r="J301">
        <v>0</v>
      </c>
      <c r="K301">
        <v>0</v>
      </c>
    </row>
    <row r="302" spans="2:11" x14ac:dyDescent="0.25">
      <c r="B302">
        <v>0</v>
      </c>
      <c r="C302">
        <v>0</v>
      </c>
      <c r="D302">
        <v>743</v>
      </c>
      <c r="E302">
        <v>-51</v>
      </c>
      <c r="F302">
        <v>0</v>
      </c>
      <c r="G302">
        <v>-1055</v>
      </c>
      <c r="H302">
        <v>-1206</v>
      </c>
      <c r="I302">
        <v>-1182</v>
      </c>
      <c r="J302">
        <v>0</v>
      </c>
      <c r="K302">
        <v>-159</v>
      </c>
    </row>
    <row r="303" spans="2:11" x14ac:dyDescent="0.25">
      <c r="B303">
        <v>396</v>
      </c>
      <c r="C303">
        <v>1589</v>
      </c>
      <c r="D303">
        <v>383</v>
      </c>
      <c r="E303">
        <v>1548</v>
      </c>
      <c r="F303">
        <v>1032</v>
      </c>
      <c r="G303">
        <v>-56244</v>
      </c>
      <c r="H303">
        <v>-62398</v>
      </c>
      <c r="I303">
        <v>-63656</v>
      </c>
      <c r="J303">
        <v>-56563</v>
      </c>
      <c r="K303">
        <v>0</v>
      </c>
    </row>
    <row r="304" spans="2:11" x14ac:dyDescent="0.25">
      <c r="B304">
        <v>39081</v>
      </c>
      <c r="C304">
        <v>49277</v>
      </c>
      <c r="D304">
        <v>55670</v>
      </c>
      <c r="E304">
        <v>62050</v>
      </c>
      <c r="F304">
        <v>57486</v>
      </c>
      <c r="G304">
        <v>-56309</v>
      </c>
      <c r="H304">
        <v>-51888</v>
      </c>
      <c r="I304">
        <v>-40027</v>
      </c>
      <c r="J304">
        <v>-19095</v>
      </c>
      <c r="K304">
        <v>0</v>
      </c>
    </row>
    <row r="305" spans="2:11" x14ac:dyDescent="0.25">
      <c r="B305">
        <v>34050</v>
      </c>
      <c r="C305">
        <v>40332</v>
      </c>
      <c r="D305">
        <v>48803</v>
      </c>
      <c r="E305">
        <v>51421</v>
      </c>
      <c r="F305">
        <v>26009</v>
      </c>
      <c r="G305">
        <v>3577</v>
      </c>
      <c r="H305">
        <v>14379</v>
      </c>
      <c r="I305">
        <v>1474</v>
      </c>
      <c r="J305">
        <v>6257</v>
      </c>
      <c r="K305">
        <v>2708</v>
      </c>
    </row>
    <row r="306" spans="2:11" x14ac:dyDescent="0.25">
      <c r="B306">
        <v>7151</v>
      </c>
      <c r="C306">
        <v>2575</v>
      </c>
      <c r="D306">
        <v>6433</v>
      </c>
      <c r="E306">
        <v>2418</v>
      </c>
      <c r="F306">
        <v>6861</v>
      </c>
      <c r="G306">
        <v>2448</v>
      </c>
      <c r="H306">
        <v>5913</v>
      </c>
      <c r="I306">
        <v>-154</v>
      </c>
      <c r="J306">
        <v>-288</v>
      </c>
      <c r="K306">
        <v>1679</v>
      </c>
    </row>
    <row r="307" spans="2:11" x14ac:dyDescent="0.25">
      <c r="B307">
        <v>15267</v>
      </c>
      <c r="C307">
        <v>1861</v>
      </c>
      <c r="D307">
        <v>9587</v>
      </c>
      <c r="E307">
        <v>-859</v>
      </c>
      <c r="F307">
        <v>-5476</v>
      </c>
      <c r="G307">
        <v>-101</v>
      </c>
      <c r="H307">
        <v>-3939</v>
      </c>
      <c r="I307">
        <v>-7733</v>
      </c>
      <c r="J307">
        <v>204</v>
      </c>
      <c r="K307">
        <v>-2084</v>
      </c>
    </row>
    <row r="308" spans="2:11" x14ac:dyDescent="0.25">
      <c r="B308">
        <v>-3776</v>
      </c>
      <c r="C308">
        <v>0</v>
      </c>
      <c r="D308">
        <v>-6726</v>
      </c>
      <c r="E308">
        <v>0</v>
      </c>
      <c r="F308">
        <v>0</v>
      </c>
      <c r="G308">
        <v>0</v>
      </c>
      <c r="H308">
        <v>0</v>
      </c>
      <c r="I308">
        <v>497</v>
      </c>
      <c r="J308">
        <v>-112</v>
      </c>
      <c r="K308">
        <v>0</v>
      </c>
    </row>
    <row r="309" spans="2:11" x14ac:dyDescent="0.25">
      <c r="B309">
        <v>49559</v>
      </c>
      <c r="C309">
        <v>-99</v>
      </c>
      <c r="D309">
        <v>-220</v>
      </c>
      <c r="E309">
        <v>-94</v>
      </c>
      <c r="F309">
        <v>0</v>
      </c>
      <c r="G309">
        <v>110</v>
      </c>
      <c r="H309">
        <v>519</v>
      </c>
      <c r="I309">
        <v>523</v>
      </c>
      <c r="J309">
        <v>270</v>
      </c>
      <c r="K309">
        <v>-155</v>
      </c>
    </row>
    <row r="310" spans="2:11" x14ac:dyDescent="0.25">
      <c r="B310">
        <v>-38</v>
      </c>
      <c r="C310">
        <v>-9</v>
      </c>
      <c r="D310">
        <v>-34</v>
      </c>
      <c r="E310">
        <v>9</v>
      </c>
      <c r="F310">
        <v>71</v>
      </c>
      <c r="G310">
        <v>0</v>
      </c>
      <c r="H310">
        <v>-1</v>
      </c>
      <c r="I310">
        <v>-84</v>
      </c>
      <c r="J310">
        <v>-100</v>
      </c>
      <c r="K310">
        <v>-139</v>
      </c>
    </row>
    <row r="311" spans="2:11" x14ac:dyDescent="0.25">
      <c r="B311">
        <v>-102</v>
      </c>
      <c r="C311">
        <v>-24</v>
      </c>
      <c r="D311">
        <v>-37</v>
      </c>
      <c r="E311">
        <v>-68</v>
      </c>
      <c r="F311">
        <v>-66</v>
      </c>
      <c r="G311">
        <v>0</v>
      </c>
      <c r="H311">
        <v>12</v>
      </c>
      <c r="I311">
        <v>26</v>
      </c>
      <c r="J311">
        <v>61</v>
      </c>
      <c r="K311">
        <v>73</v>
      </c>
    </row>
    <row r="312" spans="2:11" x14ac:dyDescent="0.25">
      <c r="B312">
        <v>41</v>
      </c>
      <c r="C312">
        <v>269</v>
      </c>
      <c r="D312">
        <v>19</v>
      </c>
      <c r="E312">
        <v>65</v>
      </c>
      <c r="F312">
        <v>29</v>
      </c>
      <c r="G312">
        <v>3</v>
      </c>
      <c r="H312">
        <v>-14</v>
      </c>
      <c r="I312">
        <v>172</v>
      </c>
      <c r="J312">
        <v>42</v>
      </c>
      <c r="K312">
        <v>13</v>
      </c>
    </row>
    <row r="313" spans="2:11" x14ac:dyDescent="0.25">
      <c r="B313">
        <v>-7</v>
      </c>
      <c r="C313">
        <v>514</v>
      </c>
      <c r="D313">
        <v>111</v>
      </c>
      <c r="E313">
        <v>-8509</v>
      </c>
      <c r="F313">
        <v>1451</v>
      </c>
      <c r="G313">
        <v>-446</v>
      </c>
      <c r="H313">
        <v>-35</v>
      </c>
      <c r="I313">
        <v>-742</v>
      </c>
      <c r="J313">
        <v>-27</v>
      </c>
      <c r="K313">
        <v>51</v>
      </c>
    </row>
    <row r="314" spans="2:11" x14ac:dyDescent="0.25">
      <c r="B314">
        <v>19</v>
      </c>
      <c r="C314">
        <v>-19</v>
      </c>
      <c r="D314">
        <v>6</v>
      </c>
      <c r="E314">
        <v>44</v>
      </c>
      <c r="F314">
        <v>267</v>
      </c>
      <c r="G314">
        <v>-190</v>
      </c>
      <c r="H314">
        <v>11</v>
      </c>
      <c r="I314">
        <v>0</v>
      </c>
      <c r="J314">
        <v>31</v>
      </c>
      <c r="K314">
        <v>0</v>
      </c>
    </row>
    <row r="315" spans="2:11" x14ac:dyDescent="0.25">
      <c r="B315">
        <v>0</v>
      </c>
      <c r="C315">
        <v>0</v>
      </c>
      <c r="D315">
        <v>0</v>
      </c>
      <c r="E315">
        <v>-6</v>
      </c>
      <c r="F315">
        <v>79838</v>
      </c>
      <c r="G315">
        <v>0</v>
      </c>
      <c r="H315">
        <v>-162</v>
      </c>
      <c r="I315">
        <v>-38</v>
      </c>
      <c r="J315">
        <v>7</v>
      </c>
      <c r="K315">
        <v>2</v>
      </c>
    </row>
    <row r="316" spans="2:11" x14ac:dyDescent="0.25">
      <c r="B316">
        <v>3</v>
      </c>
      <c r="C316">
        <v>0</v>
      </c>
      <c r="D316">
        <v>-1</v>
      </c>
      <c r="E316">
        <v>9</v>
      </c>
      <c r="F316">
        <v>-2</v>
      </c>
      <c r="G316">
        <v>1</v>
      </c>
      <c r="H316">
        <v>-4</v>
      </c>
      <c r="I316">
        <v>-4</v>
      </c>
      <c r="J316">
        <v>13</v>
      </c>
      <c r="K316">
        <v>11</v>
      </c>
    </row>
    <row r="317" spans="2:11" x14ac:dyDescent="0.25">
      <c r="B317">
        <v>19</v>
      </c>
      <c r="C317">
        <v>10</v>
      </c>
      <c r="D317">
        <v>0</v>
      </c>
      <c r="E317">
        <v>-4</v>
      </c>
      <c r="F317">
        <v>-6</v>
      </c>
      <c r="G317">
        <v>-6</v>
      </c>
      <c r="H317">
        <v>-5</v>
      </c>
      <c r="I317">
        <v>-9</v>
      </c>
      <c r="J317">
        <v>-15</v>
      </c>
      <c r="K317">
        <v>-16</v>
      </c>
    </row>
    <row r="318" spans="2:11" x14ac:dyDescent="0.25">
      <c r="B318">
        <v>-11</v>
      </c>
      <c r="C318">
        <v>-5</v>
      </c>
      <c r="D318">
        <v>0</v>
      </c>
      <c r="E318">
        <v>6</v>
      </c>
      <c r="F318">
        <v>6</v>
      </c>
      <c r="G318">
        <v>7</v>
      </c>
      <c r="H318">
        <v>5</v>
      </c>
      <c r="I318">
        <v>2</v>
      </c>
      <c r="J318">
        <v>7</v>
      </c>
      <c r="K318">
        <v>1</v>
      </c>
    </row>
    <row r="319" spans="2:11" x14ac:dyDescent="0.25">
      <c r="B319">
        <v>2</v>
      </c>
      <c r="C319">
        <v>1</v>
      </c>
      <c r="D319">
        <v>1</v>
      </c>
      <c r="E319">
        <v>0</v>
      </c>
      <c r="F319">
        <v>2</v>
      </c>
      <c r="G319">
        <v>-1</v>
      </c>
      <c r="H319">
        <v>3</v>
      </c>
      <c r="I319">
        <v>3</v>
      </c>
      <c r="J319">
        <v>13</v>
      </c>
      <c r="K319">
        <v>6</v>
      </c>
    </row>
    <row r="320" spans="2:11" x14ac:dyDescent="0.25">
      <c r="B320">
        <v>99502</v>
      </c>
      <c r="C320">
        <v>99999</v>
      </c>
      <c r="D320">
        <v>-18</v>
      </c>
      <c r="E320">
        <v>-9</v>
      </c>
      <c r="F320">
        <v>-20</v>
      </c>
      <c r="G320">
        <v>0</v>
      </c>
      <c r="H320">
        <v>-1</v>
      </c>
      <c r="I320">
        <v>3</v>
      </c>
      <c r="J320">
        <v>-12</v>
      </c>
      <c r="K320">
        <v>-5</v>
      </c>
    </row>
    <row r="321" spans="2:11" x14ac:dyDescent="0.25">
      <c r="B321">
        <v>0</v>
      </c>
      <c r="C321">
        <v>7</v>
      </c>
      <c r="D321">
        <v>-4</v>
      </c>
      <c r="E321">
        <v>-2</v>
      </c>
      <c r="F321">
        <v>0</v>
      </c>
      <c r="G321">
        <v>-4</v>
      </c>
      <c r="H321">
        <v>0</v>
      </c>
      <c r="I321">
        <v>0</v>
      </c>
      <c r="J321">
        <v>0</v>
      </c>
      <c r="K321">
        <v>0</v>
      </c>
    </row>
    <row r="322" spans="2:11" x14ac:dyDescent="0.25">
      <c r="B322">
        <v>0</v>
      </c>
      <c r="C322">
        <v>1116</v>
      </c>
      <c r="D322">
        <v>0</v>
      </c>
      <c r="E322">
        <v>9</v>
      </c>
      <c r="F322">
        <v>2</v>
      </c>
      <c r="G322">
        <v>1450</v>
      </c>
      <c r="H322">
        <v>-5198</v>
      </c>
      <c r="I322">
        <v>-5616</v>
      </c>
      <c r="J322">
        <v>-4584</v>
      </c>
      <c r="K322">
        <v>0</v>
      </c>
    </row>
    <row r="323" spans="2:11" x14ac:dyDescent="0.25">
      <c r="B323">
        <v>3872</v>
      </c>
      <c r="C323">
        <v>5833</v>
      </c>
      <c r="D323">
        <v>2476</v>
      </c>
      <c r="E323">
        <v>-1627</v>
      </c>
      <c r="F323">
        <v>-4138</v>
      </c>
      <c r="G323">
        <v>-3681</v>
      </c>
      <c r="H323">
        <v>-1423</v>
      </c>
      <c r="I323">
        <v>-2509</v>
      </c>
      <c r="J323">
        <v>-4192</v>
      </c>
      <c r="K323">
        <v>-4411</v>
      </c>
    </row>
    <row r="324" spans="2:11" x14ac:dyDescent="0.25">
      <c r="B324">
        <v>0</v>
      </c>
      <c r="C324">
        <v>584</v>
      </c>
      <c r="D324">
        <v>-30</v>
      </c>
      <c r="E324">
        <v>-1603</v>
      </c>
      <c r="F324">
        <v>-4405</v>
      </c>
      <c r="G324">
        <v>-4383</v>
      </c>
      <c r="H324">
        <v>4422</v>
      </c>
      <c r="I324">
        <v>-511</v>
      </c>
      <c r="J324">
        <v>-5573</v>
      </c>
      <c r="K324">
        <v>-3885</v>
      </c>
    </row>
    <row r="325" spans="2:11" x14ac:dyDescent="0.25">
      <c r="B325">
        <v>0</v>
      </c>
      <c r="C325">
        <v>221</v>
      </c>
      <c r="D325">
        <v>1943</v>
      </c>
      <c r="E325">
        <v>5716</v>
      </c>
      <c r="F325">
        <v>9353</v>
      </c>
      <c r="G325">
        <v>5479</v>
      </c>
      <c r="H325">
        <v>1166</v>
      </c>
      <c r="I325">
        <v>1043</v>
      </c>
      <c r="J325">
        <v>1616</v>
      </c>
      <c r="K325">
        <v>629</v>
      </c>
    </row>
    <row r="326" spans="2:11" x14ac:dyDescent="0.25">
      <c r="B326">
        <v>-352</v>
      </c>
      <c r="C326">
        <v>-4509</v>
      </c>
      <c r="D326">
        <v>-1800</v>
      </c>
      <c r="E326">
        <v>-1422</v>
      </c>
      <c r="F326">
        <v>-530</v>
      </c>
      <c r="G326">
        <v>-978</v>
      </c>
      <c r="H326">
        <v>306</v>
      </c>
      <c r="I326">
        <v>376</v>
      </c>
      <c r="J326">
        <v>21</v>
      </c>
      <c r="K326">
        <v>-1</v>
      </c>
    </row>
    <row r="327" spans="2:11" x14ac:dyDescent="0.25">
      <c r="B327">
        <v>-7783</v>
      </c>
      <c r="C327">
        <v>16431</v>
      </c>
      <c r="D327">
        <v>9756</v>
      </c>
      <c r="E327">
        <v>-10304</v>
      </c>
      <c r="F327">
        <v>3059</v>
      </c>
      <c r="G327">
        <v>-7039</v>
      </c>
      <c r="H327">
        <v>801</v>
      </c>
      <c r="I327">
        <v>-5110</v>
      </c>
      <c r="J327">
        <v>1339</v>
      </c>
      <c r="K327">
        <v>11</v>
      </c>
    </row>
    <row r="328" spans="2:11" x14ac:dyDescent="0.25">
      <c r="B328">
        <v>91</v>
      </c>
      <c r="C328">
        <v>18412</v>
      </c>
      <c r="D328">
        <v>0</v>
      </c>
      <c r="E328">
        <v>37218</v>
      </c>
      <c r="F328">
        <v>0</v>
      </c>
      <c r="G328">
        <v>0</v>
      </c>
      <c r="H328">
        <v>0</v>
      </c>
      <c r="I328">
        <v>0</v>
      </c>
      <c r="J328">
        <v>-214</v>
      </c>
      <c r="K328">
        <v>-168</v>
      </c>
    </row>
    <row r="329" spans="2:11" x14ac:dyDescent="0.25">
      <c r="B329">
        <v>0</v>
      </c>
      <c r="C329">
        <v>8697</v>
      </c>
      <c r="D329">
        <v>7134</v>
      </c>
      <c r="E329">
        <v>168</v>
      </c>
      <c r="F329">
        <v>-10</v>
      </c>
      <c r="G329">
        <v>7869</v>
      </c>
      <c r="H329">
        <v>9355</v>
      </c>
      <c r="I329">
        <v>8346</v>
      </c>
      <c r="J329">
        <v>0</v>
      </c>
      <c r="K329">
        <v>-7227</v>
      </c>
    </row>
    <row r="330" spans="2:11" x14ac:dyDescent="0.25">
      <c r="B330">
        <v>-11422</v>
      </c>
      <c r="C330">
        <v>-5737</v>
      </c>
      <c r="D330">
        <v>2176</v>
      </c>
      <c r="E330">
        <v>6508</v>
      </c>
      <c r="F330">
        <v>7144</v>
      </c>
      <c r="G330">
        <v>6507</v>
      </c>
      <c r="H330">
        <v>7185</v>
      </c>
      <c r="I330">
        <v>7065</v>
      </c>
      <c r="J330">
        <v>4211</v>
      </c>
      <c r="K330">
        <v>0</v>
      </c>
    </row>
    <row r="331" spans="2:11" x14ac:dyDescent="0.25">
      <c r="B331">
        <v>159</v>
      </c>
      <c r="C331">
        <v>1821</v>
      </c>
      <c r="D331">
        <v>5780</v>
      </c>
      <c r="E331">
        <v>11756</v>
      </c>
      <c r="F331">
        <v>11437</v>
      </c>
      <c r="G331">
        <v>-733</v>
      </c>
      <c r="H331">
        <v>74</v>
      </c>
      <c r="I331">
        <v>1052</v>
      </c>
      <c r="J331">
        <v>1576</v>
      </c>
      <c r="K331">
        <v>0</v>
      </c>
    </row>
    <row r="332" spans="2:11" x14ac:dyDescent="0.25">
      <c r="B332">
        <v>-2473</v>
      </c>
      <c r="C332">
        <v>-3625</v>
      </c>
      <c r="D332">
        <v>-6383</v>
      </c>
      <c r="E332">
        <v>-7991</v>
      </c>
      <c r="F332">
        <v>-4052</v>
      </c>
      <c r="G332">
        <v>-1111</v>
      </c>
      <c r="H332">
        <v>-779</v>
      </c>
      <c r="I332">
        <v>-1686</v>
      </c>
      <c r="J332">
        <v>-648</v>
      </c>
      <c r="K332">
        <v>1039</v>
      </c>
    </row>
    <row r="333" spans="2:11" x14ac:dyDescent="0.25">
      <c r="B333">
        <v>646</v>
      </c>
      <c r="C333">
        <v>2079</v>
      </c>
      <c r="D333">
        <v>1181</v>
      </c>
      <c r="E333">
        <v>1245</v>
      </c>
      <c r="F333">
        <v>401</v>
      </c>
      <c r="G333">
        <v>66</v>
      </c>
      <c r="H333">
        <v>-396</v>
      </c>
      <c r="I333">
        <v>-55</v>
      </c>
      <c r="J333">
        <v>-32</v>
      </c>
      <c r="K333">
        <v>15531</v>
      </c>
    </row>
    <row r="334" spans="2:11" x14ac:dyDescent="0.25">
      <c r="B334">
        <v>5395</v>
      </c>
      <c r="C334">
        <v>-13287</v>
      </c>
      <c r="D334">
        <v>-4277</v>
      </c>
      <c r="E334">
        <v>-5918</v>
      </c>
      <c r="F334">
        <v>-2169</v>
      </c>
      <c r="G334">
        <v>-3844</v>
      </c>
      <c r="H334">
        <v>-3235</v>
      </c>
      <c r="I334">
        <v>-571</v>
      </c>
      <c r="J334">
        <v>99</v>
      </c>
      <c r="K334">
        <v>40</v>
      </c>
    </row>
    <row r="335" spans="2:11" x14ac:dyDescent="0.25">
      <c r="B335">
        <v>268</v>
      </c>
      <c r="C335">
        <v>0</v>
      </c>
      <c r="D335">
        <v>772</v>
      </c>
      <c r="E335">
        <v>0</v>
      </c>
      <c r="F335">
        <v>0</v>
      </c>
      <c r="G335">
        <v>0</v>
      </c>
      <c r="H335">
        <v>0</v>
      </c>
      <c r="I335">
        <v>328</v>
      </c>
      <c r="J335">
        <v>136</v>
      </c>
      <c r="K335">
        <v>0</v>
      </c>
    </row>
    <row r="336" spans="2:11" x14ac:dyDescent="0.25">
      <c r="B336">
        <v>-3029</v>
      </c>
      <c r="C336">
        <v>1378</v>
      </c>
      <c r="D336">
        <v>-284</v>
      </c>
      <c r="E336">
        <v>5</v>
      </c>
      <c r="F336">
        <v>-56182</v>
      </c>
      <c r="G336">
        <v>-8493</v>
      </c>
      <c r="H336">
        <v>364</v>
      </c>
      <c r="I336">
        <v>1218</v>
      </c>
      <c r="J336">
        <v>0</v>
      </c>
      <c r="K336">
        <v>-1289</v>
      </c>
    </row>
    <row r="337" spans="2:11" x14ac:dyDescent="0.25">
      <c r="B337">
        <v>-5447</v>
      </c>
      <c r="C337">
        <v>-5391</v>
      </c>
      <c r="D337">
        <v>-7904</v>
      </c>
      <c r="E337">
        <v>-5647</v>
      </c>
      <c r="F337">
        <v>-5266</v>
      </c>
      <c r="G337">
        <v>-3191</v>
      </c>
      <c r="H337">
        <v>645</v>
      </c>
      <c r="I337">
        <v>414</v>
      </c>
      <c r="J337">
        <v>780</v>
      </c>
      <c r="K337">
        <v>0</v>
      </c>
    </row>
    <row r="338" spans="2:11" x14ac:dyDescent="0.25">
      <c r="B338">
        <v>-743</v>
      </c>
      <c r="C338">
        <v>-1028</v>
      </c>
      <c r="D338">
        <v>-653</v>
      </c>
      <c r="E338">
        <v>-790</v>
      </c>
      <c r="F338">
        <v>116</v>
      </c>
      <c r="G338">
        <v>150</v>
      </c>
      <c r="H338">
        <v>402</v>
      </c>
      <c r="I338">
        <v>327</v>
      </c>
      <c r="J338">
        <v>113</v>
      </c>
      <c r="K338">
        <v>0</v>
      </c>
    </row>
    <row r="339" spans="2:11" x14ac:dyDescent="0.25">
      <c r="B339">
        <v>545</v>
      </c>
      <c r="C339">
        <v>647</v>
      </c>
      <c r="D339">
        <v>109</v>
      </c>
      <c r="E339">
        <v>84</v>
      </c>
      <c r="F339">
        <v>-1295</v>
      </c>
      <c r="G339">
        <v>-1637</v>
      </c>
      <c r="H339">
        <v>-68</v>
      </c>
      <c r="I339">
        <v>-726</v>
      </c>
      <c r="J339">
        <v>-398</v>
      </c>
      <c r="K339">
        <v>-147</v>
      </c>
    </row>
    <row r="340" spans="2:11" x14ac:dyDescent="0.25">
      <c r="B340">
        <v>212</v>
      </c>
      <c r="C340">
        <v>79</v>
      </c>
      <c r="D340">
        <v>-19</v>
      </c>
      <c r="E340">
        <v>-311</v>
      </c>
      <c r="F340">
        <v>49</v>
      </c>
      <c r="G340">
        <v>1091</v>
      </c>
      <c r="H340">
        <v>249</v>
      </c>
      <c r="I340">
        <v>272</v>
      </c>
      <c r="J340">
        <v>-58</v>
      </c>
      <c r="K340">
        <v>18977</v>
      </c>
    </row>
    <row r="341" spans="2:11" x14ac:dyDescent="0.25">
      <c r="B341">
        <v>1404</v>
      </c>
      <c r="C341">
        <v>22890</v>
      </c>
      <c r="D341">
        <v>1108</v>
      </c>
      <c r="E341">
        <v>5527</v>
      </c>
      <c r="F341">
        <v>261</v>
      </c>
      <c r="G341">
        <v>7117</v>
      </c>
      <c r="H341">
        <v>248</v>
      </c>
      <c r="I341">
        <v>-287</v>
      </c>
      <c r="J341">
        <v>-424</v>
      </c>
      <c r="K341">
        <v>-166</v>
      </c>
    </row>
    <row r="342" spans="2:11" x14ac:dyDescent="0.25">
      <c r="B342">
        <v>-168</v>
      </c>
      <c r="C342">
        <v>0</v>
      </c>
      <c r="D342">
        <v>-144</v>
      </c>
      <c r="E342">
        <v>0</v>
      </c>
      <c r="F342">
        <v>0</v>
      </c>
      <c r="G342">
        <v>0</v>
      </c>
      <c r="H342">
        <v>0</v>
      </c>
      <c r="I342">
        <v>308</v>
      </c>
      <c r="J342">
        <v>-376</v>
      </c>
      <c r="K342">
        <v>0</v>
      </c>
    </row>
    <row r="343" spans="2:11" x14ac:dyDescent="0.25">
      <c r="B343">
        <v>2425</v>
      </c>
      <c r="C343">
        <v>-321</v>
      </c>
      <c r="D343">
        <v>-1141</v>
      </c>
      <c r="E343">
        <v>-58</v>
      </c>
      <c r="F343">
        <v>-294</v>
      </c>
      <c r="G343">
        <v>374</v>
      </c>
      <c r="H343">
        <v>-533</v>
      </c>
      <c r="I343">
        <v>-1250</v>
      </c>
      <c r="J343">
        <v>-1031</v>
      </c>
      <c r="K343">
        <v>0</v>
      </c>
    </row>
    <row r="344" spans="2:11" x14ac:dyDescent="0.25">
      <c r="B344">
        <v>488</v>
      </c>
      <c r="C344">
        <v>1762</v>
      </c>
      <c r="D344">
        <v>1621</v>
      </c>
      <c r="E344">
        <v>610</v>
      </c>
      <c r="F344">
        <v>-2324</v>
      </c>
      <c r="G344">
        <v>-5379</v>
      </c>
      <c r="H344">
        <v>-9776</v>
      </c>
      <c r="I344">
        <v>-10312</v>
      </c>
      <c r="J344">
        <v>-8356</v>
      </c>
      <c r="K344">
        <v>-6084</v>
      </c>
    </row>
    <row r="345" spans="2:11" x14ac:dyDescent="0.25">
      <c r="B345">
        <v>0</v>
      </c>
      <c r="C345">
        <v>3288</v>
      </c>
      <c r="D345">
        <v>3731</v>
      </c>
      <c r="E345">
        <v>2755</v>
      </c>
      <c r="F345">
        <v>-1757</v>
      </c>
      <c r="G345">
        <v>-18381</v>
      </c>
      <c r="H345">
        <v>-738</v>
      </c>
      <c r="I345">
        <v>-933</v>
      </c>
      <c r="J345">
        <v>-881</v>
      </c>
      <c r="K345">
        <v>-637</v>
      </c>
    </row>
    <row r="346" spans="2:11" x14ac:dyDescent="0.25">
      <c r="B346">
        <v>0</v>
      </c>
      <c r="C346">
        <v>959</v>
      </c>
      <c r="D346">
        <v>1350</v>
      </c>
      <c r="E346">
        <v>2597</v>
      </c>
      <c r="F346">
        <v>1109</v>
      </c>
      <c r="G346">
        <v>-9166</v>
      </c>
      <c r="H346">
        <v>-812</v>
      </c>
      <c r="I346">
        <v>-765</v>
      </c>
      <c r="J346">
        <v>6</v>
      </c>
      <c r="K346">
        <v>-414</v>
      </c>
    </row>
    <row r="347" spans="2:11" x14ac:dyDescent="0.25">
      <c r="B347">
        <v>756</v>
      </c>
      <c r="C347">
        <v>-56</v>
      </c>
      <c r="D347">
        <v>1669</v>
      </c>
      <c r="E347">
        <v>-166</v>
      </c>
      <c r="F347">
        <v>461</v>
      </c>
      <c r="G347">
        <v>62</v>
      </c>
      <c r="H347">
        <v>779</v>
      </c>
      <c r="I347">
        <v>1202</v>
      </c>
      <c r="J347">
        <v>3</v>
      </c>
      <c r="K347">
        <v>4</v>
      </c>
    </row>
    <row r="348" spans="2:11" x14ac:dyDescent="0.25">
      <c r="B348">
        <v>-40990</v>
      </c>
      <c r="C348">
        <v>-33776</v>
      </c>
      <c r="D348">
        <v>-39069</v>
      </c>
      <c r="E348">
        <v>-29278</v>
      </c>
      <c r="F348">
        <v>-14</v>
      </c>
      <c r="G348">
        <v>-156</v>
      </c>
      <c r="H348">
        <v>-18540</v>
      </c>
      <c r="I348">
        <v>-17811</v>
      </c>
      <c r="J348">
        <v>126</v>
      </c>
      <c r="K348">
        <v>-409</v>
      </c>
    </row>
    <row r="349" spans="2:11" x14ac:dyDescent="0.25">
      <c r="B349">
        <v>-2296</v>
      </c>
      <c r="C349">
        <v>-79</v>
      </c>
      <c r="D349">
        <v>0</v>
      </c>
      <c r="E349">
        <v>443</v>
      </c>
      <c r="F349">
        <v>0</v>
      </c>
      <c r="G349">
        <v>0</v>
      </c>
      <c r="H349">
        <v>0</v>
      </c>
      <c r="I349">
        <v>0</v>
      </c>
      <c r="J349">
        <v>462</v>
      </c>
      <c r="K349">
        <v>-43</v>
      </c>
    </row>
    <row r="350" spans="2:11" x14ac:dyDescent="0.25">
      <c r="B350">
        <v>0</v>
      </c>
      <c r="C350">
        <v>725</v>
      </c>
      <c r="D350">
        <v>3878</v>
      </c>
      <c r="E350">
        <v>10</v>
      </c>
      <c r="F350">
        <v>22</v>
      </c>
      <c r="G350">
        <v>-1381</v>
      </c>
      <c r="H350">
        <v>1503</v>
      </c>
      <c r="I350">
        <v>-2763</v>
      </c>
      <c r="J350">
        <v>-3779</v>
      </c>
      <c r="K350">
        <v>-5972</v>
      </c>
    </row>
    <row r="351" spans="2:11" x14ac:dyDescent="0.25">
      <c r="B351">
        <v>1596</v>
      </c>
      <c r="C351">
        <v>0</v>
      </c>
      <c r="D351">
        <v>1449</v>
      </c>
      <c r="E351">
        <v>-820</v>
      </c>
      <c r="F351">
        <v>-870</v>
      </c>
      <c r="G351">
        <v>22</v>
      </c>
      <c r="H351">
        <v>-822</v>
      </c>
      <c r="I351">
        <v>-1298</v>
      </c>
      <c r="J351">
        <v>44274</v>
      </c>
      <c r="K351">
        <v>51296</v>
      </c>
    </row>
    <row r="352" spans="2:11" x14ac:dyDescent="0.25">
      <c r="B352">
        <v>58254</v>
      </c>
      <c r="C352">
        <v>61631</v>
      </c>
      <c r="D352">
        <v>0</v>
      </c>
      <c r="E352">
        <v>-280</v>
      </c>
      <c r="F352">
        <v>-18659</v>
      </c>
      <c r="G352">
        <v>-28984</v>
      </c>
      <c r="H352">
        <v>-37000</v>
      </c>
      <c r="I352">
        <v>-35927</v>
      </c>
      <c r="J352">
        <v>1727</v>
      </c>
      <c r="K352">
        <v>916</v>
      </c>
    </row>
    <row r="353" spans="2:11" x14ac:dyDescent="0.25">
      <c r="B353">
        <v>-2481</v>
      </c>
      <c r="C353">
        <v>-4187</v>
      </c>
      <c r="D353">
        <v>0</v>
      </c>
      <c r="E353">
        <v>548</v>
      </c>
      <c r="F353">
        <v>-1412</v>
      </c>
      <c r="G353">
        <v>-761</v>
      </c>
      <c r="H353">
        <v>-3488</v>
      </c>
      <c r="I353">
        <v>-1411</v>
      </c>
      <c r="J353">
        <v>785</v>
      </c>
      <c r="K353">
        <v>606</v>
      </c>
    </row>
    <row r="354" spans="2:11" x14ac:dyDescent="0.25">
      <c r="B354">
        <v>-102</v>
      </c>
      <c r="C354">
        <v>78</v>
      </c>
      <c r="D354">
        <v>347</v>
      </c>
      <c r="E354">
        <v>204</v>
      </c>
      <c r="F354">
        <v>-35</v>
      </c>
      <c r="G354">
        <v>-52</v>
      </c>
      <c r="H354">
        <v>-86</v>
      </c>
      <c r="I354">
        <v>-56</v>
      </c>
      <c r="J354">
        <v>349</v>
      </c>
      <c r="K354">
        <v>263</v>
      </c>
    </row>
    <row r="355" spans="2:11" x14ac:dyDescent="0.25">
      <c r="B355">
        <v>117</v>
      </c>
      <c r="C355">
        <v>131</v>
      </c>
      <c r="D355">
        <v>1998</v>
      </c>
      <c r="E355">
        <v>1751</v>
      </c>
      <c r="F355">
        <v>-64</v>
      </c>
      <c r="G355">
        <v>-216</v>
      </c>
      <c r="H355">
        <v>32</v>
      </c>
      <c r="I355">
        <v>61</v>
      </c>
      <c r="J355">
        <v>745</v>
      </c>
      <c r="K355">
        <v>528</v>
      </c>
    </row>
    <row r="356" spans="2:11" x14ac:dyDescent="0.25">
      <c r="B356">
        <v>-607</v>
      </c>
      <c r="C356">
        <v>126</v>
      </c>
      <c r="D356">
        <v>-171</v>
      </c>
      <c r="E356">
        <v>-1529</v>
      </c>
      <c r="F356">
        <v>0</v>
      </c>
      <c r="G356">
        <v>-3370</v>
      </c>
      <c r="H356">
        <v>0</v>
      </c>
      <c r="I356">
        <v>0</v>
      </c>
      <c r="J356">
        <v>0</v>
      </c>
      <c r="K356">
        <v>0</v>
      </c>
    </row>
    <row r="357" spans="2:11" x14ac:dyDescent="0.25">
      <c r="B357">
        <v>-249</v>
      </c>
      <c r="C357">
        <v>48</v>
      </c>
      <c r="D357">
        <v>0</v>
      </c>
      <c r="E357">
        <v>-1469</v>
      </c>
      <c r="F357">
        <v>-36993</v>
      </c>
      <c r="G357">
        <v>30</v>
      </c>
      <c r="H357">
        <v>4</v>
      </c>
      <c r="I357">
        <v>-2640</v>
      </c>
      <c r="J357">
        <v>1660</v>
      </c>
      <c r="K357">
        <v>788</v>
      </c>
    </row>
    <row r="358" spans="2:11" x14ac:dyDescent="0.25">
      <c r="B358">
        <v>-3542</v>
      </c>
    </row>
  </sheetData>
  <pageMargins bottom="0.75" footer="0.3" header="0.3" left="0.7" right="0.7" top="0.75"/>
</worksheet>
</file>

<file path=xl/worksheets/sheet1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L186"/>
  <sheetViews>
    <sheetView workbookViewId="0">
      <selection activeCell="A8" sqref="A8:J63"/>
    </sheetView>
  </sheetViews>
  <sheetFormatPr defaultRowHeight="15" x14ac:dyDescent="0.25"/>
  <sheetData>
    <row r="1" spans="1:11" x14ac:dyDescent="0.25">
      <c r="A1" s="47" t="s">
        <v>92</v>
      </c>
      <c r="B1" s="48"/>
      <c r="C1" s="48"/>
      <c r="D1" s="48"/>
      <c r="E1" s="48"/>
      <c r="F1" s="48"/>
      <c r="G1" s="48"/>
      <c r="H1" s="48" t="s">
        <v>93</v>
      </c>
      <c r="I1" s="48"/>
      <c r="J1" s="48"/>
      <c r="K1" s="49"/>
    </row>
    <row r="2" spans="1:11" x14ac:dyDescent="0.25">
      <c r="A2" s="50">
        <v>1</v>
      </c>
      <c r="B2" s="51" t="s">
        <v>222</v>
      </c>
      <c r="C2" s="51"/>
      <c r="D2" s="51"/>
      <c r="E2" s="51"/>
      <c r="F2" s="51"/>
      <c r="G2" s="51"/>
      <c r="H2" s="51"/>
      <c r="I2" s="51"/>
      <c r="J2" s="51"/>
      <c r="K2" s="52"/>
    </row>
    <row r="3" spans="1:11" x14ac:dyDescent="0.25">
      <c r="A3" s="50">
        <v>2</v>
      </c>
      <c r="B3" s="51" t="s">
        <v>94</v>
      </c>
      <c r="C3" s="51"/>
      <c r="D3" s="51"/>
      <c r="E3" s="51"/>
      <c r="F3" s="51"/>
      <c r="G3" s="51"/>
      <c r="H3" s="51"/>
      <c r="I3" s="51"/>
      <c r="J3" s="51"/>
      <c r="K3" s="52"/>
    </row>
    <row r="4" spans="1:11" x14ac:dyDescent="0.25">
      <c r="A4" s="50">
        <v>3</v>
      </c>
      <c r="B4" s="51" t="s">
        <v>95</v>
      </c>
      <c r="C4" s="51"/>
      <c r="D4" s="51"/>
      <c r="E4" s="51"/>
      <c r="F4" s="51"/>
      <c r="G4" s="51"/>
      <c r="H4" s="51"/>
      <c r="I4" s="51"/>
      <c r="J4" s="51"/>
      <c r="K4" s="52"/>
    </row>
    <row r="5" spans="1:11" x14ac:dyDescent="0.25">
      <c r="A5" s="50">
        <v>4</v>
      </c>
      <c r="B5" s="51" t="s">
        <v>96</v>
      </c>
      <c r="C5" s="51"/>
      <c r="D5" s="51"/>
      <c r="E5" s="51"/>
      <c r="F5" s="51"/>
      <c r="G5" s="51"/>
      <c r="H5" s="51"/>
      <c r="I5" s="51"/>
      <c r="J5" s="51"/>
      <c r="K5" s="52"/>
    </row>
    <row r="6" spans="1:11" x14ac:dyDescent="0.25">
      <c r="A6" s="53"/>
      <c r="B6" s="54"/>
      <c r="C6" s="54"/>
      <c r="D6" s="54"/>
      <c r="E6" s="54"/>
      <c r="F6" s="54"/>
      <c r="G6" s="54"/>
      <c r="H6" s="54"/>
      <c r="I6" s="54"/>
      <c r="J6" s="54"/>
      <c r="K6" s="55"/>
    </row>
    <row r="8" spans="1:11" x14ac:dyDescent="0.25">
      <c r="A8" t="s">
        <v>97</v>
      </c>
      <c r="B8" t="s">
        <v>176</v>
      </c>
      <c r="C8" t="s">
        <v>177</v>
      </c>
    </row>
    <row r="9" spans="1:11" x14ac:dyDescent="0.25">
      <c r="A9" t="s">
        <v>100</v>
      </c>
      <c r="B9" t="s">
        <v>101</v>
      </c>
      <c r="C9" t="s">
        <v>102</v>
      </c>
      <c r="D9" t="s">
        <v>103</v>
      </c>
      <c r="E9">
        <v>4</v>
      </c>
      <c r="F9" s="56">
        <v>0.64906249999999999</v>
      </c>
      <c r="G9" t="s">
        <v>104</v>
      </c>
      <c r="H9">
        <v>7</v>
      </c>
      <c r="I9" t="s">
        <v>199</v>
      </c>
      <c r="J9">
        <v>12</v>
      </c>
    </row>
    <row r="10" spans="1:11" x14ac:dyDescent="0.25">
      <c r="A10" t="s">
        <v>105</v>
      </c>
    </row>
    <row r="11" spans="1:11" x14ac:dyDescent="0.25">
      <c r="B11">
        <v>11</v>
      </c>
      <c r="C11" t="s">
        <v>106</v>
      </c>
      <c r="D11" t="s">
        <v>109</v>
      </c>
      <c r="E11">
        <v>-0.45190000000000002</v>
      </c>
    </row>
    <row r="12" spans="1:11" x14ac:dyDescent="0.25">
      <c r="B12">
        <v>12</v>
      </c>
      <c r="C12" t="s">
        <v>108</v>
      </c>
      <c r="D12" t="s">
        <v>107</v>
      </c>
      <c r="E12">
        <v>-5</v>
      </c>
    </row>
    <row r="13" spans="1:11" x14ac:dyDescent="0.25">
      <c r="B13">
        <v>13</v>
      </c>
      <c r="C13" t="s">
        <v>110</v>
      </c>
      <c r="D13" t="s">
        <v>109</v>
      </c>
      <c r="E13">
        <v>-0.27489999999999998</v>
      </c>
      <c r="F13" s="57"/>
    </row>
    <row r="14" spans="1:11" x14ac:dyDescent="0.25">
      <c r="B14">
        <v>14</v>
      </c>
      <c r="C14" t="s">
        <v>111</v>
      </c>
      <c r="D14" t="s">
        <v>107</v>
      </c>
      <c r="E14">
        <v>0</v>
      </c>
    </row>
    <row r="15" spans="1:11" x14ac:dyDescent="0.25">
      <c r="B15">
        <v>15</v>
      </c>
      <c r="C15" t="s">
        <v>112</v>
      </c>
      <c r="D15" t="s">
        <v>109</v>
      </c>
      <c r="E15">
        <v>-0.4405</v>
      </c>
      <c r="F15" s="57"/>
    </row>
    <row r="16" spans="1:11" x14ac:dyDescent="0.25">
      <c r="B16">
        <v>16</v>
      </c>
      <c r="C16" t="s">
        <v>113</v>
      </c>
      <c r="D16" t="s">
        <v>109</v>
      </c>
      <c r="E16">
        <v>-0.1867</v>
      </c>
      <c r="F16" s="57"/>
    </row>
    <row r="17" spans="2:6" x14ac:dyDescent="0.25">
      <c r="B17">
        <v>17</v>
      </c>
      <c r="C17" t="s">
        <v>114</v>
      </c>
      <c r="D17" t="s">
        <v>109</v>
      </c>
      <c r="E17">
        <v>-1.6032</v>
      </c>
    </row>
    <row r="18" spans="2:6" x14ac:dyDescent="0.25">
      <c r="B18">
        <v>18</v>
      </c>
      <c r="C18" t="s">
        <v>115</v>
      </c>
      <c r="D18" t="s">
        <v>109</v>
      </c>
      <c r="E18">
        <v>-2.6232000000000002</v>
      </c>
    </row>
    <row r="19" spans="2:6" x14ac:dyDescent="0.25">
      <c r="B19">
        <v>19</v>
      </c>
      <c r="C19" t="s">
        <v>116</v>
      </c>
      <c r="D19" t="s">
        <v>109</v>
      </c>
      <c r="E19">
        <v>-4.4149000000000003</v>
      </c>
    </row>
    <row r="20" spans="2:6" x14ac:dyDescent="0.25">
      <c r="B20">
        <v>20</v>
      </c>
      <c r="C20" t="s">
        <v>117</v>
      </c>
      <c r="D20" t="s">
        <v>107</v>
      </c>
      <c r="E20">
        <v>-10</v>
      </c>
    </row>
    <row r="21" spans="2:6" x14ac:dyDescent="0.25">
      <c r="B21">
        <v>21</v>
      </c>
      <c r="C21" t="s">
        <v>118</v>
      </c>
      <c r="D21" t="s">
        <v>109</v>
      </c>
      <c r="E21">
        <v>2.5150000000000001</v>
      </c>
    </row>
    <row r="22" spans="2:6" x14ac:dyDescent="0.25">
      <c r="B22">
        <v>22</v>
      </c>
      <c r="C22" t="s">
        <v>119</v>
      </c>
      <c r="D22" t="s">
        <v>109</v>
      </c>
      <c r="E22" s="57">
        <v>0.43574099999999999</v>
      </c>
    </row>
    <row r="23" spans="2:6" x14ac:dyDescent="0.25">
      <c r="B23">
        <v>23</v>
      </c>
      <c r="C23" t="s">
        <v>120</v>
      </c>
      <c r="D23" t="s">
        <v>109</v>
      </c>
      <c r="E23">
        <v>0.84860599999999997</v>
      </c>
    </row>
    <row r="24" spans="2:6" x14ac:dyDescent="0.25">
      <c r="B24">
        <v>24</v>
      </c>
      <c r="C24" t="s">
        <v>121</v>
      </c>
      <c r="D24" t="s">
        <v>109</v>
      </c>
      <c r="E24">
        <v>0.78815900000000005</v>
      </c>
    </row>
    <row r="25" spans="2:6" x14ac:dyDescent="0.25">
      <c r="B25">
        <v>25</v>
      </c>
      <c r="C25" t="s">
        <v>122</v>
      </c>
      <c r="D25" t="s">
        <v>107</v>
      </c>
      <c r="E25">
        <v>0</v>
      </c>
    </row>
    <row r="26" spans="2:6" x14ac:dyDescent="0.25">
      <c r="B26">
        <v>26</v>
      </c>
      <c r="C26" t="s">
        <v>123</v>
      </c>
      <c r="D26" t="s">
        <v>109</v>
      </c>
      <c r="E26" s="57">
        <v>6.5059000000000006E-2</v>
      </c>
      <c r="F26" s="57"/>
    </row>
    <row r="27" spans="2:6" x14ac:dyDescent="0.25">
      <c r="B27">
        <v>27</v>
      </c>
      <c r="C27" t="s">
        <v>124</v>
      </c>
      <c r="D27" t="s">
        <v>109</v>
      </c>
      <c r="E27">
        <v>-9.9504999999999996E-2</v>
      </c>
    </row>
    <row r="28" spans="2:6" x14ac:dyDescent="0.25">
      <c r="B28">
        <v>28</v>
      </c>
      <c r="C28" t="s">
        <v>125</v>
      </c>
      <c r="D28" t="s">
        <v>109</v>
      </c>
      <c r="E28">
        <v>-8.7779999999999993E-3</v>
      </c>
    </row>
    <row r="29" spans="2:6" x14ac:dyDescent="0.25">
      <c r="B29">
        <v>29</v>
      </c>
      <c r="C29" t="s">
        <v>126</v>
      </c>
      <c r="D29" t="s">
        <v>109</v>
      </c>
      <c r="E29">
        <v>-1.58053</v>
      </c>
    </row>
    <row r="30" spans="2:6" x14ac:dyDescent="0.25">
      <c r="B30">
        <v>30</v>
      </c>
      <c r="C30" t="s">
        <v>127</v>
      </c>
      <c r="D30" t="s">
        <v>107</v>
      </c>
      <c r="E30">
        <v>-10</v>
      </c>
    </row>
    <row r="31" spans="2:6" x14ac:dyDescent="0.25">
      <c r="B31">
        <v>31</v>
      </c>
      <c r="C31" t="s">
        <v>178</v>
      </c>
      <c r="D31" t="s">
        <v>109</v>
      </c>
      <c r="E31">
        <v>1.9112849999999999</v>
      </c>
    </row>
    <row r="32" spans="2:6" x14ac:dyDescent="0.25">
      <c r="B32">
        <v>32</v>
      </c>
      <c r="C32" t="s">
        <v>179</v>
      </c>
      <c r="D32" t="s">
        <v>109</v>
      </c>
      <c r="E32">
        <v>1.531911</v>
      </c>
    </row>
    <row r="33" spans="2:6" x14ac:dyDescent="0.25">
      <c r="B33">
        <v>33</v>
      </c>
      <c r="C33" t="s">
        <v>180</v>
      </c>
      <c r="D33" t="s">
        <v>107</v>
      </c>
      <c r="E33">
        <v>0</v>
      </c>
    </row>
    <row r="34" spans="2:6" x14ac:dyDescent="0.25">
      <c r="B34">
        <v>34</v>
      </c>
      <c r="C34" t="s">
        <v>129</v>
      </c>
      <c r="D34" t="s">
        <v>109</v>
      </c>
      <c r="E34">
        <v>-2.3162820000000002</v>
      </c>
    </row>
    <row r="35" spans="2:6" x14ac:dyDescent="0.25">
      <c r="B35">
        <v>35</v>
      </c>
      <c r="C35" t="s">
        <v>130</v>
      </c>
      <c r="D35" t="s">
        <v>107</v>
      </c>
      <c r="E35">
        <v>-5</v>
      </c>
    </row>
    <row r="36" spans="2:6" x14ac:dyDescent="0.25">
      <c r="B36">
        <v>36</v>
      </c>
      <c r="C36" t="s">
        <v>131</v>
      </c>
      <c r="D36" t="s">
        <v>107</v>
      </c>
      <c r="E36">
        <v>-5</v>
      </c>
    </row>
    <row r="37" spans="2:6" x14ac:dyDescent="0.25">
      <c r="B37">
        <v>37</v>
      </c>
      <c r="C37" t="s">
        <v>181</v>
      </c>
      <c r="D37" t="s">
        <v>109</v>
      </c>
      <c r="E37" s="57">
        <v>5.1999999999999998E-2</v>
      </c>
    </row>
    <row r="38" spans="2:6" x14ac:dyDescent="0.25">
      <c r="B38">
        <v>38</v>
      </c>
      <c r="C38" t="s">
        <v>135</v>
      </c>
      <c r="D38" t="s">
        <v>107</v>
      </c>
      <c r="E38">
        <v>-10</v>
      </c>
    </row>
    <row r="39" spans="2:6" x14ac:dyDescent="0.25">
      <c r="B39">
        <v>39</v>
      </c>
      <c r="C39" t="s">
        <v>136</v>
      </c>
      <c r="D39" t="s">
        <v>107</v>
      </c>
      <c r="E39">
        <v>-10</v>
      </c>
    </row>
    <row r="40" spans="2:6" x14ac:dyDescent="0.25">
      <c r="B40">
        <v>41</v>
      </c>
      <c r="C40" t="s">
        <v>138</v>
      </c>
      <c r="D40" t="s">
        <v>109</v>
      </c>
      <c r="E40" s="57">
        <v>2.5999999999999999E-3</v>
      </c>
      <c r="F40" s="57"/>
    </row>
    <row r="41" spans="2:6" x14ac:dyDescent="0.25">
      <c r="B41">
        <v>42</v>
      </c>
      <c r="C41" t="s">
        <v>139</v>
      </c>
      <c r="D41" t="s">
        <v>109</v>
      </c>
      <c r="E41" s="57">
        <v>0.12809999999999999</v>
      </c>
      <c r="F41" s="57"/>
    </row>
    <row r="42" spans="2:6" x14ac:dyDescent="0.25">
      <c r="B42">
        <v>85</v>
      </c>
      <c r="C42" t="s">
        <v>152</v>
      </c>
      <c r="D42" t="s">
        <v>107</v>
      </c>
      <c r="E42" s="57">
        <v>0.25</v>
      </c>
      <c r="F42" s="57"/>
    </row>
    <row r="43" spans="2:6" x14ac:dyDescent="0.25">
      <c r="B43">
        <v>86</v>
      </c>
      <c r="C43" t="s">
        <v>153</v>
      </c>
      <c r="D43" t="s">
        <v>107</v>
      </c>
      <c r="E43">
        <v>0.25</v>
      </c>
      <c r="F43" s="57"/>
    </row>
    <row r="44" spans="2:6" x14ac:dyDescent="0.25">
      <c r="B44">
        <v>87</v>
      </c>
      <c r="C44" t="s">
        <v>154</v>
      </c>
      <c r="D44" t="s">
        <v>107</v>
      </c>
      <c r="E44" s="57">
        <v>0.25</v>
      </c>
      <c r="F44" s="57"/>
    </row>
    <row r="45" spans="2:6" x14ac:dyDescent="0.25">
      <c r="B45">
        <v>88</v>
      </c>
      <c r="C45" t="s">
        <v>155</v>
      </c>
      <c r="D45" t="s">
        <v>107</v>
      </c>
      <c r="E45">
        <v>0.25</v>
      </c>
      <c r="F45" s="57"/>
    </row>
    <row r="46" spans="2:6" x14ac:dyDescent="0.25">
      <c r="B46">
        <v>91</v>
      </c>
      <c r="C46" t="s">
        <v>182</v>
      </c>
      <c r="D46" t="s">
        <v>109</v>
      </c>
      <c r="E46" s="57">
        <v>2</v>
      </c>
      <c r="F46" s="57"/>
    </row>
    <row r="47" spans="2:6" x14ac:dyDescent="0.25">
      <c r="B47">
        <v>92</v>
      </c>
      <c r="C47" t="s">
        <v>183</v>
      </c>
      <c r="D47" t="s">
        <v>109</v>
      </c>
      <c r="E47">
        <v>2.0366</v>
      </c>
      <c r="F47" s="57"/>
    </row>
    <row r="48" spans="2:6" x14ac:dyDescent="0.25">
      <c r="B48">
        <v>93</v>
      </c>
      <c r="C48" t="s">
        <v>158</v>
      </c>
      <c r="D48" t="s">
        <v>109</v>
      </c>
      <c r="E48" s="57">
        <v>0.16059999999999999</v>
      </c>
      <c r="F48" s="57"/>
    </row>
    <row r="49" spans="2:11" x14ac:dyDescent="0.25">
      <c r="B49">
        <v>94</v>
      </c>
      <c r="C49" t="s">
        <v>159</v>
      </c>
      <c r="D49" t="s">
        <v>109</v>
      </c>
      <c r="E49" s="57">
        <v>6.6500000000000004E-2</v>
      </c>
      <c r="F49" s="57"/>
    </row>
    <row r="50" spans="2:11" x14ac:dyDescent="0.25">
      <c r="B50">
        <v>124</v>
      </c>
      <c r="C50" t="s">
        <v>165</v>
      </c>
      <c r="D50" t="s">
        <v>109</v>
      </c>
      <c r="E50" s="57">
        <v>0.622</v>
      </c>
      <c r="F50" s="57"/>
    </row>
    <row r="51" spans="2:11" x14ac:dyDescent="0.25">
      <c r="B51">
        <v>145</v>
      </c>
      <c r="C51" t="s">
        <v>184</v>
      </c>
      <c r="D51" t="s">
        <v>109</v>
      </c>
      <c r="E51" s="57">
        <v>0.18190000000000001</v>
      </c>
      <c r="F51" s="57"/>
    </row>
    <row r="52" spans="2:11" x14ac:dyDescent="0.25">
      <c r="B52">
        <v>146</v>
      </c>
      <c r="C52" t="s">
        <v>185</v>
      </c>
      <c r="D52" t="s">
        <v>109</v>
      </c>
      <c r="E52" s="57">
        <v>-1.9103000000000001</v>
      </c>
      <c r="F52" s="57"/>
    </row>
    <row r="53" spans="2:11" x14ac:dyDescent="0.25">
      <c r="B53">
        <v>147</v>
      </c>
      <c r="C53" t="s">
        <v>186</v>
      </c>
      <c r="D53" t="s">
        <v>109</v>
      </c>
      <c r="E53" s="57">
        <v>5.8099999999999999E-2</v>
      </c>
      <c r="F53" s="57"/>
    </row>
    <row r="54" spans="2:11" x14ac:dyDescent="0.25">
      <c r="B54">
        <v>148</v>
      </c>
      <c r="C54" t="s">
        <v>187</v>
      </c>
      <c r="D54" t="s">
        <v>109</v>
      </c>
      <c r="E54" s="57">
        <v>-0.88929999999999998</v>
      </c>
      <c r="F54" s="57"/>
    </row>
    <row r="55" spans="2:11" x14ac:dyDescent="0.25">
      <c r="B55">
        <v>149</v>
      </c>
      <c r="C55" t="s">
        <v>188</v>
      </c>
      <c r="D55" t="s">
        <v>109</v>
      </c>
      <c r="E55" s="57">
        <v>4.7300000000000002E-2</v>
      </c>
      <c r="F55" s="57"/>
    </row>
    <row r="56" spans="2:11" x14ac:dyDescent="0.25">
      <c r="B56">
        <v>150</v>
      </c>
      <c r="C56" t="s">
        <v>189</v>
      </c>
      <c r="D56" t="s">
        <v>109</v>
      </c>
      <c r="E56" s="57">
        <v>-0.35170000000000001</v>
      </c>
      <c r="F56" s="57"/>
    </row>
    <row r="57" spans="2:11" x14ac:dyDescent="0.25">
      <c r="B57">
        <v>151</v>
      </c>
      <c r="C57" t="s">
        <v>190</v>
      </c>
      <c r="D57" t="s">
        <v>109</v>
      </c>
      <c r="E57">
        <v>0.15</v>
      </c>
      <c r="F57" s="57"/>
    </row>
    <row r="58" spans="2:11" x14ac:dyDescent="0.25">
      <c r="B58">
        <v>152</v>
      </c>
      <c r="C58" t="s">
        <v>191</v>
      </c>
      <c r="D58" t="s">
        <v>109</v>
      </c>
      <c r="E58" s="57">
        <v>-3.7699999999999997E-2</v>
      </c>
    </row>
    <row r="59" spans="2:11" x14ac:dyDescent="0.25">
      <c r="B59">
        <v>153</v>
      </c>
      <c r="C59" t="s">
        <v>192</v>
      </c>
      <c r="D59" t="s">
        <v>109</v>
      </c>
      <c r="E59" s="57">
        <v>1.6199999999999999E-2</v>
      </c>
      <c r="F59" s="57"/>
    </row>
    <row r="60" spans="2:11" x14ac:dyDescent="0.25">
      <c r="B60">
        <v>154</v>
      </c>
      <c r="C60" t="s">
        <v>193</v>
      </c>
      <c r="D60" t="s">
        <v>109</v>
      </c>
      <c r="E60" s="57">
        <v>-0.29959999999999998</v>
      </c>
    </row>
    <row r="61" spans="2:11" x14ac:dyDescent="0.25">
      <c r="B61">
        <v>-1</v>
      </c>
      <c r="F61" s="57"/>
    </row>
    <row r="62" spans="2:11" x14ac:dyDescent="0.25">
      <c r="B62">
        <v>587</v>
      </c>
      <c r="C62" s="57">
        <v>-2207.08016249</v>
      </c>
      <c r="D62" s="57">
        <v>-2901.9892053499998</v>
      </c>
      <c r="E62" s="57">
        <v>1</v>
      </c>
      <c r="F62" s="57"/>
    </row>
    <row r="63" spans="2:11" x14ac:dyDescent="0.25">
      <c r="B63">
        <v>0</v>
      </c>
      <c r="C63" s="88">
        <v>4.8157291666666664</v>
      </c>
      <c r="D63" t="s">
        <v>104</v>
      </c>
      <c r="E63">
        <v>7</v>
      </c>
      <c r="F63" s="57" t="s">
        <v>199</v>
      </c>
      <c r="G63">
        <v>12</v>
      </c>
    </row>
    <row r="64" spans="2:11" x14ac:dyDescent="0.25">
      <c r="B64">
        <v>0</v>
      </c>
      <c r="C64">
        <v>1236</v>
      </c>
      <c r="D64">
        <v>0</v>
      </c>
      <c r="E64" s="57">
        <v>0</v>
      </c>
      <c r="F64" s="57">
        <v>0</v>
      </c>
      <c r="G64">
        <v>0</v>
      </c>
      <c r="H64">
        <v>-1605</v>
      </c>
      <c r="I64">
        <v>0</v>
      </c>
      <c r="J64">
        <v>20141</v>
      </c>
      <c r="K64">
        <v>0</v>
      </c>
    </row>
    <row r="65" spans="2:11" x14ac:dyDescent="0.25">
      <c r="B65">
        <v>-3161</v>
      </c>
      <c r="C65">
        <v>0</v>
      </c>
      <c r="D65">
        <v>11767</v>
      </c>
      <c r="E65">
        <v>0</v>
      </c>
      <c r="F65">
        <v>71051</v>
      </c>
      <c r="G65">
        <v>-3072</v>
      </c>
      <c r="H65">
        <v>0</v>
      </c>
      <c r="I65">
        <v>8555</v>
      </c>
      <c r="J65">
        <v>0</v>
      </c>
      <c r="K65">
        <v>61968</v>
      </c>
    </row>
    <row r="66" spans="2:11" x14ac:dyDescent="0.25">
      <c r="B66">
        <v>91284</v>
      </c>
      <c r="C66">
        <v>-2052</v>
      </c>
      <c r="D66">
        <v>0</v>
      </c>
      <c r="E66">
        <v>5208</v>
      </c>
      <c r="F66">
        <v>0</v>
      </c>
      <c r="G66">
        <v>42183</v>
      </c>
      <c r="H66">
        <v>64537</v>
      </c>
      <c r="I66">
        <v>72605</v>
      </c>
      <c r="J66">
        <v>-798</v>
      </c>
      <c r="K66">
        <v>0</v>
      </c>
    </row>
    <row r="67" spans="2:11" x14ac:dyDescent="0.25">
      <c r="B67">
        <v>1363</v>
      </c>
      <c r="C67">
        <v>0</v>
      </c>
      <c r="D67">
        <v>14272</v>
      </c>
      <c r="E67" s="57">
        <v>22966</v>
      </c>
      <c r="F67">
        <v>26860</v>
      </c>
      <c r="G67">
        <v>35403</v>
      </c>
      <c r="H67">
        <v>0</v>
      </c>
      <c r="I67">
        <v>0</v>
      </c>
      <c r="J67">
        <v>0</v>
      </c>
      <c r="K67">
        <v>0</v>
      </c>
    </row>
    <row r="68" spans="2:11" x14ac:dyDescent="0.25">
      <c r="B68">
        <v>0</v>
      </c>
      <c r="C68">
        <v>0</v>
      </c>
      <c r="D68">
        <v>0</v>
      </c>
      <c r="E68">
        <v>0</v>
      </c>
      <c r="F68" s="57">
        <v>0</v>
      </c>
      <c r="G68">
        <v>-39154</v>
      </c>
      <c r="H68">
        <v>0</v>
      </c>
      <c r="I68">
        <v>9156</v>
      </c>
      <c r="J68">
        <v>0</v>
      </c>
      <c r="K68">
        <v>19211</v>
      </c>
    </row>
    <row r="69" spans="2:11" x14ac:dyDescent="0.25">
      <c r="B69">
        <v>23506</v>
      </c>
      <c r="C69">
        <v>24171</v>
      </c>
      <c r="D69">
        <v>31432</v>
      </c>
      <c r="E69">
        <v>10391</v>
      </c>
      <c r="F69" s="57">
        <v>0</v>
      </c>
      <c r="G69">
        <v>-651</v>
      </c>
      <c r="H69">
        <v>0</v>
      </c>
      <c r="I69">
        <v>-3437</v>
      </c>
      <c r="J69">
        <v>0</v>
      </c>
      <c r="K69">
        <v>17864</v>
      </c>
    </row>
    <row r="70" spans="2:11" x14ac:dyDescent="0.25">
      <c r="B70">
        <v>36979</v>
      </c>
      <c r="C70">
        <v>40374</v>
      </c>
      <c r="D70">
        <v>54882</v>
      </c>
      <c r="E70" s="57">
        <v>18528</v>
      </c>
      <c r="F70" s="57">
        <v>0</v>
      </c>
      <c r="G70">
        <v>55202</v>
      </c>
      <c r="H70">
        <v>201</v>
      </c>
      <c r="I70">
        <v>0</v>
      </c>
      <c r="J70">
        <v>1091</v>
      </c>
      <c r="K70">
        <v>0</v>
      </c>
    </row>
    <row r="71" spans="2:11" x14ac:dyDescent="0.25">
      <c r="B71">
        <v>-722</v>
      </c>
      <c r="C71">
        <v>248</v>
      </c>
      <c r="D71">
        <v>11445</v>
      </c>
      <c r="E71" s="57">
        <v>44121</v>
      </c>
      <c r="F71" s="57">
        <v>14786</v>
      </c>
      <c r="G71">
        <v>0</v>
      </c>
      <c r="H71">
        <v>50152</v>
      </c>
      <c r="I71">
        <v>83379</v>
      </c>
      <c r="J71">
        <v>136</v>
      </c>
      <c r="K71">
        <v>0</v>
      </c>
    </row>
    <row r="72" spans="2:11" x14ac:dyDescent="0.25">
      <c r="B72">
        <v>788</v>
      </c>
      <c r="C72">
        <v>0</v>
      </c>
      <c r="D72">
        <v>-863</v>
      </c>
      <c r="E72" s="57">
        <v>-1863</v>
      </c>
      <c r="F72" s="57">
        <v>3882</v>
      </c>
      <c r="G72">
        <v>44231</v>
      </c>
      <c r="H72">
        <v>14432</v>
      </c>
      <c r="I72">
        <v>0</v>
      </c>
      <c r="J72">
        <v>43887</v>
      </c>
      <c r="K72">
        <v>74982</v>
      </c>
    </row>
    <row r="73" spans="2:11" x14ac:dyDescent="0.25">
      <c r="B73">
        <v>93102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</row>
    <row r="74" spans="2:11" x14ac:dyDescent="0.25">
      <c r="B74">
        <v>0</v>
      </c>
      <c r="C74" s="57">
        <v>0</v>
      </c>
      <c r="D74" s="57">
        <v>0</v>
      </c>
      <c r="E74" s="57">
        <v>0</v>
      </c>
      <c r="F74">
        <v>0</v>
      </c>
      <c r="G74">
        <v>-166</v>
      </c>
      <c r="H74">
        <v>0</v>
      </c>
      <c r="I74">
        <v>-231</v>
      </c>
      <c r="J74">
        <v>0</v>
      </c>
      <c r="K74">
        <v>368</v>
      </c>
    </row>
    <row r="75" spans="2:11" x14ac:dyDescent="0.25">
      <c r="B75">
        <v>990</v>
      </c>
      <c r="C75">
        <v>1096</v>
      </c>
      <c r="D75">
        <v>-21685</v>
      </c>
      <c r="E75">
        <v>-6714</v>
      </c>
      <c r="F75">
        <v>0</v>
      </c>
      <c r="G75">
        <v>1086</v>
      </c>
      <c r="H75">
        <v>3114</v>
      </c>
      <c r="I75">
        <v>5940</v>
      </c>
      <c r="J75">
        <v>9244</v>
      </c>
      <c r="K75">
        <v>0</v>
      </c>
    </row>
    <row r="76" spans="2:11" x14ac:dyDescent="0.25">
      <c r="B76">
        <v>-374</v>
      </c>
      <c r="C76">
        <v>0</v>
      </c>
      <c r="D76">
        <v>-592</v>
      </c>
      <c r="E76">
        <v>0</v>
      </c>
      <c r="F76">
        <v>1015</v>
      </c>
      <c r="G76">
        <v>2932</v>
      </c>
      <c r="H76">
        <v>3816</v>
      </c>
      <c r="I76">
        <v>-19419</v>
      </c>
      <c r="J76">
        <v>-5357</v>
      </c>
      <c r="K76">
        <v>0</v>
      </c>
    </row>
    <row r="77" spans="2:11" x14ac:dyDescent="0.25">
      <c r="B77">
        <v>-3650</v>
      </c>
      <c r="C77">
        <v>-4290</v>
      </c>
      <c r="D77">
        <v>-3021</v>
      </c>
      <c r="E77">
        <v>404</v>
      </c>
      <c r="F77">
        <v>0</v>
      </c>
      <c r="G77">
        <v>34786</v>
      </c>
      <c r="H77">
        <v>-188</v>
      </c>
      <c r="I77">
        <v>0</v>
      </c>
      <c r="J77">
        <v>-399</v>
      </c>
      <c r="K77">
        <v>0</v>
      </c>
    </row>
    <row r="78" spans="2:11" x14ac:dyDescent="0.25">
      <c r="B78">
        <v>511</v>
      </c>
      <c r="C78">
        <v>1244</v>
      </c>
      <c r="D78">
        <v>1251</v>
      </c>
      <c r="E78">
        <v>-10420</v>
      </c>
      <c r="F78">
        <v>-30961</v>
      </c>
      <c r="G78">
        <v>0</v>
      </c>
      <c r="H78">
        <v>-4022</v>
      </c>
      <c r="I78">
        <v>-5407</v>
      </c>
      <c r="J78">
        <v>-4656</v>
      </c>
      <c r="K78">
        <v>-1845</v>
      </c>
    </row>
    <row r="79" spans="2:11" x14ac:dyDescent="0.25">
      <c r="B79">
        <v>0</v>
      </c>
      <c r="C79">
        <v>18051</v>
      </c>
      <c r="D79">
        <v>19364</v>
      </c>
      <c r="E79">
        <v>-265</v>
      </c>
      <c r="F79">
        <v>0</v>
      </c>
      <c r="G79">
        <v>-374</v>
      </c>
      <c r="H79">
        <v>0</v>
      </c>
      <c r="I79">
        <v>564</v>
      </c>
      <c r="J79">
        <v>1167</v>
      </c>
      <c r="K79">
        <v>1065</v>
      </c>
    </row>
    <row r="80" spans="2:11" x14ac:dyDescent="0.25">
      <c r="B80">
        <v>-6232</v>
      </c>
      <c r="C80">
        <v>-82413</v>
      </c>
      <c r="D80">
        <v>0</v>
      </c>
      <c r="E80">
        <v>-5075</v>
      </c>
      <c r="F80">
        <v>-6993</v>
      </c>
      <c r="G80">
        <v>-6426</v>
      </c>
      <c r="H80">
        <v>-3480</v>
      </c>
      <c r="I80">
        <v>0</v>
      </c>
      <c r="J80">
        <v>12020</v>
      </c>
      <c r="K80">
        <v>13874</v>
      </c>
    </row>
    <row r="81" spans="2:11" x14ac:dyDescent="0.25">
      <c r="B81">
        <v>36199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</row>
    <row r="82" spans="2:11" x14ac:dyDescent="0.25"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</row>
    <row r="83" spans="2:11" x14ac:dyDescent="0.25">
      <c r="B83">
        <v>-922</v>
      </c>
      <c r="C83">
        <v>0</v>
      </c>
      <c r="D83">
        <v>-103</v>
      </c>
      <c r="E83">
        <v>0</v>
      </c>
      <c r="F83">
        <v>-415</v>
      </c>
      <c r="G83">
        <v>198</v>
      </c>
      <c r="H83">
        <v>283</v>
      </c>
      <c r="I83">
        <v>700</v>
      </c>
      <c r="J83">
        <v>-346</v>
      </c>
      <c r="K83">
        <v>0</v>
      </c>
    </row>
    <row r="84" spans="2:11" x14ac:dyDescent="0.25">
      <c r="B84">
        <v>30</v>
      </c>
      <c r="C84">
        <v>-716</v>
      </c>
      <c r="D84">
        <v>-678</v>
      </c>
      <c r="E84">
        <v>-292</v>
      </c>
      <c r="F84">
        <v>0</v>
      </c>
      <c r="G84">
        <v>474</v>
      </c>
      <c r="H84">
        <v>431</v>
      </c>
      <c r="I84">
        <v>76</v>
      </c>
      <c r="J84">
        <v>750</v>
      </c>
      <c r="K84">
        <v>0</v>
      </c>
    </row>
    <row r="85" spans="2:11" x14ac:dyDescent="0.25">
      <c r="B85">
        <v>-617</v>
      </c>
      <c r="C85">
        <v>0</v>
      </c>
      <c r="D85">
        <v>-94</v>
      </c>
      <c r="E85">
        <v>0</v>
      </c>
      <c r="F85">
        <v>-573</v>
      </c>
      <c r="G85">
        <v>-73</v>
      </c>
      <c r="H85">
        <v>212</v>
      </c>
      <c r="I85">
        <v>1047</v>
      </c>
      <c r="J85">
        <v>-925</v>
      </c>
      <c r="K85">
        <v>0</v>
      </c>
    </row>
    <row r="86" spans="2:11" x14ac:dyDescent="0.25">
      <c r="B86">
        <v>794</v>
      </c>
      <c r="C86">
        <v>708</v>
      </c>
      <c r="D86">
        <v>881</v>
      </c>
      <c r="E86">
        <v>849</v>
      </c>
      <c r="F86">
        <v>0</v>
      </c>
      <c r="G86">
        <v>232</v>
      </c>
      <c r="H86">
        <v>56</v>
      </c>
      <c r="I86">
        <v>39</v>
      </c>
      <c r="J86">
        <v>1269</v>
      </c>
      <c r="K86">
        <v>0</v>
      </c>
    </row>
    <row r="87" spans="2:11" x14ac:dyDescent="0.25">
      <c r="B87">
        <v>90926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</row>
    <row r="88" spans="2:11" x14ac:dyDescent="0.25"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</row>
    <row r="89" spans="2:11" x14ac:dyDescent="0.25">
      <c r="B89">
        <v>0</v>
      </c>
      <c r="C89">
        <v>0</v>
      </c>
      <c r="D89">
        <v>0</v>
      </c>
      <c r="E89">
        <v>438</v>
      </c>
      <c r="F89">
        <v>0</v>
      </c>
      <c r="G89">
        <v>-9</v>
      </c>
      <c r="H89">
        <v>0</v>
      </c>
      <c r="I89">
        <v>-290</v>
      </c>
      <c r="J89">
        <v>-847</v>
      </c>
      <c r="K89">
        <v>-1765</v>
      </c>
    </row>
    <row r="90" spans="2:11" x14ac:dyDescent="0.25">
      <c r="B90">
        <v>-1385</v>
      </c>
      <c r="C90">
        <v>7446</v>
      </c>
      <c r="D90">
        <v>0</v>
      </c>
      <c r="E90">
        <v>-79</v>
      </c>
      <c r="F90">
        <v>157</v>
      </c>
      <c r="G90">
        <v>493</v>
      </c>
      <c r="H90">
        <v>1375</v>
      </c>
      <c r="I90">
        <v>0</v>
      </c>
      <c r="J90">
        <v>286</v>
      </c>
      <c r="K90">
        <v>-87</v>
      </c>
    </row>
    <row r="91" spans="2:11" x14ac:dyDescent="0.25">
      <c r="B91">
        <v>-2246</v>
      </c>
      <c r="C91">
        <v>-8777</v>
      </c>
      <c r="D91">
        <v>0</v>
      </c>
      <c r="E91">
        <v>8862</v>
      </c>
      <c r="F91">
        <v>23242</v>
      </c>
      <c r="G91">
        <v>0</v>
      </c>
      <c r="H91">
        <v>0</v>
      </c>
      <c r="I91">
        <v>0</v>
      </c>
      <c r="J91">
        <v>0</v>
      </c>
      <c r="K91">
        <v>0</v>
      </c>
    </row>
    <row r="92" spans="2:11" x14ac:dyDescent="0.25"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</row>
    <row r="93" spans="2:11" x14ac:dyDescent="0.25"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</row>
    <row r="94" spans="2:11" x14ac:dyDescent="0.25"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</row>
    <row r="95" spans="2:11" x14ac:dyDescent="0.25"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</row>
    <row r="96" spans="2:11" x14ac:dyDescent="0.25"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</row>
    <row r="97" spans="2:11" x14ac:dyDescent="0.25"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</row>
    <row r="98" spans="2:11" x14ac:dyDescent="0.25"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</row>
    <row r="99" spans="2:11" x14ac:dyDescent="0.25"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</row>
    <row r="100" spans="2:11" x14ac:dyDescent="0.25"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</row>
    <row r="101" spans="2:11" x14ac:dyDescent="0.25"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</row>
    <row r="102" spans="2:11" x14ac:dyDescent="0.25"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</row>
    <row r="103" spans="2:11" x14ac:dyDescent="0.25"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</row>
    <row r="104" spans="2:11" x14ac:dyDescent="0.25"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5775</v>
      </c>
      <c r="I104">
        <v>0</v>
      </c>
      <c r="J104">
        <v>1160</v>
      </c>
      <c r="K104">
        <v>0</v>
      </c>
    </row>
    <row r="105" spans="2:11" x14ac:dyDescent="0.25">
      <c r="B105">
        <v>381</v>
      </c>
      <c r="C105">
        <v>-167</v>
      </c>
      <c r="D105">
        <v>733</v>
      </c>
      <c r="E105">
        <v>1237</v>
      </c>
      <c r="F105">
        <v>-535</v>
      </c>
      <c r="G105">
        <v>0</v>
      </c>
      <c r="H105">
        <v>649</v>
      </c>
      <c r="I105">
        <v>-2465</v>
      </c>
      <c r="J105">
        <v>-2142</v>
      </c>
      <c r="K105">
        <v>-2500</v>
      </c>
    </row>
    <row r="106" spans="2:11" x14ac:dyDescent="0.25">
      <c r="B106">
        <v>0</v>
      </c>
      <c r="C106">
        <v>-736</v>
      </c>
      <c r="D106">
        <v>-3203</v>
      </c>
      <c r="E106">
        <v>-1374</v>
      </c>
      <c r="F106">
        <v>-2092</v>
      </c>
      <c r="G106">
        <v>0</v>
      </c>
      <c r="H106">
        <v>-4</v>
      </c>
      <c r="I106">
        <v>14</v>
      </c>
      <c r="J106">
        <v>0</v>
      </c>
      <c r="K106">
        <v>-13</v>
      </c>
    </row>
    <row r="107" spans="2:11" x14ac:dyDescent="0.25">
      <c r="B107">
        <v>0</v>
      </c>
      <c r="C107">
        <v>0</v>
      </c>
      <c r="D107">
        <v>0</v>
      </c>
      <c r="E107">
        <v>0</v>
      </c>
      <c r="F107">
        <v>0</v>
      </c>
      <c r="G107">
        <v>1005</v>
      </c>
      <c r="H107">
        <v>0</v>
      </c>
      <c r="I107">
        <v>238</v>
      </c>
      <c r="J107">
        <v>0</v>
      </c>
      <c r="K107">
        <v>-802</v>
      </c>
    </row>
    <row r="108" spans="2:11" x14ac:dyDescent="0.25">
      <c r="B108">
        <v>-1217</v>
      </c>
      <c r="C108">
        <v>-1270</v>
      </c>
      <c r="D108">
        <v>-1157</v>
      </c>
      <c r="E108">
        <v>2607</v>
      </c>
      <c r="F108">
        <v>0</v>
      </c>
      <c r="G108">
        <v>-129</v>
      </c>
      <c r="H108">
        <v>-1084</v>
      </c>
      <c r="I108">
        <v>-687</v>
      </c>
      <c r="J108">
        <v>-933</v>
      </c>
      <c r="K108">
        <v>0</v>
      </c>
    </row>
    <row r="109" spans="2:11" x14ac:dyDescent="0.25">
      <c r="B109">
        <v>-191</v>
      </c>
      <c r="C109">
        <v>-766</v>
      </c>
      <c r="D109">
        <v>-1823</v>
      </c>
      <c r="E109">
        <v>-4075</v>
      </c>
      <c r="F109">
        <v>0</v>
      </c>
      <c r="G109">
        <v>2844</v>
      </c>
      <c r="H109">
        <v>2570</v>
      </c>
      <c r="I109">
        <v>0</v>
      </c>
      <c r="J109">
        <v>-4012</v>
      </c>
      <c r="K109">
        <v>0</v>
      </c>
    </row>
    <row r="110" spans="2:11" x14ac:dyDescent="0.25">
      <c r="B110">
        <v>0</v>
      </c>
      <c r="C110">
        <v>0</v>
      </c>
      <c r="D110">
        <v>0</v>
      </c>
      <c r="E110">
        <v>0</v>
      </c>
      <c r="F110">
        <v>13290</v>
      </c>
      <c r="G110">
        <v>0</v>
      </c>
      <c r="H110">
        <v>0</v>
      </c>
      <c r="I110">
        <v>0</v>
      </c>
      <c r="J110">
        <v>0</v>
      </c>
      <c r="K110">
        <v>0</v>
      </c>
    </row>
    <row r="111" spans="2:11" x14ac:dyDescent="0.25"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</row>
    <row r="112" spans="2:11" x14ac:dyDescent="0.25"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</row>
    <row r="113" spans="2:11" x14ac:dyDescent="0.25"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</row>
    <row r="114" spans="2:11" x14ac:dyDescent="0.25"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</row>
    <row r="115" spans="2:11" x14ac:dyDescent="0.25"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</row>
    <row r="116" spans="2:11" x14ac:dyDescent="0.25"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</row>
    <row r="117" spans="2:11" x14ac:dyDescent="0.25"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</row>
    <row r="118" spans="2:11" x14ac:dyDescent="0.25"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</row>
    <row r="119" spans="2:11" x14ac:dyDescent="0.25"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</row>
    <row r="120" spans="2:11" x14ac:dyDescent="0.25"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</row>
    <row r="121" spans="2:11" x14ac:dyDescent="0.25"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</row>
    <row r="122" spans="2:11" x14ac:dyDescent="0.25"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</row>
    <row r="123" spans="2:11" x14ac:dyDescent="0.25">
      <c r="B123">
        <v>0</v>
      </c>
      <c r="C123">
        <v>0</v>
      </c>
      <c r="D123">
        <v>0</v>
      </c>
      <c r="E123">
        <v>0</v>
      </c>
      <c r="F123">
        <v>0</v>
      </c>
      <c r="G123">
        <v>432</v>
      </c>
      <c r="H123">
        <v>0</v>
      </c>
      <c r="I123">
        <v>2811</v>
      </c>
      <c r="J123">
        <v>0</v>
      </c>
      <c r="K123">
        <v>-4590</v>
      </c>
    </row>
    <row r="124" spans="2:11" x14ac:dyDescent="0.25">
      <c r="B124">
        <v>-7138</v>
      </c>
      <c r="C124">
        <v>-7447</v>
      </c>
      <c r="D124">
        <v>-4430</v>
      </c>
      <c r="E124">
        <v>-1335</v>
      </c>
      <c r="F124">
        <v>0</v>
      </c>
      <c r="G124">
        <v>580</v>
      </c>
      <c r="H124">
        <v>-1494</v>
      </c>
      <c r="I124">
        <v>312</v>
      </c>
      <c r="J124">
        <v>1212</v>
      </c>
      <c r="K124">
        <v>0</v>
      </c>
    </row>
    <row r="125" spans="2:11" x14ac:dyDescent="0.25">
      <c r="B125">
        <v>-871</v>
      </c>
      <c r="C125">
        <v>-640</v>
      </c>
      <c r="D125">
        <v>-813</v>
      </c>
      <c r="E125">
        <v>-511</v>
      </c>
      <c r="F125">
        <v>0</v>
      </c>
      <c r="G125">
        <v>-1165</v>
      </c>
      <c r="H125">
        <v>-370</v>
      </c>
      <c r="I125">
        <v>0</v>
      </c>
      <c r="J125">
        <v>366</v>
      </c>
      <c r="K125">
        <v>0</v>
      </c>
    </row>
    <row r="126" spans="2:11" x14ac:dyDescent="0.25">
      <c r="B126">
        <v>0</v>
      </c>
      <c r="C126">
        <v>0</v>
      </c>
      <c r="D126">
        <v>0</v>
      </c>
      <c r="E126">
        <v>0</v>
      </c>
      <c r="F126">
        <v>-365</v>
      </c>
      <c r="G126">
        <v>857</v>
      </c>
      <c r="H126">
        <v>0</v>
      </c>
      <c r="I126">
        <v>0</v>
      </c>
      <c r="J126">
        <v>0</v>
      </c>
      <c r="K126">
        <v>0</v>
      </c>
    </row>
    <row r="127" spans="2:11" x14ac:dyDescent="0.25">
      <c r="B127">
        <v>-429</v>
      </c>
      <c r="C127">
        <v>0</v>
      </c>
      <c r="D127">
        <v>613</v>
      </c>
      <c r="E127">
        <v>0</v>
      </c>
      <c r="F127">
        <v>-1199</v>
      </c>
      <c r="G127">
        <v>-3007</v>
      </c>
      <c r="H127">
        <v>-3631</v>
      </c>
      <c r="I127">
        <v>-4618</v>
      </c>
      <c r="J127">
        <v>-2103</v>
      </c>
      <c r="K127">
        <v>0</v>
      </c>
    </row>
    <row r="128" spans="2:11" x14ac:dyDescent="0.25">
      <c r="B128">
        <v>-439</v>
      </c>
      <c r="C128">
        <v>-4480</v>
      </c>
      <c r="D128">
        <v>-4398</v>
      </c>
      <c r="E128">
        <v>-4551</v>
      </c>
      <c r="F128">
        <v>0</v>
      </c>
      <c r="G128">
        <v>4356</v>
      </c>
      <c r="H128">
        <v>4037</v>
      </c>
      <c r="I128">
        <v>2511</v>
      </c>
      <c r="J128">
        <v>1162</v>
      </c>
      <c r="K128">
        <v>0</v>
      </c>
    </row>
    <row r="129" spans="2:11" x14ac:dyDescent="0.25">
      <c r="B129">
        <v>-1406</v>
      </c>
      <c r="C129">
        <v>-595</v>
      </c>
      <c r="D129">
        <v>0</v>
      </c>
      <c r="E129">
        <v>380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703</v>
      </c>
    </row>
    <row r="130" spans="2:11" x14ac:dyDescent="0.25">
      <c r="B130">
        <v>822</v>
      </c>
      <c r="C130">
        <v>0</v>
      </c>
      <c r="D130">
        <v>0</v>
      </c>
      <c r="E130">
        <v>0</v>
      </c>
      <c r="F130">
        <v>0</v>
      </c>
      <c r="G130">
        <v>-19482</v>
      </c>
      <c r="H130">
        <v>5461</v>
      </c>
      <c r="I130">
        <v>0</v>
      </c>
      <c r="J130">
        <v>8061</v>
      </c>
      <c r="K130">
        <v>0</v>
      </c>
    </row>
    <row r="131" spans="2:11" x14ac:dyDescent="0.25">
      <c r="B131">
        <v>-16888</v>
      </c>
      <c r="C131">
        <v>-36880</v>
      </c>
      <c r="D131">
        <v>-41499</v>
      </c>
      <c r="E131">
        <v>-32193</v>
      </c>
      <c r="F131">
        <v>-12107</v>
      </c>
      <c r="G131">
        <v>0</v>
      </c>
      <c r="H131">
        <v>-5791</v>
      </c>
      <c r="I131">
        <v>-16104</v>
      </c>
      <c r="J131">
        <v>-4461</v>
      </c>
      <c r="K131">
        <v>-1434</v>
      </c>
    </row>
    <row r="132" spans="2:11" x14ac:dyDescent="0.25">
      <c r="B132">
        <v>0</v>
      </c>
      <c r="C132">
        <v>-618</v>
      </c>
      <c r="D132">
        <v>-2321</v>
      </c>
      <c r="E132">
        <v>-905</v>
      </c>
      <c r="F132">
        <v>-895</v>
      </c>
      <c r="G132">
        <v>0</v>
      </c>
      <c r="H132">
        <v>-16351</v>
      </c>
      <c r="I132">
        <v>-7926</v>
      </c>
      <c r="J132">
        <v>0</v>
      </c>
      <c r="K132">
        <v>5504</v>
      </c>
    </row>
    <row r="133" spans="2:11" x14ac:dyDescent="0.25">
      <c r="B133">
        <v>0</v>
      </c>
      <c r="C133">
        <v>0</v>
      </c>
      <c r="D133">
        <v>0</v>
      </c>
      <c r="E133">
        <v>0</v>
      </c>
      <c r="F133">
        <v>0</v>
      </c>
      <c r="G133">
        <v>-1024</v>
      </c>
      <c r="H133">
        <v>6920</v>
      </c>
      <c r="I133">
        <v>0</v>
      </c>
      <c r="J133">
        <v>0</v>
      </c>
      <c r="K133">
        <v>0</v>
      </c>
    </row>
    <row r="134" spans="2:11" x14ac:dyDescent="0.25">
      <c r="B134">
        <v>0</v>
      </c>
      <c r="C134">
        <v>7932</v>
      </c>
      <c r="D134">
        <v>10347</v>
      </c>
      <c r="E134">
        <v>1341</v>
      </c>
      <c r="F134">
        <v>0</v>
      </c>
      <c r="G134">
        <v>1817</v>
      </c>
      <c r="H134">
        <v>0</v>
      </c>
      <c r="I134">
        <v>-7855</v>
      </c>
      <c r="J134">
        <v>-19071</v>
      </c>
      <c r="K134">
        <v>-23928</v>
      </c>
    </row>
    <row r="135" spans="2:11" x14ac:dyDescent="0.25">
      <c r="B135">
        <v>-20115</v>
      </c>
      <c r="C135">
        <v>-7395</v>
      </c>
      <c r="D135">
        <v>0</v>
      </c>
      <c r="E135">
        <v>-23062</v>
      </c>
      <c r="F135">
        <v>-31106</v>
      </c>
      <c r="G135">
        <v>-21835</v>
      </c>
      <c r="H135">
        <v>-12202</v>
      </c>
      <c r="I135">
        <v>0</v>
      </c>
      <c r="J135">
        <v>2431</v>
      </c>
      <c r="K135">
        <v>3369</v>
      </c>
    </row>
    <row r="136" spans="2:11" x14ac:dyDescent="0.25">
      <c r="B136">
        <v>3477</v>
      </c>
      <c r="C136">
        <v>3833</v>
      </c>
      <c r="D136">
        <v>0</v>
      </c>
      <c r="E136">
        <v>-17112</v>
      </c>
      <c r="F136">
        <v>-8519</v>
      </c>
      <c r="G136">
        <v>0</v>
      </c>
      <c r="H136">
        <v>5582</v>
      </c>
      <c r="I136">
        <v>0</v>
      </c>
      <c r="J136">
        <v>0</v>
      </c>
      <c r="K136">
        <v>0</v>
      </c>
    </row>
    <row r="137" spans="2:11" x14ac:dyDescent="0.25">
      <c r="B137">
        <v>0</v>
      </c>
      <c r="C137">
        <v>0</v>
      </c>
      <c r="D137">
        <v>895</v>
      </c>
      <c r="E137">
        <v>7482</v>
      </c>
      <c r="F137">
        <v>0</v>
      </c>
      <c r="G137">
        <v>0</v>
      </c>
      <c r="H137">
        <v>0</v>
      </c>
      <c r="I137">
        <v>0</v>
      </c>
      <c r="J137">
        <v>8362</v>
      </c>
      <c r="K137">
        <v>8068</v>
      </c>
    </row>
    <row r="138" spans="2:11" x14ac:dyDescent="0.25">
      <c r="B138">
        <v>79175</v>
      </c>
      <c r="C138">
        <v>31</v>
      </c>
      <c r="D138">
        <v>0</v>
      </c>
      <c r="E138">
        <v>196</v>
      </c>
      <c r="F138">
        <v>0</v>
      </c>
      <c r="G138">
        <v>187</v>
      </c>
      <c r="H138">
        <v>1065</v>
      </c>
      <c r="I138">
        <v>2348</v>
      </c>
      <c r="J138">
        <v>42396</v>
      </c>
      <c r="K138">
        <v>13984</v>
      </c>
    </row>
    <row r="139" spans="2:11" x14ac:dyDescent="0.25">
      <c r="B139">
        <v>0</v>
      </c>
      <c r="C139">
        <v>33275</v>
      </c>
      <c r="D139">
        <v>58724</v>
      </c>
      <c r="E139">
        <v>75104</v>
      </c>
      <c r="F139">
        <v>83104</v>
      </c>
      <c r="G139">
        <v>0</v>
      </c>
      <c r="H139">
        <v>10565</v>
      </c>
      <c r="I139">
        <v>3675</v>
      </c>
      <c r="J139">
        <v>747</v>
      </c>
      <c r="K139">
        <v>-401</v>
      </c>
    </row>
    <row r="140" spans="2:11" x14ac:dyDescent="0.25">
      <c r="B140">
        <v>0</v>
      </c>
      <c r="C140">
        <v>1041</v>
      </c>
      <c r="D140">
        <v>1670</v>
      </c>
      <c r="E140">
        <v>0</v>
      </c>
      <c r="F140">
        <v>-685</v>
      </c>
      <c r="G140">
        <v>0</v>
      </c>
      <c r="H140">
        <v>0</v>
      </c>
      <c r="I140">
        <v>0</v>
      </c>
      <c r="J140">
        <v>0</v>
      </c>
      <c r="K140">
        <v>0</v>
      </c>
    </row>
    <row r="141" spans="2:11" x14ac:dyDescent="0.25">
      <c r="B141">
        <v>-963</v>
      </c>
      <c r="C141">
        <v>-621</v>
      </c>
      <c r="D141">
        <v>0</v>
      </c>
      <c r="E141">
        <v>0</v>
      </c>
      <c r="F141">
        <v>0</v>
      </c>
      <c r="G141">
        <v>0</v>
      </c>
      <c r="H141">
        <v>1028</v>
      </c>
      <c r="I141">
        <v>-3581</v>
      </c>
      <c r="J141">
        <v>-2114</v>
      </c>
      <c r="K141">
        <v>-5897</v>
      </c>
    </row>
    <row r="142" spans="2:11" x14ac:dyDescent="0.25">
      <c r="B142">
        <v>-2489</v>
      </c>
      <c r="C142">
        <v>0</v>
      </c>
      <c r="D142">
        <v>772</v>
      </c>
      <c r="E142">
        <v>0</v>
      </c>
      <c r="F142">
        <v>1088</v>
      </c>
      <c r="G142">
        <v>1951</v>
      </c>
      <c r="H142">
        <v>-1566</v>
      </c>
      <c r="I142">
        <v>-3609</v>
      </c>
      <c r="J142">
        <v>-1845</v>
      </c>
      <c r="K142">
        <v>0</v>
      </c>
    </row>
    <row r="143" spans="2:11" x14ac:dyDescent="0.25">
      <c r="B143">
        <v>-74</v>
      </c>
      <c r="C143">
        <v>5844</v>
      </c>
      <c r="D143">
        <v>2211</v>
      </c>
      <c r="E143">
        <v>1035</v>
      </c>
      <c r="F143">
        <v>0</v>
      </c>
      <c r="G143">
        <v>-1074</v>
      </c>
      <c r="H143">
        <v>-2315</v>
      </c>
      <c r="I143">
        <v>-1593</v>
      </c>
      <c r="J143">
        <v>-224</v>
      </c>
      <c r="K143">
        <v>0</v>
      </c>
    </row>
    <row r="144" spans="2:11" x14ac:dyDescent="0.25">
      <c r="B144">
        <v>195</v>
      </c>
      <c r="C144">
        <v>91</v>
      </c>
      <c r="D144">
        <v>0</v>
      </c>
      <c r="E144">
        <v>129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-6603</v>
      </c>
    </row>
    <row r="145" spans="2:11" x14ac:dyDescent="0.25">
      <c r="B145">
        <v>-1002</v>
      </c>
      <c r="C145">
        <v>0</v>
      </c>
      <c r="D145">
        <v>0</v>
      </c>
      <c r="E145">
        <v>0</v>
      </c>
      <c r="F145">
        <v>0</v>
      </c>
      <c r="G145">
        <v>-68</v>
      </c>
      <c r="H145">
        <v>-1429</v>
      </c>
      <c r="I145">
        <v>-10172</v>
      </c>
      <c r="J145">
        <v>1302</v>
      </c>
      <c r="K145">
        <v>-579</v>
      </c>
    </row>
    <row r="146" spans="2:11" x14ac:dyDescent="0.25">
      <c r="B146">
        <v>-180</v>
      </c>
      <c r="C146">
        <v>0</v>
      </c>
      <c r="D146">
        <v>-419</v>
      </c>
      <c r="E146">
        <v>0</v>
      </c>
      <c r="F146">
        <v>-576</v>
      </c>
      <c r="G146">
        <v>-593</v>
      </c>
      <c r="H146">
        <v>-47</v>
      </c>
      <c r="I146">
        <v>415</v>
      </c>
      <c r="J146">
        <v>151</v>
      </c>
      <c r="K146">
        <v>0</v>
      </c>
    </row>
    <row r="147" spans="2:11" x14ac:dyDescent="0.25">
      <c r="B147">
        <v>666</v>
      </c>
      <c r="C147">
        <v>2048</v>
      </c>
      <c r="D147">
        <v>2258</v>
      </c>
      <c r="E147">
        <v>1337</v>
      </c>
      <c r="F147">
        <v>0</v>
      </c>
      <c r="G147">
        <v>-606</v>
      </c>
      <c r="H147">
        <v>-799</v>
      </c>
      <c r="I147">
        <v>-901</v>
      </c>
      <c r="J147">
        <v>-332</v>
      </c>
      <c r="K147">
        <v>0</v>
      </c>
    </row>
    <row r="148" spans="2:11" x14ac:dyDescent="0.25">
      <c r="B148">
        <v>11313</v>
      </c>
      <c r="C148">
        <v>6021</v>
      </c>
      <c r="D148">
        <v>0</v>
      </c>
      <c r="E148">
        <v>-3470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-618</v>
      </c>
    </row>
    <row r="149" spans="2:11" x14ac:dyDescent="0.25">
      <c r="B149">
        <v>-5676</v>
      </c>
      <c r="C149">
        <v>0</v>
      </c>
      <c r="D149">
        <v>0</v>
      </c>
      <c r="E149">
        <v>0</v>
      </c>
      <c r="F149">
        <v>0</v>
      </c>
      <c r="G149">
        <v>943</v>
      </c>
      <c r="H149">
        <v>503</v>
      </c>
      <c r="I149">
        <v>4884</v>
      </c>
      <c r="J149">
        <v>5712</v>
      </c>
      <c r="K149">
        <v>1082</v>
      </c>
    </row>
    <row r="150" spans="2:11" x14ac:dyDescent="0.25">
      <c r="B150">
        <v>7226</v>
      </c>
      <c r="C150">
        <v>-4931</v>
      </c>
      <c r="D150">
        <v>0</v>
      </c>
      <c r="E150">
        <v>-5850</v>
      </c>
      <c r="F150">
        <v>0</v>
      </c>
      <c r="G150">
        <v>6597</v>
      </c>
      <c r="H150">
        <v>8625</v>
      </c>
      <c r="I150">
        <v>1669</v>
      </c>
      <c r="J150">
        <v>-3438</v>
      </c>
      <c r="K150">
        <v>-3800</v>
      </c>
    </row>
    <row r="151" spans="2:11" x14ac:dyDescent="0.25">
      <c r="B151">
        <v>0</v>
      </c>
      <c r="C151">
        <v>1653</v>
      </c>
      <c r="D151">
        <v>12921</v>
      </c>
      <c r="E151">
        <v>7707</v>
      </c>
      <c r="F151">
        <v>5011</v>
      </c>
      <c r="G151">
        <v>0</v>
      </c>
      <c r="H151">
        <v>-481</v>
      </c>
      <c r="I151">
        <v>-1390</v>
      </c>
      <c r="J151">
        <v>-789</v>
      </c>
      <c r="K151">
        <v>-3394</v>
      </c>
    </row>
    <row r="152" spans="2:11" x14ac:dyDescent="0.25">
      <c r="B152">
        <v>0</v>
      </c>
      <c r="C152">
        <v>1279</v>
      </c>
      <c r="D152">
        <v>610</v>
      </c>
      <c r="E152">
        <v>0</v>
      </c>
      <c r="F152">
        <v>271</v>
      </c>
      <c r="G152">
        <v>0</v>
      </c>
      <c r="H152">
        <v>0</v>
      </c>
      <c r="I152">
        <v>0</v>
      </c>
      <c r="J152">
        <v>0</v>
      </c>
      <c r="K152">
        <v>0</v>
      </c>
    </row>
    <row r="153" spans="2:11" x14ac:dyDescent="0.25">
      <c r="B153">
        <v>-7143</v>
      </c>
      <c r="C153">
        <v>-1844</v>
      </c>
      <c r="D153">
        <v>0</v>
      </c>
      <c r="E153">
        <v>0</v>
      </c>
      <c r="F153">
        <v>0</v>
      </c>
      <c r="G153">
        <v>0</v>
      </c>
      <c r="H153">
        <v>-889</v>
      </c>
      <c r="I153">
        <v>-3135</v>
      </c>
      <c r="J153">
        <v>-26880</v>
      </c>
      <c r="K153">
        <v>-2253</v>
      </c>
    </row>
    <row r="154" spans="2:11" x14ac:dyDescent="0.25">
      <c r="B154">
        <v>5</v>
      </c>
      <c r="C154">
        <v>20497</v>
      </c>
      <c r="D154">
        <v>1120</v>
      </c>
      <c r="E154">
        <v>-354</v>
      </c>
      <c r="F154">
        <v>0</v>
      </c>
      <c r="G154">
        <v>524</v>
      </c>
      <c r="H154">
        <v>0</v>
      </c>
      <c r="I154">
        <v>-1461</v>
      </c>
      <c r="J154">
        <v>-2606</v>
      </c>
      <c r="K154">
        <v>-1316</v>
      </c>
    </row>
    <row r="155" spans="2:11" x14ac:dyDescent="0.25">
      <c r="B155">
        <v>870</v>
      </c>
      <c r="C155">
        <v>5850</v>
      </c>
      <c r="D155">
        <v>0</v>
      </c>
      <c r="E155">
        <v>1494</v>
      </c>
      <c r="F155">
        <v>4020</v>
      </c>
      <c r="G155">
        <v>5682</v>
      </c>
      <c r="H155">
        <v>3658</v>
      </c>
      <c r="I155">
        <v>0</v>
      </c>
      <c r="J155">
        <v>-1304</v>
      </c>
      <c r="K155">
        <v>-1557</v>
      </c>
    </row>
    <row r="156" spans="2:11" x14ac:dyDescent="0.25">
      <c r="B156">
        <v>-4887</v>
      </c>
      <c r="C156">
        <v>-8407</v>
      </c>
      <c r="D156">
        <v>0</v>
      </c>
      <c r="E156">
        <v>34442</v>
      </c>
      <c r="F156">
        <v>21493</v>
      </c>
      <c r="G156">
        <v>0</v>
      </c>
      <c r="H156">
        <v>-13524</v>
      </c>
      <c r="I156">
        <v>0</v>
      </c>
      <c r="J156">
        <v>0</v>
      </c>
      <c r="K156">
        <v>0</v>
      </c>
    </row>
    <row r="157" spans="2:11" x14ac:dyDescent="0.25">
      <c r="B157">
        <v>0</v>
      </c>
      <c r="C157">
        <v>0</v>
      </c>
      <c r="D157">
        <v>-1004</v>
      </c>
      <c r="E157">
        <v>-6390</v>
      </c>
      <c r="F157">
        <v>0</v>
      </c>
      <c r="G157">
        <v>0</v>
      </c>
      <c r="H157">
        <v>0</v>
      </c>
      <c r="I157">
        <v>0</v>
      </c>
      <c r="J157">
        <v>1782</v>
      </c>
      <c r="K157">
        <v>2111</v>
      </c>
    </row>
    <row r="158" spans="2:11" x14ac:dyDescent="0.25">
      <c r="B158">
        <v>12239</v>
      </c>
      <c r="C158">
        <v>13885</v>
      </c>
      <c r="D158">
        <v>3147</v>
      </c>
      <c r="E158">
        <v>1476</v>
      </c>
      <c r="F158">
        <v>10951</v>
      </c>
      <c r="G158">
        <v>9623</v>
      </c>
      <c r="H158">
        <v>-6361</v>
      </c>
      <c r="I158">
        <v>0</v>
      </c>
      <c r="J158">
        <v>-7736</v>
      </c>
      <c r="K158">
        <v>0</v>
      </c>
    </row>
    <row r="159" spans="2:11" x14ac:dyDescent="0.25">
      <c r="B159">
        <v>9191</v>
      </c>
      <c r="C159">
        <v>11913</v>
      </c>
      <c r="D159">
        <v>3102</v>
      </c>
      <c r="E159">
        <v>-3503</v>
      </c>
      <c r="F159">
        <v>-2100</v>
      </c>
      <c r="G159">
        <v>0</v>
      </c>
      <c r="H159">
        <v>1722</v>
      </c>
      <c r="I159">
        <v>16045</v>
      </c>
      <c r="J159">
        <v>9938</v>
      </c>
      <c r="K159">
        <v>6776</v>
      </c>
    </row>
    <row r="160" spans="2:11" x14ac:dyDescent="0.25">
      <c r="B160">
        <v>0</v>
      </c>
      <c r="C160">
        <v>-2512</v>
      </c>
      <c r="D160">
        <v>-4797</v>
      </c>
      <c r="E160">
        <v>-2410</v>
      </c>
      <c r="F160">
        <v>-1686</v>
      </c>
      <c r="G160">
        <v>0</v>
      </c>
      <c r="H160">
        <v>1505</v>
      </c>
      <c r="I160">
        <v>724</v>
      </c>
      <c r="J160">
        <v>0</v>
      </c>
      <c r="K160">
        <v>368</v>
      </c>
    </row>
    <row r="161" spans="2:11" x14ac:dyDescent="0.25">
      <c r="B161">
        <v>0</v>
      </c>
      <c r="C161">
        <v>0</v>
      </c>
      <c r="D161">
        <v>0</v>
      </c>
      <c r="E161">
        <v>0</v>
      </c>
      <c r="F161">
        <v>0</v>
      </c>
      <c r="G161">
        <v>-5384</v>
      </c>
      <c r="H161">
        <v>-1419</v>
      </c>
      <c r="I161">
        <v>0</v>
      </c>
      <c r="J161">
        <v>0</v>
      </c>
      <c r="K161">
        <v>0</v>
      </c>
    </row>
    <row r="162" spans="2:11" x14ac:dyDescent="0.25">
      <c r="B162">
        <v>0</v>
      </c>
      <c r="C162">
        <v>-1615</v>
      </c>
      <c r="D162">
        <v>-4276</v>
      </c>
      <c r="E162">
        <v>-35531</v>
      </c>
      <c r="F162">
        <v>-1398</v>
      </c>
      <c r="G162">
        <v>517</v>
      </c>
      <c r="H162">
        <v>27009</v>
      </c>
      <c r="I162">
        <v>1513</v>
      </c>
      <c r="J162">
        <v>56393</v>
      </c>
      <c r="K162">
        <v>3042</v>
      </c>
    </row>
    <row r="163" spans="2:11" x14ac:dyDescent="0.25">
      <c r="B163">
        <v>-527</v>
      </c>
      <c r="C163">
        <v>0</v>
      </c>
      <c r="D163">
        <v>772</v>
      </c>
      <c r="E163">
        <v>0</v>
      </c>
      <c r="F163">
        <v>-2138</v>
      </c>
      <c r="G163">
        <v>-3802</v>
      </c>
      <c r="H163">
        <v>-1509</v>
      </c>
      <c r="I163">
        <v>1248</v>
      </c>
      <c r="J163">
        <v>-372</v>
      </c>
      <c r="K163">
        <v>0</v>
      </c>
    </row>
    <row r="164" spans="2:11" x14ac:dyDescent="0.25">
      <c r="B164">
        <v>2186</v>
      </c>
      <c r="C164">
        <v>5772</v>
      </c>
      <c r="D164">
        <v>8525</v>
      </c>
      <c r="E164">
        <v>5292</v>
      </c>
      <c r="F164">
        <v>0</v>
      </c>
      <c r="G164">
        <v>-2211</v>
      </c>
      <c r="H164">
        <v>-2809</v>
      </c>
      <c r="I164">
        <v>-2351</v>
      </c>
      <c r="J164">
        <v>-659</v>
      </c>
      <c r="K164">
        <v>0</v>
      </c>
    </row>
    <row r="165" spans="2:11" x14ac:dyDescent="0.25">
      <c r="B165">
        <v>55033</v>
      </c>
      <c r="C165">
        <v>36032</v>
      </c>
      <c r="D165">
        <v>0</v>
      </c>
      <c r="E165">
        <v>-23728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-411</v>
      </c>
    </row>
    <row r="166" spans="2:11" x14ac:dyDescent="0.25">
      <c r="B166">
        <v>-2612</v>
      </c>
      <c r="C166">
        <v>0</v>
      </c>
      <c r="D166">
        <v>0</v>
      </c>
      <c r="E166">
        <v>0</v>
      </c>
      <c r="F166">
        <v>0</v>
      </c>
      <c r="G166">
        <v>2581</v>
      </c>
      <c r="H166">
        <v>2208</v>
      </c>
      <c r="I166">
        <v>17857</v>
      </c>
      <c r="J166">
        <v>20698</v>
      </c>
      <c r="K166">
        <v>4378</v>
      </c>
    </row>
    <row r="167" spans="2:11" x14ac:dyDescent="0.25">
      <c r="B167">
        <v>2236</v>
      </c>
      <c r="C167">
        <v>16190</v>
      </c>
      <c r="D167">
        <v>3434</v>
      </c>
      <c r="E167">
        <v>43648</v>
      </c>
      <c r="F167">
        <v>8336</v>
      </c>
      <c r="G167">
        <v>-5177</v>
      </c>
      <c r="H167">
        <v>0</v>
      </c>
      <c r="I167">
        <v>-4723</v>
      </c>
      <c r="J167">
        <v>0</v>
      </c>
      <c r="K167">
        <v>5406</v>
      </c>
    </row>
    <row r="168" spans="2:11" x14ac:dyDescent="0.25">
      <c r="B168">
        <v>7008</v>
      </c>
      <c r="C168">
        <v>202</v>
      </c>
      <c r="D168">
        <v>-4243</v>
      </c>
      <c r="E168">
        <v>-2759</v>
      </c>
      <c r="F168">
        <v>0</v>
      </c>
      <c r="G168">
        <v>3512</v>
      </c>
      <c r="H168">
        <v>13604</v>
      </c>
      <c r="I168">
        <v>9706</v>
      </c>
      <c r="J168">
        <v>7127</v>
      </c>
      <c r="K168">
        <v>0</v>
      </c>
    </row>
    <row r="169" spans="2:11" x14ac:dyDescent="0.25">
      <c r="B169">
        <v>-1328</v>
      </c>
      <c r="C169">
        <v>-6085</v>
      </c>
      <c r="D169">
        <v>-5086</v>
      </c>
      <c r="E169">
        <v>-5799</v>
      </c>
      <c r="F169">
        <v>0</v>
      </c>
      <c r="G169">
        <v>1053</v>
      </c>
      <c r="H169">
        <v>524</v>
      </c>
      <c r="I169">
        <v>0</v>
      </c>
      <c r="J169">
        <v>427</v>
      </c>
      <c r="K169">
        <v>0</v>
      </c>
    </row>
    <row r="170" spans="2:11" x14ac:dyDescent="0.25">
      <c r="B170">
        <v>0</v>
      </c>
      <c r="C170">
        <v>0</v>
      </c>
      <c r="D170">
        <v>0</v>
      </c>
      <c r="E170">
        <v>0</v>
      </c>
      <c r="F170">
        <v>-672</v>
      </c>
      <c r="G170">
        <v>-219</v>
      </c>
      <c r="H170">
        <v>0</v>
      </c>
      <c r="I170">
        <v>0</v>
      </c>
      <c r="J170">
        <v>0</v>
      </c>
      <c r="K170">
        <v>0</v>
      </c>
    </row>
    <row r="171" spans="2:11" x14ac:dyDescent="0.25">
      <c r="B171">
        <v>-371</v>
      </c>
      <c r="C171">
        <v>-3183</v>
      </c>
      <c r="D171">
        <v>-25296</v>
      </c>
      <c r="E171">
        <v>-1460</v>
      </c>
      <c r="F171">
        <v>1022</v>
      </c>
      <c r="G171">
        <v>20278</v>
      </c>
      <c r="H171">
        <v>1164</v>
      </c>
      <c r="I171">
        <v>43298</v>
      </c>
      <c r="J171">
        <v>2888</v>
      </c>
      <c r="K171">
        <v>56658</v>
      </c>
    </row>
    <row r="172" spans="2:11" x14ac:dyDescent="0.25">
      <c r="B172">
        <v>3844</v>
      </c>
      <c r="C172">
        <v>-525</v>
      </c>
      <c r="D172">
        <v>0</v>
      </c>
      <c r="E172">
        <v>806</v>
      </c>
      <c r="F172">
        <v>0</v>
      </c>
      <c r="G172">
        <v>-1897</v>
      </c>
      <c r="H172">
        <v>-3404</v>
      </c>
      <c r="I172">
        <v>-1714</v>
      </c>
      <c r="J172">
        <v>890</v>
      </c>
      <c r="K172">
        <v>2616</v>
      </c>
    </row>
    <row r="173" spans="2:11" x14ac:dyDescent="0.25">
      <c r="B173">
        <v>0</v>
      </c>
      <c r="C173">
        <v>2384</v>
      </c>
      <c r="D173">
        <v>4662</v>
      </c>
      <c r="E173">
        <v>7042</v>
      </c>
      <c r="F173">
        <v>4848</v>
      </c>
      <c r="G173">
        <v>0</v>
      </c>
      <c r="H173">
        <v>-1795</v>
      </c>
      <c r="I173">
        <v>-2807</v>
      </c>
      <c r="J173">
        <v>-4197</v>
      </c>
      <c r="K173">
        <v>-4870</v>
      </c>
    </row>
    <row r="174" spans="2:11" x14ac:dyDescent="0.25">
      <c r="B174">
        <v>0</v>
      </c>
      <c r="C174">
        <v>41562</v>
      </c>
      <c r="D174">
        <v>28104</v>
      </c>
      <c r="E174">
        <v>0</v>
      </c>
      <c r="F174">
        <v>-20493</v>
      </c>
      <c r="G174">
        <v>0</v>
      </c>
      <c r="H174">
        <v>0</v>
      </c>
      <c r="I174">
        <v>0</v>
      </c>
      <c r="J174">
        <v>0</v>
      </c>
      <c r="K174">
        <v>0</v>
      </c>
    </row>
    <row r="175" spans="2:11" x14ac:dyDescent="0.25">
      <c r="B175">
        <v>407</v>
      </c>
      <c r="C175">
        <v>1945</v>
      </c>
      <c r="D175">
        <v>0</v>
      </c>
      <c r="E175">
        <v>0</v>
      </c>
      <c r="F175">
        <v>0</v>
      </c>
      <c r="G175">
        <v>0</v>
      </c>
      <c r="H175">
        <v>1843</v>
      </c>
      <c r="I175">
        <v>1827</v>
      </c>
      <c r="J175">
        <v>13805</v>
      </c>
      <c r="K175">
        <v>15251</v>
      </c>
    </row>
    <row r="176" spans="2:11" x14ac:dyDescent="0.25">
      <c r="B176">
        <v>3873</v>
      </c>
      <c r="C176">
        <v>1423</v>
      </c>
      <c r="D176">
        <v>11663</v>
      </c>
      <c r="E176">
        <v>2323</v>
      </c>
      <c r="F176">
        <v>32546</v>
      </c>
      <c r="G176">
        <v>3026</v>
      </c>
      <c r="H176">
        <v>49793</v>
      </c>
      <c r="I176">
        <v>10825</v>
      </c>
      <c r="J176">
        <v>-2525</v>
      </c>
      <c r="K176">
        <v>0</v>
      </c>
    </row>
    <row r="177" spans="2:11" x14ac:dyDescent="0.25">
      <c r="B177">
        <v>-3275</v>
      </c>
      <c r="C177">
        <v>0</v>
      </c>
      <c r="D177">
        <v>4336</v>
      </c>
      <c r="E177">
        <v>5295</v>
      </c>
      <c r="F177">
        <v>533</v>
      </c>
      <c r="G177">
        <v>-2519</v>
      </c>
      <c r="H177">
        <v>-1712</v>
      </c>
      <c r="I177">
        <v>0</v>
      </c>
      <c r="J177">
        <v>3510</v>
      </c>
      <c r="K177">
        <v>9817</v>
      </c>
    </row>
    <row r="178" spans="2:11" x14ac:dyDescent="0.25">
      <c r="B178">
        <v>5409</v>
      </c>
      <c r="C178">
        <v>3312</v>
      </c>
      <c r="D178">
        <v>0</v>
      </c>
      <c r="E178">
        <v>-1187</v>
      </c>
      <c r="F178">
        <v>-750</v>
      </c>
      <c r="G178">
        <v>-963</v>
      </c>
      <c r="H178">
        <v>-2039</v>
      </c>
      <c r="I178">
        <v>0</v>
      </c>
      <c r="J178">
        <v>912</v>
      </c>
      <c r="K178">
        <v>422</v>
      </c>
    </row>
    <row r="179" spans="2:11" x14ac:dyDescent="0.25">
      <c r="B179">
        <v>0</v>
      </c>
      <c r="C179">
        <v>264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-7488</v>
      </c>
      <c r="J179">
        <v>-1843</v>
      </c>
      <c r="K179">
        <v>0</v>
      </c>
    </row>
    <row r="180" spans="2:11" x14ac:dyDescent="0.25">
      <c r="B180">
        <v>0</v>
      </c>
      <c r="C180">
        <v>0</v>
      </c>
      <c r="D180">
        <v>0</v>
      </c>
      <c r="E180">
        <v>-499</v>
      </c>
      <c r="F180">
        <v>-2082</v>
      </c>
      <c r="G180">
        <v>-22683</v>
      </c>
      <c r="H180">
        <v>-780</v>
      </c>
      <c r="I180">
        <v>228</v>
      </c>
      <c r="J180">
        <v>17670</v>
      </c>
      <c r="K180">
        <v>1005</v>
      </c>
    </row>
    <row r="181" spans="2:11" x14ac:dyDescent="0.25">
      <c r="B181">
        <v>36181</v>
      </c>
      <c r="C181">
        <v>2172</v>
      </c>
      <c r="D181">
        <v>47358</v>
      </c>
      <c r="E181">
        <v>3047</v>
      </c>
      <c r="F181">
        <v>35802</v>
      </c>
      <c r="G181">
        <v>1943</v>
      </c>
      <c r="H181">
        <v>-595</v>
      </c>
      <c r="I181">
        <v>0</v>
      </c>
      <c r="J181">
        <v>548</v>
      </c>
      <c r="K181">
        <v>0</v>
      </c>
    </row>
    <row r="182" spans="2:11" x14ac:dyDescent="0.25">
      <c r="B182">
        <v>-922</v>
      </c>
      <c r="C182">
        <v>-1318</v>
      </c>
      <c r="D182">
        <v>-282</v>
      </c>
      <c r="E182">
        <v>689</v>
      </c>
      <c r="F182">
        <v>1430</v>
      </c>
      <c r="G182">
        <v>0</v>
      </c>
      <c r="H182">
        <v>2514</v>
      </c>
      <c r="I182">
        <v>3529</v>
      </c>
      <c r="J182">
        <v>4070</v>
      </c>
      <c r="K182">
        <v>2239</v>
      </c>
    </row>
    <row r="183" spans="2:11" x14ac:dyDescent="0.25">
      <c r="B183">
        <v>0</v>
      </c>
      <c r="C183">
        <v>-1059</v>
      </c>
      <c r="D183">
        <v>-1116</v>
      </c>
      <c r="E183">
        <v>-1986</v>
      </c>
      <c r="F183">
        <v>-2575</v>
      </c>
      <c r="G183">
        <v>0</v>
      </c>
      <c r="H183">
        <v>36918</v>
      </c>
      <c r="I183">
        <v>24883</v>
      </c>
      <c r="J183">
        <v>0</v>
      </c>
      <c r="K183">
        <v>-18462</v>
      </c>
    </row>
    <row r="184" spans="2:11" x14ac:dyDescent="0.25">
      <c r="B184">
        <v>0</v>
      </c>
      <c r="C184">
        <v>0</v>
      </c>
      <c r="D184">
        <v>0</v>
      </c>
      <c r="E184">
        <v>0</v>
      </c>
      <c r="F184">
        <v>0</v>
      </c>
      <c r="G184">
        <v>-1272</v>
      </c>
      <c r="H184">
        <v>-1125</v>
      </c>
      <c r="I184">
        <v>0</v>
      </c>
      <c r="J184">
        <v>0</v>
      </c>
      <c r="K184">
        <v>0</v>
      </c>
    </row>
    <row r="185" spans="2:11" x14ac:dyDescent="0.25">
      <c r="B185">
        <v>0</v>
      </c>
      <c r="C185">
        <v>1700</v>
      </c>
      <c r="D185">
        <v>1726</v>
      </c>
      <c r="E185">
        <v>11237</v>
      </c>
      <c r="F185">
        <v>13170</v>
      </c>
      <c r="G185">
        <v>2094</v>
      </c>
      <c r="H185">
        <v>1471</v>
      </c>
      <c r="I185">
        <v>10453</v>
      </c>
      <c r="J185">
        <v>2226</v>
      </c>
      <c r="K185">
        <v>28791</v>
      </c>
    </row>
    <row r="186" spans="2:11" x14ac:dyDescent="0.25">
      <c r="B186">
        <v>2853</v>
      </c>
      <c r="C186">
        <v>44033</v>
      </c>
      <c r="D186">
        <v>2406</v>
      </c>
      <c r="E186">
        <v>33068</v>
      </c>
      <c r="F186">
        <v>9553</v>
      </c>
    </row>
  </sheetData>
  <pageMargins bottom="0.75" footer="0.3" header="0.3" left="0.7" right="0.7" top="0.75"/>
</worksheet>
</file>

<file path=xl/worksheets/sheet1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00B050"/>
  </sheetPr>
  <dimension ref="B1:V76"/>
  <sheetViews>
    <sheetView topLeftCell="A16" workbookViewId="0" zoomScaleNormal="100">
      <selection activeCell="J19" sqref="J19"/>
    </sheetView>
  </sheetViews>
  <sheetFormatPr defaultRowHeight="15" x14ac:dyDescent="0.25"/>
  <cols>
    <col min="2" max="2" customWidth="true" width="14.5703125" collapsed="true"/>
    <col min="3" max="3" bestFit="true" customWidth="true" width="11.5703125" collapsed="true"/>
    <col min="7" max="8" customWidth="true" width="7.7109375" collapsed="true"/>
    <col min="9" max="9" bestFit="true" customWidth="true" width="12.7109375" collapsed="true"/>
    <col min="12" max="12" bestFit="true" customWidth="true" width="6.0" collapsed="true"/>
    <col min="13" max="13" customWidth="true" width="9.42578125" collapsed="true"/>
    <col min="14" max="14" customWidth="true" width="12.28515625" collapsed="true"/>
    <col min="15" max="15" customWidth="true" width="22.28515625" collapsed="true"/>
    <col min="19" max="19" bestFit="true" customWidth="true" width="11.140625" collapsed="true"/>
    <col min="21" max="21" bestFit="true" customWidth="true" width="11.28515625" collapsed="true"/>
  </cols>
  <sheetData>
    <row ht="15.75" r="1" spans="2:21" thickBot="1" x14ac:dyDescent="0.3">
      <c r="B1" s="37" t="s">
        <v>219</v>
      </c>
      <c r="C1" s="1"/>
      <c r="D1" s="1"/>
      <c r="E1" s="1" t="s">
        <v>86</v>
      </c>
      <c r="F1" s="38">
        <v>1</v>
      </c>
      <c r="G1" s="1"/>
      <c r="H1" s="1"/>
      <c r="I1" s="1"/>
      <c r="R1" s="58" t="s">
        <v>234</v>
      </c>
      <c r="S1" s="59"/>
      <c r="T1" s="59"/>
      <c r="U1" s="59"/>
    </row>
    <row ht="15.75" r="2" spans="2:21" thickBot="1" x14ac:dyDescent="0.3">
      <c r="B2" s="5"/>
      <c r="C2" s="94" t="s">
        <v>87</v>
      </c>
      <c r="D2" s="94"/>
      <c r="E2" s="94" t="s">
        <v>83</v>
      </c>
      <c r="F2" s="94"/>
      <c r="G2" s="11"/>
      <c r="H2" s="11"/>
      <c r="I2" s="11"/>
      <c r="L2" s="1"/>
      <c r="M2" s="1"/>
      <c r="N2" s="1"/>
      <c r="O2" s="1"/>
      <c r="R2" s="59"/>
      <c r="S2" s="59"/>
      <c r="T2" s="60" t="s">
        <v>170</v>
      </c>
      <c r="U2" s="60" t="s">
        <v>171</v>
      </c>
    </row>
    <row r="3" spans="2:21" x14ac:dyDescent="0.25">
      <c r="B3" s="32" t="s">
        <v>72</v>
      </c>
      <c r="C3" s="33" t="s">
        <v>48</v>
      </c>
      <c r="D3" s="33" t="s">
        <v>35</v>
      </c>
      <c r="E3" s="33" t="s">
        <v>48</v>
      </c>
      <c r="F3" s="33" t="s">
        <v>35</v>
      </c>
      <c r="G3" s="33" t="s">
        <v>84</v>
      </c>
      <c r="H3" s="33" t="s">
        <v>86</v>
      </c>
      <c r="I3" s="33" t="s">
        <v>85</v>
      </c>
      <c r="L3" s="68" t="s">
        <v>88</v>
      </c>
      <c r="M3" s="68" t="s">
        <v>89</v>
      </c>
      <c r="N3" s="69" t="s">
        <v>91</v>
      </c>
      <c r="O3" s="70" t="s">
        <v>195</v>
      </c>
      <c r="R3" s="66">
        <f>WorkTourTime!B11</f>
        <v>11</v>
      </c>
      <c r="S3" s="66" t="str">
        <f>WorkTourTime!C11</f>
        <v>arr3-5</v>
      </c>
      <c r="T3" s="66">
        <f>VLOOKUP(R3,WorkTourTime!$B$11:$E$84,4,FALSE)</f>
        <v>-2.3394698170399999</v>
      </c>
      <c r="U3" s="67">
        <f>_xlfn.IFNA(VLOOKUP(R3,$L$3:$N$45,3,FALSE),T3)</f>
        <v>-2.175930947828066</v>
      </c>
    </row>
    <row r="4" spans="2:21" x14ac:dyDescent="0.25">
      <c r="B4" t="s">
        <v>73</v>
      </c>
      <c r="C4" s="29">
        <f>SUM(Departure_Time!B9:B16)</f>
        <v>8189.7792083088389</v>
      </c>
      <c r="D4" s="29">
        <f>SUM(Departure_Time!I9:I16)</f>
        <v>14336.210803985596</v>
      </c>
      <c r="E4" s="30">
        <f>C4/C$14</f>
        <v>1.1636694796651382E-2</v>
      </c>
      <c r="F4" s="30">
        <f>D4/D$14</f>
        <v>1.9732311852853946E-2</v>
      </c>
      <c r="G4" s="6">
        <f>E4/F4</f>
        <v>0.58972789825274985</v>
      </c>
      <c r="H4" s="6">
        <f ref="H4:H13" si="0" t="shared">$F$1</f>
        <v>1</v>
      </c>
      <c r="I4" s="31">
        <f>H4*(LN(G4)-LN($G$8))</f>
        <v>-0.62870427669193529</v>
      </c>
      <c r="L4" s="71">
        <v>21</v>
      </c>
      <c r="M4" s="72">
        <f ref="M4:M13" si="1" t="shared">VLOOKUP(L4,$R$3:$U$64,3,FALSE)</f>
        <v>-2.7576260000000001</v>
      </c>
      <c r="N4" s="73">
        <f>I4+M4</f>
        <v>-3.3863302766919352</v>
      </c>
      <c r="O4" s="71" t="str">
        <f>CONCATENATE("Departure ",B4)</f>
        <v>Departure 3-7 am</v>
      </c>
      <c r="R4" s="66">
        <f>WorkTourTime!B12</f>
        <v>12</v>
      </c>
      <c r="S4" s="66" t="str">
        <f>WorkTourTime!C12</f>
        <v>arr=6</v>
      </c>
      <c r="T4" s="66">
        <f>VLOOKUP(R4,WorkTourTime!$B$11:$E$84,4,FALSE)</f>
        <v>-0.67106220384299997</v>
      </c>
      <c r="U4" s="67">
        <f ref="U4:U67" si="2" t="shared">_xlfn.IFNA(VLOOKUP(R4,$L$3:$N$45,3,FALSE),T4)</f>
        <v>-0.544799301442635</v>
      </c>
    </row>
    <row r="5" spans="2:21" x14ac:dyDescent="0.25">
      <c r="B5" t="s">
        <v>74</v>
      </c>
      <c r="C5" s="29">
        <f>SUM(Departure_Time!B17:B22)</f>
        <v>26119.679650211423</v>
      </c>
      <c r="D5" s="29">
        <f>SUM(Departure_Time!I17:I22)</f>
        <v>32645.013327598572</v>
      </c>
      <c r="E5" s="30">
        <f ref="E5:F14" si="3" t="shared">C5/C$14</f>
        <v>3.7112934615801466E-2</v>
      </c>
      <c r="F5" s="30">
        <f si="3" t="shared"/>
        <v>4.4932485454361876E-2</v>
      </c>
      <c r="G5" s="6">
        <f ref="G5:G14" si="4" t="shared">E5/F5</f>
        <v>0.82597110399105866</v>
      </c>
      <c r="H5" s="6">
        <f si="0" t="shared"/>
        <v>1</v>
      </c>
      <c r="I5" s="31">
        <f ref="I5:I13" si="5" t="shared">H5*(LN(G5)-LN($G$8))</f>
        <v>-0.29180572796165605</v>
      </c>
      <c r="L5" s="71">
        <v>22</v>
      </c>
      <c r="M5" s="74">
        <f si="1" t="shared"/>
        <v>-1.6259760000000001</v>
      </c>
      <c r="N5" s="73">
        <f ref="N5:N13" si="6" t="shared">I5+M5</f>
        <v>-1.917781727961656</v>
      </c>
      <c r="O5" s="71" t="str">
        <f ref="O5:O13" si="7" t="shared">CONCATENATE("Departure ",B5)</f>
        <v>Departure 7-10 am</v>
      </c>
      <c r="R5" s="66">
        <f>WorkTourTime!B13</f>
        <v>13</v>
      </c>
      <c r="S5" s="66" t="str">
        <f>WorkTourTime!C13</f>
        <v>arr=7</v>
      </c>
      <c r="T5" s="66">
        <f>VLOOKUP(R5,WorkTourTime!$B$11:$E$84,4,FALSE)</f>
        <v>-1.81869725389E-2</v>
      </c>
      <c r="U5" s="67">
        <f si="2" t="shared"/>
        <v>3.7602125559062116E-2</v>
      </c>
    </row>
    <row r="6" spans="2:21" x14ac:dyDescent="0.25">
      <c r="B6" t="s">
        <v>232</v>
      </c>
      <c r="C6" s="29">
        <f>SUM(Departure_Time!B23:B28)</f>
        <v>77091.186480020056</v>
      </c>
      <c r="D6" s="29">
        <f>SUM(Departure_Time!I23:I28)</f>
        <v>89424.297080039978</v>
      </c>
      <c r="E6" s="30">
        <f si="3" t="shared"/>
        <v>0.10953733742536095</v>
      </c>
      <c r="F6" s="30">
        <f si="3" t="shared"/>
        <v>0.12308329874132747</v>
      </c>
      <c r="G6" s="6">
        <f si="4" t="shared"/>
        <v>0.88994476541911038</v>
      </c>
      <c r="H6" s="6">
        <f si="0" t="shared"/>
        <v>1</v>
      </c>
      <c r="I6" s="31">
        <f si="5" t="shared"/>
        <v>-0.21720611833558082</v>
      </c>
      <c r="L6" s="71">
        <v>23</v>
      </c>
      <c r="M6" s="74">
        <f si="1" t="shared"/>
        <v>-0.57779599999999998</v>
      </c>
      <c r="N6" s="73">
        <f si="6" t="shared"/>
        <v>-0.79500211833558077</v>
      </c>
      <c r="O6" s="71" t="str">
        <f si="7" t="shared"/>
        <v>Departure 10 am-1 pm</v>
      </c>
      <c r="R6" s="66">
        <f>WorkTourTime!B14</f>
        <v>14</v>
      </c>
      <c r="S6" s="66" t="str">
        <f>WorkTourTime!C14</f>
        <v>arr=8</v>
      </c>
      <c r="T6" s="66">
        <f>VLOOKUP(R6,WorkTourTime!$B$11:$E$84,4,FALSE)</f>
        <v>0</v>
      </c>
      <c r="U6" s="67">
        <f si="2" t="shared"/>
        <v>0</v>
      </c>
    </row>
    <row r="7" spans="2:21" x14ac:dyDescent="0.25">
      <c r="B7" t="s">
        <v>76</v>
      </c>
      <c r="C7" s="29">
        <f>SUM(Departure_Time!B29:B32)</f>
        <v>117588.11540640387</v>
      </c>
      <c r="D7" s="29">
        <f>SUM(Departure_Time!I29:I32)</f>
        <v>109477.8620672226</v>
      </c>
      <c r="E7" s="30">
        <f si="3" t="shared"/>
        <v>0.16707862030144999</v>
      </c>
      <c r="F7" s="30">
        <f si="3" t="shared"/>
        <v>0.15068495747102131</v>
      </c>
      <c r="G7" s="6">
        <f si="4" t="shared"/>
        <v>1.1087942891285707</v>
      </c>
      <c r="H7" s="6">
        <f si="0" t="shared"/>
        <v>1</v>
      </c>
      <c r="I7" s="31">
        <f si="5" t="shared"/>
        <v>2.6629601160138849E-3</v>
      </c>
      <c r="L7" s="71">
        <v>24</v>
      </c>
      <c r="M7" s="74">
        <f si="1" t="shared"/>
        <v>-0.45795000000000002</v>
      </c>
      <c r="N7" s="73">
        <f si="6" t="shared"/>
        <v>-0.45528703988398611</v>
      </c>
      <c r="O7" s="71" t="str">
        <f si="7" t="shared"/>
        <v>Departure 1-3 pm</v>
      </c>
      <c r="R7" s="66">
        <f>WorkTourTime!B15</f>
        <v>15</v>
      </c>
      <c r="S7" s="66" t="str">
        <f>WorkTourTime!C15</f>
        <v>arr=9</v>
      </c>
      <c r="T7" s="66">
        <f>VLOOKUP(R7,WorkTourTime!$B$11:$E$84,4,FALSE)</f>
        <v>-0.93649924875500001</v>
      </c>
      <c r="U7" s="67">
        <f si="2" t="shared"/>
        <v>-0.99408936365548417</v>
      </c>
    </row>
    <row r="8" spans="2:21" x14ac:dyDescent="0.25">
      <c r="B8" t="s">
        <v>173</v>
      </c>
      <c r="C8" s="29">
        <f>SUM(Departure_Time!B33:B36)</f>
        <v>222957.57769764558</v>
      </c>
      <c r="D8" s="29">
        <f>SUM(Departure_Time!I33:I36)</f>
        <v>208133.32583904266</v>
      </c>
      <c r="E8" s="30">
        <f si="3" t="shared"/>
        <v>0.31679599880250514</v>
      </c>
      <c r="F8" s="30">
        <f si="3" t="shared"/>
        <v>0.28647400269015888</v>
      </c>
      <c r="G8" s="6">
        <f si="4" t="shared"/>
        <v>1.1058455421001729</v>
      </c>
      <c r="H8" s="6">
        <f si="0" t="shared"/>
        <v>1</v>
      </c>
      <c r="I8" s="31">
        <f si="5" t="shared"/>
        <v>0</v>
      </c>
      <c r="L8" s="71">
        <v>25</v>
      </c>
      <c r="M8" s="74">
        <f si="1" t="shared"/>
        <v>0</v>
      </c>
      <c r="N8" s="73">
        <f si="6" t="shared"/>
        <v>0</v>
      </c>
      <c r="O8" s="71" t="str">
        <f si="7" t="shared"/>
        <v>Departure 3-5 pm</v>
      </c>
      <c r="R8" s="66">
        <f>WorkTourTime!B16</f>
        <v>16</v>
      </c>
      <c r="S8" s="66" t="str">
        <f>WorkTourTime!C16</f>
        <v>arr10-12</v>
      </c>
      <c r="T8" s="66">
        <f>VLOOKUP(R8,WorkTourTime!$B$11:$E$84,4,FALSE)</f>
        <v>-1.77743849575</v>
      </c>
      <c r="U8" s="67">
        <f si="2" t="shared"/>
        <v>-1.8583881433253004</v>
      </c>
    </row>
    <row r="9" spans="2:21" x14ac:dyDescent="0.25">
      <c r="B9" t="s">
        <v>77</v>
      </c>
      <c r="C9" s="29">
        <f>SUM(Departure_Time!B37:B38)</f>
        <v>106586.83102087809</v>
      </c>
      <c r="D9" s="29">
        <f>SUM(Departure_Time!I37:I38)</f>
        <v>105745.82460403442</v>
      </c>
      <c r="E9" s="30">
        <f si="3" t="shared"/>
        <v>0.15144711357711116</v>
      </c>
      <c r="F9" s="30">
        <f si="3" t="shared"/>
        <v>0.14554819378380701</v>
      </c>
      <c r="G9" s="6">
        <f si="4" t="shared"/>
        <v>1.0405289797142123</v>
      </c>
      <c r="H9" s="6">
        <f si="0" t="shared"/>
        <v>1</v>
      </c>
      <c r="I9" s="31">
        <f si="5" t="shared"/>
        <v>-6.0881020643633321E-2</v>
      </c>
      <c r="L9" s="71">
        <v>26</v>
      </c>
      <c r="M9" s="74">
        <f si="1" t="shared"/>
        <v>-5.4146E-2</v>
      </c>
      <c r="N9" s="73">
        <f si="6" t="shared"/>
        <v>-0.11502702064363332</v>
      </c>
      <c r="O9" s="71" t="str">
        <f si="7" t="shared"/>
        <v>Departure 5-6 pm</v>
      </c>
      <c r="R9" s="66">
        <f>WorkTourTime!B17</f>
        <v>17</v>
      </c>
      <c r="S9" s="66" t="str">
        <f>WorkTourTime!C17</f>
        <v>arr13-15</v>
      </c>
      <c r="T9" s="66">
        <f>VLOOKUP(R9,WorkTourTime!$B$11:$E$84,4,FALSE)</f>
        <v>-1.86737256636</v>
      </c>
      <c r="U9" s="67">
        <f si="2" t="shared"/>
        <v>-2.0009483963641657</v>
      </c>
    </row>
    <row r="10" spans="2:21" x14ac:dyDescent="0.25">
      <c r="B10" t="s">
        <v>78</v>
      </c>
      <c r="C10" s="29">
        <f>SUM(Departure_Time!B39:B40)</f>
        <v>66413.112939183891</v>
      </c>
      <c r="D10" s="29">
        <f>SUM(Departure_Time!I39:I40)</f>
        <v>70881.295008659363</v>
      </c>
      <c r="E10" s="30">
        <f si="3" t="shared"/>
        <v>9.4365074577927269E-2</v>
      </c>
      <c r="F10" s="30">
        <f si="3" t="shared"/>
        <v>9.7560773677809534E-2</v>
      </c>
      <c r="G10" s="6">
        <f si="4" t="shared"/>
        <v>0.96724401642779168</v>
      </c>
      <c r="H10" s="6">
        <f si="0" t="shared"/>
        <v>1</v>
      </c>
      <c r="I10" s="31">
        <f si="5" t="shared"/>
        <v>-0.13391471041680364</v>
      </c>
      <c r="L10" s="71">
        <v>27</v>
      </c>
      <c r="M10" s="74">
        <f si="1" t="shared"/>
        <v>-0.85907800000000001</v>
      </c>
      <c r="N10" s="73">
        <f si="6" t="shared"/>
        <v>-0.9929927104168037</v>
      </c>
      <c r="O10" s="71" t="str">
        <f si="7" t="shared"/>
        <v>Departure 6-7 pm</v>
      </c>
      <c r="R10" s="66">
        <f>WorkTourTime!B18</f>
        <v>18</v>
      </c>
      <c r="S10" s="66" t="str">
        <f>WorkTourTime!C18</f>
        <v>arr16-18</v>
      </c>
      <c r="T10" s="66">
        <f>VLOOKUP(R10,WorkTourTime!$B$11:$E$84,4,FALSE)</f>
        <v>-2.26568763106</v>
      </c>
      <c r="U10" s="67">
        <f si="2" t="shared"/>
        <v>-2.3863552181430543</v>
      </c>
    </row>
    <row r="11" spans="2:21" x14ac:dyDescent="0.25">
      <c r="B11" t="s">
        <v>79</v>
      </c>
      <c r="C11" s="29">
        <f>SUM(Departure_Time!B41:B44)</f>
        <v>50083.504979902675</v>
      </c>
      <c r="D11" s="29">
        <f>SUM(Departure_Time!I41:I44)</f>
        <v>57078.244390487671</v>
      </c>
      <c r="E11" s="30">
        <f si="3" t="shared"/>
        <v>7.1162658598465989E-2</v>
      </c>
      <c r="F11" s="30">
        <f si="3" t="shared"/>
        <v>7.8562301693652317E-2</v>
      </c>
      <c r="G11" s="6">
        <f si="4" t="shared"/>
        <v>0.90581178331509848</v>
      </c>
      <c r="H11" s="6">
        <f si="0" t="shared"/>
        <v>1</v>
      </c>
      <c r="I11" s="31">
        <f si="5" t="shared"/>
        <v>-0.19953397803329886</v>
      </c>
      <c r="L11" s="71">
        <v>28</v>
      </c>
      <c r="M11" s="74">
        <f si="1" t="shared"/>
        <v>-1.93876</v>
      </c>
      <c r="N11" s="73">
        <f si="6" t="shared"/>
        <v>-2.1382939780332988</v>
      </c>
      <c r="O11" s="71" t="str">
        <f si="7" t="shared"/>
        <v>Departure 7-9 pm</v>
      </c>
      <c r="R11" s="66">
        <f>WorkTourTime!B19</f>
        <v>19</v>
      </c>
      <c r="S11" s="66" t="str">
        <f>WorkTourTime!C19</f>
        <v>arr19-21</v>
      </c>
      <c r="T11" s="66">
        <f>VLOOKUP(R11,WorkTourTime!$B$11:$E$84,4,FALSE)</f>
        <v>-3.1613092691400002</v>
      </c>
      <c r="U11" s="67">
        <f si="2" t="shared"/>
        <v>-3.7046604194456831</v>
      </c>
    </row>
    <row r="12" spans="2:21" x14ac:dyDescent="0.25">
      <c r="B12" t="s">
        <v>80</v>
      </c>
      <c r="C12" s="29">
        <f>SUM(Departure_Time!B45:B50)</f>
        <v>23922.973024018673</v>
      </c>
      <c r="D12" s="29">
        <f>SUM(Departure_Time!I45:I50)</f>
        <v>27755.465531349182</v>
      </c>
      <c r="E12" s="30">
        <f si="3" t="shared"/>
        <v>3.3991677752020236E-2</v>
      </c>
      <c r="F12" s="30">
        <f si="3" t="shared"/>
        <v>3.8202528476594444E-2</v>
      </c>
      <c r="G12" s="6">
        <f si="4" t="shared"/>
        <v>0.88977560144601231</v>
      </c>
      <c r="H12" s="6">
        <f si="0" t="shared"/>
        <v>1</v>
      </c>
      <c r="I12" s="31">
        <f si="5" t="shared"/>
        <v>-0.21739622008050324</v>
      </c>
      <c r="L12" s="71">
        <v>29</v>
      </c>
      <c r="M12" s="74">
        <f si="1" t="shared"/>
        <v>-1.9554069999999999</v>
      </c>
      <c r="N12" s="73">
        <f si="6" t="shared"/>
        <v>-2.1728032200805032</v>
      </c>
      <c r="O12" s="71" t="str">
        <f si="7" t="shared"/>
        <v>Departure 9-12 pm</v>
      </c>
      <c r="R12" s="66">
        <f>WorkTourTime!B20</f>
        <v>20</v>
      </c>
      <c r="S12" s="66" t="str">
        <f>WorkTourTime!C20</f>
        <v>arr22-26</v>
      </c>
      <c r="T12" s="66">
        <f>VLOOKUP(R12,WorkTourTime!$B$11:$E$84,4,FALSE)</f>
        <v>-4.1209548115799999</v>
      </c>
      <c r="U12" s="67">
        <f si="2" t="shared"/>
        <v>-5.6713542022340784</v>
      </c>
    </row>
    <row r="13" spans="2:21" x14ac:dyDescent="0.25">
      <c r="B13" s="23" t="s">
        <v>81</v>
      </c>
      <c r="C13" s="34">
        <f>SUM(Departure_Time!B51:B57)+Departure_Time!B8</f>
        <v>4836.3611114684163</v>
      </c>
      <c r="D13" s="34">
        <f>SUM(Departure_Time!I51:I57)+Departure_Time!I8</f>
        <v>11057.238969802856</v>
      </c>
      <c r="E13" s="35">
        <f si="3" t="shared"/>
        <v>6.871889552706646E-3</v>
      </c>
      <c r="F13" s="35">
        <f si="3" t="shared"/>
        <v>1.5219146158413219E-2</v>
      </c>
      <c r="G13" s="22">
        <f si="4" t="shared"/>
        <v>0.45152924357112056</v>
      </c>
      <c r="H13" s="6">
        <f si="0" t="shared"/>
        <v>1</v>
      </c>
      <c r="I13" s="31">
        <f si="5" t="shared"/>
        <v>-0.89572537723525347</v>
      </c>
      <c r="L13" s="75">
        <v>30</v>
      </c>
      <c r="M13" s="75">
        <f si="1" t="shared"/>
        <v>-3.4381330000000001</v>
      </c>
      <c r="N13" s="76">
        <f si="6" t="shared"/>
        <v>-4.3338583772352539</v>
      </c>
      <c r="O13" s="75" t="str">
        <f si="7" t="shared"/>
        <v>Departure 12-3 am</v>
      </c>
      <c r="R13" s="66">
        <f>WorkTourTime!B21</f>
        <v>21</v>
      </c>
      <c r="S13" s="66" t="str">
        <f>WorkTourTime!C21</f>
        <v>dep3-6</v>
      </c>
      <c r="T13" s="66">
        <f>VLOOKUP(R13,WorkTourTime!$B$11:$E$84,4,FALSE)</f>
        <v>-2.7576260000000001</v>
      </c>
      <c r="U13" s="67">
        <f si="2" t="shared"/>
        <v>-3.3863302766919352</v>
      </c>
    </row>
    <row ht="15.75" r="14" spans="2:21" thickBot="1" x14ac:dyDescent="0.3">
      <c r="B14" s="39" t="s">
        <v>82</v>
      </c>
      <c r="C14" s="40">
        <f>SUM(C4:C13)</f>
        <v>703789.12151804136</v>
      </c>
      <c r="D14" s="40">
        <f>SUM(D4:D13)</f>
        <v>726534.7776222229</v>
      </c>
      <c r="E14" s="41">
        <f si="3" t="shared"/>
        <v>1</v>
      </c>
      <c r="F14" s="41">
        <f si="3" t="shared"/>
        <v>1</v>
      </c>
      <c r="G14" s="42">
        <f si="4" t="shared"/>
        <v>1</v>
      </c>
      <c r="H14" s="42"/>
      <c r="I14" s="43"/>
      <c r="R14" s="66">
        <f>WorkTourTime!B22</f>
        <v>22</v>
      </c>
      <c r="S14" s="66" t="str">
        <f>WorkTourTime!C22</f>
        <v>dep7-9</v>
      </c>
      <c r="T14" s="66">
        <f>VLOOKUP(R14,WorkTourTime!$B$11:$E$84,4,FALSE)</f>
        <v>-1.6259760000000001</v>
      </c>
      <c r="U14" s="67">
        <f si="2" t="shared"/>
        <v>-1.917781727961656</v>
      </c>
    </row>
    <row r="15" spans="2:21" x14ac:dyDescent="0.25">
      <c r="R15" s="66">
        <f>WorkTourTime!B23</f>
        <v>23</v>
      </c>
      <c r="S15" s="66" t="str">
        <f>WorkTourTime!C23</f>
        <v>dep10-12</v>
      </c>
      <c r="T15" s="66">
        <f>VLOOKUP(R15,WorkTourTime!$B$11:$E$84,4,FALSE)</f>
        <v>-0.57779599999999998</v>
      </c>
      <c r="U15" s="67">
        <f si="2" t="shared"/>
        <v>-0.79500211833558077</v>
      </c>
    </row>
    <row r="16" spans="2:21" x14ac:dyDescent="0.25">
      <c r="R16" s="66">
        <f>WorkTourTime!B24</f>
        <v>24</v>
      </c>
      <c r="S16" s="66" t="str">
        <f>WorkTourTime!C24</f>
        <v>dep13-14</v>
      </c>
      <c r="T16" s="66">
        <f>VLOOKUP(R16,WorkTourTime!$B$11:$E$84,4,FALSE)</f>
        <v>-0.45795000000000002</v>
      </c>
      <c r="U16" s="67">
        <f si="2" t="shared"/>
        <v>-0.45528703988398611</v>
      </c>
    </row>
    <row ht="15.75" r="17" spans="2:21" thickBot="1" x14ac:dyDescent="0.3">
      <c r="B17" s="37" t="s">
        <v>233</v>
      </c>
      <c r="C17" s="1"/>
      <c r="D17" s="1"/>
      <c r="E17" s="1" t="s">
        <v>86</v>
      </c>
      <c r="F17" s="38">
        <v>1</v>
      </c>
      <c r="G17" s="1"/>
      <c r="H17" s="1"/>
      <c r="I17" s="1"/>
      <c r="R17" s="66">
        <f>WorkTourTime!B25</f>
        <v>25</v>
      </c>
      <c r="S17" s="66" t="str">
        <f>WorkTourTime!C25</f>
        <v>dep=16</v>
      </c>
      <c r="T17" s="66">
        <f>VLOOKUP(R17,WorkTourTime!$B$11:$E$84,4,FALSE)</f>
        <v>0</v>
      </c>
      <c r="U17" s="67">
        <f si="2" t="shared"/>
        <v>0</v>
      </c>
    </row>
    <row ht="15.75" r="18" spans="2:21" thickBot="1" x14ac:dyDescent="0.3">
      <c r="B18" s="5"/>
      <c r="C18" s="94" t="s">
        <v>87</v>
      </c>
      <c r="D18" s="94"/>
      <c r="E18" s="94" t="s">
        <v>83</v>
      </c>
      <c r="F18" s="94"/>
      <c r="G18" s="11"/>
      <c r="H18" s="11"/>
      <c r="I18" s="11"/>
      <c r="L18" s="1"/>
      <c r="M18" s="1"/>
      <c r="N18" s="1"/>
      <c r="O18" s="1"/>
      <c r="R18" s="66">
        <f>WorkTourTime!B26</f>
        <v>26</v>
      </c>
      <c r="S18" s="66" t="str">
        <f>WorkTourTime!C26</f>
        <v>dep=17</v>
      </c>
      <c r="T18" s="66">
        <f>VLOOKUP(R18,WorkTourTime!$B$11:$E$84,4,FALSE)</f>
        <v>-5.4146E-2</v>
      </c>
      <c r="U18" s="67">
        <f si="2" t="shared"/>
        <v>-0.11502702064363332</v>
      </c>
    </row>
    <row r="19" spans="2:21" x14ac:dyDescent="0.25">
      <c r="B19" s="32" t="s">
        <v>72</v>
      </c>
      <c r="C19" s="33" t="s">
        <v>48</v>
      </c>
      <c r="D19" s="33" t="s">
        <v>35</v>
      </c>
      <c r="E19" s="33" t="s">
        <v>48</v>
      </c>
      <c r="F19" s="33" t="s">
        <v>35</v>
      </c>
      <c r="G19" s="33" t="s">
        <v>84</v>
      </c>
      <c r="H19" s="33" t="s">
        <v>86</v>
      </c>
      <c r="I19" s="65" t="s">
        <v>85</v>
      </c>
      <c r="L19" s="68" t="s">
        <v>88</v>
      </c>
      <c r="M19" s="68" t="s">
        <v>89</v>
      </c>
      <c r="N19" s="69" t="s">
        <v>91</v>
      </c>
      <c r="O19" s="70" t="s">
        <v>195</v>
      </c>
      <c r="R19" s="66">
        <f>WorkTourTime!B27</f>
        <v>27</v>
      </c>
      <c r="S19" s="66" t="str">
        <f>WorkTourTime!C27</f>
        <v>dep=18</v>
      </c>
      <c r="T19" s="66">
        <f>VLOOKUP(R19,WorkTourTime!$B$11:$E$84,4,FALSE)</f>
        <v>-0.85907800000000001</v>
      </c>
      <c r="U19" s="67">
        <f si="2" t="shared"/>
        <v>-0.9929927104168037</v>
      </c>
    </row>
    <row r="20" spans="2:21" x14ac:dyDescent="0.25">
      <c r="B20" t="s">
        <v>224</v>
      </c>
      <c r="C20" s="29">
        <f>SUM(Arrival_Time!B9:B14)</f>
        <v>65613.654919303546</v>
      </c>
      <c r="D20" s="29">
        <f>SUM(Arrival_Time!I9:I14)</f>
        <v>56501.436138153076</v>
      </c>
      <c r="E20" s="30">
        <f>C20/C$14</f>
        <v>9.3229140538259328E-2</v>
      </c>
      <c r="F20" s="30">
        <f>D20/D$14</f>
        <v>7.776838477446181E-2</v>
      </c>
      <c r="G20" s="6">
        <f>E20/F20</f>
        <v>1.1988051546735305</v>
      </c>
      <c r="H20" s="6">
        <f ref="H20:H29" si="8" t="shared">$F$1</f>
        <v>1</v>
      </c>
      <c r="I20" s="62">
        <f>H20*(LN(G20)-LN($G$23))</f>
        <v>0.163538869211934</v>
      </c>
      <c r="L20" s="71">
        <v>11</v>
      </c>
      <c r="M20" s="72">
        <f ref="M20:M29" si="9" t="shared">VLOOKUP(L20,$R$3:$U$64,3,FALSE)</f>
        <v>-2.3394698170399999</v>
      </c>
      <c r="N20" s="73">
        <f>I20+M20</f>
        <v>-2.175930947828066</v>
      </c>
      <c r="O20" s="72" t="str">
        <f>CONCATENATE("Arrival ",B20)</f>
        <v>Arrival 3-6 am</v>
      </c>
      <c r="R20" s="66">
        <f>WorkTourTime!B28</f>
        <v>28</v>
      </c>
      <c r="S20" s="66" t="str">
        <f>WorkTourTime!C28</f>
        <v>dep19-20</v>
      </c>
      <c r="T20" s="66">
        <f>VLOOKUP(R20,WorkTourTime!$B$11:$E$84,4,FALSE)</f>
        <v>-1.93876</v>
      </c>
      <c r="U20" s="67">
        <f si="2" t="shared"/>
        <v>-2.1382939780332988</v>
      </c>
    </row>
    <row r="21" spans="2:21" x14ac:dyDescent="0.25">
      <c r="B21" t="s">
        <v>225</v>
      </c>
      <c r="C21" s="29">
        <f>SUM(Arrival_Time!B15:B16)</f>
        <v>92521.101848061095</v>
      </c>
      <c r="D21" s="29">
        <f>SUM(Arrival_Time!I15:I16)</f>
        <v>82697.960562705994</v>
      </c>
      <c r="E21" s="30">
        <f ref="E21:E30" si="10" t="shared">C21/C$14</f>
        <v>0.13146139805130441</v>
      </c>
      <c r="F21" s="30">
        <f ref="F21:F30" si="11" t="shared">D21/D$14</f>
        <v>0.11382519200712859</v>
      </c>
      <c r="G21" s="6">
        <f ref="G21:G30" si="12" t="shared">E21/F21</f>
        <v>1.1549411490829842</v>
      </c>
      <c r="H21" s="6">
        <f si="8" t="shared"/>
        <v>1</v>
      </c>
      <c r="I21" s="63">
        <f ref="I21:I29" si="13" t="shared">H21*(LN(G21)-LN($G$23))</f>
        <v>0.12626290240036495</v>
      </c>
      <c r="L21" s="71">
        <v>12</v>
      </c>
      <c r="M21" s="74">
        <f si="9" t="shared"/>
        <v>-0.67106220384299997</v>
      </c>
      <c r="N21" s="73">
        <f ref="N21:N29" si="14" t="shared">I21+M21</f>
        <v>-0.544799301442635</v>
      </c>
      <c r="O21" s="74" t="str">
        <f ref="O21:O29" si="15" t="shared">CONCATENATE("Arrival ",B21)</f>
        <v>Arrival 6-7 am</v>
      </c>
      <c r="R21" s="66">
        <f>WorkTourTime!B29</f>
        <v>29</v>
      </c>
      <c r="S21" s="66" t="str">
        <f>WorkTourTime!C29</f>
        <v>dep21-23</v>
      </c>
      <c r="T21" s="66">
        <f>VLOOKUP(R21,WorkTourTime!$B$11:$E$84,4,FALSE)</f>
        <v>-1.9554069999999999</v>
      </c>
      <c r="U21" s="67">
        <f si="2" t="shared"/>
        <v>-2.1728032200805032</v>
      </c>
    </row>
    <row r="22" spans="2:21" x14ac:dyDescent="0.25">
      <c r="B22" t="s">
        <v>226</v>
      </c>
      <c r="C22" s="29">
        <f>SUM(Arrival_Time!B17:B18)</f>
        <v>133062.1411981656</v>
      </c>
      <c r="D22" s="29">
        <f>SUM(Arrival_Time!I17:I18)</f>
        <v>127618.87012004852</v>
      </c>
      <c r="E22" s="30">
        <f si="10" t="shared"/>
        <v>0.18906535655333315</v>
      </c>
      <c r="F22" s="30">
        <f si="11" t="shared"/>
        <v>0.17565417933290819</v>
      </c>
      <c r="G22" s="6">
        <f si="12" t="shared"/>
        <v>1.0763498897171553</v>
      </c>
      <c r="H22" s="6">
        <f si="8" t="shared"/>
        <v>1</v>
      </c>
      <c r="I22" s="63">
        <f si="13" t="shared"/>
        <v>5.578909809796212E-2</v>
      </c>
      <c r="L22" s="71">
        <v>13</v>
      </c>
      <c r="M22" s="74">
        <f si="9" t="shared"/>
        <v>-1.81869725389E-2</v>
      </c>
      <c r="N22" s="73">
        <f si="14" t="shared"/>
        <v>3.7602125559062116E-2</v>
      </c>
      <c r="O22" s="74" t="str">
        <f si="15" t="shared"/>
        <v>Arrival 7-8 am</v>
      </c>
      <c r="R22" s="66">
        <f>WorkTourTime!B30</f>
        <v>30</v>
      </c>
      <c r="S22" s="66" t="str">
        <f>WorkTourTime!C30</f>
        <v>dep24-26</v>
      </c>
      <c r="T22" s="66">
        <f>VLOOKUP(R22,WorkTourTime!$B$11:$E$84,4,FALSE)</f>
        <v>-3.4381330000000001</v>
      </c>
      <c r="U22" s="67">
        <f si="2" t="shared"/>
        <v>-4.3338583772352539</v>
      </c>
    </row>
    <row r="23" spans="2:21" x14ac:dyDescent="0.25">
      <c r="B23" t="s">
        <v>227</v>
      </c>
      <c r="C23" s="29">
        <f>SUM(Arrival_Time!B19:B20)</f>
        <v>131869.01166845422</v>
      </c>
      <c r="D23" s="29">
        <f>SUM(Arrival_Time!I19:I20)</f>
        <v>133730.98278999329</v>
      </c>
      <c r="E23" s="30">
        <f si="10" t="shared"/>
        <v>0.18737006247555904</v>
      </c>
      <c r="F23" s="30">
        <f si="11" t="shared"/>
        <v>0.18406687044997802</v>
      </c>
      <c r="G23" s="6">
        <f si="12" t="shared"/>
        <v>1.0179456086665997</v>
      </c>
      <c r="H23" s="6">
        <f si="8" t="shared"/>
        <v>1</v>
      </c>
      <c r="I23" s="63">
        <f si="13" t="shared"/>
        <v>0</v>
      </c>
      <c r="L23" s="71">
        <v>14</v>
      </c>
      <c r="M23" s="74">
        <f si="9" t="shared"/>
        <v>0</v>
      </c>
      <c r="N23" s="73">
        <f si="14" t="shared"/>
        <v>0</v>
      </c>
      <c r="O23" s="74" t="str">
        <f si="15" t="shared"/>
        <v>Arrival 8-9 am</v>
      </c>
      <c r="R23" s="89">
        <f>WorkTourTime!B31</f>
        <v>31</v>
      </c>
      <c r="S23" s="89" t="str">
        <f>WorkTourTime!C31</f>
        <v>dur0-2</v>
      </c>
      <c r="T23" s="89">
        <f>VLOOKUP(R23,WorkTourTime!$B$11:$E$84,4,FALSE)</f>
        <v>0.94328400000000001</v>
      </c>
      <c r="U23" s="91">
        <f si="2" t="shared"/>
        <v>0.98771359847846263</v>
      </c>
    </row>
    <row r="24" spans="2:21" x14ac:dyDescent="0.25">
      <c r="B24" t="s">
        <v>228</v>
      </c>
      <c r="C24" s="29">
        <f>SUM(Arrival_Time!B21:B22)</f>
        <v>91507.497074743063</v>
      </c>
      <c r="D24" s="29">
        <f>SUM(Arrival_Time!I21:I22)</f>
        <v>98300.795130729675</v>
      </c>
      <c r="E24" s="30">
        <f si="10" t="shared"/>
        <v>0.13002118713822333</v>
      </c>
      <c r="F24" s="30">
        <f si="11" t="shared"/>
        <v>0.1353008805062918</v>
      </c>
      <c r="G24" s="6">
        <f si="12" t="shared"/>
        <v>0.960978130014291</v>
      </c>
      <c r="H24" s="6">
        <f si="8" t="shared"/>
        <v>1</v>
      </c>
      <c r="I24" s="63">
        <f si="13" t="shared"/>
        <v>-5.7590114900484185E-2</v>
      </c>
      <c r="L24" s="71">
        <v>15</v>
      </c>
      <c r="M24" s="74">
        <f si="9" t="shared"/>
        <v>-0.93649924875500001</v>
      </c>
      <c r="N24" s="73">
        <f si="14" t="shared"/>
        <v>-0.99408936365548417</v>
      </c>
      <c r="O24" s="74" t="str">
        <f si="15" t="shared"/>
        <v>Arrival 9-10 am</v>
      </c>
      <c r="R24" s="89">
        <f>WorkTourTime!B32</f>
        <v>32</v>
      </c>
      <c r="S24" s="89" t="str">
        <f>WorkTourTime!C32</f>
        <v>dur3-4</v>
      </c>
      <c r="T24" s="89">
        <f>VLOOKUP(R24,WorkTourTime!$B$11:$E$84,4,FALSE)</f>
        <v>1.0836619999999999</v>
      </c>
      <c r="U24" s="91">
        <f si="2" t="shared"/>
        <v>0.75153896174123835</v>
      </c>
    </row>
    <row r="25" spans="2:21" x14ac:dyDescent="0.25">
      <c r="B25" t="s">
        <v>232</v>
      </c>
      <c r="C25" s="29">
        <f>SUM(Arrival_Time!B23:B28)</f>
        <v>103996.06736387902</v>
      </c>
      <c r="D25" s="29">
        <f>SUM(Arrival_Time!I23:I28)</f>
        <v>114356.85075283051</v>
      </c>
      <c r="E25" s="30">
        <f si="10" t="shared"/>
        <v>0.14776594889611849</v>
      </c>
      <c r="F25" s="30">
        <f si="11" t="shared"/>
        <v>0.15740038092476938</v>
      </c>
      <c r="G25" s="6">
        <f si="12" t="shared"/>
        <v>0.93879028772328244</v>
      </c>
      <c r="H25" s="6">
        <f si="8" t="shared"/>
        <v>1</v>
      </c>
      <c r="I25" s="63">
        <f si="13" t="shared"/>
        <v>-8.0949647575300404E-2</v>
      </c>
      <c r="L25" s="71">
        <v>16</v>
      </c>
      <c r="M25" s="74">
        <f si="9" t="shared"/>
        <v>-1.77743849575</v>
      </c>
      <c r="N25" s="73">
        <f si="14" t="shared"/>
        <v>-1.8583881433253004</v>
      </c>
      <c r="O25" s="74" t="str">
        <f si="15" t="shared"/>
        <v>Arrival 10 am-1 pm</v>
      </c>
      <c r="R25" s="89">
        <f>WorkTourTime!B33</f>
        <v>33</v>
      </c>
      <c r="S25" s="89" t="str">
        <f>WorkTourTime!C33</f>
        <v>dur5-6</v>
      </c>
      <c r="T25" s="89">
        <f>VLOOKUP(R25,WorkTourTime!$B$11:$E$84,4,FALSE)</f>
        <v>0.42832700000000001</v>
      </c>
      <c r="U25" s="91">
        <f si="2" t="shared"/>
        <v>0.30878596974093042</v>
      </c>
    </row>
    <row r="26" spans="2:21" x14ac:dyDescent="0.25">
      <c r="B26" t="s">
        <v>229</v>
      </c>
      <c r="C26" s="29">
        <f>SUM(Arrival_Time!B29:B34)</f>
        <v>47477.588084243165</v>
      </c>
      <c r="D26" s="29">
        <f>SUM(Arrival_Time!I29:I34)</f>
        <v>55028.690614700317</v>
      </c>
      <c r="E26" s="30">
        <f si="10" t="shared"/>
        <v>6.7459962981292115E-2</v>
      </c>
      <c r="F26" s="30">
        <f si="11" t="shared"/>
        <v>7.5741302838655919E-2</v>
      </c>
      <c r="G26" s="6">
        <f si="12" t="shared"/>
        <v>0.89066282798165342</v>
      </c>
      <c r="H26" s="6">
        <f si="8" t="shared"/>
        <v>1</v>
      </c>
      <c r="I26" s="63">
        <f si="13" t="shared"/>
        <v>-0.13357583000416559</v>
      </c>
      <c r="L26" s="71">
        <v>17</v>
      </c>
      <c r="M26" s="74">
        <f si="9" t="shared"/>
        <v>-1.86737256636</v>
      </c>
      <c r="N26" s="73">
        <f si="14" t="shared"/>
        <v>-2.0009483963641657</v>
      </c>
      <c r="O26" s="74" t="str">
        <f si="15" t="shared"/>
        <v>Arrival 1-4 pm</v>
      </c>
      <c r="R26" s="89">
        <f>WorkTourTime!B34</f>
        <v>34</v>
      </c>
      <c r="S26" s="89" t="str">
        <f>WorkTourTime!C34</f>
        <v>dur7-8</v>
      </c>
      <c r="T26" s="89">
        <f>VLOOKUP(R26,WorkTourTime!$B$11:$E$84,4,FALSE)</f>
        <v>0.61578100000000002</v>
      </c>
      <c r="U26" s="91">
        <f si="2" t="shared"/>
        <v>0.61578100000000002</v>
      </c>
    </row>
    <row r="27" spans="2:21" x14ac:dyDescent="0.25">
      <c r="B27" t="s">
        <v>230</v>
      </c>
      <c r="C27" s="29">
        <f>SUM(Arrival_Time!B35:B40)</f>
        <v>24473.52208851563</v>
      </c>
      <c r="D27" s="29">
        <f>SUM(Arrival_Time!I35:I40)</f>
        <v>28002.127404212952</v>
      </c>
      <c r="E27" s="30">
        <f si="10" t="shared"/>
        <v>3.4773941995192181E-2</v>
      </c>
      <c r="F27" s="30">
        <f si="11" t="shared"/>
        <v>3.8542033040534295E-2</v>
      </c>
      <c r="G27" s="6">
        <f si="12" t="shared"/>
        <v>0.90223424277128172</v>
      </c>
      <c r="H27" s="6">
        <f si="8" t="shared"/>
        <v>1</v>
      </c>
      <c r="I27" s="63">
        <f si="13" t="shared"/>
        <v>-0.12066758708305407</v>
      </c>
      <c r="L27" s="71">
        <v>18</v>
      </c>
      <c r="M27" s="74">
        <f si="9" t="shared"/>
        <v>-2.26568763106</v>
      </c>
      <c r="N27" s="73">
        <f si="14" t="shared"/>
        <v>-2.3863552181430543</v>
      </c>
      <c r="O27" s="74" t="str">
        <f si="15" t="shared"/>
        <v>Arrival 4-7 pm</v>
      </c>
      <c r="R27" s="89">
        <f>WorkTourTime!B35</f>
        <v>35</v>
      </c>
      <c r="S27" s="89" t="str">
        <f>WorkTourTime!C35</f>
        <v>dur=9</v>
      </c>
      <c r="T27" s="89">
        <f>VLOOKUP(R27,WorkTourTime!$B$11:$E$84,4,FALSE)</f>
        <v>-0.111499</v>
      </c>
      <c r="U27" s="91">
        <f si="2" t="shared"/>
        <v>-0.23279372181260283</v>
      </c>
    </row>
    <row r="28" spans="2:21" x14ac:dyDescent="0.25">
      <c r="B28" t="s">
        <v>79</v>
      </c>
      <c r="C28" s="29">
        <f>SUM(Arrival_Time!B41:B44)</f>
        <v>5586.2002666689832</v>
      </c>
      <c r="D28" s="29">
        <f>SUM(Arrival_Time!I41:I44)</f>
        <v>9753.9425325393677</v>
      </c>
      <c r="E28" s="30">
        <f si="10" t="shared"/>
        <v>7.9373211319603825E-3</v>
      </c>
      <c r="F28" s="30">
        <f si="11" t="shared"/>
        <v>1.3425293369247544E-2</v>
      </c>
      <c r="G28" s="6">
        <f si="12" t="shared"/>
        <v>0.59122142910797715</v>
      </c>
      <c r="H28" s="6">
        <f si="8" t="shared"/>
        <v>1</v>
      </c>
      <c r="I28" s="63">
        <f si="13" t="shared"/>
        <v>-0.54335115030568304</v>
      </c>
      <c r="L28" s="71">
        <v>19</v>
      </c>
      <c r="M28" s="74">
        <f si="9" t="shared"/>
        <v>-3.1613092691400002</v>
      </c>
      <c r="N28" s="73">
        <f si="14" t="shared"/>
        <v>-3.7046604194456831</v>
      </c>
      <c r="O28" s="74" t="str">
        <f si="15" t="shared"/>
        <v>Arrival 7-9 pm</v>
      </c>
      <c r="R28" s="89">
        <f>WorkTourTime!B36</f>
        <v>36</v>
      </c>
      <c r="S28" s="89" t="str">
        <f>WorkTourTime!C36</f>
        <v>dur=10</v>
      </c>
      <c r="T28" s="89">
        <f>VLOOKUP(R28,WorkTourTime!$B$11:$E$84,4,FALSE)</f>
        <v>-1.2529269999999999</v>
      </c>
      <c r="U28" s="91">
        <f si="2" t="shared"/>
        <v>-1.5846102217326843</v>
      </c>
    </row>
    <row r="29" spans="2:21" x14ac:dyDescent="0.25">
      <c r="B29" s="23" t="s">
        <v>231</v>
      </c>
      <c r="C29" s="34">
        <f>SUM(Arrival_Time!B45:B57)+Arrival_Time!B8</f>
        <v>1932.1925021001109</v>
      </c>
      <c r="D29" s="34">
        <f>SUM(Arrival_Time!I45:I57)+Arrival_Time!I8</f>
        <v>9235.694899559021</v>
      </c>
      <c r="E29" s="35">
        <f si="10" t="shared"/>
        <v>2.7454139926636817E-3</v>
      </c>
      <c r="F29" s="35">
        <f si="11" t="shared"/>
        <v>1.2711979087615425E-2</v>
      </c>
      <c r="G29" s="22">
        <f si="12" t="shared"/>
        <v>0.21597061903117712</v>
      </c>
      <c r="H29" s="6">
        <f si="8" t="shared"/>
        <v>1</v>
      </c>
      <c r="I29" s="36">
        <f si="13" t="shared"/>
        <v>-1.5503993906540787</v>
      </c>
      <c r="L29" s="75">
        <v>20</v>
      </c>
      <c r="M29" s="75">
        <f si="9" t="shared"/>
        <v>-4.1209548115799999</v>
      </c>
      <c r="N29" s="76">
        <f si="14" t="shared"/>
        <v>-5.6713542022340784</v>
      </c>
      <c r="O29" s="75" t="str">
        <f si="15" t="shared"/>
        <v>Arrival 9 pm-3 am</v>
      </c>
      <c r="R29" s="89">
        <f>WorkTourTime!B37</f>
        <v>37</v>
      </c>
      <c r="S29" s="89" t="str">
        <f>WorkTourTime!C37</f>
        <v>dur=11</v>
      </c>
      <c r="T29" s="89">
        <f>VLOOKUP(R29,WorkTourTime!$B$11:$E$84,4,FALSE)</f>
        <v>-2.4258410000000001</v>
      </c>
      <c r="U29" s="91">
        <f si="2" t="shared"/>
        <v>-2.9581354772540127</v>
      </c>
    </row>
    <row ht="15.75" r="30" spans="2:21" thickBot="1" x14ac:dyDescent="0.3">
      <c r="B30" s="39" t="s">
        <v>82</v>
      </c>
      <c r="C30" s="40">
        <f>SUM(C20:C29)</f>
        <v>698038.97701413452</v>
      </c>
      <c r="D30" s="40">
        <f>SUM(D20:D29)</f>
        <v>715227.35094547272</v>
      </c>
      <c r="E30" s="41">
        <f si="10" t="shared"/>
        <v>0.99182973375390626</v>
      </c>
      <c r="F30" s="41">
        <f si="11" t="shared"/>
        <v>0.98443649633159103</v>
      </c>
      <c r="G30" s="42">
        <f si="12" t="shared"/>
        <v>1.0075101212214961</v>
      </c>
      <c r="H30" s="42"/>
      <c r="I30" s="1"/>
      <c r="R30" s="89">
        <f>WorkTourTime!B38</f>
        <v>38</v>
      </c>
      <c r="S30" s="89" t="str">
        <f>WorkTourTime!C38</f>
        <v>dur12-13</v>
      </c>
      <c r="T30" s="89">
        <f>VLOOKUP(R30,WorkTourTime!$B$11:$E$84,4,FALSE)</f>
        <v>-3.6496620000000002</v>
      </c>
      <c r="U30" s="91">
        <f si="2" t="shared"/>
        <v>-4.2806071784468536</v>
      </c>
    </row>
    <row r="31" spans="2:21" x14ac:dyDescent="0.25">
      <c r="R31" s="89">
        <f>WorkTourTime!B39</f>
        <v>39</v>
      </c>
      <c r="S31" s="89" t="str">
        <f>WorkTourTime!C39</f>
        <v>dur14-17</v>
      </c>
      <c r="T31" s="89">
        <f>VLOOKUP(R31,WorkTourTime!$B$11:$E$84,4,FALSE)</f>
        <v>-6.2620810000000002</v>
      </c>
      <c r="U31" s="91">
        <f si="2" t="shared"/>
        <v>-6.9969977909019567</v>
      </c>
    </row>
    <row r="32" spans="2:21" x14ac:dyDescent="0.25">
      <c r="B32" s="77"/>
      <c r="C32" s="77"/>
      <c r="D32" s="77"/>
      <c r="E32" s="77"/>
      <c r="F32" s="77"/>
      <c r="G32" s="77"/>
      <c r="H32" s="77"/>
      <c r="I32" s="77"/>
      <c r="J32" s="77"/>
      <c r="K32" s="77"/>
      <c r="L32" s="77"/>
      <c r="M32" s="77"/>
      <c r="N32" s="77"/>
      <c r="O32" s="77"/>
      <c r="R32" s="89">
        <f>WorkTourTime!B40</f>
        <v>40</v>
      </c>
      <c r="S32" s="89" t="str">
        <f>WorkTourTime!C40</f>
        <v>dur18-23</v>
      </c>
      <c r="T32" s="89">
        <f>VLOOKUP(R32,WorkTourTime!$B$11:$E$84,4,FALSE)</f>
        <v>-9.2484599999999997</v>
      </c>
      <c r="U32" s="91">
        <f si="2" t="shared"/>
        <v>-9.7019318625539839</v>
      </c>
    </row>
    <row ht="15.75" r="33" spans="2:21" thickBot="1" x14ac:dyDescent="0.3">
      <c r="B33" s="37" t="s">
        <v>220</v>
      </c>
      <c r="C33" s="1"/>
      <c r="D33" s="1"/>
      <c r="E33" s="1" t="s">
        <v>86</v>
      </c>
      <c r="F33" s="38">
        <v>0</v>
      </c>
      <c r="G33" s="1"/>
      <c r="H33" s="1"/>
      <c r="I33" s="1"/>
      <c r="M33" s="77"/>
      <c r="N33" s="77"/>
      <c r="O33" s="77"/>
      <c r="R33">
        <f>WorkTourTime!B41</f>
        <v>41</v>
      </c>
      <c r="S33" t="str">
        <f>WorkTourTime!C41</f>
        <v>ptwk-arr</v>
      </c>
      <c r="T33">
        <f>VLOOKUP(R33,WorkTourTime!$B$11:$E$84,4,FALSE)</f>
        <v>4.0037136956699998E-2</v>
      </c>
      <c r="U33" s="64">
        <f si="2" t="shared"/>
        <v>4.0037136956699998E-2</v>
      </c>
    </row>
    <row ht="15.75" r="34" spans="2:21" thickBot="1" x14ac:dyDescent="0.3">
      <c r="B34" s="8"/>
      <c r="C34" s="95" t="s">
        <v>87</v>
      </c>
      <c r="D34" s="95"/>
      <c r="E34" s="95" t="s">
        <v>83</v>
      </c>
      <c r="F34" s="95"/>
      <c r="G34" s="8"/>
      <c r="H34" s="8"/>
      <c r="I34" s="8"/>
      <c r="L34" s="1"/>
      <c r="M34" s="1"/>
      <c r="N34" s="1"/>
      <c r="O34" s="1"/>
      <c r="R34">
        <f>WorkTourTime!B42</f>
        <v>42</v>
      </c>
      <c r="S34" t="str">
        <f>WorkTourTime!C42</f>
        <v>ptwk-dur</v>
      </c>
      <c r="T34">
        <f>VLOOKUP(R34,WorkTourTime!$B$11:$E$84,4,FALSE)</f>
        <v>-2.9029788634599998E-2</v>
      </c>
      <c r="U34" s="64">
        <f si="2" t="shared"/>
        <v>-2.9029788634599998E-2</v>
      </c>
    </row>
    <row r="35" spans="2:21" x14ac:dyDescent="0.25">
      <c r="B35" s="32" t="s">
        <v>14</v>
      </c>
      <c r="C35" s="33" t="s">
        <v>48</v>
      </c>
      <c r="D35" s="33" t="s">
        <v>35</v>
      </c>
      <c r="E35" s="33" t="s">
        <v>48</v>
      </c>
      <c r="F35" s="33" t="s">
        <v>35</v>
      </c>
      <c r="G35" s="33" t="s">
        <v>84</v>
      </c>
      <c r="H35" s="33" t="s">
        <v>86</v>
      </c>
      <c r="I35" s="33" t="s">
        <v>85</v>
      </c>
      <c r="L35" s="33" t="s">
        <v>88</v>
      </c>
      <c r="M35" s="68" t="s">
        <v>89</v>
      </c>
      <c r="N35" s="69" t="s">
        <v>91</v>
      </c>
      <c r="O35" s="90" t="s">
        <v>195</v>
      </c>
      <c r="R35">
        <f>WorkTourTime!B43</f>
        <v>43</v>
      </c>
      <c r="S35" t="str">
        <f>WorkTourTime!C43</f>
        <v>nwad-arr</v>
      </c>
      <c r="T35">
        <f>VLOOKUP(R35,WorkTourTime!$B$11:$E$84,4,FALSE)</f>
        <v>6.0083727421699998E-2</v>
      </c>
      <c r="U35" s="64">
        <f si="2" t="shared"/>
        <v>6.0083727421699998E-2</v>
      </c>
    </row>
    <row r="36" spans="2:21" x14ac:dyDescent="0.25">
      <c r="B36" t="s">
        <v>62</v>
      </c>
      <c r="C36" s="29">
        <f>SUM(Duration!B8:B13)</f>
        <v>147672.88692997542</v>
      </c>
      <c r="D36" s="29">
        <f>SUM(Duration!I7:I12)</f>
        <v>121574.75231647491</v>
      </c>
      <c r="E36" s="30">
        <f ref="E36:E46" si="16" t="shared">C36/C$46</f>
        <v>0.20031276859360664</v>
      </c>
      <c r="F36" s="30">
        <f ref="F36:F46" si="17" t="shared">D36/D$46</f>
        <v>0.16791514094202525</v>
      </c>
      <c r="G36" s="6">
        <f>E36/F36</f>
        <v>1.1929404785645092</v>
      </c>
      <c r="H36" s="6">
        <f>$F$1</f>
        <v>1</v>
      </c>
      <c r="I36" s="62">
        <f ref="I36:I45" si="18" t="shared">H36*(LN(G36)-LN($G$39))</f>
        <v>4.442959847846259E-2</v>
      </c>
      <c r="L36">
        <v>31</v>
      </c>
      <c r="M36" s="72">
        <f ref="M36:M45" si="19" t="shared">VLOOKUP(L36,$R$3:$U$64,3,FALSE)</f>
        <v>0.94328400000000001</v>
      </c>
      <c r="N36" s="73">
        <f>I36+M36</f>
        <v>0.98771359847846263</v>
      </c>
      <c r="O36" s="74" t="str">
        <f>CONCATENATE("Duration ",B36)</f>
        <v>Duration 0-3 hrs</v>
      </c>
      <c r="R36">
        <f>WorkTourTime!B44</f>
        <v>44</v>
      </c>
      <c r="S36" t="str">
        <f>WorkTourTime!C44</f>
        <v>nwad-dur</v>
      </c>
      <c r="T36">
        <f>VLOOKUP(R36,WorkTourTime!$B$11:$E$84,4,FALSE)</f>
        <v>-0.13634249725200001</v>
      </c>
      <c r="U36" s="64">
        <f si="2" t="shared"/>
        <v>-0.13634249725200001</v>
      </c>
    </row>
    <row r="37" spans="2:21" x14ac:dyDescent="0.25">
      <c r="B37" t="s">
        <v>63</v>
      </c>
      <c r="C37" s="29">
        <f>SUM(Duration!B14:B17)</f>
        <v>80757.028045230007</v>
      </c>
      <c r="D37" s="29">
        <f>SUM(Duration!I13:I16)</f>
        <v>96885.255422592163</v>
      </c>
      <c r="E37" s="30">
        <f si="16" t="shared"/>
        <v>0.10954389940790096</v>
      </c>
      <c r="F37" s="30">
        <f si="17" t="shared"/>
        <v>0.13381480126021275</v>
      </c>
      <c r="G37" s="6">
        <f ref="G37:G46" si="20" t="shared">E37/F37</f>
        <v>0.81862318948473245</v>
      </c>
      <c r="H37" s="6">
        <f ref="H37:H44" si="21" t="shared">$F$1</f>
        <v>1</v>
      </c>
      <c r="I37" s="63">
        <f si="18" t="shared"/>
        <v>-0.33212303825876155</v>
      </c>
      <c r="L37" s="5">
        <v>32</v>
      </c>
      <c r="M37" s="74">
        <f si="19" t="shared"/>
        <v>1.0836619999999999</v>
      </c>
      <c r="N37" s="73">
        <f ref="N37:N45" si="22" t="shared">I37+M37</f>
        <v>0.75153896174123835</v>
      </c>
      <c r="O37" s="74" t="str">
        <f ref="O37:O45" si="23" t="shared">CONCATENATE("Duration ",B37)</f>
        <v>Duration 3-5 hrs</v>
      </c>
      <c r="R37">
        <f>WorkTourTime!B45</f>
        <v>45</v>
      </c>
      <c r="S37" t="str">
        <f>WorkTourTime!C45</f>
        <v>univ-arr</v>
      </c>
      <c r="T37">
        <f>VLOOKUP(R37,WorkTourTime!$B$11:$E$84,4,FALSE)</f>
        <v>0.103738819739</v>
      </c>
      <c r="U37" s="64">
        <f si="2" t="shared"/>
        <v>0.103738819739</v>
      </c>
    </row>
    <row r="38" spans="2:21" x14ac:dyDescent="0.25">
      <c r="B38" t="s">
        <v>64</v>
      </c>
      <c r="C38" s="29">
        <f>SUM(Duration!B18:B21)</f>
        <v>111191.5632790712</v>
      </c>
      <c r="D38" s="29">
        <f>SUM(Duration!I17:I20)</f>
        <v>107851.45381450653</v>
      </c>
      <c r="E38" s="30">
        <f si="16" t="shared"/>
        <v>0.15082721241336314</v>
      </c>
      <c r="F38" s="30">
        <f si="17" t="shared"/>
        <v>0.1489609620665546</v>
      </c>
      <c r="G38" s="6">
        <f si="20" t="shared"/>
        <v>1.0125284525617841</v>
      </c>
      <c r="H38" s="6">
        <f si="21" t="shared"/>
        <v>1</v>
      </c>
      <c r="I38" s="63">
        <f si="18" t="shared"/>
        <v>-0.11954103025906956</v>
      </c>
      <c r="L38" s="5">
        <v>33</v>
      </c>
      <c r="M38" s="74">
        <f si="19" t="shared"/>
        <v>0.42832700000000001</v>
      </c>
      <c r="N38" s="73">
        <f si="22" t="shared"/>
        <v>0.30878596974093042</v>
      </c>
      <c r="O38" s="74" t="str">
        <f si="23" t="shared"/>
        <v>Duration 5-7 hrs</v>
      </c>
      <c r="R38">
        <f>WorkTourTime!B46</f>
        <v>46</v>
      </c>
      <c r="S38" t="str">
        <f>WorkTourTime!C46</f>
        <v>univ-dur</v>
      </c>
      <c r="T38">
        <f>VLOOKUP(R38,WorkTourTime!$B$11:$E$84,4,FALSE)</f>
        <v>1.35703205954E-2</v>
      </c>
      <c r="U38" s="64">
        <f si="2" t="shared"/>
        <v>1.35703205954E-2</v>
      </c>
    </row>
    <row r="39" spans="2:21" x14ac:dyDescent="0.25">
      <c r="B39" t="s">
        <v>65</v>
      </c>
      <c r="C39" s="29">
        <f>SUM(Duration!B22:B25)</f>
        <v>202707.31289120871</v>
      </c>
      <c r="D39" s="29">
        <f>SUM(Duration!I21:I24)</f>
        <v>174464.70254898071</v>
      </c>
      <c r="E39" s="30">
        <f si="16" t="shared"/>
        <v>0.27496491673967755</v>
      </c>
      <c r="F39" s="30">
        <f si="17" t="shared"/>
        <v>0.24096504051812681</v>
      </c>
      <c r="G39" s="6">
        <f si="20" t="shared"/>
        <v>1.1410987923743778</v>
      </c>
      <c r="H39" s="6">
        <f si="21" t="shared"/>
        <v>1</v>
      </c>
      <c r="I39" s="63">
        <f si="18" t="shared"/>
        <v>0</v>
      </c>
      <c r="L39" s="5">
        <v>34</v>
      </c>
      <c r="M39" s="74">
        <f si="19" t="shared"/>
        <v>0.61578100000000002</v>
      </c>
      <c r="N39" s="73">
        <f si="22" t="shared"/>
        <v>0.61578100000000002</v>
      </c>
      <c r="O39" s="74" t="str">
        <f si="23" t="shared"/>
        <v>Duration 7-9 hrs</v>
      </c>
      <c r="R39">
        <f>WorkTourTime!B47</f>
        <v>49</v>
      </c>
      <c r="S39" t="str">
        <f>WorkTourTime!C47</f>
        <v>dkid-arr</v>
      </c>
      <c r="T39">
        <f>VLOOKUP(R39,WorkTourTime!$B$11:$E$84,4,FALSE)</f>
        <v>0.19068824550399999</v>
      </c>
      <c r="U39" s="64">
        <f si="2" t="shared"/>
        <v>0.19068824550399999</v>
      </c>
    </row>
    <row r="40" spans="2:21" x14ac:dyDescent="0.25">
      <c r="B40" t="s">
        <v>66</v>
      </c>
      <c r="C40" s="29">
        <f>SUM(Duration!B26:B27)</f>
        <v>99937.288346294343</v>
      </c>
      <c r="D40" s="29">
        <f>SUM(Duration!I25:I26)</f>
        <v>97105.392360687256</v>
      </c>
      <c r="E40" s="30">
        <f si="16" t="shared"/>
        <v>0.13556120781925537</v>
      </c>
      <c r="F40" s="30">
        <f si="17" t="shared"/>
        <v>0.13411884732473248</v>
      </c>
      <c r="G40" s="6">
        <f si="20" t="shared"/>
        <v>1.0107543460393051</v>
      </c>
      <c r="H40" s="6">
        <f si="21" t="shared"/>
        <v>1</v>
      </c>
      <c r="I40" s="63">
        <f si="18" t="shared"/>
        <v>-0.12129472181260284</v>
      </c>
      <c r="L40" s="5">
        <v>35</v>
      </c>
      <c r="M40" s="74">
        <f si="19" t="shared"/>
        <v>-0.111499</v>
      </c>
      <c r="N40" s="73">
        <f si="22" t="shared"/>
        <v>-0.23279372181260283</v>
      </c>
      <c r="O40" s="74" t="str">
        <f si="23" t="shared"/>
        <v>Duration 9-10 hrs</v>
      </c>
      <c r="R40">
        <f>WorkTourTime!B48</f>
        <v>50</v>
      </c>
      <c r="S40" t="str">
        <f>WorkTourTime!C48</f>
        <v>dkid-dur</v>
      </c>
      <c r="T40">
        <f>VLOOKUP(R40,WorkTourTime!$B$11:$E$84,4,FALSE)</f>
        <v>-4.7658902528499997E-2</v>
      </c>
      <c r="U40" s="64">
        <f si="2" t="shared"/>
        <v>-4.7658902528499997E-2</v>
      </c>
    </row>
    <row r="41" spans="2:21" x14ac:dyDescent="0.25">
      <c r="B41" t="s">
        <v>67</v>
      </c>
      <c r="C41" s="29">
        <f>SUM(Duration!B28:B29)</f>
        <v>57800.716753472036</v>
      </c>
      <c r="D41" s="29">
        <f>SUM(Duration!I27:I28)</f>
        <v>69313.778557777405</v>
      </c>
      <c r="E41" s="30">
        <f si="16" t="shared"/>
        <v>7.8404518529343104E-2</v>
      </c>
      <c r="F41" s="30">
        <f si="17" t="shared"/>
        <v>9.5733963458598081E-2</v>
      </c>
      <c r="G41" s="6">
        <f si="20" t="shared"/>
        <v>0.81898331268035907</v>
      </c>
      <c r="H41" s="6">
        <f si="21" t="shared"/>
        <v>1</v>
      </c>
      <c r="I41" s="63">
        <f si="18" t="shared"/>
        <v>-0.33168322173268439</v>
      </c>
      <c r="L41" s="5">
        <v>36</v>
      </c>
      <c r="M41" s="74">
        <f si="19" t="shared"/>
        <v>-1.2529269999999999</v>
      </c>
      <c r="N41" s="73">
        <f si="22" t="shared"/>
        <v>-1.5846102217326843</v>
      </c>
      <c r="O41" s="74" t="str">
        <f si="23" t="shared"/>
        <v>Duration 10-11 hrs</v>
      </c>
      <c r="R41">
        <f>WorkTourTime!B49</f>
        <v>51</v>
      </c>
      <c r="S41" t="str">
        <f>WorkTourTime!C49</f>
        <v>linc-arr</v>
      </c>
      <c r="T41">
        <f>VLOOKUP(R41,WorkTourTime!$B$11:$E$84,4,FALSE)</f>
        <v>1.74365636267E-2</v>
      </c>
      <c r="U41" s="64">
        <f si="2" t="shared"/>
        <v>1.74365636267E-2</v>
      </c>
    </row>
    <row r="42" spans="2:21" x14ac:dyDescent="0.25">
      <c r="B42" t="s">
        <v>68</v>
      </c>
      <c r="C42" s="29">
        <f>SUM(Duration!B30:B31)</f>
        <v>23623.430214800508</v>
      </c>
      <c r="D42" s="29">
        <f>SUM(Duration!I29:I30)</f>
        <v>34622.121095657349</v>
      </c>
      <c r="E42" s="30">
        <f si="16" t="shared"/>
        <v>3.2044302839751744E-2</v>
      </c>
      <c r="F42" s="30">
        <f si="17" t="shared"/>
        <v>4.7818961031939167E-2</v>
      </c>
      <c r="G42" s="6">
        <f si="20" t="shared"/>
        <v>0.67011708636556877</v>
      </c>
      <c r="H42" s="6">
        <f si="21" t="shared"/>
        <v>1</v>
      </c>
      <c r="I42" s="63">
        <f si="18" t="shared"/>
        <v>-0.53229447725401235</v>
      </c>
      <c r="L42" s="5">
        <v>37</v>
      </c>
      <c r="M42" s="74">
        <f si="19" t="shared"/>
        <v>-2.4258410000000001</v>
      </c>
      <c r="N42" s="73">
        <f si="22" t="shared"/>
        <v>-2.9581354772540127</v>
      </c>
      <c r="O42" s="74" t="str">
        <f si="23" t="shared"/>
        <v>Duration 11-12 hrs</v>
      </c>
      <c r="R42">
        <f>WorkTourTime!B50</f>
        <v>52</v>
      </c>
      <c r="S42" t="str">
        <f>WorkTourTime!C50</f>
        <v>linc-dur</v>
      </c>
      <c r="T42">
        <f>VLOOKUP(R42,WorkTourTime!$B$11:$E$84,4,FALSE)</f>
        <v>-1.1076555783700001E-2</v>
      </c>
      <c r="U42" s="64">
        <f si="2" t="shared"/>
        <v>-1.1076555783700001E-2</v>
      </c>
    </row>
    <row r="43" spans="2:21" x14ac:dyDescent="0.25">
      <c r="B43" t="s">
        <v>69</v>
      </c>
      <c r="C43" s="29">
        <f>SUM(Duration!B32:B35)</f>
        <v>11349.335741098117</v>
      </c>
      <c r="D43" s="29">
        <f>SUM(Duration!I31:I34)</f>
        <v>18357.968096733093</v>
      </c>
      <c r="E43" s="30">
        <f si="16" t="shared"/>
        <v>1.5394951038478452E-2</v>
      </c>
      <c r="F43" s="30">
        <f si="17" t="shared"/>
        <v>2.5355435578826278E-2</v>
      </c>
      <c r="G43" s="6">
        <f si="20" t="shared"/>
        <v>0.60716570972002581</v>
      </c>
      <c r="H43" s="6">
        <f si="21" t="shared"/>
        <v>1</v>
      </c>
      <c r="I43" s="63">
        <f si="18" t="shared"/>
        <v>-0.63094517844685349</v>
      </c>
      <c r="L43" s="5">
        <v>38</v>
      </c>
      <c r="M43" s="74">
        <f si="19" t="shared"/>
        <v>-3.6496620000000002</v>
      </c>
      <c r="N43" s="73">
        <f si="22" t="shared"/>
        <v>-4.2806071784468536</v>
      </c>
      <c r="O43" s="74" t="str">
        <f si="23" t="shared"/>
        <v>Duration 12-14 hrs</v>
      </c>
      <c r="R43">
        <f>WorkTourTime!B51</f>
        <v>53</v>
      </c>
      <c r="S43" t="str">
        <f>WorkTourTime!C51</f>
        <v>hinc-arr</v>
      </c>
      <c r="T43">
        <f>VLOOKUP(R43,WorkTourTime!$B$11:$E$84,4,FALSE)</f>
        <v>-4.5799393531799999E-3</v>
      </c>
      <c r="U43" s="64">
        <f si="2" t="shared"/>
        <v>-4.5799393531799999E-3</v>
      </c>
    </row>
    <row r="44" spans="2:21" x14ac:dyDescent="0.25">
      <c r="B44" t="s">
        <v>90</v>
      </c>
      <c r="C44" s="29">
        <f>SUM(Duration!B36:B43)</f>
        <v>2061.4031860593263</v>
      </c>
      <c r="D44" s="29">
        <f>SUM(Duration!I35:I42)</f>
        <v>3699.7417259216309</v>
      </c>
      <c r="E44" s="30">
        <f si="16" t="shared"/>
        <v>2.7962166107244127E-3</v>
      </c>
      <c r="F44" s="30">
        <f si="17" t="shared"/>
        <v>5.1099643759918746E-3</v>
      </c>
      <c r="G44" s="6">
        <f si="20" t="shared"/>
        <v>0.54720863101548534</v>
      </c>
      <c r="H44" s="6">
        <f si="21" t="shared"/>
        <v>1</v>
      </c>
      <c r="I44" s="63">
        <f si="18" t="shared"/>
        <v>-0.73491679090195661</v>
      </c>
      <c r="L44" s="5">
        <v>39</v>
      </c>
      <c r="M44" s="74">
        <f si="19" t="shared"/>
        <v>-6.2620810000000002</v>
      </c>
      <c r="N44" s="73">
        <f si="22" t="shared"/>
        <v>-6.9969977909019567</v>
      </c>
      <c r="O44" s="74" t="str">
        <f si="23" t="shared"/>
        <v>Duration 14-18 hrs</v>
      </c>
      <c r="R44">
        <f>WorkTourTime!B52</f>
        <v>54</v>
      </c>
      <c r="S44" t="str">
        <f>WorkTourTime!C52</f>
        <v>hinc-dur</v>
      </c>
      <c r="T44">
        <f>VLOOKUP(R44,WorkTourTime!$B$11:$E$84,4,FALSE)</f>
        <v>1.7562242850300001E-3</v>
      </c>
      <c r="U44" s="64">
        <f si="2" t="shared"/>
        <v>1.7562242850300001E-3</v>
      </c>
    </row>
    <row r="45" spans="2:21" x14ac:dyDescent="0.25">
      <c r="B45" s="23" t="s">
        <v>70</v>
      </c>
      <c r="C45" s="34">
        <f>SUM(Duration!B44:B55)</f>
        <v>110.58616182468853</v>
      </c>
      <c r="D45" s="34">
        <f>SUM(Duration!I43:I54)</f>
        <v>149.78877544403076</v>
      </c>
      <c r="E45" s="35">
        <f si="16" t="shared"/>
        <v>1.5000600789871521E-4</v>
      </c>
      <c r="F45" s="35">
        <f si="17" t="shared"/>
        <v>2.0688344299270607E-4</v>
      </c>
      <c r="G45" s="22">
        <f si="20" t="shared"/>
        <v>0.72507497810737742</v>
      </c>
      <c r="H45" s="22">
        <v>1</v>
      </c>
      <c r="I45" s="36">
        <f si="18" t="shared"/>
        <v>-0.45347186255398386</v>
      </c>
      <c r="L45" s="23">
        <v>40</v>
      </c>
      <c r="M45" s="75">
        <f si="19" t="shared"/>
        <v>-9.2484599999999997</v>
      </c>
      <c r="N45" s="76">
        <f si="22" t="shared"/>
        <v>-9.7019318625539839</v>
      </c>
      <c r="O45" s="75" t="str">
        <f si="23" t="shared"/>
        <v>Duration 18-24 hrs</v>
      </c>
      <c r="R45">
        <f>WorkTourTime!B53</f>
        <v>57</v>
      </c>
      <c r="S45" t="str">
        <f>WorkTourTime!C53</f>
        <v>lprs-arr</v>
      </c>
      <c r="T45">
        <f>VLOOKUP(R45,WorkTourTime!$B$11:$E$84,4,FALSE)</f>
        <v>1.4622136722300001</v>
      </c>
      <c r="U45" s="64">
        <f si="2" t="shared"/>
        <v>1.4622136722300001</v>
      </c>
    </row>
    <row ht="15.75" r="46" spans="2:21" thickBot="1" x14ac:dyDescent="0.3">
      <c r="B46" s="3" t="s">
        <v>82</v>
      </c>
      <c r="C46" s="44">
        <f>SUM(C36:C45)</f>
        <v>737211.55154903431</v>
      </c>
      <c r="D46" s="44">
        <f>SUM(D36:D45)</f>
        <v>724024.95471477509</v>
      </c>
      <c r="E46" s="45">
        <f si="16" t="shared"/>
        <v>1</v>
      </c>
      <c r="F46" s="45">
        <f si="17" t="shared"/>
        <v>1</v>
      </c>
      <c r="G46" s="46">
        <f si="20" t="shared"/>
        <v>1</v>
      </c>
      <c r="H46" s="46"/>
      <c r="I46" s="1"/>
      <c r="M46" s="77"/>
      <c r="N46" s="77"/>
      <c r="O46" s="77"/>
      <c r="R46">
        <f>WorkTourTime!B54</f>
        <v>58</v>
      </c>
      <c r="S46" t="str">
        <f>WorkTourTime!C54</f>
        <v>lprs-dur</v>
      </c>
      <c r="T46">
        <f>VLOOKUP(R46,WorkTourTime!$B$11:$E$84,4,FALSE)</f>
        <v>0.24430192177099999</v>
      </c>
      <c r="U46" s="64">
        <f si="2" t="shared"/>
        <v>0.24430192177099999</v>
      </c>
    </row>
    <row r="47" spans="2:21" x14ac:dyDescent="0.25">
      <c r="M47" s="77"/>
      <c r="N47" s="77"/>
      <c r="O47" s="77"/>
      <c r="R47">
        <f>WorkTourTime!B55</f>
        <v>61</v>
      </c>
      <c r="S47" t="str">
        <f>WorkTourTime!C55</f>
        <v>ns*ot-arr</v>
      </c>
      <c r="T47">
        <f>VLOOKUP(R47,WorkTourTime!$B$11:$E$84,4,FALSE)</f>
        <v>3.9458577753300004E-3</v>
      </c>
      <c r="U47" s="64">
        <f si="2" t="shared"/>
        <v>3.9458577753300004E-3</v>
      </c>
    </row>
    <row r="48" spans="2:21" x14ac:dyDescent="0.25">
      <c r="B48" s="77"/>
      <c r="C48" s="77"/>
      <c r="D48" s="77"/>
      <c r="E48" s="77"/>
      <c r="F48" s="77"/>
      <c r="G48" s="77"/>
      <c r="H48" s="77"/>
      <c r="I48" s="77"/>
      <c r="J48" s="77"/>
      <c r="K48" s="77"/>
      <c r="L48" s="77"/>
      <c r="M48" s="77"/>
      <c r="N48" s="77"/>
      <c r="O48" s="77"/>
      <c r="R48">
        <f>WorkTourTime!B56</f>
        <v>62</v>
      </c>
      <c r="S48" t="str">
        <f>WorkTourTime!C56</f>
        <v>ns*ot-dur</v>
      </c>
      <c r="T48">
        <f>VLOOKUP(R48,WorkTourTime!$B$11:$E$84,4,FALSE)</f>
        <v>-4.5842264627900003E-2</v>
      </c>
      <c r="U48" s="64">
        <f si="2" t="shared"/>
        <v>-4.5842264627900003E-2</v>
      </c>
    </row>
    <row r="49" spans="2:21" x14ac:dyDescent="0.25">
      <c r="B49" s="78"/>
      <c r="C49" s="77"/>
      <c r="D49" s="77"/>
      <c r="E49" s="77"/>
      <c r="F49" s="77"/>
      <c r="G49" s="77"/>
      <c r="H49" s="77"/>
      <c r="I49" s="77"/>
      <c r="J49" s="77"/>
      <c r="K49" s="77"/>
      <c r="L49" s="77"/>
      <c r="M49" s="77"/>
      <c r="N49" s="77"/>
      <c r="O49" s="77"/>
      <c r="R49">
        <f>WorkTourTime!B57</f>
        <v>63</v>
      </c>
      <c r="S49" t="str">
        <f>WorkTourTime!C57</f>
        <v>ns*mt-arr</v>
      </c>
      <c r="T49">
        <f>VLOOKUP(R49,WorkTourTime!$B$11:$E$84,4,FALSE)</f>
        <v>-6.5425870724599995E-4</v>
      </c>
      <c r="U49" s="64">
        <f si="2" t="shared"/>
        <v>-6.5425870724599995E-4</v>
      </c>
    </row>
    <row r="50" spans="2:21" x14ac:dyDescent="0.25">
      <c r="B50" s="79"/>
      <c r="C50" s="93"/>
      <c r="D50" s="93"/>
      <c r="E50" s="93"/>
      <c r="F50" s="93"/>
      <c r="G50" s="79"/>
      <c r="H50" s="79"/>
      <c r="I50" s="79"/>
      <c r="J50" s="77"/>
      <c r="K50" s="77"/>
      <c r="L50" s="77"/>
      <c r="M50" s="77"/>
      <c r="N50" s="77"/>
      <c r="O50" s="77"/>
      <c r="R50">
        <f>WorkTourTime!B58</f>
        <v>64</v>
      </c>
      <c r="S50" t="str">
        <f>WorkTourTime!C58</f>
        <v>ns*mt-dur</v>
      </c>
      <c r="T50">
        <f>VLOOKUP(R50,WorkTourTime!$B$11:$E$84,4,FALSE)</f>
        <v>-4.2823263761100003E-2</v>
      </c>
      <c r="U50" s="64">
        <f si="2" t="shared"/>
        <v>-4.2823263761100003E-2</v>
      </c>
    </row>
    <row r="51" spans="2:21" x14ac:dyDescent="0.25">
      <c r="B51" s="79"/>
      <c r="C51" s="80"/>
      <c r="D51" s="80"/>
      <c r="E51" s="80"/>
      <c r="F51" s="80"/>
      <c r="G51" s="80"/>
      <c r="H51" s="80"/>
      <c r="I51" s="80"/>
      <c r="J51" s="77"/>
      <c r="K51" s="77"/>
      <c r="L51" s="80"/>
      <c r="M51" s="80"/>
      <c r="N51" s="79"/>
      <c r="O51" s="77"/>
      <c r="R51">
        <f>WorkTourTime!B59</f>
        <v>67</v>
      </c>
      <c r="S51" t="str">
        <f>WorkTourTime!C59</f>
        <v>iescs-arr</v>
      </c>
      <c r="T51">
        <f>VLOOKUP(R51,WorkTourTime!$B$11:$E$84,4,FALSE)</f>
        <v>-1.43005534112E-2</v>
      </c>
      <c r="U51" s="64">
        <f si="2" t="shared"/>
        <v>-1.43005534112E-2</v>
      </c>
    </row>
    <row r="52" spans="2:21" x14ac:dyDescent="0.25">
      <c r="B52" s="77"/>
      <c r="C52" s="81"/>
      <c r="D52" s="81"/>
      <c r="E52" s="82"/>
      <c r="F52" s="82"/>
      <c r="G52" s="83"/>
      <c r="H52" s="83"/>
      <c r="I52" s="84"/>
      <c r="J52" s="77"/>
      <c r="K52" s="77"/>
      <c r="L52" s="77"/>
      <c r="M52" s="77"/>
      <c r="N52" s="84"/>
      <c r="O52" s="77"/>
      <c r="R52">
        <f>WorkTourTime!B60</f>
        <v>68</v>
      </c>
      <c r="S52" t="str">
        <f>WorkTourTime!C60</f>
        <v>iescs-dur</v>
      </c>
      <c r="T52">
        <f>VLOOKUP(R52,WorkTourTime!$B$11:$E$84,4,FALSE)</f>
        <v>4.5097327600000001E-2</v>
      </c>
      <c r="U52" s="64">
        <f si="2" t="shared"/>
        <v>4.5097327600000001E-2</v>
      </c>
    </row>
    <row r="53" spans="2:21" x14ac:dyDescent="0.25">
      <c r="B53" s="77"/>
      <c r="C53" s="81"/>
      <c r="D53" s="81"/>
      <c r="E53" s="82"/>
      <c r="F53" s="82"/>
      <c r="G53" s="83"/>
      <c r="H53" s="83"/>
      <c r="I53" s="84"/>
      <c r="J53" s="77"/>
      <c r="K53" s="77"/>
      <c r="L53" s="77"/>
      <c r="M53" s="77"/>
      <c r="N53" s="84"/>
      <c r="O53" s="77"/>
      <c r="R53">
        <f>WorkTourTime!B61</f>
        <v>69</v>
      </c>
      <c r="S53" t="str">
        <f>WorkTourTime!C61</f>
        <v>nsubt-arr</v>
      </c>
      <c r="T53">
        <f>VLOOKUP(R53,WorkTourTime!$B$11:$E$84,4,FALSE)</f>
        <v>1.3563955105100001E-2</v>
      </c>
      <c r="U53" s="64">
        <f si="2" t="shared"/>
        <v>1.3563955105100001E-2</v>
      </c>
    </row>
    <row r="54" spans="2:21" x14ac:dyDescent="0.25">
      <c r="B54" s="77"/>
      <c r="C54" s="81"/>
      <c r="D54" s="81"/>
      <c r="E54" s="82"/>
      <c r="F54" s="82"/>
      <c r="G54" s="83"/>
      <c r="H54" s="83"/>
      <c r="I54" s="84"/>
      <c r="J54" s="77"/>
      <c r="K54" s="77"/>
      <c r="L54" s="77"/>
      <c r="M54" s="77"/>
      <c r="N54" s="84"/>
      <c r="O54" s="77"/>
      <c r="R54">
        <f>WorkTourTime!B62</f>
        <v>70</v>
      </c>
      <c r="S54" t="str">
        <f>WorkTourTime!C62</f>
        <v>nsubt-dur</v>
      </c>
      <c r="T54">
        <f>VLOOKUP(R54,WorkTourTime!$B$11:$E$84,4,FALSE)</f>
        <v>0.16495387210699999</v>
      </c>
      <c r="U54" s="64">
        <f si="2" t="shared"/>
        <v>0.16495387210699999</v>
      </c>
    </row>
    <row r="55" spans="2:21" x14ac:dyDescent="0.25">
      <c r="B55" s="77"/>
      <c r="C55" s="81"/>
      <c r="D55" s="81"/>
      <c r="E55" s="82"/>
      <c r="F55" s="82"/>
      <c r="G55" s="83"/>
      <c r="H55" s="83"/>
      <c r="I55" s="84"/>
      <c r="J55" s="77"/>
      <c r="K55" s="77"/>
      <c r="L55" s="77"/>
      <c r="M55" s="77"/>
      <c r="N55" s="84"/>
      <c r="O55" s="77"/>
      <c r="R55">
        <f>WorkTourTime!B63</f>
        <v>71</v>
      </c>
      <c r="S55" t="str">
        <f>WorkTourTime!C63</f>
        <v>ftwk-x&lt;9</v>
      </c>
      <c r="T55">
        <f>VLOOKUP(R55,WorkTourTime!$B$11:$E$84,4,FALSE)</f>
        <v>-1.2851468616399999</v>
      </c>
      <c r="U55" s="64">
        <f si="2" t="shared"/>
        <v>-1.2851468616399999</v>
      </c>
    </row>
    <row r="56" spans="2:21" x14ac:dyDescent="0.25">
      <c r="B56" s="77"/>
      <c r="C56" s="81"/>
      <c r="D56" s="81"/>
      <c r="E56" s="82"/>
      <c r="F56" s="82"/>
      <c r="G56" s="83"/>
      <c r="H56" s="83"/>
      <c r="I56" s="84"/>
      <c r="J56" s="77"/>
      <c r="K56" s="77"/>
      <c r="L56" s="77"/>
      <c r="M56" s="77"/>
      <c r="N56" s="84"/>
      <c r="O56" s="77"/>
      <c r="R56">
        <f>WorkTourTime!B64</f>
        <v>72</v>
      </c>
      <c r="S56" t="str">
        <f>WorkTourTime!C64</f>
        <v>hinc-d36</v>
      </c>
      <c r="T56">
        <f>VLOOKUP(R56,WorkTourTime!$B$11:$E$84,4,FALSE)</f>
        <v>-0.473472396189</v>
      </c>
      <c r="U56" s="64">
        <f si="2" t="shared"/>
        <v>-0.473472396189</v>
      </c>
    </row>
    <row r="57" spans="2:21" x14ac:dyDescent="0.25">
      <c r="B57" s="77"/>
      <c r="C57" s="81"/>
      <c r="D57" s="81"/>
      <c r="E57" s="82"/>
      <c r="F57" s="82"/>
      <c r="G57" s="83"/>
      <c r="H57" s="83"/>
      <c r="I57" s="84"/>
      <c r="J57" s="77"/>
      <c r="K57" s="77"/>
      <c r="L57" s="77"/>
      <c r="M57" s="77"/>
      <c r="N57" s="84"/>
      <c r="O57" s="77"/>
      <c r="R57">
        <f>WorkTourTime!B65</f>
        <v>73</v>
      </c>
      <c r="S57" t="str">
        <f>WorkTourTime!C65</f>
        <v>hinc-a2226</v>
      </c>
      <c r="T57">
        <f>VLOOKUP(R57,WorkTourTime!$B$11:$E$84,4,FALSE)</f>
        <v>-0.81108460731200005</v>
      </c>
      <c r="U57" s="64">
        <f si="2" t="shared"/>
        <v>-0.81108460731200005</v>
      </c>
    </row>
    <row r="58" spans="2:21" x14ac:dyDescent="0.25">
      <c r="B58" s="77"/>
      <c r="C58" s="81"/>
      <c r="D58" s="81"/>
      <c r="E58" s="82"/>
      <c r="F58" s="82"/>
      <c r="G58" s="83"/>
      <c r="H58" s="83"/>
      <c r="I58" s="84"/>
      <c r="J58" s="77"/>
      <c r="K58" s="77"/>
      <c r="L58" s="77"/>
      <c r="M58" s="77"/>
      <c r="N58" s="84"/>
      <c r="O58" s="77"/>
      <c r="R58">
        <f>WorkTourTime!B66</f>
        <v>81</v>
      </c>
      <c r="S58" t="str">
        <f>WorkTourTime!C66</f>
        <v>hprs-x&lt;8</v>
      </c>
      <c r="T58">
        <f>VLOOKUP(R58,WorkTourTime!$B$11:$E$84,4,FALSE)</f>
        <v>2.0980899153400001</v>
      </c>
      <c r="U58" s="64">
        <f si="2" t="shared"/>
        <v>2.0980899153400001</v>
      </c>
    </row>
    <row r="59" spans="2:21" x14ac:dyDescent="0.25">
      <c r="B59" s="77"/>
      <c r="C59" s="81"/>
      <c r="D59" s="81"/>
      <c r="E59" s="82"/>
      <c r="F59" s="82"/>
      <c r="G59" s="83"/>
      <c r="H59" s="83"/>
      <c r="I59" s="84"/>
      <c r="J59" s="77"/>
      <c r="K59" s="77"/>
      <c r="L59" s="77"/>
      <c r="M59" s="77"/>
      <c r="N59" s="84"/>
      <c r="O59" s="77"/>
      <c r="R59">
        <f>WorkTourTime!B67</f>
        <v>82</v>
      </c>
      <c r="S59" t="str">
        <f>WorkTourTime!C67</f>
        <v>lprs-x&lt;8</v>
      </c>
      <c r="T59">
        <f>VLOOKUP(R59,WorkTourTime!$B$11:$E$84,4,FALSE)</f>
        <v>5</v>
      </c>
      <c r="U59" s="64">
        <f si="2" t="shared"/>
        <v>5</v>
      </c>
    </row>
    <row r="60" spans="2:21" x14ac:dyDescent="0.25">
      <c r="B60" s="77"/>
      <c r="C60" s="81"/>
      <c r="D60" s="81"/>
      <c r="E60" s="82"/>
      <c r="F60" s="82"/>
      <c r="G60" s="83"/>
      <c r="H60" s="83"/>
      <c r="I60" s="84"/>
      <c r="J60" s="77"/>
      <c r="K60" s="77"/>
      <c r="L60" s="77"/>
      <c r="M60" s="77"/>
      <c r="N60" s="84"/>
      <c r="O60" s="77"/>
      <c r="R60">
        <f>WorkTourTime!B68</f>
        <v>83</v>
      </c>
      <c r="S60" t="str">
        <f>WorkTourTime!C68</f>
        <v>hprd-x&lt;8</v>
      </c>
      <c r="T60">
        <f>VLOOKUP(R60,WorkTourTime!$B$11:$E$84,4,FALSE)</f>
        <v>-0.64054936577699995</v>
      </c>
      <c r="U60" s="64">
        <f si="2" t="shared"/>
        <v>-0.64054936577699995</v>
      </c>
    </row>
    <row r="61" spans="2:21" x14ac:dyDescent="0.25">
      <c r="B61" s="77"/>
      <c r="C61" s="81"/>
      <c r="D61" s="81"/>
      <c r="E61" s="82"/>
      <c r="F61" s="82"/>
      <c r="G61" s="83"/>
      <c r="H61" s="83"/>
      <c r="I61" s="84"/>
      <c r="J61" s="77"/>
      <c r="K61" s="77"/>
      <c r="L61" s="77"/>
      <c r="M61" s="77"/>
      <c r="N61" s="84"/>
      <c r="O61" s="77"/>
      <c r="R61">
        <f>WorkTourTime!B69</f>
        <v>85</v>
      </c>
      <c r="S61" t="str">
        <f>WorkTourTime!C69</f>
        <v>ctim-out</v>
      </c>
      <c r="T61">
        <f>VLOOKUP(R61,WorkTourTime!$B$11:$E$84,4,FALSE)</f>
        <v>0.5</v>
      </c>
      <c r="U61" s="64">
        <f si="2" t="shared"/>
        <v>0.5</v>
      </c>
    </row>
    <row r="62" spans="2:21" x14ac:dyDescent="0.25">
      <c r="B62" s="79"/>
      <c r="C62" s="85"/>
      <c r="D62" s="85"/>
      <c r="E62" s="86"/>
      <c r="F62" s="86"/>
      <c r="G62" s="87"/>
      <c r="H62" s="87"/>
      <c r="I62" s="77"/>
      <c r="J62" s="77"/>
      <c r="K62" s="77"/>
      <c r="L62" s="77"/>
      <c r="M62" s="77"/>
      <c r="N62" s="77"/>
      <c r="O62" s="77"/>
      <c r="R62">
        <f>WorkTourTime!B70</f>
        <v>86</v>
      </c>
      <c r="S62" t="str">
        <f>WorkTourTime!C70</f>
        <v>ctim-ret</v>
      </c>
      <c r="T62">
        <f>VLOOKUP(R62,WorkTourTime!$B$11:$E$84,4,FALSE)</f>
        <v>0.5</v>
      </c>
      <c r="U62" s="64">
        <f si="2" t="shared"/>
        <v>0.5</v>
      </c>
    </row>
    <row r="63" spans="2:21" x14ac:dyDescent="0.25">
      <c r="B63" s="77"/>
      <c r="C63" s="77"/>
      <c r="D63" s="77"/>
      <c r="E63" s="77"/>
      <c r="F63" s="77"/>
      <c r="G63" s="77"/>
      <c r="H63" s="77"/>
      <c r="I63" s="77"/>
      <c r="J63" s="77"/>
      <c r="K63" s="77"/>
      <c r="L63" s="77"/>
      <c r="M63" s="77"/>
      <c r="N63" s="77"/>
      <c r="O63" s="77"/>
      <c r="R63">
        <f>WorkTourTime!B71</f>
        <v>87</v>
      </c>
      <c r="S63" t="str">
        <f>WorkTourTime!C71</f>
        <v>ttim-out</v>
      </c>
      <c r="T63">
        <f>VLOOKUP(R63,WorkTourTime!$B$11:$E$84,4,FALSE)</f>
        <v>0.5</v>
      </c>
      <c r="U63" s="64">
        <f si="2" t="shared"/>
        <v>0.5</v>
      </c>
    </row>
    <row r="64" spans="2:21" x14ac:dyDescent="0.25">
      <c r="R64">
        <f>WorkTourTime!B72</f>
        <v>88</v>
      </c>
      <c r="S64" t="str">
        <f>WorkTourTime!C72</f>
        <v>ttim-ret</v>
      </c>
      <c r="T64">
        <f>VLOOKUP(R64,WorkTourTime!$B$11:$E$84,4,FALSE)</f>
        <v>0.5</v>
      </c>
      <c r="U64" s="64">
        <f si="2" t="shared"/>
        <v>0.5</v>
      </c>
    </row>
    <row r="65" spans="18:21" x14ac:dyDescent="0.25">
      <c r="R65">
        <f>WorkTourTime!B73</f>
        <v>89</v>
      </c>
      <c r="S65" t="str">
        <f>WorkTourTime!C73</f>
        <v>ttim-mis</v>
      </c>
      <c r="T65">
        <f>VLOOKUP(R65,WorkTourTime!$B$11:$E$84,4,FALSE)</f>
        <v>-2.9770165213499999</v>
      </c>
      <c r="U65" s="64">
        <f si="2" t="shared"/>
        <v>-2.9770165213499999</v>
      </c>
    </row>
    <row r="66" spans="18:21" x14ac:dyDescent="0.25">
      <c r="R66">
        <f>WorkTourTime!B74</f>
        <v>91</v>
      </c>
      <c r="S66" t="str">
        <f>WorkTourTime!C74</f>
        <v>arravail</v>
      </c>
      <c r="T66">
        <f>VLOOKUP(R66,WorkTourTime!$B$11:$E$84,4,FALSE)</f>
        <v>3.1461924511900001</v>
      </c>
      <c r="U66" s="64">
        <f si="2" t="shared"/>
        <v>3.1461924511900001</v>
      </c>
    </row>
    <row r="67" spans="18:21" x14ac:dyDescent="0.25">
      <c r="R67">
        <f>WorkTourTime!B75</f>
        <v>92</v>
      </c>
      <c r="S67" t="str">
        <f>WorkTourTime!C75</f>
        <v>depavail</v>
      </c>
      <c r="T67">
        <f>VLOOKUP(R67,WorkTourTime!$B$11:$E$84,4,FALSE)</f>
        <v>5</v>
      </c>
      <c r="U67" s="64">
        <f si="2" t="shared"/>
        <v>5</v>
      </c>
    </row>
    <row r="68" spans="18:21" x14ac:dyDescent="0.25">
      <c r="R68">
        <f>WorkTourTime!B76</f>
        <v>93</v>
      </c>
      <c r="S68" t="str">
        <f>WorkTourTime!C76</f>
        <v>cempbef1</v>
      </c>
      <c r="T68">
        <f>VLOOKUP(R68,WorkTourTime!$B$11:$E$84,4,FALSE)</f>
        <v>-0.240163130498</v>
      </c>
      <c r="U68" s="64">
        <f ref="U68:U76" si="24" t="shared">_xlfn.IFNA(VLOOKUP(R68,$L$3:$N$45,3,FALSE),T68)</f>
        <v>-0.240163130498</v>
      </c>
    </row>
    <row r="69" spans="18:21" x14ac:dyDescent="0.25">
      <c r="R69">
        <f>WorkTourTime!B77</f>
        <v>94</v>
      </c>
      <c r="S69" t="str">
        <f>WorkTourTime!C77</f>
        <v>cempaft1</v>
      </c>
      <c r="T69">
        <f>VLOOKUP(R69,WorkTourTime!$B$11:$E$84,4,FALSE)</f>
        <v>-0.24977007544900001</v>
      </c>
      <c r="U69" s="64">
        <f si="24" t="shared"/>
        <v>-0.24977007544900001</v>
      </c>
    </row>
    <row r="70" spans="18:21" x14ac:dyDescent="0.25">
      <c r="R70">
        <f>WorkTourTime!B78</f>
        <v>95</v>
      </c>
      <c r="S70" t="str">
        <f>WorkTourTime!C78</f>
        <v>cempbef2</v>
      </c>
      <c r="T70">
        <f>VLOOKUP(R70,WorkTourTime!$B$11:$E$84,4,FALSE)</f>
        <v>-1.72821922101</v>
      </c>
      <c r="U70" s="64">
        <f si="24" t="shared"/>
        <v>-1.72821922101</v>
      </c>
    </row>
    <row r="71" spans="18:21" x14ac:dyDescent="0.25">
      <c r="R71">
        <f>WorkTourTime!B79</f>
        <v>96</v>
      </c>
      <c r="S71" t="str">
        <f>WorkTourTime!C79</f>
        <v>cempaft2</v>
      </c>
      <c r="T71">
        <f>VLOOKUP(R71,WorkTourTime!$B$11:$E$84,4,FALSE)</f>
        <v>1.9500749384399999E-2</v>
      </c>
      <c r="U71" s="64">
        <f si="24" t="shared"/>
        <v>1.9500749384399999E-2</v>
      </c>
    </row>
    <row r="72" spans="18:21" x14ac:dyDescent="0.25">
      <c r="R72">
        <f>WorkTourTime!B80</f>
        <v>97</v>
      </c>
      <c r="S72" t="str">
        <f>WorkTourTime!C80</f>
        <v>toursdtwin</v>
      </c>
      <c r="T72">
        <f>VLOOKUP(R72,WorkTourTime!$B$11:$E$84,4,FALSE)</f>
        <v>-100.45727126200001</v>
      </c>
      <c r="U72" s="64">
        <f si="24" t="shared"/>
        <v>-100.45727126200001</v>
      </c>
    </row>
    <row r="73" spans="18:21" x14ac:dyDescent="0.25">
      <c r="R73">
        <f>WorkTourTime!B81</f>
        <v>98</v>
      </c>
      <c r="S73" t="str">
        <f>WorkTourTime!C81</f>
        <v>toursdmwin</v>
      </c>
      <c r="T73">
        <f>VLOOKUP(R73,WorkTourTime!$B$11:$E$84,4,FALSE)</f>
        <v>-23.747958025900001</v>
      </c>
      <c r="U73" s="64">
        <f si="24" t="shared"/>
        <v>-23.747958025900001</v>
      </c>
    </row>
    <row r="74" spans="18:21" x14ac:dyDescent="0.25">
      <c r="R74">
        <f>WorkTourTime!B82</f>
        <v>99</v>
      </c>
      <c r="S74" t="str">
        <f>WorkTourTime!C82</f>
        <v>toursdbwin</v>
      </c>
      <c r="T74">
        <f>VLOOKUP(R74,WorkTourTime!$B$11:$E$84,4,FALSE)</f>
        <v>-0.58740415466499996</v>
      </c>
      <c r="U74" s="64">
        <f si="24" t="shared"/>
        <v>-0.58740415466499996</v>
      </c>
    </row>
    <row r="75" spans="18:21" x14ac:dyDescent="0.25">
      <c r="R75">
        <f>WorkTourTime!B83</f>
        <v>100</v>
      </c>
      <c r="S75" t="str">
        <f>WorkTourTime!C83</f>
        <v>toursdawin</v>
      </c>
      <c r="T75">
        <f>VLOOKUP(R75,WorkTourTime!$B$11:$E$84,4,FALSE)</f>
        <v>-0.99452973540199996</v>
      </c>
      <c r="U75" s="64">
        <f si="24" t="shared"/>
        <v>-0.99452973540199996</v>
      </c>
    </row>
    <row r="76" spans="18:21" x14ac:dyDescent="0.25">
      <c r="R76">
        <f>WorkTourTime!B84</f>
        <v>124</v>
      </c>
      <c r="S76" t="str">
        <f>WorkTourTime!C84</f>
        <v>dep15</v>
      </c>
      <c r="T76">
        <f>VLOOKUP(R76,WorkTourTime!$B$11:$E$84,4,FALSE)</f>
        <v>-0.12591233227500001</v>
      </c>
      <c r="U76" s="64">
        <f si="24" t="shared"/>
        <v>-0.12591233227500001</v>
      </c>
    </row>
  </sheetData>
  <mergeCells count="8">
    <mergeCell ref="C50:D50"/>
    <mergeCell ref="E50:F50"/>
    <mergeCell ref="C2:D2"/>
    <mergeCell ref="E2:F2"/>
    <mergeCell ref="C34:D34"/>
    <mergeCell ref="E34:F34"/>
    <mergeCell ref="C18:D18"/>
    <mergeCell ref="E18:F18"/>
  </mergeCells>
  <pageMargins bottom="0.75" footer="0.3" header="0.3" left="0.7" right="0.7" top="0.75"/>
  <pageSetup orientation="portrait" r:id="rId1"/>
</worksheet>
</file>

<file path=xl/worksheets/sheet1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00B050"/>
  </sheetPr>
  <dimension ref="B1:V64"/>
  <sheetViews>
    <sheetView topLeftCell="A13" workbookViewId="0">
      <selection activeCell="B17" sqref="B17:O31"/>
    </sheetView>
  </sheetViews>
  <sheetFormatPr defaultRowHeight="15" x14ac:dyDescent="0.25"/>
  <cols>
    <col min="2" max="2" customWidth="true" width="14.5703125" collapsed="true"/>
    <col min="3" max="3" bestFit="true" customWidth="true" width="11.5703125" collapsed="true"/>
    <col min="7" max="8" customWidth="true" width="7.7109375" collapsed="true"/>
    <col min="9" max="9" bestFit="true" customWidth="true" width="12.7109375" collapsed="true"/>
    <col min="12" max="12" bestFit="true" customWidth="true" width="6.0" collapsed="true"/>
    <col min="13" max="13" customWidth="true" width="9.42578125" collapsed="true"/>
    <col min="14" max="14" customWidth="true" width="12.28515625" collapsed="true"/>
    <col min="15" max="15" customWidth="true" width="22.28515625" collapsed="true"/>
    <col min="19" max="19" bestFit="true" customWidth="true" width="11.140625" collapsed="true"/>
    <col min="21" max="21" bestFit="true" customWidth="true" width="11.28515625" collapsed="true"/>
  </cols>
  <sheetData>
    <row ht="15.75" r="1" spans="2:21" thickBot="1" x14ac:dyDescent="0.3">
      <c r="B1" s="37" t="s">
        <v>71</v>
      </c>
      <c r="C1" s="1"/>
      <c r="D1" s="1"/>
      <c r="E1" s="1" t="s">
        <v>86</v>
      </c>
      <c r="F1" s="38">
        <v>1</v>
      </c>
      <c r="G1" s="1"/>
      <c r="H1" s="1"/>
      <c r="I1" s="1"/>
      <c r="R1" s="58" t="s">
        <v>172</v>
      </c>
      <c r="S1" s="59"/>
      <c r="T1" s="59"/>
      <c r="U1" s="59"/>
    </row>
    <row ht="15.75" r="2" spans="2:21" thickBot="1" x14ac:dyDescent="0.3">
      <c r="B2" s="5"/>
      <c r="C2" s="94" t="s">
        <v>87</v>
      </c>
      <c r="D2" s="94"/>
      <c r="E2" s="94" t="s">
        <v>83</v>
      </c>
      <c r="F2" s="94"/>
      <c r="G2" s="11"/>
      <c r="H2" s="11"/>
      <c r="I2" s="11"/>
      <c r="L2" s="1"/>
      <c r="M2" s="1"/>
      <c r="N2" s="1"/>
      <c r="O2" s="1"/>
      <c r="R2" s="59"/>
      <c r="S2" s="59"/>
      <c r="T2" s="60" t="s">
        <v>170</v>
      </c>
      <c r="U2" s="60" t="s">
        <v>171</v>
      </c>
    </row>
    <row r="3" spans="2:21" x14ac:dyDescent="0.25">
      <c r="B3" s="32" t="s">
        <v>72</v>
      </c>
      <c r="C3" s="33" t="s">
        <v>48</v>
      </c>
      <c r="D3" s="33" t="s">
        <v>35</v>
      </c>
      <c r="E3" s="33" t="s">
        <v>48</v>
      </c>
      <c r="F3" s="33" t="s">
        <v>35</v>
      </c>
      <c r="G3" s="33" t="s">
        <v>84</v>
      </c>
      <c r="H3" s="33" t="s">
        <v>86</v>
      </c>
      <c r="I3" s="33" t="s">
        <v>85</v>
      </c>
      <c r="L3" s="68" t="s">
        <v>88</v>
      </c>
      <c r="M3" s="68" t="s">
        <v>89</v>
      </c>
      <c r="N3" s="69" t="s">
        <v>91</v>
      </c>
      <c r="O3" s="70" t="s">
        <v>195</v>
      </c>
      <c r="R3" s="66">
        <f>SchoolTourTime!B11</f>
        <v>11</v>
      </c>
      <c r="S3" s="66" t="str">
        <f>SchoolTourTime!C11</f>
        <v>arr3-5</v>
      </c>
      <c r="T3" s="66">
        <f>VLOOKUP(R3,SchoolTourTime!$B$11:$E$72,4,FALSE)</f>
        <v>-10</v>
      </c>
      <c r="U3" s="67">
        <f>_xlfn.IFNA(VLOOKUP(R3,$L$3:$N$29,3,FALSE),T3)</f>
        <v>-10</v>
      </c>
    </row>
    <row r="4" spans="2:21" x14ac:dyDescent="0.25">
      <c r="B4" t="s">
        <v>73</v>
      </c>
      <c r="C4" s="29">
        <f>SUM(Departure_Time!C9:C16)</f>
        <v>10951.995604475354</v>
      </c>
      <c r="D4" s="29">
        <f>SUM(Departure_Time!J9:J16)</f>
        <v>5617.2263193130493</v>
      </c>
      <c r="E4" s="30">
        <f>C4/C$14</f>
        <v>2.097706486871552E-2</v>
      </c>
      <c r="F4" s="30">
        <f>D4/D$14</f>
        <v>1.0787494240860134E-2</v>
      </c>
      <c r="G4" s="6">
        <f>E4/F4</f>
        <v>1.944572520767615</v>
      </c>
      <c r="H4" s="6">
        <v>0</v>
      </c>
      <c r="I4" s="31">
        <f>H4*(LN(G4)-LN($G$8))</f>
        <v>0</v>
      </c>
      <c r="L4" s="71">
        <v>21</v>
      </c>
      <c r="M4" s="72">
        <f>VLOOKUP(L4,$R$3:$U$64,3,FALSE)</f>
        <v>-10</v>
      </c>
      <c r="N4" s="73">
        <f>I4+M4</f>
        <v>-10</v>
      </c>
      <c r="O4" s="71" t="str">
        <f>CONCATENATE("Departure ",B4)</f>
        <v>Departure 3-7 am</v>
      </c>
      <c r="R4" s="66">
        <f>SchoolTourTime!B12</f>
        <v>12</v>
      </c>
      <c r="S4" s="66" t="str">
        <f>SchoolTourTime!C12</f>
        <v>arr=6</v>
      </c>
      <c r="T4" s="66">
        <f>VLOOKUP(R4,SchoolTourTime!$B$11:$E$72,4,FALSE)</f>
        <v>-3.25373144395</v>
      </c>
      <c r="U4" s="67">
        <f ref="U4:U64" si="0" t="shared">_xlfn.IFNA(VLOOKUP(R4,$L$3:$N$29,3,FALSE),T4)</f>
        <v>-3.1966838594930311</v>
      </c>
    </row>
    <row r="5" spans="2:21" x14ac:dyDescent="0.25">
      <c r="B5" t="s">
        <v>74</v>
      </c>
      <c r="C5" s="29">
        <f>SUM(Departure_Time!C17:C22)</f>
        <v>57824.229369326364</v>
      </c>
      <c r="D5" s="29">
        <f>SUM(Departure_Time!J17:J22)</f>
        <v>48509.68026638031</v>
      </c>
      <c r="E5" s="30">
        <f ref="E5:E14" si="1" t="shared">C5/C$14</f>
        <v>0.11075448295178084</v>
      </c>
      <c r="F5" s="30">
        <f ref="F5:F14" si="2" t="shared">D5/D$14</f>
        <v>9.3159482412227254E-2</v>
      </c>
      <c r="G5" s="6">
        <f ref="G5:G14" si="3" t="shared">E5/F5</f>
        <v>1.1888696682716242</v>
      </c>
      <c r="H5" s="6">
        <f ref="H5:H12" si="4" t="shared">$F$1</f>
        <v>1</v>
      </c>
      <c r="I5" s="31">
        <f ref="I5:I13" si="5" t="shared">H5*(LN(G5)-LN($G$8))</f>
        <v>5.2618430874490571E-2</v>
      </c>
      <c r="L5" s="71">
        <v>22</v>
      </c>
      <c r="M5" s="74">
        <f ref="M5:M13" si="6" t="shared">VLOOKUP(L5,$R$3:$U$64,3,FALSE)</f>
        <v>-1.220998</v>
      </c>
      <c r="N5" s="73">
        <f ref="N5:N13" si="7" t="shared">I5+M5</f>
        <v>-1.1683795691255094</v>
      </c>
      <c r="O5" s="71" t="str">
        <f ref="O5:O13" si="8" t="shared">CONCATENATE("Departure ",B5)</f>
        <v>Departure 7-10 am</v>
      </c>
      <c r="R5" s="66">
        <f>SchoolTourTime!B13</f>
        <v>13</v>
      </c>
      <c r="S5" s="66" t="str">
        <f>SchoolTourTime!C13</f>
        <v>arr=7</v>
      </c>
      <c r="T5" s="66">
        <f>VLOOKUP(R5,SchoolTourTime!$B$11:$E$72,4,FALSE)</f>
        <v>-0.21597678247800001</v>
      </c>
      <c r="U5" s="67">
        <f si="0" t="shared"/>
        <v>-0.16495978286860358</v>
      </c>
    </row>
    <row r="6" spans="2:21" x14ac:dyDescent="0.25">
      <c r="B6" t="s">
        <v>75</v>
      </c>
      <c r="C6" s="29">
        <f>SUM(Departure_Time!C23:C28)</f>
        <v>79697.73091748287</v>
      </c>
      <c r="D6" s="29">
        <f>SUM(Departure_Time!J23:J28)</f>
        <v>86446.446304321289</v>
      </c>
      <c r="E6" s="30">
        <f si="1" t="shared"/>
        <v>0.15265021387173575</v>
      </c>
      <c r="F6" s="30">
        <f si="2" t="shared"/>
        <v>0.1660144150582728</v>
      </c>
      <c r="G6" s="6">
        <f si="3" t="shared"/>
        <v>0.91949975439273701</v>
      </c>
      <c r="H6" s="6">
        <f si="4" t="shared"/>
        <v>1</v>
      </c>
      <c r="I6" s="31">
        <f si="5" t="shared"/>
        <v>-0.20431006829951193</v>
      </c>
      <c r="L6" s="71">
        <v>23</v>
      </c>
      <c r="M6" s="74">
        <f si="6" t="shared"/>
        <v>0.64485899999999996</v>
      </c>
      <c r="N6" s="73">
        <f si="7" t="shared"/>
        <v>0.44054893170048803</v>
      </c>
      <c r="O6" s="71" t="str">
        <f si="8" t="shared"/>
        <v>Departure 10 am - 1 pm</v>
      </c>
      <c r="R6" s="66">
        <f>SchoolTourTime!B14</f>
        <v>14</v>
      </c>
      <c r="S6" s="66" t="str">
        <f>SchoolTourTime!C14</f>
        <v>arr=8</v>
      </c>
      <c r="T6" s="66">
        <f>VLOOKUP(R6,SchoolTourTime!$B$11:$E$72,4,FALSE)</f>
        <v>0</v>
      </c>
      <c r="U6" s="67">
        <f si="0" t="shared"/>
        <v>0</v>
      </c>
    </row>
    <row r="7" spans="2:21" x14ac:dyDescent="0.25">
      <c r="B7" t="s">
        <v>76</v>
      </c>
      <c r="C7" s="29">
        <f>SUM(Departure_Time!C29:C32)</f>
        <v>134821.4713516226</v>
      </c>
      <c r="D7" s="29">
        <f>SUM(Departure_Time!J29:J32)</f>
        <v>107466.7072725296</v>
      </c>
      <c r="E7" s="30">
        <f si="1" t="shared"/>
        <v>0.25823227586787723</v>
      </c>
      <c r="F7" s="30">
        <f si="2" t="shared"/>
        <v>0.20638237092223646</v>
      </c>
      <c r="G7" s="6">
        <f si="3" t="shared"/>
        <v>1.2512322380731709</v>
      </c>
      <c r="H7" s="6">
        <f si="4" t="shared"/>
        <v>1</v>
      </c>
      <c r="I7" s="31">
        <f si="5" t="shared"/>
        <v>0.10374428994829078</v>
      </c>
      <c r="L7" s="71">
        <v>24</v>
      </c>
      <c r="M7" s="74">
        <f si="6" t="shared"/>
        <v>1.592598</v>
      </c>
      <c r="N7" s="73">
        <f si="7" t="shared"/>
        <v>1.6963422899482907</v>
      </c>
      <c r="O7" s="71" t="str">
        <f si="8" t="shared"/>
        <v>Departure 1-3 pm</v>
      </c>
      <c r="R7" s="66">
        <f>SchoolTourTime!B15</f>
        <v>15</v>
      </c>
      <c r="S7" s="66" t="str">
        <f>SchoolTourTime!C15</f>
        <v>arr=9</v>
      </c>
      <c r="T7" s="66">
        <f>VLOOKUP(R7,SchoolTourTime!$B$11:$E$72,4,FALSE)</f>
        <v>-1.2614952667399999</v>
      </c>
      <c r="U7" s="67">
        <f si="0" t="shared"/>
        <v>-1.3406013472851075</v>
      </c>
    </row>
    <row r="8" spans="2:21" x14ac:dyDescent="0.25">
      <c r="B8" t="s">
        <v>173</v>
      </c>
      <c r="C8" s="29">
        <f>SUM(Departure_Time!C33:C36)</f>
        <v>142578.94149525877</v>
      </c>
      <c r="D8" s="29">
        <f>SUM(Departure_Time!J33:J36)</f>
        <v>126074.08907413483</v>
      </c>
      <c r="E8" s="30">
        <f si="1" t="shared"/>
        <v>0.27309065970010621</v>
      </c>
      <c r="F8" s="30">
        <f si="2" t="shared"/>
        <v>0.24211655940101751</v>
      </c>
      <c r="G8" s="6">
        <f si="3" t="shared"/>
        <v>1.1279305322019975</v>
      </c>
      <c r="H8" s="6">
        <f si="4" t="shared"/>
        <v>1</v>
      </c>
      <c r="I8" s="31">
        <f si="5" t="shared"/>
        <v>0</v>
      </c>
      <c r="L8" s="71">
        <v>25</v>
      </c>
      <c r="M8" s="74">
        <f si="6" t="shared"/>
        <v>0</v>
      </c>
      <c r="N8" s="73">
        <f si="7" t="shared"/>
        <v>0</v>
      </c>
      <c r="O8" s="71" t="str">
        <f si="8" t="shared"/>
        <v>Departure 3-5 pm</v>
      </c>
      <c r="R8" s="66">
        <f>SchoolTourTime!B16</f>
        <v>16</v>
      </c>
      <c r="S8" s="66" t="str">
        <f>SchoolTourTime!C16</f>
        <v>arr10-12</v>
      </c>
      <c r="T8" s="66">
        <f>VLOOKUP(R8,SchoolTourTime!$B$11:$E$72,4,FALSE)</f>
        <v>-2.25578381447</v>
      </c>
      <c r="U8" s="67">
        <f si="0" t="shared"/>
        <v>-2.4617723240848686</v>
      </c>
    </row>
    <row r="9" spans="2:21" x14ac:dyDescent="0.25">
      <c r="B9" t="s">
        <v>77</v>
      </c>
      <c r="C9" s="29">
        <f>SUM(Departure_Time!C37:C38)</f>
        <v>38390.980990948752</v>
      </c>
      <c r="D9" s="29">
        <f>SUM(Departure_Time!J37:J38)</f>
        <v>48837.32400894165</v>
      </c>
      <c r="E9" s="30">
        <f si="1" t="shared"/>
        <v>7.3532726610269217E-2</v>
      </c>
      <c r="F9" s="30">
        <f si="2" t="shared"/>
        <v>9.3788699535593323E-2</v>
      </c>
      <c r="G9" s="6">
        <f si="3" t="shared"/>
        <v>0.78402544202420832</v>
      </c>
      <c r="H9" s="6">
        <f si="4" t="shared"/>
        <v>1</v>
      </c>
      <c r="I9" s="31">
        <f si="5" t="shared"/>
        <v>-0.36369837384890996</v>
      </c>
      <c r="L9" s="71">
        <v>26</v>
      </c>
      <c r="M9" s="74">
        <f si="6" t="shared"/>
        <v>1.7683000000000001E-2</v>
      </c>
      <c r="N9" s="73">
        <f si="7" t="shared"/>
        <v>-0.34601537384890996</v>
      </c>
      <c r="O9" s="71" t="str">
        <f si="8" t="shared"/>
        <v>Departure 5-6 pm</v>
      </c>
      <c r="R9" s="66">
        <f>SchoolTourTime!B17</f>
        <v>17</v>
      </c>
      <c r="S9" s="66" t="str">
        <f>SchoolTourTime!C17</f>
        <v>arr13-15</v>
      </c>
      <c r="T9" s="66">
        <f>VLOOKUP(R9,SchoolTourTime!$B$11:$E$72,4,FALSE)</f>
        <v>-2.9429385107799999</v>
      </c>
      <c r="U9" s="67">
        <f si="0" t="shared"/>
        <v>-3.173263694982372</v>
      </c>
    </row>
    <row r="10" spans="2:21" x14ac:dyDescent="0.25">
      <c r="B10" t="s">
        <v>78</v>
      </c>
      <c r="C10" s="29">
        <f>SUM(Departure_Time!C39:C40)</f>
        <v>22715.78090854676</v>
      </c>
      <c r="D10" s="29">
        <f>SUM(Departure_Time!J39:J40)</f>
        <v>36119.430055618286</v>
      </c>
      <c r="E10" s="30">
        <f si="1" t="shared"/>
        <v>4.3509003004657598E-2</v>
      </c>
      <c r="F10" s="30">
        <f si="2" t="shared"/>
        <v>6.9364864714189206E-2</v>
      </c>
      <c r="G10" s="6">
        <f si="3" t="shared"/>
        <v>0.62724843743200498</v>
      </c>
      <c r="H10" s="6">
        <f si="4" t="shared"/>
        <v>1</v>
      </c>
      <c r="I10" s="31">
        <f si="5" t="shared"/>
        <v>-0.58679715113152431</v>
      </c>
      <c r="L10" s="71">
        <v>27</v>
      </c>
      <c r="M10" s="74">
        <f si="6" t="shared"/>
        <v>-0.88386299999999995</v>
      </c>
      <c r="N10" s="73">
        <f si="7" t="shared"/>
        <v>-1.4706601511315243</v>
      </c>
      <c r="O10" s="71" t="str">
        <f si="8" t="shared"/>
        <v>Departure 6-7 pm</v>
      </c>
      <c r="R10" s="66">
        <f>SchoolTourTime!B18</f>
        <v>18</v>
      </c>
      <c r="S10" s="66" t="str">
        <f>SchoolTourTime!C18</f>
        <v>arr16-18</v>
      </c>
      <c r="T10" s="66">
        <f>VLOOKUP(R10,SchoolTourTime!$B$11:$E$72,4,FALSE)</f>
        <v>-2.0422750131099998</v>
      </c>
      <c r="U10" s="67">
        <f si="0" t="shared"/>
        <v>-2.5614323019976908</v>
      </c>
    </row>
    <row r="11" spans="2:21" x14ac:dyDescent="0.25">
      <c r="B11" t="s">
        <v>79</v>
      </c>
      <c r="C11" s="29">
        <f>SUM(Departure_Time!C41:C44)</f>
        <v>24157.851128756745</v>
      </c>
      <c r="D11" s="29">
        <f>SUM(Departure_Time!J41:J44)</f>
        <v>42187.220396995544</v>
      </c>
      <c r="E11" s="30">
        <f si="1" t="shared"/>
        <v>4.6271093279988462E-2</v>
      </c>
      <c r="F11" s="30">
        <f si="2" t="shared"/>
        <v>8.1017635964886967E-2</v>
      </c>
      <c r="G11" s="6">
        <f si="3" t="shared"/>
        <v>0.57112371558264607</v>
      </c>
      <c r="H11" s="6">
        <f si="4" t="shared"/>
        <v>1</v>
      </c>
      <c r="I11" s="31">
        <f si="5" t="shared"/>
        <v>-0.68053399427847161</v>
      </c>
      <c r="L11" s="71">
        <v>28</v>
      </c>
      <c r="M11" s="74">
        <f si="6" t="shared"/>
        <v>-1.604725</v>
      </c>
      <c r="N11" s="73">
        <f si="7" t="shared"/>
        <v>-2.2852589942784718</v>
      </c>
      <c r="O11" s="71" t="str">
        <f si="8" t="shared"/>
        <v>Departure 7-9 pm</v>
      </c>
      <c r="R11" s="66">
        <f>SchoolTourTime!B19</f>
        <v>19</v>
      </c>
      <c r="S11" s="66" t="str">
        <f>SchoolTourTime!C19</f>
        <v>arr19-21</v>
      </c>
      <c r="T11" s="66">
        <f>VLOOKUP(R11,SchoolTourTime!$B$11:$E$72,4,FALSE)</f>
        <v>-3.4674414305300001</v>
      </c>
      <c r="U11" s="67">
        <f si="0" t="shared"/>
        <v>-4.2497335408818682</v>
      </c>
    </row>
    <row r="12" spans="2:21" x14ac:dyDescent="0.25">
      <c r="B12" t="s">
        <v>80</v>
      </c>
      <c r="C12" s="29">
        <f>SUM(Departure_Time!C45:C50)</f>
        <v>10542.240007474393</v>
      </c>
      <c r="D12" s="29">
        <f>SUM(Departure_Time!J45:J50)</f>
        <v>17972.236909866333</v>
      </c>
      <c r="E12" s="30">
        <f si="1" t="shared"/>
        <v>2.0192233496513726E-2</v>
      </c>
      <c r="F12" s="30">
        <f si="2" t="shared"/>
        <v>3.4514436688081795E-2</v>
      </c>
      <c r="G12" s="6">
        <f si="3" t="shared"/>
        <v>0.58503731870224385</v>
      </c>
      <c r="H12" s="6">
        <f si="4" t="shared"/>
        <v>1</v>
      </c>
      <c r="I12" s="31">
        <f si="5" t="shared"/>
        <v>-0.65646420738366751</v>
      </c>
      <c r="L12" s="71">
        <v>29</v>
      </c>
      <c r="M12" s="74">
        <f si="6" t="shared"/>
        <v>-2.4918230000000001</v>
      </c>
      <c r="N12" s="73">
        <f si="7" t="shared"/>
        <v>-3.1482872073836674</v>
      </c>
      <c r="O12" s="71" t="str">
        <f si="8" t="shared"/>
        <v>Departure 9-12 pm</v>
      </c>
      <c r="R12" s="66">
        <f>SchoolTourTime!B20</f>
        <v>20</v>
      </c>
      <c r="S12" s="66" t="str">
        <f>SchoolTourTime!C20</f>
        <v>arr22-26</v>
      </c>
      <c r="T12" s="66">
        <f>VLOOKUP(R12,SchoolTourTime!$B$11:$E$72,4,FALSE)</f>
        <v>-10</v>
      </c>
      <c r="U12" s="67">
        <f si="0" t="shared"/>
        <v>-10</v>
      </c>
    </row>
    <row r="13" spans="2:21" x14ac:dyDescent="0.25">
      <c r="B13" s="23" t="s">
        <v>81</v>
      </c>
      <c r="C13" s="34">
        <f>SUM(Departure_Time!C51:C57)+Departure_Time!C8</f>
        <v>412.58272250228538</v>
      </c>
      <c r="D13" s="34">
        <f>SUM(Departure_Time!J51:J57)+Departure_Time!J8</f>
        <v>1486.1462926864624</v>
      </c>
      <c r="E13" s="35">
        <f si="1" t="shared"/>
        <v>7.902463483554598E-4</v>
      </c>
      <c r="F13" s="35">
        <f si="2" t="shared"/>
        <v>2.8540410626345276E-3</v>
      </c>
      <c r="G13" s="22">
        <f si="3" t="shared"/>
        <v>0.27688681802846726</v>
      </c>
      <c r="H13" s="22">
        <v>0</v>
      </c>
      <c r="I13" s="31">
        <f si="5" t="shared"/>
        <v>0</v>
      </c>
      <c r="L13" s="75">
        <v>30</v>
      </c>
      <c r="M13" s="75">
        <f si="6" t="shared"/>
        <v>-10</v>
      </c>
      <c r="N13" s="76">
        <f si="7" t="shared"/>
        <v>-10</v>
      </c>
      <c r="O13" s="75" t="str">
        <f si="8" t="shared"/>
        <v>Departure 12-3 am</v>
      </c>
      <c r="R13" s="66">
        <f>SchoolTourTime!B21</f>
        <v>21</v>
      </c>
      <c r="S13" s="66" t="str">
        <f>SchoolTourTime!C21</f>
        <v>dep3-6</v>
      </c>
      <c r="T13" s="66">
        <f>VLOOKUP(R13,SchoolTourTime!$B$11:$E$72,4,FALSE)</f>
        <v>-10</v>
      </c>
      <c r="U13" s="67">
        <f si="0" t="shared"/>
        <v>-10</v>
      </c>
    </row>
    <row ht="15.75" r="14" spans="2:21" thickBot="1" x14ac:dyDescent="0.3">
      <c r="B14" s="39" t="s">
        <v>82</v>
      </c>
      <c r="C14" s="40">
        <f>SUM(C4:C13)</f>
        <v>522093.80449639488</v>
      </c>
      <c r="D14" s="40">
        <f>SUM(D4:D13)</f>
        <v>520716.50690078735</v>
      </c>
      <c r="E14" s="41">
        <f si="1" t="shared"/>
        <v>1</v>
      </c>
      <c r="F14" s="41">
        <f si="2" t="shared"/>
        <v>1</v>
      </c>
      <c r="G14" s="42">
        <f si="3" t="shared"/>
        <v>1</v>
      </c>
      <c r="H14" s="42"/>
      <c r="I14" s="43"/>
      <c r="R14" s="66">
        <f>SchoolTourTime!B22</f>
        <v>22</v>
      </c>
      <c r="S14" s="66" t="str">
        <f>SchoolTourTime!C22</f>
        <v>dep7-9</v>
      </c>
      <c r="T14" s="66">
        <f>VLOOKUP(R14,SchoolTourTime!$B$11:$E$72,4,FALSE)</f>
        <v>-1.220998</v>
      </c>
      <c r="U14" s="67">
        <f si="0" t="shared"/>
        <v>-1.1683795691255094</v>
      </c>
    </row>
    <row r="15" spans="2:21" x14ac:dyDescent="0.25">
      <c r="R15" s="66">
        <f>SchoolTourTime!B23</f>
        <v>23</v>
      </c>
      <c r="S15" s="66" t="str">
        <f>SchoolTourTime!C23</f>
        <v>dep10-12</v>
      </c>
      <c r="T15" s="66">
        <f>VLOOKUP(R15,SchoolTourTime!$B$11:$E$72,4,FALSE)</f>
        <v>0.64485899999999996</v>
      </c>
      <c r="U15" s="67">
        <f si="0" t="shared"/>
        <v>0.44054893170048803</v>
      </c>
    </row>
    <row r="16" spans="2:21" x14ac:dyDescent="0.25">
      <c r="R16" s="66">
        <f>SchoolTourTime!B24</f>
        <v>24</v>
      </c>
      <c r="S16" s="66" t="str">
        <f>SchoolTourTime!C24</f>
        <v>dep13-14</v>
      </c>
      <c r="T16" s="66">
        <f>VLOOKUP(R16,SchoolTourTime!$B$11:$E$72,4,FALSE)</f>
        <v>1.592598</v>
      </c>
      <c r="U16" s="67">
        <f si="0" t="shared"/>
        <v>1.6963422899482907</v>
      </c>
    </row>
    <row ht="15.75" r="17" spans="2:21" thickBot="1" x14ac:dyDescent="0.3">
      <c r="B17" s="37" t="s">
        <v>223</v>
      </c>
      <c r="C17" s="1"/>
      <c r="D17" s="1"/>
      <c r="E17" s="1" t="s">
        <v>86</v>
      </c>
      <c r="F17" s="38">
        <v>1</v>
      </c>
      <c r="G17" s="1"/>
      <c r="H17" s="1"/>
      <c r="I17" s="1"/>
      <c r="R17" s="66">
        <f>SchoolTourTime!B25</f>
        <v>25</v>
      </c>
      <c r="S17" s="66" t="str">
        <f>SchoolTourTime!C25</f>
        <v>dep=16</v>
      </c>
      <c r="T17" s="66">
        <f>VLOOKUP(R17,SchoolTourTime!$B$11:$E$72,4,FALSE)</f>
        <v>0</v>
      </c>
      <c r="U17" s="67">
        <f si="0" t="shared"/>
        <v>0</v>
      </c>
    </row>
    <row ht="15.75" r="18" spans="2:21" thickBot="1" x14ac:dyDescent="0.3">
      <c r="B18" s="5"/>
      <c r="C18" s="94" t="s">
        <v>87</v>
      </c>
      <c r="D18" s="94"/>
      <c r="E18" s="94" t="s">
        <v>83</v>
      </c>
      <c r="F18" s="94"/>
      <c r="G18" s="11"/>
      <c r="H18" s="11"/>
      <c r="I18" s="11"/>
      <c r="L18" s="1"/>
      <c r="M18" s="1"/>
      <c r="N18" s="1"/>
      <c r="O18" s="1"/>
      <c r="R18" s="66">
        <f>SchoolTourTime!B26</f>
        <v>26</v>
      </c>
      <c r="S18" s="66" t="str">
        <f>SchoolTourTime!C26</f>
        <v>dep=17</v>
      </c>
      <c r="T18" s="66">
        <f>VLOOKUP(R18,SchoolTourTime!$B$11:$E$72,4,FALSE)</f>
        <v>1.7683000000000001E-2</v>
      </c>
      <c r="U18" s="67">
        <f si="0" t="shared"/>
        <v>-0.34601537384890996</v>
      </c>
    </row>
    <row r="19" spans="2:21" x14ac:dyDescent="0.25">
      <c r="B19" s="32" t="s">
        <v>72</v>
      </c>
      <c r="C19" s="33" t="s">
        <v>48</v>
      </c>
      <c r="D19" s="33" t="s">
        <v>35</v>
      </c>
      <c r="E19" s="33" t="s">
        <v>48</v>
      </c>
      <c r="F19" s="33" t="s">
        <v>35</v>
      </c>
      <c r="G19" s="33" t="s">
        <v>84</v>
      </c>
      <c r="H19" s="33" t="s">
        <v>86</v>
      </c>
      <c r="I19" s="33" t="s">
        <v>85</v>
      </c>
      <c r="L19" s="68" t="s">
        <v>88</v>
      </c>
      <c r="M19" s="68" t="s">
        <v>89</v>
      </c>
      <c r="N19" s="69" t="s">
        <v>91</v>
      </c>
      <c r="O19" s="70" t="s">
        <v>195</v>
      </c>
      <c r="R19" s="66">
        <f>SchoolTourTime!B27</f>
        <v>27</v>
      </c>
      <c r="S19" s="66" t="str">
        <f>SchoolTourTime!C27</f>
        <v>dep=18</v>
      </c>
      <c r="T19" s="66">
        <f>VLOOKUP(R19,SchoolTourTime!$B$11:$E$72,4,FALSE)</f>
        <v>-0.88386299999999995</v>
      </c>
      <c r="U19" s="67">
        <f si="0" t="shared"/>
        <v>-1.4706601511315243</v>
      </c>
    </row>
    <row r="20" spans="2:21" x14ac:dyDescent="0.25">
      <c r="B20" t="s">
        <v>224</v>
      </c>
      <c r="C20" s="29">
        <f>SUM(Arrival_Time!C9:C14)</f>
        <v>19486.099592448529</v>
      </c>
      <c r="D20" s="29">
        <f>SUM(Arrival_Time!J9:J14)</f>
        <v>17325.705528259277</v>
      </c>
      <c r="E20" s="30">
        <f>C20/C$14</f>
        <v>3.7322985686919948E-2</v>
      </c>
      <c r="F20" s="30">
        <f>D20/D$14</f>
        <v>3.3272817931927712E-2</v>
      </c>
      <c r="G20" s="6">
        <f>E20/F20</f>
        <v>1.1217260216215652</v>
      </c>
      <c r="H20" s="6">
        <v>0</v>
      </c>
      <c r="I20" s="31">
        <f>H20*(LN(G20)-LN($G$23))</f>
        <v>0</v>
      </c>
      <c r="L20" s="71">
        <v>11</v>
      </c>
      <c r="M20" s="72">
        <f>VLOOKUP(L20,$R$3:$U$64,3,FALSE)</f>
        <v>-10</v>
      </c>
      <c r="N20" s="73">
        <f>I20+M20</f>
        <v>-10</v>
      </c>
      <c r="O20" s="72" t="str">
        <f>CONCATENATE("Arrival ",B20)</f>
        <v>Arrival 3-6 am</v>
      </c>
      <c r="R20" s="66">
        <f>SchoolTourTime!B28</f>
        <v>28</v>
      </c>
      <c r="S20" s="66" t="str">
        <f>SchoolTourTime!C28</f>
        <v>dep19-20</v>
      </c>
      <c r="T20" s="66">
        <f>VLOOKUP(R20,SchoolTourTime!$B$11:$E$72,4,FALSE)</f>
        <v>-1.604725</v>
      </c>
      <c r="U20" s="67">
        <f si="0" t="shared"/>
        <v>-2.2852589942784718</v>
      </c>
    </row>
    <row r="21" spans="2:21" x14ac:dyDescent="0.25">
      <c r="B21" t="s">
        <v>225</v>
      </c>
      <c r="C21" s="29">
        <f>SUM(Arrival_Time!C15:C16)</f>
        <v>53344.892738843366</v>
      </c>
      <c r="D21" s="29">
        <f>SUM(Arrival_Time!J15:J16)</f>
        <v>44150.405316352844</v>
      </c>
      <c r="E21" s="30">
        <f ref="E21:E30" si="9" t="shared">C21/C$14</f>
        <v>0.10217492006115488</v>
      </c>
      <c r="F21" s="30">
        <f ref="F21:F30" si="10" t="shared">D21/D$14</f>
        <v>8.4787796682552388E-2</v>
      </c>
      <c r="G21" s="6">
        <f ref="G21:G30" si="11" t="shared">E21/F21</f>
        <v>1.2050663427863364</v>
      </c>
      <c r="H21" s="6">
        <f ref="H21:H28" si="12" t="shared">$F$1</f>
        <v>1</v>
      </c>
      <c r="I21" s="31">
        <f ref="I21:I29" si="13" t="shared">H21*(LN(G21)-LN($G$23))</f>
        <v>5.7047584456968836E-2</v>
      </c>
      <c r="L21" s="71">
        <v>12</v>
      </c>
      <c r="M21" s="74">
        <f ref="M21:M29" si="14" t="shared">VLOOKUP(L21,$R$3:$U$64,3,FALSE)</f>
        <v>-3.25373144395</v>
      </c>
      <c r="N21" s="73">
        <f ref="N21:N29" si="15" t="shared">I21+M21</f>
        <v>-3.1966838594930311</v>
      </c>
      <c r="O21" s="74" t="str">
        <f ref="O21:O29" si="16" t="shared">CONCATENATE("Arrival ",B21)</f>
        <v>Arrival 6-7 am</v>
      </c>
      <c r="R21" s="66">
        <f>SchoolTourTime!B29</f>
        <v>29</v>
      </c>
      <c r="S21" s="66" t="str">
        <f>SchoolTourTime!C29</f>
        <v>dep21-23</v>
      </c>
      <c r="T21" s="66">
        <f>VLOOKUP(R21,SchoolTourTime!$B$11:$E$72,4,FALSE)</f>
        <v>-2.4918230000000001</v>
      </c>
      <c r="U21" s="67">
        <f si="0" t="shared"/>
        <v>-3.1482872073836674</v>
      </c>
    </row>
    <row r="22" spans="2:21" x14ac:dyDescent="0.25">
      <c r="B22" t="s">
        <v>226</v>
      </c>
      <c r="C22" s="29">
        <f>SUM(Arrival_Time!C17:C18)</f>
        <v>96085.602183629817</v>
      </c>
      <c r="D22" s="29">
        <f>SUM(Arrival_Time!J17:J18)</f>
        <v>80005.384120941162</v>
      </c>
      <c r="E22" s="30">
        <f si="9" t="shared"/>
        <v>0.18403896264640179</v>
      </c>
      <c r="F22" s="30">
        <f si="10" t="shared"/>
        <v>0.15364480107826631</v>
      </c>
      <c r="G22" s="6">
        <f si="11" t="shared"/>
        <v>1.1978209568747644</v>
      </c>
      <c r="H22" s="6">
        <f si="12" t="shared"/>
        <v>1</v>
      </c>
      <c r="I22" s="31">
        <f si="13" t="shared"/>
        <v>5.101699960939643E-2</v>
      </c>
      <c r="L22" s="71">
        <v>13</v>
      </c>
      <c r="M22" s="74">
        <f si="14" t="shared"/>
        <v>-0.21597678247800001</v>
      </c>
      <c r="N22" s="73">
        <f si="15" t="shared"/>
        <v>-0.16495978286860358</v>
      </c>
      <c r="O22" s="74" t="str">
        <f si="16" t="shared"/>
        <v>Arrival 7-8 am</v>
      </c>
      <c r="R22" s="66">
        <f>SchoolTourTime!B30</f>
        <v>30</v>
      </c>
      <c r="S22" s="66" t="str">
        <f>SchoolTourTime!C30</f>
        <v>dep24-26</v>
      </c>
      <c r="T22" s="66">
        <f>VLOOKUP(R22,SchoolTourTime!$B$11:$E$72,4,FALSE)</f>
        <v>-10</v>
      </c>
      <c r="U22" s="67">
        <f si="0" t="shared"/>
        <v>-10</v>
      </c>
    </row>
    <row r="23" spans="2:21" x14ac:dyDescent="0.25">
      <c r="B23" t="s">
        <v>227</v>
      </c>
      <c r="C23" s="29">
        <f>SUM(Arrival_Time!C19:C20)</f>
        <v>101299.90192102463</v>
      </c>
      <c r="D23" s="29">
        <f>SUM(Arrival_Time!J19:J20)</f>
        <v>88761.845779418945</v>
      </c>
      <c r="E23" s="30">
        <f si="9" t="shared"/>
        <v>0.19402624786696568</v>
      </c>
      <c r="F23" s="30">
        <f si="10" t="shared"/>
        <v>0.17046097944486871</v>
      </c>
      <c r="G23" s="6">
        <f si="11" t="shared"/>
        <v>1.1382443565609017</v>
      </c>
      <c r="H23" s="6">
        <f si="12" t="shared"/>
        <v>1</v>
      </c>
      <c r="I23" s="31">
        <f si="13" t="shared"/>
        <v>0</v>
      </c>
      <c r="L23" s="71">
        <v>14</v>
      </c>
      <c r="M23" s="74">
        <f si="14" t="shared"/>
        <v>0</v>
      </c>
      <c r="N23" s="73">
        <f si="15" t="shared"/>
        <v>0</v>
      </c>
      <c r="O23" s="74" t="str">
        <f si="16" t="shared"/>
        <v>Arrival 8-9 am</v>
      </c>
      <c r="R23" s="89">
        <f>SchoolTourTime!B31</f>
        <v>31</v>
      </c>
      <c r="S23" s="89" t="str">
        <f>SchoolTourTime!C31</f>
        <v>dur0-2</v>
      </c>
      <c r="T23" s="89">
        <f>VLOOKUP(R23,SchoolTourTime!$B$11:$E$72,4,FALSE)</f>
        <v>-1.672868</v>
      </c>
      <c r="U23" s="91">
        <f si="0" t="shared"/>
        <v>-1.672868</v>
      </c>
    </row>
    <row r="24" spans="2:21" x14ac:dyDescent="0.25">
      <c r="B24" t="s">
        <v>228</v>
      </c>
      <c r="C24" s="29">
        <f>SUM(Arrival_Time!C21:C22)</f>
        <v>67644.52565626966</v>
      </c>
      <c r="D24" s="29">
        <f>SUM(Arrival_Time!J21:J22)</f>
        <v>64151.27462387085</v>
      </c>
      <c r="E24" s="30">
        <f si="9" t="shared"/>
        <v>0.12956393099036814</v>
      </c>
      <c r="F24" s="30">
        <f si="10" t="shared"/>
        <v>0.12319808143914604</v>
      </c>
      <c r="G24" s="6">
        <f si="11" t="shared"/>
        <v>1.0516716614159818</v>
      </c>
      <c r="H24" s="6">
        <f si="12" t="shared"/>
        <v>1</v>
      </c>
      <c r="I24" s="31">
        <f si="13" t="shared"/>
        <v>-7.9106080545107677E-2</v>
      </c>
      <c r="L24" s="71">
        <v>15</v>
      </c>
      <c r="M24" s="74">
        <f si="14" t="shared"/>
        <v>-1.2614952667399999</v>
      </c>
      <c r="N24" s="73">
        <f si="15" t="shared"/>
        <v>-1.3406013472851075</v>
      </c>
      <c r="O24" s="74" t="str">
        <f si="16" t="shared"/>
        <v>Arrival 9-10 am</v>
      </c>
      <c r="R24" s="89">
        <f>SchoolTourTime!B32</f>
        <v>32</v>
      </c>
      <c r="S24" s="89" t="str">
        <f>SchoolTourTime!C32</f>
        <v>dur3-4</v>
      </c>
      <c r="T24" s="89">
        <f>VLOOKUP(R24,SchoolTourTime!$B$11:$E$72,4,FALSE)</f>
        <v>-1.041045</v>
      </c>
      <c r="U24" s="91">
        <f si="0" t="shared"/>
        <v>-1.041045</v>
      </c>
    </row>
    <row r="25" spans="2:21" x14ac:dyDescent="0.25">
      <c r="B25" t="s">
        <v>232</v>
      </c>
      <c r="C25" s="29">
        <f>SUM(Arrival_Time!C23:C28)</f>
        <v>76986.649126811259</v>
      </c>
      <c r="D25" s="29">
        <f>SUM(Arrival_Time!J23:J28)</f>
        <v>82888.139209747314</v>
      </c>
      <c r="E25" s="30">
        <f si="9" t="shared"/>
        <v>0.14745750373550517</v>
      </c>
      <c r="F25" s="30">
        <f si="10" t="shared"/>
        <v>0.15918093264045513</v>
      </c>
      <c r="G25" s="6">
        <f si="11" t="shared"/>
        <v>0.92635155033656025</v>
      </c>
      <c r="H25" s="6">
        <f si="12" t="shared"/>
        <v>1</v>
      </c>
      <c r="I25" s="31">
        <f si="13" t="shared"/>
        <v>-0.20598850961486875</v>
      </c>
      <c r="L25" s="71">
        <v>16</v>
      </c>
      <c r="M25" s="74">
        <f si="14" t="shared"/>
        <v>-2.25578381447</v>
      </c>
      <c r="N25" s="73">
        <f si="15" t="shared"/>
        <v>-2.4617723240848686</v>
      </c>
      <c r="O25" s="74" t="str">
        <f si="16" t="shared"/>
        <v>Arrival 10 am-1 pm</v>
      </c>
      <c r="R25" s="89">
        <f>SchoolTourTime!B33</f>
        <v>33</v>
      </c>
      <c r="S25" s="89" t="str">
        <f>SchoolTourTime!C33</f>
        <v>dur5-6</v>
      </c>
      <c r="T25" s="89">
        <f>VLOOKUP(R25,SchoolTourTime!$B$11:$E$72,4,FALSE)</f>
        <v>-0.617788</v>
      </c>
      <c r="U25" s="91">
        <f si="0" t="shared"/>
        <v>-0.617788</v>
      </c>
    </row>
    <row r="26" spans="2:21" x14ac:dyDescent="0.25">
      <c r="B26" t="s">
        <v>229</v>
      </c>
      <c r="C26" s="29">
        <f>SUM(Arrival_Time!C29:C34)</f>
        <v>57103.788777969305</v>
      </c>
      <c r="D26" s="29">
        <f>SUM(Arrival_Time!J29:J34)</f>
        <v>62995.739808082581</v>
      </c>
      <c r="E26" s="30">
        <f si="9" t="shared"/>
        <v>0.10937457653428947</v>
      </c>
      <c r="F26" s="30">
        <f si="10" t="shared"/>
        <v>0.12097895682820214</v>
      </c>
      <c r="G26" s="6">
        <f si="11" t="shared"/>
        <v>0.90407934901941966</v>
      </c>
      <c r="H26" s="6">
        <f si="12" t="shared"/>
        <v>1</v>
      </c>
      <c r="I26" s="31">
        <f si="13" t="shared"/>
        <v>-0.23032518420237197</v>
      </c>
      <c r="L26" s="71">
        <v>17</v>
      </c>
      <c r="M26" s="74">
        <f si="14" t="shared"/>
        <v>-2.9429385107799999</v>
      </c>
      <c r="N26" s="73">
        <f si="15" t="shared"/>
        <v>-3.173263694982372</v>
      </c>
      <c r="O26" s="74" t="str">
        <f si="16" t="shared"/>
        <v>Arrival 1-4 pm</v>
      </c>
      <c r="R26" s="89">
        <f>SchoolTourTime!B34</f>
        <v>34</v>
      </c>
      <c r="S26" s="89" t="str">
        <f>SchoolTourTime!C34</f>
        <v>dur7-8</v>
      </c>
      <c r="T26" s="89">
        <f>VLOOKUP(R26,SchoolTourTime!$B$11:$E$72,4,FALSE)</f>
        <v>-0.160163</v>
      </c>
      <c r="U26" s="91">
        <f si="0" t="shared"/>
        <v>-0.160163</v>
      </c>
    </row>
    <row r="27" spans="2:21" x14ac:dyDescent="0.25">
      <c r="B27" t="s">
        <v>230</v>
      </c>
      <c r="C27" s="29">
        <f>SUM(Arrival_Time!C35:C40)</f>
        <v>40402.143918713868</v>
      </c>
      <c r="D27" s="29">
        <f>SUM(Arrival_Time!J35:J40)</f>
        <v>59496.149115562439</v>
      </c>
      <c r="E27" s="30">
        <f si="9" t="shared"/>
        <v>7.7384836921566738E-2</v>
      </c>
      <c r="F27" s="30">
        <f si="10" t="shared"/>
        <v>0.11425823519533307</v>
      </c>
      <c r="G27" s="6">
        <f si="11" t="shared"/>
        <v>0.67728016968992677</v>
      </c>
      <c r="H27" s="6">
        <f si="12" t="shared"/>
        <v>1</v>
      </c>
      <c r="I27" s="31">
        <f si="13" t="shared"/>
        <v>-0.51915728888769075</v>
      </c>
      <c r="L27" s="71">
        <v>18</v>
      </c>
      <c r="M27" s="74">
        <f si="14" t="shared"/>
        <v>-2.0422750131099998</v>
      </c>
      <c r="N27" s="73">
        <f si="15" t="shared"/>
        <v>-2.5614323019976908</v>
      </c>
      <c r="O27" s="74" t="str">
        <f si="16" t="shared"/>
        <v>Arrival 4-7 pm</v>
      </c>
      <c r="R27" s="89">
        <f>SchoolTourTime!B35</f>
        <v>35</v>
      </c>
      <c r="S27" s="89" t="str">
        <f>SchoolTourTime!C35</f>
        <v>dur=9</v>
      </c>
      <c r="T27" s="89">
        <f>VLOOKUP(R27,SchoolTourTime!$B$11:$E$72,4,FALSE)</f>
        <v>-7.2091000000000002E-2</v>
      </c>
      <c r="U27" s="91">
        <f si="0" t="shared"/>
        <v>-7.2091000000000002E-2</v>
      </c>
    </row>
    <row r="28" spans="2:21" x14ac:dyDescent="0.25">
      <c r="B28" t="s">
        <v>79</v>
      </c>
      <c r="C28" s="29">
        <f>SUM(Arrival_Time!C41:C44)</f>
        <v>8495.2179452710789</v>
      </c>
      <c r="D28" s="29">
        <f>SUM(Arrival_Time!J41:J44)</f>
        <v>16275.598649978638</v>
      </c>
      <c r="E28" s="30">
        <f si="9" t="shared"/>
        <v>1.6271439867909292E-2</v>
      </c>
      <c r="F28" s="30">
        <f si="10" t="shared"/>
        <v>3.1256160375725602E-2</v>
      </c>
      <c r="G28" s="6">
        <f si="11" t="shared"/>
        <v>0.52058345210392964</v>
      </c>
      <c r="H28" s="6">
        <f si="12" t="shared"/>
        <v>1</v>
      </c>
      <c r="I28" s="31">
        <f si="13" t="shared"/>
        <v>-0.78229211035186763</v>
      </c>
      <c r="L28" s="71">
        <v>19</v>
      </c>
      <c r="M28" s="74">
        <f si="14" t="shared"/>
        <v>-3.4674414305300001</v>
      </c>
      <c r="N28" s="73">
        <f si="15" t="shared"/>
        <v>-4.2497335408818682</v>
      </c>
      <c r="O28" s="74" t="str">
        <f si="16" t="shared"/>
        <v>Arrival 7-9 pm</v>
      </c>
      <c r="R28" s="89">
        <f>SchoolTourTime!B36</f>
        <v>36</v>
      </c>
      <c r="S28" s="89" t="str">
        <f>SchoolTourTime!C36</f>
        <v>dur=10</v>
      </c>
      <c r="T28" s="89">
        <f>VLOOKUP(R28,SchoolTourTime!$B$11:$E$72,4,FALSE)</f>
        <v>-0.79294299999999995</v>
      </c>
      <c r="U28" s="91">
        <f si="0" t="shared"/>
        <v>-0.79294299999999995</v>
      </c>
    </row>
    <row r="29" spans="2:21" x14ac:dyDescent="0.25">
      <c r="B29" s="23" t="s">
        <v>231</v>
      </c>
      <c r="C29" s="34">
        <f>SUM(Arrival_Time!C45:C57)+Arrival_Time!C8</f>
        <v>1226.4310687139268</v>
      </c>
      <c r="D29" s="34">
        <f>SUM(Arrival_Time!J45:J57)+Arrival_Time!J8</f>
        <v>4649.1742372512817</v>
      </c>
      <c r="E29" s="35">
        <f si="9" t="shared"/>
        <v>2.3490626744688665E-3</v>
      </c>
      <c r="F29" s="35">
        <f si="10" t="shared"/>
        <v>8.9284172397805193E-3</v>
      </c>
      <c r="G29" s="22">
        <f si="11" t="shared"/>
        <v>0.26309956304490667</v>
      </c>
      <c r="H29" s="22">
        <v>0</v>
      </c>
      <c r="I29" s="31">
        <f si="13" t="shared"/>
        <v>0</v>
      </c>
      <c r="L29" s="75">
        <v>20</v>
      </c>
      <c r="M29" s="75">
        <f si="14" t="shared"/>
        <v>-10</v>
      </c>
      <c r="N29" s="76">
        <f si="15" t="shared"/>
        <v>-10</v>
      </c>
      <c r="O29" s="75" t="str">
        <f si="16" t="shared"/>
        <v>Arrival 9 pm-3 am</v>
      </c>
      <c r="R29" s="89">
        <f>SchoolTourTime!B37</f>
        <v>37</v>
      </c>
      <c r="S29" s="89" t="str">
        <f>SchoolTourTime!C37</f>
        <v>dur=11</v>
      </c>
      <c r="T29" s="89">
        <f>VLOOKUP(R29,SchoolTourTime!$B$11:$E$72,4,FALSE)</f>
        <v>-1.8158650000000001</v>
      </c>
      <c r="U29" s="91">
        <f si="0" t="shared"/>
        <v>-1.8158650000000001</v>
      </c>
    </row>
    <row ht="15.75" r="30" spans="2:21" thickBot="1" x14ac:dyDescent="0.3">
      <c r="B30" s="39" t="s">
        <v>82</v>
      </c>
      <c r="C30" s="40">
        <f>SUM(C20:C29)</f>
        <v>522075.25292969536</v>
      </c>
      <c r="D30" s="40">
        <f>SUM(D20:D29)</f>
        <v>520699.41638946533</v>
      </c>
      <c r="E30" s="41">
        <f si="9" t="shared"/>
        <v>0.99996446698554986</v>
      </c>
      <c r="F30" s="41">
        <f si="10" t="shared"/>
        <v>0.99996717885625763</v>
      </c>
      <c r="G30" s="42">
        <f si="11" t="shared"/>
        <v>0.99999728804028265</v>
      </c>
      <c r="H30" s="42"/>
      <c r="I30" s="43"/>
      <c r="R30" s="89">
        <f>SchoolTourTime!B38</f>
        <v>38</v>
      </c>
      <c r="S30" s="89" t="str">
        <f>SchoolTourTime!C38</f>
        <v>dur12-13</v>
      </c>
      <c r="T30" s="89">
        <f>VLOOKUP(R30,SchoolTourTime!$B$11:$E$72,4,FALSE)</f>
        <v>-3.215354</v>
      </c>
      <c r="U30" s="91">
        <f si="0" t="shared"/>
        <v>-3.215354</v>
      </c>
    </row>
    <row r="31" spans="2:21" x14ac:dyDescent="0.25">
      <c r="R31" s="89">
        <f>SchoolTourTime!B39</f>
        <v>39</v>
      </c>
      <c r="S31" s="89" t="str">
        <f>SchoolTourTime!C39</f>
        <v>dur14-17</v>
      </c>
      <c r="T31" s="89">
        <f>VLOOKUP(R31,SchoolTourTime!$B$11:$E$72,4,FALSE)</f>
        <v>-5.0070750000000004</v>
      </c>
      <c r="U31" s="91">
        <f si="0" t="shared"/>
        <v>-5.0070750000000004</v>
      </c>
    </row>
    <row r="32" spans="2:21" x14ac:dyDescent="0.25">
      <c r="B32" s="77"/>
      <c r="C32" s="77"/>
      <c r="D32" s="77"/>
      <c r="E32" s="77"/>
      <c r="F32" s="77"/>
      <c r="G32" s="77"/>
      <c r="H32" s="77"/>
      <c r="I32" s="77"/>
      <c r="J32" s="77"/>
      <c r="K32" s="77"/>
      <c r="L32" s="77"/>
      <c r="M32" s="77"/>
      <c r="N32" s="77"/>
      <c r="O32" s="77"/>
      <c r="R32" s="89">
        <f>SchoolTourTime!B40</f>
        <v>40</v>
      </c>
      <c r="S32" s="89" t="str">
        <f>SchoolTourTime!C40</f>
        <v>dur18-23</v>
      </c>
      <c r="T32" s="89">
        <f>VLOOKUP(R32,SchoolTourTime!$B$11:$E$72,4,FALSE)</f>
        <v>-10</v>
      </c>
      <c r="U32" s="91">
        <f si="0" t="shared"/>
        <v>-10</v>
      </c>
    </row>
    <row r="33" spans="2:21" x14ac:dyDescent="0.25">
      <c r="B33" s="78"/>
      <c r="C33" s="77"/>
      <c r="D33" s="77"/>
      <c r="E33" s="77"/>
      <c r="F33" s="77"/>
      <c r="G33" s="77"/>
      <c r="H33" s="77"/>
      <c r="I33" s="77"/>
      <c r="J33" s="77"/>
      <c r="K33" s="77"/>
      <c r="L33" s="77"/>
      <c r="M33" s="77"/>
      <c r="N33" s="77"/>
      <c r="O33" s="77"/>
      <c r="R33">
        <f>SchoolTourTime!B41</f>
        <v>41</v>
      </c>
      <c r="S33" t="str">
        <f>SchoolTourTime!C41</f>
        <v>ptwk-arr</v>
      </c>
      <c r="T33">
        <f>VLOOKUP(R33,SchoolTourTime!$B$11:$E$72,4,FALSE)</f>
        <v>0.28932022582700001</v>
      </c>
      <c r="U33" s="64">
        <f si="0" t="shared"/>
        <v>0.28932022582700001</v>
      </c>
    </row>
    <row ht="15.75" r="34" spans="2:21" thickBot="1" x14ac:dyDescent="0.3">
      <c r="B34" s="37" t="s">
        <v>61</v>
      </c>
      <c r="C34" s="1"/>
      <c r="D34" s="1"/>
      <c r="E34" s="1" t="s">
        <v>86</v>
      </c>
      <c r="F34" s="38">
        <v>0</v>
      </c>
      <c r="G34" s="1"/>
      <c r="H34" s="1"/>
      <c r="I34" s="1"/>
      <c r="M34" s="77"/>
      <c r="N34" s="77"/>
      <c r="O34" s="77"/>
      <c r="R34">
        <f>SchoolTourTime!B42</f>
        <v>42</v>
      </c>
      <c r="S34" t="str">
        <f>SchoolTourTime!C42</f>
        <v>ptwk-dur</v>
      </c>
      <c r="T34">
        <f>VLOOKUP(R34,SchoolTourTime!$B$11:$E$72,4,FALSE)</f>
        <v>-0.126020317947</v>
      </c>
      <c r="U34" s="64">
        <f si="0" t="shared"/>
        <v>-0.126020317947</v>
      </c>
    </row>
    <row ht="15.75" r="35" spans="2:21" thickBot="1" x14ac:dyDescent="0.3">
      <c r="B35" s="8"/>
      <c r="C35" s="95" t="s">
        <v>87</v>
      </c>
      <c r="D35" s="95"/>
      <c r="E35" s="95" t="s">
        <v>83</v>
      </c>
      <c r="F35" s="95"/>
      <c r="G35" s="8"/>
      <c r="H35" s="8"/>
      <c r="I35" s="8"/>
      <c r="L35" s="1"/>
      <c r="M35" s="1"/>
      <c r="N35" s="1"/>
      <c r="O35" s="1"/>
      <c r="R35">
        <f>SchoolTourTime!B43</f>
        <v>43</v>
      </c>
      <c r="S35" t="str">
        <f>SchoolTourTime!C43</f>
        <v>nwad-arr</v>
      </c>
      <c r="T35">
        <f>VLOOKUP(R35,SchoolTourTime!$B$11:$E$72,4,FALSE)</f>
        <v>0.21889169970399999</v>
      </c>
      <c r="U35" s="64">
        <f si="0" t="shared"/>
        <v>0.21889169970399999</v>
      </c>
    </row>
    <row r="36" spans="2:21" x14ac:dyDescent="0.25">
      <c r="B36" s="32" t="s">
        <v>14</v>
      </c>
      <c r="C36" s="33" t="s">
        <v>48</v>
      </c>
      <c r="D36" s="33" t="s">
        <v>35</v>
      </c>
      <c r="E36" s="33" t="s">
        <v>48</v>
      </c>
      <c r="F36" s="33" t="s">
        <v>35</v>
      </c>
      <c r="G36" s="33" t="s">
        <v>84</v>
      </c>
      <c r="H36" s="33" t="s">
        <v>86</v>
      </c>
      <c r="I36" s="33" t="s">
        <v>85</v>
      </c>
      <c r="L36" s="33" t="s">
        <v>88</v>
      </c>
      <c r="M36" s="68" t="s">
        <v>89</v>
      </c>
      <c r="N36" s="69" t="s">
        <v>91</v>
      </c>
      <c r="O36" s="90" t="s">
        <v>195</v>
      </c>
      <c r="R36">
        <f>SchoolTourTime!B44</f>
        <v>44</v>
      </c>
      <c r="S36" t="str">
        <f>SchoolTourTime!C44</f>
        <v>nwad-dur</v>
      </c>
      <c r="T36">
        <f>VLOOKUP(R36,SchoolTourTime!$B$11:$E$72,4,FALSE)</f>
        <v>-0.130191110389</v>
      </c>
      <c r="U36" s="64">
        <f si="0" t="shared"/>
        <v>-0.130191110389</v>
      </c>
    </row>
    <row r="37" spans="2:21" x14ac:dyDescent="0.25">
      <c r="B37" t="s">
        <v>62</v>
      </c>
      <c r="C37" s="29">
        <f>SUM(Duration!C8:C13)</f>
        <v>372643.28347875178</v>
      </c>
      <c r="D37" s="29">
        <f>SUM(Duration!J7:J12)</f>
        <v>282842.37771034241</v>
      </c>
      <c r="E37" s="30">
        <f ref="E37:E47" si="17" t="shared">C37/C$47</f>
        <v>0.55078535006566576</v>
      </c>
      <c r="F37" s="30">
        <f ref="F37:F47" si="18" t="shared">D37/D$47</f>
        <v>0.47903154145006888</v>
      </c>
      <c r="G37" s="6">
        <f>E37/F37</f>
        <v>1.1497893195057511</v>
      </c>
      <c r="H37" s="6">
        <f>$F$1</f>
        <v>1</v>
      </c>
      <c r="I37" s="62">
        <f ref="I37:I46" si="19" t="shared">H37*(LN(G37)-LN($G$40))</f>
        <v>0.14533745777896986</v>
      </c>
      <c r="L37">
        <v>31</v>
      </c>
      <c r="M37" s="72">
        <f>VLOOKUP(L37,$R$3:$U$64,3,FALSE)</f>
        <v>-1.672868</v>
      </c>
      <c r="N37" s="73">
        <f>I37+M37</f>
        <v>-1.5275305422210301</v>
      </c>
      <c r="O37" s="74" t="str">
        <f>CONCATENATE("Duration ",B37)</f>
        <v>Duration 0-3 hrs</v>
      </c>
      <c r="R37">
        <f>SchoolTourTime!B45</f>
        <v>45</v>
      </c>
      <c r="S37" t="str">
        <f>SchoolTourTime!C45</f>
        <v>univ-arr</v>
      </c>
      <c r="T37">
        <f>VLOOKUP(R37,SchoolTourTime!$B$11:$E$72,4,FALSE)</f>
        <v>0.16568715041199999</v>
      </c>
      <c r="U37" s="64">
        <f si="0" t="shared"/>
        <v>0.16568715041199999</v>
      </c>
    </row>
    <row r="38" spans="2:21" x14ac:dyDescent="0.25">
      <c r="B38" t="s">
        <v>63</v>
      </c>
      <c r="C38" s="29">
        <f>SUM(Duration!C14:C17)</f>
        <v>60370.470696872049</v>
      </c>
      <c r="D38" s="29">
        <f>SUM(Duration!J13:J16)</f>
        <v>80011.510019302368</v>
      </c>
      <c r="E38" s="30">
        <f si="17" t="shared"/>
        <v>8.9230565290201125E-2</v>
      </c>
      <c r="F38" s="30">
        <f si="18" t="shared"/>
        <v>0.13551023467051182</v>
      </c>
      <c r="G38" s="6">
        <f ref="G38:G47" si="20" t="shared">E38/F38</f>
        <v>0.65847842052050154</v>
      </c>
      <c r="H38" s="6">
        <f ref="H38:H45" si="21" t="shared">$F$1</f>
        <v>1</v>
      </c>
      <c r="I38" s="63">
        <f si="19" t="shared"/>
        <v>-0.41206479637876042</v>
      </c>
      <c r="L38" s="5">
        <v>32</v>
      </c>
      <c r="M38" s="74">
        <f ref="M38:M46" si="22" t="shared">VLOOKUP(L38,$R$3:$U$64,3,FALSE)</f>
        <v>-1.041045</v>
      </c>
      <c r="N38" s="73">
        <f ref="N38:N46" si="23" t="shared">I38+M38</f>
        <v>-1.4531097963787605</v>
      </c>
      <c r="O38" s="74" t="str">
        <f ref="O38:O46" si="24" t="shared">CONCATENATE("Duration ",B38)</f>
        <v>Duration 3-5 hrs</v>
      </c>
      <c r="R38">
        <f>SchoolTourTime!B46</f>
        <v>46</v>
      </c>
      <c r="S38" t="str">
        <f>SchoolTourTime!C46</f>
        <v>univ-dur</v>
      </c>
      <c r="T38">
        <f>VLOOKUP(R38,SchoolTourTime!$B$11:$E$72,4,FALSE)</f>
        <v>-7.5649381697400001E-2</v>
      </c>
      <c r="U38" s="64">
        <f si="0" t="shared"/>
        <v>-7.5649381697400001E-2</v>
      </c>
    </row>
    <row r="39" spans="2:21" x14ac:dyDescent="0.25">
      <c r="B39" t="s">
        <v>64</v>
      </c>
      <c r="C39" s="29">
        <f>SUM(Duration!C18:C21)</f>
        <v>102146.94776059543</v>
      </c>
      <c r="D39" s="29">
        <f>SUM(Duration!J17:J20)</f>
        <v>75255.864930152893</v>
      </c>
      <c r="E39" s="30">
        <f si="17" t="shared"/>
        <v>0.15097828103929009</v>
      </c>
      <c r="F39" s="30">
        <f si="18" t="shared"/>
        <v>0.12745591121273875</v>
      </c>
      <c r="G39" s="6">
        <f si="20" t="shared"/>
        <v>1.1845529925033431</v>
      </c>
      <c r="H39" s="6">
        <f si="21" t="shared"/>
        <v>1</v>
      </c>
      <c r="I39" s="63">
        <f si="19" t="shared"/>
        <v>0.17512421452183613</v>
      </c>
      <c r="L39" s="5">
        <v>33</v>
      </c>
      <c r="M39" s="74">
        <f si="22" t="shared"/>
        <v>-0.617788</v>
      </c>
      <c r="N39" s="73">
        <f si="23" t="shared"/>
        <v>-0.44266378547816387</v>
      </c>
      <c r="O39" s="74" t="str">
        <f si="24" t="shared"/>
        <v>Duration 5-7 hrs</v>
      </c>
      <c r="R39">
        <f>SchoolTourTime!B47</f>
        <v>49</v>
      </c>
      <c r="S39" t="str">
        <f>SchoolTourTime!C47</f>
        <v>dkid-arr</v>
      </c>
      <c r="T39">
        <f>VLOOKUP(R39,SchoolTourTime!$B$11:$E$72,4,FALSE)</f>
        <v>-6.2615357102599994E-2</v>
      </c>
      <c r="U39" s="64">
        <f si="0" t="shared"/>
        <v>-6.2615357102599994E-2</v>
      </c>
    </row>
    <row r="40" spans="2:21" x14ac:dyDescent="0.25">
      <c r="B40" t="s">
        <v>65</v>
      </c>
      <c r="C40" s="29">
        <f>SUM(Duration!C22:C25)</f>
        <v>95653.516135905375</v>
      </c>
      <c r="D40" s="29">
        <f>SUM(Duration!J21:J24)</f>
        <v>83959.796333312988</v>
      </c>
      <c r="E40" s="30">
        <f si="17" t="shared"/>
        <v>0.14138066538620583</v>
      </c>
      <c r="F40" s="30">
        <f si="18" t="shared"/>
        <v>0.14219718764551348</v>
      </c>
      <c r="G40" s="6">
        <f si="20" t="shared"/>
        <v>0.99425781710013017</v>
      </c>
      <c r="H40" s="6">
        <f si="21" t="shared"/>
        <v>1</v>
      </c>
      <c r="I40" s="63">
        <f si="19" t="shared"/>
        <v>0</v>
      </c>
      <c r="L40" s="5">
        <v>34</v>
      </c>
      <c r="M40" s="74">
        <f si="22" t="shared"/>
        <v>-0.160163</v>
      </c>
      <c r="N40" s="73">
        <f si="23" t="shared"/>
        <v>-0.160163</v>
      </c>
      <c r="O40" s="74" t="str">
        <f si="24" t="shared"/>
        <v>Duration 7-9 hrs</v>
      </c>
      <c r="R40">
        <f>SchoolTourTime!B48</f>
        <v>50</v>
      </c>
      <c r="S40" t="str">
        <f>SchoolTourTime!C48</f>
        <v>dkid-dur</v>
      </c>
      <c r="T40">
        <f>VLOOKUP(R40,SchoolTourTime!$B$11:$E$72,4,FALSE)</f>
        <v>5.8936801301500003E-2</v>
      </c>
      <c r="U40" s="64">
        <f si="0" t="shared"/>
        <v>5.8936801301500003E-2</v>
      </c>
    </row>
    <row r="41" spans="2:21" x14ac:dyDescent="0.25">
      <c r="B41" t="s">
        <v>66</v>
      </c>
      <c r="C41" s="29">
        <f>SUM(Duration!C26:C27)</f>
        <v>23816.999774294032</v>
      </c>
      <c r="D41" s="29">
        <f>SUM(Duration!J25:J26)</f>
        <v>30477.1342420578</v>
      </c>
      <c r="E41" s="30">
        <f si="17" t="shared"/>
        <v>3.5202712996023761E-2</v>
      </c>
      <c r="F41" s="30">
        <f si="18" t="shared"/>
        <v>5.1617118739911441E-2</v>
      </c>
      <c r="G41" s="6">
        <f si="20" t="shared"/>
        <v>0.68199686180476948</v>
      </c>
      <c r="H41" s="6">
        <f si="21" t="shared"/>
        <v>1</v>
      </c>
      <c r="I41" s="63">
        <f si="19" t="shared"/>
        <v>-0.37697148999170266</v>
      </c>
      <c r="L41" s="5">
        <v>35</v>
      </c>
      <c r="M41" s="74">
        <f si="22" t="shared"/>
        <v>-7.2091000000000002E-2</v>
      </c>
      <c r="N41" s="73">
        <f si="23" t="shared"/>
        <v>-0.44906248999170267</v>
      </c>
      <c r="O41" s="74" t="str">
        <f si="24" t="shared"/>
        <v>Duration 9-10 hrs</v>
      </c>
      <c r="R41">
        <f>SchoolTourTime!B49</f>
        <v>61</v>
      </c>
      <c r="S41" t="str">
        <f>SchoolTourTime!C49</f>
        <v>ns*ot-arr</v>
      </c>
      <c r="T41">
        <f>VLOOKUP(R41,SchoolTourTime!$B$11:$E$72,4,FALSE)</f>
        <v>1.3894069452699999E-2</v>
      </c>
      <c r="U41" s="64">
        <f si="0" t="shared"/>
        <v>1.3894069452699999E-2</v>
      </c>
    </row>
    <row r="42" spans="2:21" x14ac:dyDescent="0.25">
      <c r="B42" t="s">
        <v>67</v>
      </c>
      <c r="C42" s="29">
        <f>SUM(Duration!C28:C29)</f>
        <v>12610.337963387607</v>
      </c>
      <c r="D42" s="29">
        <f>SUM(Duration!J27:J28)</f>
        <v>19581.168394088745</v>
      </c>
      <c r="E42" s="30">
        <f si="17" t="shared"/>
        <v>1.8638708162861162E-2</v>
      </c>
      <c r="F42" s="30">
        <f si="18" t="shared"/>
        <v>3.3163337669363371E-2</v>
      </c>
      <c r="G42" s="6">
        <f si="20" t="shared"/>
        <v>0.56202751208844071</v>
      </c>
      <c r="H42" s="6">
        <f si="21" t="shared"/>
        <v>1</v>
      </c>
      <c r="I42" s="63">
        <f si="19" t="shared"/>
        <v>-0.57044574377578483</v>
      </c>
      <c r="L42" s="5">
        <v>36</v>
      </c>
      <c r="M42" s="74">
        <f si="22" t="shared"/>
        <v>-0.79294299999999995</v>
      </c>
      <c r="N42" s="73">
        <f si="23" t="shared"/>
        <v>-1.3633887437757848</v>
      </c>
      <c r="O42" s="74" t="str">
        <f si="24" t="shared"/>
        <v>Duration 10-11 hrs</v>
      </c>
      <c r="R42">
        <f>SchoolTourTime!B50</f>
        <v>62</v>
      </c>
      <c r="S42" t="str">
        <f>SchoolTourTime!C50</f>
        <v>ns*ot-dur</v>
      </c>
      <c r="T42">
        <f>VLOOKUP(R42,SchoolTourTime!$B$11:$E$72,4,FALSE)</f>
        <v>-3.35065604818E-2</v>
      </c>
      <c r="U42" s="64">
        <f si="0" t="shared"/>
        <v>-3.35065604818E-2</v>
      </c>
    </row>
    <row r="43" spans="2:21" x14ac:dyDescent="0.25">
      <c r="B43" t="s">
        <v>68</v>
      </c>
      <c r="C43" s="29">
        <f>SUM(Duration!C30:C31)</f>
        <v>5590.6946959709148</v>
      </c>
      <c r="D43" s="29">
        <f>SUM(Duration!J29:J30)</f>
        <v>10555.094776153564</v>
      </c>
      <c r="E43" s="30">
        <f si="17" t="shared"/>
        <v>8.263325469023735E-3</v>
      </c>
      <c r="F43" s="30">
        <f si="18" t="shared"/>
        <v>1.7876470144620502E-2</v>
      </c>
      <c r="G43" s="6">
        <f si="20" t="shared"/>
        <v>0.4622459245126973</v>
      </c>
      <c r="H43" s="6">
        <f si="21" t="shared"/>
        <v>1</v>
      </c>
      <c r="I43" s="63">
        <f si="19" t="shared"/>
        <v>-0.76589949276711244</v>
      </c>
      <c r="L43" s="5">
        <v>37</v>
      </c>
      <c r="M43" s="74">
        <f si="22" t="shared"/>
        <v>-1.8158650000000001</v>
      </c>
      <c r="N43" s="73">
        <f si="23" t="shared"/>
        <v>-2.5817644927671126</v>
      </c>
      <c r="O43" s="74" t="str">
        <f si="24" t="shared"/>
        <v>Duration 11-12 hrs</v>
      </c>
      <c r="R43">
        <f>SchoolTourTime!B51</f>
        <v>65</v>
      </c>
      <c r="S43" t="str">
        <f>SchoolTourTime!C51</f>
        <v>rs*mt-arr</v>
      </c>
      <c r="T43">
        <f>VLOOKUP(R43,SchoolTourTime!$B$11:$E$72,4,FALSE)</f>
        <v>-5.4867372478100002E-3</v>
      </c>
      <c r="U43" s="64">
        <f si="0" t="shared"/>
        <v>-5.4867372478100002E-3</v>
      </c>
    </row>
    <row r="44" spans="2:21" x14ac:dyDescent="0.25">
      <c r="B44" t="s">
        <v>69</v>
      </c>
      <c r="C44" s="29">
        <f>SUM(Duration!C32:C35)</f>
        <v>3314.8551357374017</v>
      </c>
      <c r="D44" s="29">
        <f>SUM(Duration!J31:J34)</f>
        <v>6768.0000162124634</v>
      </c>
      <c r="E44" s="30">
        <f si="17" t="shared"/>
        <v>4.8995211434106015E-3</v>
      </c>
      <c r="F44" s="30">
        <f si="18" t="shared"/>
        <v>1.1462516708230166E-2</v>
      </c>
      <c r="G44" s="6">
        <f si="20" t="shared"/>
        <v>0.4274385170485912</v>
      </c>
      <c r="H44" s="6">
        <f si="21" t="shared"/>
        <v>1</v>
      </c>
      <c r="I44" s="63">
        <f si="19" t="shared"/>
        <v>-0.84418608810091278</v>
      </c>
      <c r="L44" s="5">
        <v>38</v>
      </c>
      <c r="M44" s="74">
        <f si="22" t="shared"/>
        <v>-3.215354</v>
      </c>
      <c r="N44" s="73">
        <f si="23" t="shared"/>
        <v>-4.0595400881009125</v>
      </c>
      <c r="O44" s="74" t="str">
        <f si="24" t="shared"/>
        <v>Duration 12-14 hrs</v>
      </c>
      <c r="R44">
        <f>SchoolTourTime!B52</f>
        <v>66</v>
      </c>
      <c r="S44" t="str">
        <f>SchoolTourTime!C52</f>
        <v>rs*mt-dur</v>
      </c>
      <c r="T44">
        <f>VLOOKUP(R44,SchoolTourTime!$B$11:$E$72,4,FALSE)</f>
        <v>-3.6193574736200003E-2</v>
      </c>
      <c r="U44" s="64">
        <f si="0" t="shared"/>
        <v>-3.6193574736200003E-2</v>
      </c>
    </row>
    <row r="45" spans="2:21" x14ac:dyDescent="0.25">
      <c r="B45" t="s">
        <v>90</v>
      </c>
      <c r="C45" s="29">
        <f>SUM(Duration!C36:C43)</f>
        <v>420.06005289489809</v>
      </c>
      <c r="D45" s="29">
        <f>SUM(Duration!J35:J42)</f>
        <v>995.24380683898926</v>
      </c>
      <c r="E45" s="30">
        <f si="17" t="shared"/>
        <v>6.2086969909256641E-4</v>
      </c>
      <c r="F45" s="30">
        <f si="18" t="shared"/>
        <v>1.6855790096523527E-3</v>
      </c>
      <c r="G45" s="6">
        <f si="20" t="shared"/>
        <v>0.36834209226455633</v>
      </c>
      <c r="H45" s="6">
        <f si="21" t="shared"/>
        <v>1</v>
      </c>
      <c r="I45" s="63">
        <f si="19" t="shared"/>
        <v>-0.99298444146051679</v>
      </c>
      <c r="L45" s="5">
        <v>39</v>
      </c>
      <c r="M45" s="74">
        <f si="22" t="shared"/>
        <v>-5.0070750000000004</v>
      </c>
      <c r="N45" s="73">
        <f si="23" t="shared"/>
        <v>-6.0000594414605173</v>
      </c>
      <c r="O45" s="74" t="str">
        <f si="24" t="shared"/>
        <v>Duration 14-18 hrs</v>
      </c>
      <c r="R45">
        <f>SchoolTourTime!B53</f>
        <v>67</v>
      </c>
      <c r="S45" t="str">
        <f>SchoolTourTime!C53</f>
        <v>iescs-arr</v>
      </c>
      <c r="T45">
        <f>VLOOKUP(R45,SchoolTourTime!$B$11:$E$72,4,FALSE)</f>
        <v>-2.12729108975E-2</v>
      </c>
      <c r="U45" s="64">
        <f si="0" t="shared"/>
        <v>-2.12729108975E-2</v>
      </c>
    </row>
    <row r="46" spans="2:21" x14ac:dyDescent="0.25">
      <c r="B46" s="23" t="s">
        <v>70</v>
      </c>
      <c r="C46" s="34">
        <f>SUM(Duration!C44:C55)</f>
        <v>5.062246554188352E-4</v>
      </c>
      <c r="D46" s="34">
        <f>SUM(Duration!J43:J54)</f>
        <v>6.0667991638183594E-2</v>
      </c>
      <c r="E46" s="35">
        <f si="17" t="shared"/>
        <v>7.4822527711715115E-10</v>
      </c>
      <c r="F46" s="35">
        <f si="18" t="shared"/>
        <v>1.027493892053231E-7</v>
      </c>
      <c r="G46" s="22">
        <f si="20" t="shared"/>
        <v>7.2820411187260676E-3</v>
      </c>
      <c r="H46" s="22">
        <v>0</v>
      </c>
      <c r="I46" s="36">
        <f si="19" t="shared"/>
        <v>0</v>
      </c>
      <c r="L46" s="23">
        <v>40</v>
      </c>
      <c r="M46" s="75">
        <f si="22" t="shared"/>
        <v>-10</v>
      </c>
      <c r="N46" s="76">
        <f si="23" t="shared"/>
        <v>-10</v>
      </c>
      <c r="O46" s="75" t="str">
        <f si="24" t="shared"/>
        <v>Duration 18-24 hrs</v>
      </c>
      <c r="R46">
        <f>SchoolTourTime!B54</f>
        <v>68</v>
      </c>
      <c r="S46" t="str">
        <f>SchoolTourTime!C54</f>
        <v>iescs-dur</v>
      </c>
      <c r="T46">
        <f>VLOOKUP(R46,SchoolTourTime!$B$11:$E$72,4,FALSE)</f>
        <v>3.8531785887300003E-2</v>
      </c>
      <c r="U46" s="64">
        <f si="0" t="shared"/>
        <v>3.8531785887300003E-2</v>
      </c>
    </row>
    <row ht="15.75" r="47" spans="2:21" thickBot="1" x14ac:dyDescent="0.3">
      <c r="B47" s="3" t="s">
        <v>82</v>
      </c>
      <c r="C47" s="44">
        <f>SUM(C37:C46)</f>
        <v>676567.16620063421</v>
      </c>
      <c r="D47" s="44">
        <f>SUM(D37:D46)</f>
        <v>590446.25089645386</v>
      </c>
      <c r="E47" s="45">
        <f si="17" t="shared"/>
        <v>1</v>
      </c>
      <c r="F47" s="45">
        <f si="18" t="shared"/>
        <v>1</v>
      </c>
      <c r="G47" s="46">
        <f si="20" t="shared"/>
        <v>1</v>
      </c>
      <c r="H47" s="46"/>
      <c r="I47" s="1"/>
      <c r="M47" s="77"/>
      <c r="N47" s="77"/>
      <c r="O47" s="77"/>
      <c r="R47">
        <f>SchoolTourTime!B55</f>
        <v>85</v>
      </c>
      <c r="S47" t="str">
        <f>SchoolTourTime!C55</f>
        <v>ctim-out</v>
      </c>
      <c r="T47">
        <f>VLOOKUP(R47,SchoolTourTime!$B$11:$E$72,4,FALSE)</f>
        <v>0.25</v>
      </c>
      <c r="U47" s="64">
        <f si="0" t="shared"/>
        <v>0.25</v>
      </c>
    </row>
    <row r="48" spans="2:21" x14ac:dyDescent="0.25">
      <c r="M48" s="77"/>
      <c r="N48" s="77"/>
      <c r="O48" s="77"/>
      <c r="R48">
        <f>SchoolTourTime!B56</f>
        <v>86</v>
      </c>
      <c r="S48" t="str">
        <f>SchoolTourTime!C56</f>
        <v>ctim-ret</v>
      </c>
      <c r="T48">
        <f>VLOOKUP(R48,SchoolTourTime!$B$11:$E$72,4,FALSE)</f>
        <v>0.25</v>
      </c>
      <c r="U48" s="64">
        <f si="0" t="shared"/>
        <v>0.25</v>
      </c>
    </row>
    <row r="49" spans="2:21" x14ac:dyDescent="0.25">
      <c r="B49" s="78"/>
      <c r="C49" s="77"/>
      <c r="D49" s="77"/>
      <c r="E49" s="77"/>
      <c r="F49" s="77"/>
      <c r="G49" s="77"/>
      <c r="H49" s="77"/>
      <c r="I49" s="77"/>
      <c r="J49" s="77"/>
      <c r="K49" s="77"/>
      <c r="L49" s="77"/>
      <c r="M49" s="77"/>
      <c r="N49" s="77"/>
      <c r="O49" s="77"/>
      <c r="R49">
        <f>SchoolTourTime!B57</f>
        <v>87</v>
      </c>
      <c r="S49" t="str">
        <f>SchoolTourTime!C57</f>
        <v>ttim-out</v>
      </c>
      <c r="T49">
        <f>VLOOKUP(R49,SchoolTourTime!$B$11:$E$72,4,FALSE)</f>
        <v>0.25</v>
      </c>
      <c r="U49" s="64">
        <f si="0" t="shared"/>
        <v>0.25</v>
      </c>
    </row>
    <row r="50" spans="2:21" x14ac:dyDescent="0.25">
      <c r="B50" s="79"/>
      <c r="C50" s="93"/>
      <c r="D50" s="93"/>
      <c r="E50" s="93"/>
      <c r="F50" s="93"/>
      <c r="G50" s="79"/>
      <c r="H50" s="79"/>
      <c r="I50" s="79"/>
      <c r="J50" s="77"/>
      <c r="K50" s="77"/>
      <c r="L50" s="77"/>
      <c r="M50" s="77"/>
      <c r="N50" s="77"/>
      <c r="O50" s="77"/>
      <c r="R50">
        <f>SchoolTourTime!B58</f>
        <v>88</v>
      </c>
      <c r="S50" t="str">
        <f>SchoolTourTime!C58</f>
        <v>ttim-ret</v>
      </c>
      <c r="T50">
        <f>VLOOKUP(R50,SchoolTourTime!$B$11:$E$72,4,FALSE)</f>
        <v>0.25</v>
      </c>
      <c r="U50" s="64">
        <f si="0" t="shared"/>
        <v>0.25</v>
      </c>
    </row>
    <row r="51" spans="2:21" x14ac:dyDescent="0.25">
      <c r="B51" s="79"/>
      <c r="C51" s="80"/>
      <c r="D51" s="80"/>
      <c r="E51" s="80"/>
      <c r="F51" s="80"/>
      <c r="G51" s="80"/>
      <c r="H51" s="80"/>
      <c r="I51" s="80"/>
      <c r="J51" s="77"/>
      <c r="K51" s="77"/>
      <c r="L51" s="80"/>
      <c r="M51" s="80"/>
      <c r="N51" s="79"/>
      <c r="O51" s="77"/>
      <c r="R51">
        <f>SchoolTourTime!B59</f>
        <v>91</v>
      </c>
      <c r="S51" t="str">
        <f>SchoolTourTime!C59</f>
        <v>arrpused</v>
      </c>
      <c r="T51">
        <f>VLOOKUP(R51,SchoolTourTime!$B$11:$E$72,4,FALSE)</f>
        <v>4.3984912551099997</v>
      </c>
      <c r="U51" s="64">
        <f si="0" t="shared"/>
        <v>4.3984912551099997</v>
      </c>
    </row>
    <row r="52" spans="2:21" x14ac:dyDescent="0.25">
      <c r="B52" s="77"/>
      <c r="C52" s="81"/>
      <c r="D52" s="81"/>
      <c r="E52" s="82"/>
      <c r="F52" s="82"/>
      <c r="G52" s="83"/>
      <c r="H52" s="83"/>
      <c r="I52" s="84"/>
      <c r="J52" s="77"/>
      <c r="K52" s="77"/>
      <c r="L52" s="77"/>
      <c r="M52" s="77"/>
      <c r="N52" s="84"/>
      <c r="O52" s="77"/>
      <c r="R52">
        <f>SchoolTourTime!B60</f>
        <v>92</v>
      </c>
      <c r="S52" t="str">
        <f>SchoolTourTime!C60</f>
        <v>deppused</v>
      </c>
      <c r="T52">
        <f>VLOOKUP(R52,SchoolTourTime!$B$11:$E$72,4,FALSE)</f>
        <v>1.2976531666</v>
      </c>
      <c r="U52" s="64">
        <f si="0" t="shared"/>
        <v>1.2976531666</v>
      </c>
    </row>
    <row r="53" spans="2:21" x14ac:dyDescent="0.25">
      <c r="B53" s="77"/>
      <c r="C53" s="81"/>
      <c r="D53" s="81"/>
      <c r="E53" s="82"/>
      <c r="F53" s="82"/>
      <c r="G53" s="83"/>
      <c r="H53" s="83"/>
      <c r="I53" s="84"/>
      <c r="J53" s="77"/>
      <c r="K53" s="77"/>
      <c r="L53" s="77"/>
      <c r="M53" s="77"/>
      <c r="N53" s="84"/>
      <c r="O53" s="77"/>
      <c r="R53">
        <f>SchoolTourTime!B61</f>
        <v>93</v>
      </c>
      <c r="S53" t="str">
        <f>SchoolTourTime!C61</f>
        <v>cempbef1</v>
      </c>
      <c r="T53">
        <f>VLOOKUP(R53,SchoolTourTime!$B$11:$E$72,4,FALSE)</f>
        <v>-0.13712603030000001</v>
      </c>
      <c r="U53" s="64">
        <f si="0" t="shared"/>
        <v>-0.13712603030000001</v>
      </c>
    </row>
    <row r="54" spans="2:21" x14ac:dyDescent="0.25">
      <c r="B54" s="77"/>
      <c r="C54" s="81"/>
      <c r="D54" s="81"/>
      <c r="E54" s="82"/>
      <c r="F54" s="82"/>
      <c r="G54" s="83"/>
      <c r="H54" s="83"/>
      <c r="I54" s="84"/>
      <c r="J54" s="77"/>
      <c r="K54" s="77"/>
      <c r="L54" s="77"/>
      <c r="M54" s="77"/>
      <c r="N54" s="84"/>
      <c r="O54" s="77"/>
      <c r="R54">
        <f>SchoolTourTime!B62</f>
        <v>94</v>
      </c>
      <c r="S54" t="str">
        <f>SchoolTourTime!C62</f>
        <v>cempaft1</v>
      </c>
      <c r="T54">
        <f>VLOOKUP(R54,SchoolTourTime!$B$11:$E$72,4,FALSE)</f>
        <v>-0.117727254534</v>
      </c>
      <c r="U54" s="64">
        <f si="0" t="shared"/>
        <v>-0.117727254534</v>
      </c>
    </row>
    <row r="55" spans="2:21" x14ac:dyDescent="0.25">
      <c r="B55" s="77"/>
      <c r="C55" s="81"/>
      <c r="D55" s="81"/>
      <c r="E55" s="82"/>
      <c r="F55" s="82"/>
      <c r="G55" s="83"/>
      <c r="H55" s="83"/>
      <c r="I55" s="84"/>
      <c r="J55" s="77"/>
      <c r="K55" s="77"/>
      <c r="L55" s="77"/>
      <c r="M55" s="77"/>
      <c r="N55" s="84"/>
      <c r="O55" s="77"/>
      <c r="R55">
        <f>SchoolTourTime!B63</f>
        <v>95</v>
      </c>
      <c r="S55" t="str">
        <f>SchoolTourTime!C63</f>
        <v>cempbef2</v>
      </c>
      <c r="T55">
        <f>VLOOKUP(R55,SchoolTourTime!$B$11:$E$72,4,FALSE)</f>
        <v>-8.0903295982399995E-2</v>
      </c>
      <c r="U55" s="64">
        <f si="0" t="shared"/>
        <v>-8.0903295982399995E-2</v>
      </c>
    </row>
    <row r="56" spans="2:21" x14ac:dyDescent="0.25">
      <c r="B56" s="77"/>
      <c r="C56" s="81"/>
      <c r="D56" s="81"/>
      <c r="E56" s="82"/>
      <c r="F56" s="82"/>
      <c r="G56" s="83"/>
      <c r="H56" s="83"/>
      <c r="I56" s="84"/>
      <c r="J56" s="77"/>
      <c r="K56" s="77"/>
      <c r="L56" s="77"/>
      <c r="M56" s="77"/>
      <c r="N56" s="84"/>
      <c r="O56" s="77"/>
      <c r="R56">
        <f>SchoolTourTime!B64</f>
        <v>96</v>
      </c>
      <c r="S56" t="str">
        <f>SchoolTourTime!C64</f>
        <v>cempaft2</v>
      </c>
      <c r="T56">
        <f>VLOOKUP(R56,SchoolTourTime!$B$11:$E$72,4,FALSE)</f>
        <v>-2.0259430948599999E-2</v>
      </c>
      <c r="U56" s="64">
        <f si="0" t="shared"/>
        <v>-2.0259430948599999E-2</v>
      </c>
    </row>
    <row r="57" spans="2:21" x14ac:dyDescent="0.25">
      <c r="B57" s="77"/>
      <c r="C57" s="81"/>
      <c r="D57" s="81"/>
      <c r="E57" s="82"/>
      <c r="F57" s="82"/>
      <c r="G57" s="83"/>
      <c r="H57" s="83"/>
      <c r="I57" s="84"/>
      <c r="J57" s="77"/>
      <c r="K57" s="77"/>
      <c r="L57" s="77"/>
      <c r="M57" s="77"/>
      <c r="N57" s="84"/>
      <c r="O57" s="77"/>
      <c r="R57">
        <f>SchoolTourTime!B65</f>
        <v>97</v>
      </c>
      <c r="S57" t="str">
        <f>SchoolTourTime!C65</f>
        <v>toursdtwin</v>
      </c>
      <c r="T57">
        <f>VLOOKUP(R57,SchoolTourTime!$B$11:$E$72,4,FALSE)</f>
        <v>-88.147824057299999</v>
      </c>
      <c r="U57" s="64">
        <f si="0" t="shared"/>
        <v>-88.147824057299999</v>
      </c>
    </row>
    <row r="58" spans="2:21" x14ac:dyDescent="0.25">
      <c r="B58" s="77"/>
      <c r="C58" s="81"/>
      <c r="D58" s="81"/>
      <c r="E58" s="82"/>
      <c r="F58" s="82"/>
      <c r="G58" s="83"/>
      <c r="H58" s="83"/>
      <c r="I58" s="84"/>
      <c r="J58" s="77"/>
      <c r="K58" s="77"/>
      <c r="L58" s="77"/>
      <c r="M58" s="77"/>
      <c r="N58" s="84"/>
      <c r="O58" s="77"/>
      <c r="R58">
        <f>SchoolTourTime!B66</f>
        <v>99</v>
      </c>
      <c r="S58" t="str">
        <f>SchoolTourTime!C66</f>
        <v>toursdbwin</v>
      </c>
      <c r="T58">
        <f>VLOOKUP(R58,SchoolTourTime!$B$11:$E$72,4,FALSE)</f>
        <v>-0.515327957738</v>
      </c>
      <c r="U58" s="64">
        <f si="0" t="shared"/>
        <v>-0.515327957738</v>
      </c>
    </row>
    <row r="59" spans="2:21" x14ac:dyDescent="0.25">
      <c r="B59" s="77"/>
      <c r="C59" s="81"/>
      <c r="D59" s="81"/>
      <c r="E59" s="82"/>
      <c r="F59" s="82"/>
      <c r="G59" s="83"/>
      <c r="H59" s="83"/>
      <c r="I59" s="84"/>
      <c r="J59" s="77"/>
      <c r="K59" s="77"/>
      <c r="L59" s="77"/>
      <c r="M59" s="77"/>
      <c r="N59" s="84"/>
      <c r="O59" s="77"/>
      <c r="R59">
        <f>SchoolTourTime!B67</f>
        <v>100</v>
      </c>
      <c r="S59" t="str">
        <f>SchoolTourTime!C67</f>
        <v>toursdawin</v>
      </c>
      <c r="T59">
        <f>VLOOKUP(R59,SchoolTourTime!$B$11:$E$72,4,FALSE)</f>
        <v>-1.48342258525</v>
      </c>
      <c r="U59" s="64">
        <f si="0" t="shared"/>
        <v>-1.48342258525</v>
      </c>
    </row>
    <row r="60" spans="2:21" x14ac:dyDescent="0.25">
      <c r="B60" s="77"/>
      <c r="C60" s="81"/>
      <c r="D60" s="81"/>
      <c r="E60" s="82"/>
      <c r="F60" s="82"/>
      <c r="G60" s="83"/>
      <c r="H60" s="83"/>
      <c r="I60" s="84"/>
      <c r="J60" s="77"/>
      <c r="K60" s="77"/>
      <c r="L60" s="77"/>
      <c r="M60" s="77"/>
      <c r="N60" s="84"/>
      <c r="O60" s="77"/>
      <c r="R60">
        <f>SchoolTourTime!B68</f>
        <v>124</v>
      </c>
      <c r="S60" t="str">
        <f>SchoolTourTime!C68</f>
        <v>dep15</v>
      </c>
      <c r="T60">
        <f>VLOOKUP(R60,SchoolTourTime!$B$11:$E$72,4,FALSE)</f>
        <v>1.6847908809200001</v>
      </c>
      <c r="U60" s="64">
        <f si="0" t="shared"/>
        <v>1.6847908809200001</v>
      </c>
    </row>
    <row r="61" spans="2:21" x14ac:dyDescent="0.25">
      <c r="B61" s="77"/>
      <c r="C61" s="81"/>
      <c r="D61" s="81"/>
      <c r="E61" s="82"/>
      <c r="F61" s="82"/>
      <c r="G61" s="83"/>
      <c r="H61" s="83"/>
      <c r="I61" s="84"/>
      <c r="J61" s="77"/>
      <c r="K61" s="77"/>
      <c r="L61" s="77"/>
      <c r="M61" s="77"/>
      <c r="N61" s="84"/>
      <c r="O61" s="77"/>
      <c r="R61">
        <f>SchoolTourTime!B69</f>
        <v>139</v>
      </c>
      <c r="S61" t="str">
        <f>SchoolTourTime!C69</f>
        <v>ftwk-arr</v>
      </c>
      <c r="T61">
        <f>VLOOKUP(R61,SchoolTourTime!$B$11:$E$72,4,FALSE)</f>
        <v>0.28553018058200003</v>
      </c>
      <c r="U61" s="64">
        <f si="0" t="shared"/>
        <v>0.28553018058200003</v>
      </c>
    </row>
    <row r="62" spans="2:21" x14ac:dyDescent="0.25">
      <c r="B62" s="79"/>
      <c r="C62" s="85"/>
      <c r="D62" s="85"/>
      <c r="E62" s="86"/>
      <c r="F62" s="86"/>
      <c r="G62" s="87"/>
      <c r="H62" s="87"/>
      <c r="I62" s="77"/>
      <c r="J62" s="77"/>
      <c r="K62" s="77"/>
      <c r="L62" s="77"/>
      <c r="M62" s="77"/>
      <c r="N62" s="77"/>
      <c r="O62" s="77"/>
      <c r="R62">
        <f>SchoolTourTime!B70</f>
        <v>140</v>
      </c>
      <c r="S62" t="str">
        <f>SchoolTourTime!C70</f>
        <v>ftwk-dur</v>
      </c>
      <c r="T62">
        <f>VLOOKUP(R62,SchoolTourTime!$B$11:$E$72,4,FALSE)</f>
        <v>0.115396426521</v>
      </c>
      <c r="U62" s="64">
        <f si="0" t="shared"/>
        <v>0.115396426521</v>
      </c>
    </row>
    <row r="63" spans="2:21" x14ac:dyDescent="0.25">
      <c r="B63" s="77"/>
      <c r="C63" s="77"/>
      <c r="D63" s="77"/>
      <c r="E63" s="77"/>
      <c r="F63" s="77"/>
      <c r="G63" s="77"/>
      <c r="H63" s="77"/>
      <c r="I63" s="77"/>
      <c r="J63" s="77"/>
      <c r="K63" s="77"/>
      <c r="L63" s="77"/>
      <c r="M63" s="77"/>
      <c r="N63" s="77"/>
      <c r="O63" s="77"/>
      <c r="R63">
        <f>SchoolTourTime!B71</f>
        <v>143</v>
      </c>
      <c r="S63" t="str">
        <f>SchoolTourTime!C71</f>
        <v>pres-arr</v>
      </c>
      <c r="T63">
        <f>VLOOKUP(R63,SchoolTourTime!$B$11:$E$72,4,FALSE)</f>
        <v>0.10498530294699999</v>
      </c>
      <c r="U63" s="64">
        <f si="0" t="shared"/>
        <v>0.10498530294699999</v>
      </c>
    </row>
    <row r="64" spans="2:21" x14ac:dyDescent="0.25">
      <c r="B64" s="77"/>
      <c r="C64" s="77"/>
      <c r="D64" s="77"/>
      <c r="E64" s="77"/>
      <c r="F64" s="77"/>
      <c r="G64" s="77"/>
      <c r="H64" s="77"/>
      <c r="I64" s="77"/>
      <c r="J64" s="77"/>
      <c r="K64" s="77"/>
      <c r="L64" s="77"/>
      <c r="M64" s="77"/>
      <c r="N64" s="77"/>
      <c r="O64" s="77"/>
      <c r="R64">
        <f>SchoolTourTime!B72</f>
        <v>144</v>
      </c>
      <c r="S64" t="str">
        <f>SchoolTourTime!C72</f>
        <v>pres-dur</v>
      </c>
      <c r="T64">
        <f>VLOOKUP(R64,SchoolTourTime!$B$11:$E$72,4,FALSE)</f>
        <v>0.15534523906299999</v>
      </c>
      <c r="U64" s="64">
        <f si="0" t="shared"/>
        <v>0.15534523906299999</v>
      </c>
    </row>
  </sheetData>
  <mergeCells count="8">
    <mergeCell ref="C50:D50"/>
    <mergeCell ref="E50:F50"/>
    <mergeCell ref="E2:F2"/>
    <mergeCell ref="C2:D2"/>
    <mergeCell ref="C35:D35"/>
    <mergeCell ref="E35:F35"/>
    <mergeCell ref="C18:D18"/>
    <mergeCell ref="E18:F18"/>
  </mergeCells>
  <pageMargins bottom="0.75" footer="0.3" header="0.3" left="0.7" right="0.7" top="0.75"/>
  <pageSetup orientation="portrait" r:id="rId1"/>
  <ignoredErrors>
    <ignoredError formulaRange="1" sqref="C4:C12 D4:D12"/>
  </ignoredErrors>
</worksheet>
</file>

<file path=xl/worksheets/sheet18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00B050"/>
  </sheetPr>
  <dimension ref="B1:U59"/>
  <sheetViews>
    <sheetView topLeftCell="A10" workbookViewId="0">
      <selection activeCell="J17" sqref="J17"/>
    </sheetView>
  </sheetViews>
  <sheetFormatPr defaultRowHeight="15" x14ac:dyDescent="0.25"/>
  <cols>
    <col min="2" max="2" customWidth="true" width="14.5703125" collapsed="true"/>
    <col min="3" max="3" bestFit="true" customWidth="true" width="11.5703125" collapsed="true"/>
    <col min="7" max="8" customWidth="true" width="7.7109375" collapsed="true"/>
    <col min="9" max="9" bestFit="true" customWidth="true" width="12.7109375" collapsed="true"/>
    <col min="12" max="12" bestFit="true" customWidth="true" width="6.0" collapsed="true"/>
    <col min="13" max="13" customWidth="true" width="9.42578125" collapsed="true"/>
    <col min="14" max="14" customWidth="true" width="12.28515625" collapsed="true"/>
    <col min="15" max="15" customWidth="true" width="22.28515625" collapsed="true"/>
    <col min="20" max="20" bestFit="true" customWidth="true" width="10.28515625" collapsed="true"/>
  </cols>
  <sheetData>
    <row ht="15.75" r="1" spans="2:20" thickBot="1" x14ac:dyDescent="0.3">
      <c r="B1" s="37" t="s">
        <v>174</v>
      </c>
      <c r="C1" s="1"/>
      <c r="D1" s="1"/>
      <c r="E1" s="1" t="s">
        <v>86</v>
      </c>
      <c r="F1" s="38">
        <v>1</v>
      </c>
      <c r="G1" s="1"/>
      <c r="H1" s="1"/>
      <c r="I1" s="1"/>
      <c r="Q1" s="58" t="s">
        <v>194</v>
      </c>
      <c r="R1" s="59"/>
      <c r="S1" s="59"/>
      <c r="T1" s="59"/>
    </row>
    <row ht="15.75" r="2" spans="2:20" thickBot="1" x14ac:dyDescent="0.3">
      <c r="B2" s="5"/>
      <c r="C2" s="94" t="s">
        <v>87</v>
      </c>
      <c r="D2" s="94"/>
      <c r="E2" s="94" t="s">
        <v>83</v>
      </c>
      <c r="F2" s="94"/>
      <c r="G2" s="11"/>
      <c r="H2" s="11"/>
      <c r="I2" s="11"/>
      <c r="L2" s="1"/>
      <c r="M2" s="1"/>
      <c r="N2" s="1"/>
      <c r="Q2" s="59"/>
      <c r="R2" s="59"/>
      <c r="S2" s="60" t="s">
        <v>170</v>
      </c>
      <c r="T2" s="60" t="s">
        <v>171</v>
      </c>
    </row>
    <row r="3" spans="2:20" x14ac:dyDescent="0.25">
      <c r="B3" s="32" t="s">
        <v>72</v>
      </c>
      <c r="C3" s="33" t="s">
        <v>48</v>
      </c>
      <c r="D3" s="33" t="s">
        <v>35</v>
      </c>
      <c r="E3" s="33" t="s">
        <v>48</v>
      </c>
      <c r="F3" s="33" t="s">
        <v>35</v>
      </c>
      <c r="G3" s="33" t="s">
        <v>84</v>
      </c>
      <c r="H3" s="33" t="s">
        <v>86</v>
      </c>
      <c r="I3" s="33" t="s">
        <v>85</v>
      </c>
      <c r="L3" s="33" t="s">
        <v>88</v>
      </c>
      <c r="M3" s="33" t="s">
        <v>89</v>
      </c>
      <c r="N3" s="32" t="s">
        <v>91</v>
      </c>
      <c r="Q3" s="66">
        <f>WorkBasedSubtourTime!B11</f>
        <v>11</v>
      </c>
      <c r="R3" s="66" t="str">
        <f>WorkBasedSubtourTime!C11</f>
        <v>arr3-5</v>
      </c>
      <c r="S3" s="66">
        <f>VLOOKUP(Q3,WorkBasedSubtourTime!$B$11:$E$60,4,FALSE)</f>
        <v>-0.45190000000000002</v>
      </c>
      <c r="T3" s="67">
        <f ref="T3:T34" si="0" t="shared">_xlfn.IFNA(VLOOKUP(Q3,$L$3:$N$45,3,FALSE),S3)</f>
        <v>-0.45190000000000002</v>
      </c>
    </row>
    <row r="4" spans="2:20" x14ac:dyDescent="0.25">
      <c r="B4" t="s">
        <v>73</v>
      </c>
      <c r="C4" s="29">
        <f>SUM(Departure_Time!E9:E16)</f>
        <v>1266.3992140510491</v>
      </c>
      <c r="D4" s="29">
        <f>SUM(Departure_Time!L9:L16)</f>
        <v>2555.2042102813721</v>
      </c>
      <c r="E4" s="30">
        <f ref="E4:E14" si="1" t="shared">C4/C$14</f>
        <v>7.4704595999270443E-3</v>
      </c>
      <c r="F4" s="30">
        <f ref="F4:F14" si="2" t="shared">D4/D$14</f>
        <v>1.4274401320678202E-2</v>
      </c>
      <c r="G4" s="6">
        <f>E4/F4</f>
        <v>0.52334661413121242</v>
      </c>
      <c r="H4" s="6">
        <v>0</v>
      </c>
      <c r="I4" s="62">
        <f ref="I4:I12" si="3" t="shared">H4*(LN(G4)-LN($G$8))</f>
        <v>0</v>
      </c>
      <c r="L4">
        <v>21</v>
      </c>
      <c r="M4" s="61">
        <f>VLOOKUP(L4,$Q$3:$T$64,3,FALSE)</f>
        <v>2.5150000000000001</v>
      </c>
      <c r="N4" s="31">
        <f>I4+M4</f>
        <v>2.5150000000000001</v>
      </c>
      <c r="Q4" s="66">
        <f>WorkBasedSubtourTime!B12</f>
        <v>12</v>
      </c>
      <c r="R4" s="66" t="str">
        <f>WorkBasedSubtourTime!C12</f>
        <v>arr=6</v>
      </c>
      <c r="S4" s="66">
        <f>VLOOKUP(Q4,WorkBasedSubtourTime!$B$11:$E$60,4,FALSE)</f>
        <v>-5</v>
      </c>
      <c r="T4" s="67">
        <f si="0" t="shared"/>
        <v>-4.9710295578468164</v>
      </c>
    </row>
    <row r="5" spans="2:20" x14ac:dyDescent="0.25">
      <c r="B5" t="s">
        <v>74</v>
      </c>
      <c r="C5" s="29">
        <f>SUM(Departure_Time!E17:E22)</f>
        <v>13898.63329050319</v>
      </c>
      <c r="D5" s="29">
        <f>SUM(Departure_Time!L17:L22)</f>
        <v>21575.282788276672</v>
      </c>
      <c r="E5" s="30">
        <f si="1" t="shared"/>
        <v>8.1987715515685539E-2</v>
      </c>
      <c r="F5" s="30">
        <f si="2" t="shared"/>
        <v>0.12052823171149554</v>
      </c>
      <c r="G5" s="6">
        <f ref="G5:G14" si="4" t="shared">E5/F5</f>
        <v>0.68023660806653852</v>
      </c>
      <c r="H5" s="6">
        <f ref="H5:H12" si="5" t="shared">$F$1</f>
        <v>1</v>
      </c>
      <c r="I5" s="63">
        <f si="3" t="shared"/>
        <v>-0.40222525461225789</v>
      </c>
      <c r="L5" s="5">
        <v>22</v>
      </c>
      <c r="M5" s="5">
        <f ref="M5:M13" si="6" t="shared">VLOOKUP(L5,$Q$3:$T$64,3,FALSE)</f>
        <v>0.43574099999999999</v>
      </c>
      <c r="N5" s="31">
        <f ref="N5:N13" si="7" t="shared">I5+M5</f>
        <v>3.3515745387742102E-2</v>
      </c>
      <c r="Q5" s="66">
        <f>WorkBasedSubtourTime!B13</f>
        <v>13</v>
      </c>
      <c r="R5" s="66" t="str">
        <f>WorkBasedSubtourTime!C13</f>
        <v>arr=7</v>
      </c>
      <c r="S5" s="66">
        <f>VLOOKUP(Q5,WorkBasedSubtourTime!$B$11:$E$60,4,FALSE)</f>
        <v>-0.27489999999999998</v>
      </c>
      <c r="T5" s="67">
        <f si="0" t="shared"/>
        <v>-0.24930983126749498</v>
      </c>
    </row>
    <row r="6" spans="2:20" x14ac:dyDescent="0.25">
      <c r="B6" t="s">
        <v>75</v>
      </c>
      <c r="C6" s="29">
        <f>SUM(Departure_Time!E23:E28)</f>
        <v>69114.013969619758</v>
      </c>
      <c r="D6" s="29">
        <f>SUM(Departure_Time!L23:L28)</f>
        <v>70456.917085647583</v>
      </c>
      <c r="E6" s="30">
        <f si="1" t="shared"/>
        <v>0.40770196587316027</v>
      </c>
      <c r="F6" s="30">
        <f si="2" t="shared"/>
        <v>0.39360075654678661</v>
      </c>
      <c r="G6" s="6">
        <f si="4" t="shared"/>
        <v>1.0358261743450117</v>
      </c>
      <c r="H6" s="6">
        <f si="5" t="shared"/>
        <v>1</v>
      </c>
      <c r="I6" s="63">
        <f si="3" t="shared"/>
        <v>1.828867806080622E-2</v>
      </c>
      <c r="L6" s="5">
        <v>23</v>
      </c>
      <c r="M6" s="5">
        <f si="6" t="shared"/>
        <v>0.84860599999999997</v>
      </c>
      <c r="N6" s="31">
        <f si="7" t="shared"/>
        <v>0.86689467806080622</v>
      </c>
      <c r="Q6" s="66">
        <f>WorkBasedSubtourTime!B14</f>
        <v>14</v>
      </c>
      <c r="R6" s="66" t="str">
        <f>WorkBasedSubtourTime!C14</f>
        <v>arr=8</v>
      </c>
      <c r="S6" s="66">
        <f>VLOOKUP(Q6,WorkBasedSubtourTime!$B$11:$E$60,4,FALSE)</f>
        <v>0</v>
      </c>
      <c r="T6" s="67">
        <f si="0" t="shared"/>
        <v>0</v>
      </c>
    </row>
    <row r="7" spans="2:20" x14ac:dyDescent="0.25">
      <c r="B7" t="s">
        <v>76</v>
      </c>
      <c r="C7" s="29">
        <f>SUM(Departure_Time!E29:E32)</f>
        <v>50129.865090986175</v>
      </c>
      <c r="D7" s="29">
        <f>SUM(Departure_Time!L29:L32)</f>
        <v>45147.344508171082</v>
      </c>
      <c r="E7" s="30">
        <f si="1" t="shared"/>
        <v>0.29571491181998577</v>
      </c>
      <c r="F7" s="30">
        <f si="2" t="shared"/>
        <v>0.25221127590486625</v>
      </c>
      <c r="G7" s="6">
        <f si="4" t="shared"/>
        <v>1.1724888618046128</v>
      </c>
      <c r="H7" s="6">
        <f si="5" t="shared"/>
        <v>1</v>
      </c>
      <c r="I7" s="63">
        <f si="3" t="shared"/>
        <v>0.1422180554485134</v>
      </c>
      <c r="L7" s="5">
        <v>24</v>
      </c>
      <c r="M7" s="5">
        <f si="6" t="shared"/>
        <v>0.78815900000000005</v>
      </c>
      <c r="N7" s="31">
        <f si="7" t="shared"/>
        <v>0.93037705544851346</v>
      </c>
      <c r="Q7" s="66">
        <f>WorkBasedSubtourTime!B15</f>
        <v>15</v>
      </c>
      <c r="R7" s="66" t="str">
        <f>WorkBasedSubtourTime!C15</f>
        <v>arr=9</v>
      </c>
      <c r="S7" s="66">
        <f>VLOOKUP(Q7,WorkBasedSubtourTime!$B$11:$E$60,4,FALSE)</f>
        <v>-0.4405</v>
      </c>
      <c r="T7" s="67">
        <f si="0" t="shared"/>
        <v>-0.50476026321826972</v>
      </c>
    </row>
    <row r="8" spans="2:20" x14ac:dyDescent="0.25">
      <c r="B8" t="s">
        <v>173</v>
      </c>
      <c r="C8" s="29">
        <f>SUM(Departure_Time!E33:E36)</f>
        <v>22789.952394750999</v>
      </c>
      <c r="D8" s="29">
        <f>SUM(Departure_Time!L33:L36)</f>
        <v>23661.57283782959</v>
      </c>
      <c r="E8" s="30">
        <f si="1" t="shared"/>
        <v>0.13443740075030167</v>
      </c>
      <c r="F8" s="30">
        <f si="2" t="shared"/>
        <v>0.13218308940107981</v>
      </c>
      <c r="G8" s="6">
        <f si="4" t="shared"/>
        <v>1.0170544610466901</v>
      </c>
      <c r="H8" s="6">
        <f si="5" t="shared"/>
        <v>1</v>
      </c>
      <c r="I8" s="63">
        <f si="3" t="shared"/>
        <v>0</v>
      </c>
      <c r="L8" s="5">
        <v>25</v>
      </c>
      <c r="M8" s="5">
        <f si="6" t="shared"/>
        <v>0</v>
      </c>
      <c r="N8" s="31">
        <f si="7" t="shared"/>
        <v>0</v>
      </c>
      <c r="Q8" s="66">
        <f>WorkBasedSubtourTime!B16</f>
        <v>16</v>
      </c>
      <c r="R8" s="66" t="str">
        <f>WorkBasedSubtourTime!C16</f>
        <v>arr10-12</v>
      </c>
      <c r="S8" s="66">
        <f>VLOOKUP(Q8,WorkBasedSubtourTime!$B$11:$E$60,4,FALSE)</f>
        <v>-0.1867</v>
      </c>
      <c r="T8" s="67">
        <f si="0" t="shared"/>
        <v>-7.3426672740546289E-2</v>
      </c>
    </row>
    <row r="9" spans="2:20" x14ac:dyDescent="0.25">
      <c r="B9" t="s">
        <v>77</v>
      </c>
      <c r="C9" s="29">
        <f>SUM(Departure_Time!E37:E38)</f>
        <v>4693.9892103941784</v>
      </c>
      <c r="D9" s="29">
        <f>SUM(Departure_Time!L37:L38)</f>
        <v>5546.3538980484009</v>
      </c>
      <c r="E9" s="30">
        <f si="1" t="shared"/>
        <v>2.7689733513471385E-2</v>
      </c>
      <c r="F9" s="30">
        <f si="2" t="shared"/>
        <v>3.0984169910448257E-2</v>
      </c>
      <c r="G9" s="6">
        <f si="4" t="shared"/>
        <v>0.89367356277419763</v>
      </c>
      <c r="H9" s="6">
        <f si="5" t="shared"/>
        <v>1</v>
      </c>
      <c r="I9" s="63">
        <f si="3" t="shared"/>
        <v>-0.12932537911773029</v>
      </c>
      <c r="L9" s="5">
        <v>26</v>
      </c>
      <c r="M9" s="5">
        <f si="6" t="shared"/>
        <v>6.5059000000000006E-2</v>
      </c>
      <c r="N9" s="31">
        <f si="7" t="shared"/>
        <v>-6.4266379117730282E-2</v>
      </c>
      <c r="Q9" s="66">
        <f>WorkBasedSubtourTime!B17</f>
        <v>17</v>
      </c>
      <c r="R9" s="66" t="str">
        <f>WorkBasedSubtourTime!C17</f>
        <v>arr13-15</v>
      </c>
      <c r="S9" s="66">
        <f>VLOOKUP(Q9,WorkBasedSubtourTime!$B$11:$E$60,4,FALSE)</f>
        <v>-1.6032</v>
      </c>
      <c r="T9" s="67">
        <f si="0" t="shared"/>
        <v>-1.3669454032297712</v>
      </c>
    </row>
    <row r="10" spans="2:20" x14ac:dyDescent="0.25">
      <c r="B10" t="s">
        <v>78</v>
      </c>
      <c r="C10" s="29">
        <f>SUM(Departure_Time!E39:E40)</f>
        <v>2277.849932094889</v>
      </c>
      <c r="D10" s="29">
        <f>SUM(Departure_Time!L39:L40)</f>
        <v>3472.467155456543</v>
      </c>
      <c r="E10" s="30">
        <f si="1" t="shared"/>
        <v>1.3436983933350329E-2</v>
      </c>
      <c r="F10" s="30">
        <f si="2" t="shared"/>
        <v>1.939860209623024E-2</v>
      </c>
      <c r="G10" s="6">
        <f si="4" t="shared"/>
        <v>0.69267795002411836</v>
      </c>
      <c r="H10" s="6">
        <f si="5" t="shared"/>
        <v>1</v>
      </c>
      <c r="I10" s="63">
        <f si="3" t="shared"/>
        <v>-0.38410077270497506</v>
      </c>
      <c r="L10" s="5">
        <v>27</v>
      </c>
      <c r="M10" s="5">
        <f si="6" t="shared"/>
        <v>-9.9504999999999996E-2</v>
      </c>
      <c r="N10" s="31">
        <f si="7" t="shared"/>
        <v>-0.48360577270497507</v>
      </c>
      <c r="Q10" s="66">
        <f>WorkBasedSubtourTime!B18</f>
        <v>18</v>
      </c>
      <c r="R10" s="66" t="str">
        <f>WorkBasedSubtourTime!C18</f>
        <v>arr16-18</v>
      </c>
      <c r="S10" s="66">
        <f>VLOOKUP(Q10,WorkBasedSubtourTime!$B$11:$E$60,4,FALSE)</f>
        <v>-2.6232000000000002</v>
      </c>
      <c r="T10" s="67">
        <f si="0" t="shared"/>
        <v>-2.6876774947165232</v>
      </c>
    </row>
    <row r="11" spans="2:20" x14ac:dyDescent="0.25">
      <c r="B11" t="s">
        <v>79</v>
      </c>
      <c r="C11" s="29">
        <f>SUM(Departure_Time!E41:E44)</f>
        <v>2223.7975993437362</v>
      </c>
      <c r="D11" s="29">
        <f>SUM(Departure_Time!L41:L44)</f>
        <v>4109.2274284362793</v>
      </c>
      <c r="E11" s="30">
        <f si="1" t="shared"/>
        <v>1.3118130475752538E-2</v>
      </c>
      <c r="F11" s="30">
        <f si="2" t="shared"/>
        <v>2.2955801808489818E-2</v>
      </c>
      <c r="G11" s="6">
        <f si="4" t="shared"/>
        <v>0.57145163498061824</v>
      </c>
      <c r="H11" s="6">
        <f si="5" t="shared"/>
        <v>1</v>
      </c>
      <c r="I11" s="63">
        <f si="3" t="shared"/>
        <v>-0.57648609385151317</v>
      </c>
      <c r="L11" s="5">
        <v>28</v>
      </c>
      <c r="M11" s="5">
        <f si="6" t="shared"/>
        <v>-8.7779999999999993E-3</v>
      </c>
      <c r="N11" s="31">
        <f si="7" t="shared"/>
        <v>-0.58526409385151312</v>
      </c>
      <c r="Q11" s="66">
        <f>WorkBasedSubtourTime!B19</f>
        <v>19</v>
      </c>
      <c r="R11" s="66" t="str">
        <f>WorkBasedSubtourTime!C19</f>
        <v>arr19-21</v>
      </c>
      <c r="S11" s="66">
        <f>VLOOKUP(Q11,WorkBasedSubtourTime!$B$11:$E$60,4,FALSE)</f>
        <v>-4.4149000000000003</v>
      </c>
      <c r="T11" s="67">
        <f si="0" t="shared"/>
        <v>-4.4788419905178003</v>
      </c>
    </row>
    <row r="12" spans="2:20" x14ac:dyDescent="0.25">
      <c r="B12" t="s">
        <v>80</v>
      </c>
      <c r="C12" s="29">
        <f>SUM(Departure_Time!E45:E50)</f>
        <v>2888.7100751343019</v>
      </c>
      <c r="D12" s="29">
        <f>SUM(Departure_Time!L45:L50)</f>
        <v>2183.7853670120239</v>
      </c>
      <c r="E12" s="30">
        <f si="1" t="shared"/>
        <v>1.704043375324072E-2</v>
      </c>
      <c r="F12" s="30">
        <f si="2" t="shared"/>
        <v>1.2199505856137254E-2</v>
      </c>
      <c r="G12" s="6">
        <f si="4" t="shared"/>
        <v>1.3968134409860644</v>
      </c>
      <c r="H12" s="6">
        <f si="5" t="shared"/>
        <v>1</v>
      </c>
      <c r="I12" s="63">
        <f si="3" t="shared"/>
        <v>0.31728286243829484</v>
      </c>
      <c r="L12" s="5">
        <v>29</v>
      </c>
      <c r="M12" s="5">
        <f si="6" t="shared"/>
        <v>-1.58053</v>
      </c>
      <c r="N12" s="31">
        <f si="7" t="shared"/>
        <v>-1.2632471375617051</v>
      </c>
      <c r="Q12" s="66">
        <f>WorkBasedSubtourTime!B20</f>
        <v>20</v>
      </c>
      <c r="R12" s="66" t="str">
        <f>WorkBasedSubtourTime!C20</f>
        <v>arr22-26</v>
      </c>
      <c r="S12" s="66">
        <f>VLOOKUP(Q12,WorkBasedSubtourTime!$B$11:$E$60,4,FALSE)</f>
        <v>-10</v>
      </c>
      <c r="T12" s="67">
        <f si="0" t="shared"/>
        <v>-10</v>
      </c>
    </row>
    <row r="13" spans="2:20" x14ac:dyDescent="0.25">
      <c r="B13" s="23" t="s">
        <v>81</v>
      </c>
      <c r="C13" s="34">
        <f>SUM(Departure_Time!E51:E57)+Departure_Time!E8</f>
        <v>237.71321867036053</v>
      </c>
      <c r="D13" s="34">
        <f>SUM(Departure_Time!L51:L57)+Departure_Time!L8</f>
        <v>297.89568424224854</v>
      </c>
      <c r="E13" s="35">
        <f si="1" t="shared"/>
        <v>1.4022647651248203E-3</v>
      </c>
      <c r="F13" s="35">
        <f si="2" t="shared"/>
        <v>1.6641654437880092E-3</v>
      </c>
      <c r="G13" s="22">
        <f si="4" t="shared"/>
        <v>0.84262341244927852</v>
      </c>
      <c r="H13" s="22">
        <v>0</v>
      </c>
      <c r="I13" s="36">
        <f>H13*IF(G13&gt;0,(LN(G13)-LN($G$8)),0)</f>
        <v>0</v>
      </c>
      <c r="L13" s="23">
        <v>30</v>
      </c>
      <c r="M13" s="23">
        <f si="6" t="shared"/>
        <v>-10</v>
      </c>
      <c r="N13" s="36">
        <f si="7" t="shared"/>
        <v>-10</v>
      </c>
      <c r="Q13" s="66">
        <f>WorkBasedSubtourTime!B21</f>
        <v>21</v>
      </c>
      <c r="R13" s="66" t="str">
        <f>WorkBasedSubtourTime!C21</f>
        <v>dep3-6</v>
      </c>
      <c r="S13" s="66">
        <f>VLOOKUP(Q13,WorkBasedSubtourTime!$B$11:$E$60,4,FALSE)</f>
        <v>2.5150000000000001</v>
      </c>
      <c r="T13" s="67">
        <f si="0" t="shared"/>
        <v>2.5150000000000001</v>
      </c>
    </row>
    <row ht="15.75" r="14" spans="2:20" thickBot="1" x14ac:dyDescent="0.3">
      <c r="B14" s="39" t="s">
        <v>82</v>
      </c>
      <c r="C14" s="40">
        <f>SUM(C4:C13)</f>
        <v>169520.92399554863</v>
      </c>
      <c r="D14" s="40">
        <f>SUM(D4:D13)</f>
        <v>179006.05096340179</v>
      </c>
      <c r="E14" s="41">
        <f si="1" t="shared"/>
        <v>1</v>
      </c>
      <c r="F14" s="41">
        <f si="2" t="shared"/>
        <v>1</v>
      </c>
      <c r="G14" s="42">
        <f si="4" t="shared"/>
        <v>1</v>
      </c>
      <c r="H14" s="42"/>
      <c r="I14" s="43"/>
      <c r="Q14" s="66">
        <f>WorkBasedSubtourTime!B22</f>
        <v>22</v>
      </c>
      <c r="R14" s="66" t="str">
        <f>WorkBasedSubtourTime!C22</f>
        <v>dep7-9</v>
      </c>
      <c r="S14" s="66">
        <f>VLOOKUP(Q14,WorkBasedSubtourTime!$B$11:$E$60,4,FALSE)</f>
        <v>0.43574099999999999</v>
      </c>
      <c r="T14" s="67">
        <f si="0" t="shared"/>
        <v>3.3515745387742102E-2</v>
      </c>
    </row>
    <row r="15" spans="2:20" x14ac:dyDescent="0.25">
      <c r="Q15" s="66">
        <f>WorkBasedSubtourTime!B23</f>
        <v>23</v>
      </c>
      <c r="R15" s="66" t="str">
        <f>WorkBasedSubtourTime!C23</f>
        <v>dep10-12</v>
      </c>
      <c r="S15" s="66">
        <f>VLOOKUP(Q15,WorkBasedSubtourTime!$B$11:$E$60,4,FALSE)</f>
        <v>0.84860599999999997</v>
      </c>
      <c r="T15" s="67">
        <f si="0" t="shared"/>
        <v>0.86689467806080622</v>
      </c>
    </row>
    <row r="16" spans="2:20" x14ac:dyDescent="0.25">
      <c r="Q16" s="66">
        <f>WorkBasedSubtourTime!B24</f>
        <v>24</v>
      </c>
      <c r="R16" s="66" t="str">
        <f>WorkBasedSubtourTime!C24</f>
        <v>dep13-14</v>
      </c>
      <c r="S16" s="66">
        <f>VLOOKUP(Q16,WorkBasedSubtourTime!$B$11:$E$60,4,FALSE)</f>
        <v>0.78815900000000005</v>
      </c>
      <c r="T16" s="67">
        <f si="0" t="shared"/>
        <v>0.93037705544851346</v>
      </c>
    </row>
    <row ht="15.75" r="17" spans="2:20" thickBot="1" x14ac:dyDescent="0.3">
      <c r="B17" s="37" t="s">
        <v>235</v>
      </c>
      <c r="C17" s="1"/>
      <c r="D17" s="1"/>
      <c r="E17" s="1" t="s">
        <v>86</v>
      </c>
      <c r="F17" s="38">
        <v>0</v>
      </c>
      <c r="G17" s="1"/>
      <c r="H17" s="1"/>
      <c r="I17" s="1"/>
      <c r="Q17" s="66">
        <f>WorkBasedSubtourTime!B25</f>
        <v>25</v>
      </c>
      <c r="R17" s="66" t="str">
        <f>WorkBasedSubtourTime!C25</f>
        <v>dep=16</v>
      </c>
      <c r="S17" s="66">
        <f>VLOOKUP(Q17,WorkBasedSubtourTime!$B$11:$E$60,4,FALSE)</f>
        <v>0</v>
      </c>
      <c r="T17" s="67">
        <f si="0" t="shared"/>
        <v>0</v>
      </c>
    </row>
    <row ht="15.75" r="18" spans="2:20" thickBot="1" x14ac:dyDescent="0.3">
      <c r="B18" s="5"/>
      <c r="C18" s="94" t="s">
        <v>87</v>
      </c>
      <c r="D18" s="94"/>
      <c r="E18" s="94" t="s">
        <v>83</v>
      </c>
      <c r="F18" s="94"/>
      <c r="G18" s="11"/>
      <c r="H18" s="11"/>
      <c r="I18" s="11"/>
      <c r="L18" s="1"/>
      <c r="M18" s="1"/>
      <c r="N18" s="1"/>
      <c r="O18" s="1"/>
      <c r="Q18" s="66">
        <f>WorkBasedSubtourTime!B26</f>
        <v>26</v>
      </c>
      <c r="R18" s="66" t="str">
        <f>WorkBasedSubtourTime!C26</f>
        <v>dep=17</v>
      </c>
      <c r="S18" s="66">
        <f>VLOOKUP(Q18,WorkBasedSubtourTime!$B$11:$E$60,4,FALSE)</f>
        <v>6.5059000000000006E-2</v>
      </c>
      <c r="T18" s="67">
        <f si="0" t="shared"/>
        <v>-6.4266379117730282E-2</v>
      </c>
    </row>
    <row r="19" spans="2:20" x14ac:dyDescent="0.25">
      <c r="B19" s="32" t="s">
        <v>72</v>
      </c>
      <c r="C19" s="33" t="s">
        <v>48</v>
      </c>
      <c r="D19" s="33" t="s">
        <v>35</v>
      </c>
      <c r="E19" s="33" t="s">
        <v>48</v>
      </c>
      <c r="F19" s="33" t="s">
        <v>35</v>
      </c>
      <c r="G19" s="33" t="s">
        <v>84</v>
      </c>
      <c r="H19" s="33" t="s">
        <v>86</v>
      </c>
      <c r="I19" s="33" t="s">
        <v>85</v>
      </c>
      <c r="L19" s="68" t="s">
        <v>88</v>
      </c>
      <c r="M19" s="92" t="s">
        <v>89</v>
      </c>
      <c r="N19" s="69" t="s">
        <v>91</v>
      </c>
      <c r="O19" s="70" t="s">
        <v>195</v>
      </c>
      <c r="Q19" s="66">
        <f>WorkBasedSubtourTime!B27</f>
        <v>27</v>
      </c>
      <c r="R19" s="66" t="str">
        <f>WorkBasedSubtourTime!C27</f>
        <v>dep=18</v>
      </c>
      <c r="S19" s="66">
        <f>VLOOKUP(Q19,WorkBasedSubtourTime!$B$11:$E$60,4,FALSE)</f>
        <v>-9.9504999999999996E-2</v>
      </c>
      <c r="T19" s="67">
        <f si="0" t="shared"/>
        <v>-0.48360577270497507</v>
      </c>
    </row>
    <row r="20" spans="2:20" x14ac:dyDescent="0.25">
      <c r="B20" t="s">
        <v>224</v>
      </c>
      <c r="C20" s="29">
        <f>SUM(Arrival_Time!E9:E14)</f>
        <v>1101.6791950182785</v>
      </c>
      <c r="D20" s="29">
        <f>SUM(Arrival_Time!L9:L14)</f>
        <v>1509.7186899185181</v>
      </c>
      <c r="E20" s="30">
        <f>C20/C$14</f>
        <v>6.4987800269847929E-3</v>
      </c>
      <c r="F20" s="30">
        <f>D20/D$14</f>
        <v>8.433897523537813E-3</v>
      </c>
      <c r="G20" s="6">
        <f>E20/F20</f>
        <v>0.77055477717717324</v>
      </c>
      <c r="H20" s="6">
        <v>0</v>
      </c>
      <c r="I20" s="31">
        <f>H20*(LN(G20)-LN($G$23))</f>
        <v>0</v>
      </c>
      <c r="L20" s="71">
        <v>11</v>
      </c>
      <c r="M20" s="74">
        <f>VLOOKUP(L20,$Q$3:$U$64,3,FALSE)</f>
        <v>-0.45190000000000002</v>
      </c>
      <c r="N20" s="73">
        <f>I20+M20</f>
        <v>-0.45190000000000002</v>
      </c>
      <c r="O20" s="72" t="str">
        <f>CONCATENATE("Arrival ",B20)</f>
        <v>Arrival 3-6 am</v>
      </c>
      <c r="Q20" s="66">
        <f>WorkBasedSubtourTime!B28</f>
        <v>28</v>
      </c>
      <c r="R20" s="66" t="str">
        <f>WorkBasedSubtourTime!C28</f>
        <v>dep19-20</v>
      </c>
      <c r="S20" s="66">
        <f>VLOOKUP(Q20,WorkBasedSubtourTime!$B$11:$E$60,4,FALSE)</f>
        <v>-8.7779999999999993E-3</v>
      </c>
      <c r="T20" s="67">
        <f si="0" t="shared"/>
        <v>-0.58526409385151312</v>
      </c>
    </row>
    <row r="21" spans="2:20" x14ac:dyDescent="0.25">
      <c r="B21" t="s">
        <v>225</v>
      </c>
      <c r="C21" s="29">
        <f>SUM(Arrival_Time!E15:E16)</f>
        <v>2208.4012596569883</v>
      </c>
      <c r="D21" s="29">
        <f>SUM(Arrival_Time!L15:L16)</f>
        <v>2523.6035776138306</v>
      </c>
      <c r="E21" s="30">
        <f ref="E21:F30" si="8" t="shared">C21/C$14</f>
        <v>1.3027307824932442E-2</v>
      </c>
      <c r="F21" s="30">
        <f si="8" t="shared"/>
        <v>1.409786744097152E-2</v>
      </c>
      <c r="G21" s="6">
        <f ref="G21:G30" si="9" t="shared">E21/F21</f>
        <v>0.92406230087482633</v>
      </c>
      <c r="H21" s="6">
        <f ref="H21:H28" si="10" t="shared">$F$1</f>
        <v>1</v>
      </c>
      <c r="I21" s="31">
        <f ref="I21:I29" si="11" t="shared">H21*(LN(G21)-LN($G$23))</f>
        <v>2.8970442153183937E-2</v>
      </c>
      <c r="L21" s="71">
        <v>12</v>
      </c>
      <c r="M21" s="74">
        <f ref="M21:M29" si="12" t="shared">VLOOKUP(L21,$Q$3:$U$64,3,FALSE)</f>
        <v>-5</v>
      </c>
      <c r="N21" s="73">
        <f ref="N21:N29" si="13" t="shared">I21+M21</f>
        <v>-4.9710295578468164</v>
      </c>
      <c r="O21" s="74" t="str">
        <f ref="O21:O29" si="14" t="shared">CONCATENATE("Arrival ",B21)</f>
        <v>Arrival 6-7 am</v>
      </c>
      <c r="Q21" s="66">
        <f>WorkBasedSubtourTime!B29</f>
        <v>29</v>
      </c>
      <c r="R21" s="66" t="str">
        <f>WorkBasedSubtourTime!C29</f>
        <v>dep21-23</v>
      </c>
      <c r="S21" s="66">
        <f>VLOOKUP(Q21,WorkBasedSubtourTime!$B$11:$E$60,4,FALSE)</f>
        <v>-1.58053</v>
      </c>
      <c r="T21" s="67">
        <f si="0" t="shared"/>
        <v>-1.2632471375617051</v>
      </c>
    </row>
    <row r="22" spans="2:20" x14ac:dyDescent="0.25">
      <c r="B22" t="s">
        <v>226</v>
      </c>
      <c r="C22" s="29">
        <f>SUM(Arrival_Time!E17:E18)</f>
        <v>4879.7511737427103</v>
      </c>
      <c r="D22" s="29">
        <f>SUM(Arrival_Time!L17:L18)</f>
        <v>5595.1129674911499</v>
      </c>
      <c r="E22" s="30">
        <f si="8" t="shared"/>
        <v>2.8785539028036714E-2</v>
      </c>
      <c r="F22" s="30">
        <f si="8" t="shared"/>
        <v>3.1256557738570993E-2</v>
      </c>
      <c r="G22" s="6">
        <f si="9" t="shared"/>
        <v>0.92094399097937096</v>
      </c>
      <c r="H22" s="6">
        <f si="10" t="shared"/>
        <v>1</v>
      </c>
      <c r="I22" s="31">
        <f si="11" t="shared"/>
        <v>2.5590168732504998E-2</v>
      </c>
      <c r="L22" s="71">
        <v>13</v>
      </c>
      <c r="M22" s="74">
        <f si="12" t="shared"/>
        <v>-0.27489999999999998</v>
      </c>
      <c r="N22" s="73">
        <f si="13" t="shared"/>
        <v>-0.24930983126749498</v>
      </c>
      <c r="O22" s="74" t="str">
        <f si="14" t="shared"/>
        <v>Arrival 7-8 am</v>
      </c>
      <c r="Q22" s="66">
        <f>WorkBasedSubtourTime!B30</f>
        <v>30</v>
      </c>
      <c r="R22" s="66" t="str">
        <f>WorkBasedSubtourTime!C30</f>
        <v>dep24-26</v>
      </c>
      <c r="S22" s="66">
        <f>VLOOKUP(Q22,WorkBasedSubtourTime!$B$11:$E$60,4,FALSE)</f>
        <v>-10</v>
      </c>
      <c r="T22" s="67">
        <f si="0" t="shared"/>
        <v>-10</v>
      </c>
    </row>
    <row r="23" spans="2:20" x14ac:dyDescent="0.25">
      <c r="B23" t="s">
        <v>227</v>
      </c>
      <c r="C23" s="29">
        <f>SUM(Arrival_Time!E19:E20)</f>
        <v>8783.3988321615088</v>
      </c>
      <c r="D23" s="29">
        <f>SUM(Arrival_Time!L19:L20)</f>
        <v>10332.072734832764</v>
      </c>
      <c r="E23" s="30">
        <f si="8" t="shared"/>
        <v>5.1813066051906068E-2</v>
      </c>
      <c r="F23" s="30">
        <f si="8" t="shared"/>
        <v>5.7719125578303387E-2</v>
      </c>
      <c r="G23" s="6">
        <f si="9" t="shared"/>
        <v>0.89767586623631379</v>
      </c>
      <c r="H23" s="6">
        <f si="10" t="shared"/>
        <v>1</v>
      </c>
      <c r="I23" s="31">
        <f si="11" t="shared"/>
        <v>0</v>
      </c>
      <c r="L23" s="71">
        <v>14</v>
      </c>
      <c r="M23" s="74">
        <f si="12" t="shared"/>
        <v>0</v>
      </c>
      <c r="N23" s="73">
        <f si="13" t="shared"/>
        <v>0</v>
      </c>
      <c r="O23" s="74" t="str">
        <f si="14" t="shared"/>
        <v>Arrival 8-9 am</v>
      </c>
      <c r="Q23" s="66">
        <f>WorkBasedSubtourTime!B31</f>
        <v>31</v>
      </c>
      <c r="R23" s="66" t="str">
        <f>WorkBasedSubtourTime!C31</f>
        <v>dur0-0</v>
      </c>
      <c r="S23" s="66">
        <f>VLOOKUP(Q23,WorkBasedSubtourTime!$B$11:$E$60,4,FALSE)</f>
        <v>1.9112849999999999</v>
      </c>
      <c r="T23" s="67">
        <f si="0" t="shared"/>
        <v>2.1885028412805854</v>
      </c>
    </row>
    <row r="24" spans="2:20" x14ac:dyDescent="0.25">
      <c r="B24" t="s">
        <v>228</v>
      </c>
      <c r="C24" s="29">
        <f>SUM(Arrival_Time!E21:E22)</f>
        <v>13478.84022418064</v>
      </c>
      <c r="D24" s="29">
        <f>SUM(Arrival_Time!L21:L22)</f>
        <v>16907.728071212769</v>
      </c>
      <c r="E24" s="30">
        <f si="8" t="shared"/>
        <v>7.9511365951111579E-2</v>
      </c>
      <c r="F24" s="30">
        <f si="8" t="shared"/>
        <v>9.4453388476066616E-2</v>
      </c>
      <c r="G24" s="6">
        <f si="9" t="shared"/>
        <v>0.8418053310100021</v>
      </c>
      <c r="H24" s="6">
        <f si="10" t="shared"/>
        <v>1</v>
      </c>
      <c r="I24" s="31">
        <f si="11" t="shared"/>
        <v>-6.4260263218269706E-2</v>
      </c>
      <c r="L24" s="71">
        <v>15</v>
      </c>
      <c r="M24" s="74">
        <f si="12" t="shared"/>
        <v>-0.4405</v>
      </c>
      <c r="N24" s="73">
        <f si="13" t="shared"/>
        <v>-0.50476026321826972</v>
      </c>
      <c r="O24" s="74" t="str">
        <f si="14" t="shared"/>
        <v>Arrival 9-10 am</v>
      </c>
      <c r="Q24" s="66">
        <f>WorkBasedSubtourTime!B32</f>
        <v>32</v>
      </c>
      <c r="R24" s="66" t="str">
        <f>WorkBasedSubtourTime!C32</f>
        <v>dur1-1</v>
      </c>
      <c r="S24" s="66">
        <f>VLOOKUP(Q24,WorkBasedSubtourTime!$B$11:$E$60,4,FALSE)</f>
        <v>1.531911</v>
      </c>
      <c r="T24" s="67">
        <f si="0" t="shared"/>
        <v>1.2402090005564568</v>
      </c>
    </row>
    <row r="25" spans="2:20" x14ac:dyDescent="0.25">
      <c r="B25" t="s">
        <v>232</v>
      </c>
      <c r="C25" s="29">
        <f>SUM(Arrival_Time!E23:E28)</f>
        <v>75569.348974579712</v>
      </c>
      <c r="D25" s="29">
        <f>SUM(Arrival_Time!L23:L28)</f>
        <v>79373.686447143555</v>
      </c>
      <c r="E25" s="30">
        <f si="8" t="shared"/>
        <v>0.44578183738878191</v>
      </c>
      <c r="F25" s="30">
        <f si="8" t="shared"/>
        <v>0.44341342664093342</v>
      </c>
      <c r="G25" s="6">
        <f si="9" t="shared"/>
        <v>1.0053413149118877</v>
      </c>
      <c r="H25" s="6">
        <f si="10" t="shared"/>
        <v>1</v>
      </c>
      <c r="I25" s="31">
        <f si="11" t="shared"/>
        <v>0.11327332725945372</v>
      </c>
      <c r="L25" s="71">
        <v>16</v>
      </c>
      <c r="M25" s="74">
        <f si="12" t="shared"/>
        <v>-0.1867</v>
      </c>
      <c r="N25" s="73">
        <f si="13" t="shared"/>
        <v>-7.3426672740546289E-2</v>
      </c>
      <c r="O25" s="74" t="str">
        <f si="14" t="shared"/>
        <v>Arrival 10 am-1 pm</v>
      </c>
      <c r="Q25" s="66">
        <f>WorkBasedSubtourTime!B33</f>
        <v>33</v>
      </c>
      <c r="R25" s="66" t="str">
        <f>WorkBasedSubtourTime!C33</f>
        <v>dur2-2</v>
      </c>
      <c r="S25" s="66">
        <f>VLOOKUP(Q25,WorkBasedSubtourTime!$B$11:$E$60,4,FALSE)</f>
        <v>0</v>
      </c>
      <c r="T25" s="67">
        <f si="0" t="shared"/>
        <v>0</v>
      </c>
    </row>
    <row r="26" spans="2:20" x14ac:dyDescent="0.25">
      <c r="B26" t="s">
        <v>229</v>
      </c>
      <c r="C26" s="29">
        <f>SUM(Arrival_Time!E29:E34)</f>
        <v>48230.550972019446</v>
      </c>
      <c r="D26" s="29">
        <f>SUM(Arrival_Time!L29:L34)</f>
        <v>44796.388959884644</v>
      </c>
      <c r="E26" s="30">
        <f si="8" t="shared"/>
        <v>0.28451090187123984</v>
      </c>
      <c r="F26" s="30">
        <f si="8" t="shared"/>
        <v>0.25025069665965299</v>
      </c>
      <c r="G26" s="6">
        <f si="9" t="shared"/>
        <v>1.1369035358098585</v>
      </c>
      <c r="H26" s="6">
        <f si="10" t="shared"/>
        <v>1</v>
      </c>
      <c r="I26" s="31">
        <f si="11" t="shared"/>
        <v>0.23625459677022875</v>
      </c>
      <c r="L26" s="71">
        <v>17</v>
      </c>
      <c r="M26" s="74">
        <f si="12" t="shared"/>
        <v>-1.6032</v>
      </c>
      <c r="N26" s="73">
        <f si="13" t="shared"/>
        <v>-1.3669454032297712</v>
      </c>
      <c r="O26" s="74" t="str">
        <f si="14" t="shared"/>
        <v>Arrival 1-4 pm</v>
      </c>
      <c r="Q26" s="66">
        <f>WorkBasedSubtourTime!B34</f>
        <v>34</v>
      </c>
      <c r="R26" s="66" t="str">
        <f>WorkBasedSubtourTime!C34</f>
        <v>dur3-4</v>
      </c>
      <c r="S26" s="66">
        <f>VLOOKUP(Q26,WorkBasedSubtourTime!$B$11:$E$60,4,FALSE)</f>
        <v>-2.3162820000000002</v>
      </c>
      <c r="T26" s="67">
        <f si="0" t="shared"/>
        <v>-0.30500722029228511</v>
      </c>
    </row>
    <row r="27" spans="2:20" x14ac:dyDescent="0.25">
      <c r="B27" t="s">
        <v>230</v>
      </c>
      <c r="C27" s="29">
        <f>SUM(Arrival_Time!E35:E40)</f>
        <v>10745.870177651141</v>
      </c>
      <c r="D27" s="29">
        <f>SUM(Arrival_Time!L35:L40)</f>
        <v>13482.445116043091</v>
      </c>
      <c r="E27" s="30">
        <f si="8" t="shared"/>
        <v>6.338963901549588E-2</v>
      </c>
      <c r="F27" s="30">
        <f si="8" t="shared"/>
        <v>7.5318376353655264E-2</v>
      </c>
      <c r="G27" s="6">
        <f si="9" t="shared"/>
        <v>0.84162248423746755</v>
      </c>
      <c r="H27" s="6">
        <f si="10" t="shared"/>
        <v>1</v>
      </c>
      <c r="I27" s="31">
        <f si="11" t="shared"/>
        <v>-6.4477494716522823E-2</v>
      </c>
      <c r="L27" s="71">
        <v>18</v>
      </c>
      <c r="M27" s="74">
        <f si="12" t="shared"/>
        <v>-2.6232000000000002</v>
      </c>
      <c r="N27" s="73">
        <f si="13" t="shared"/>
        <v>-2.6876774947165232</v>
      </c>
      <c r="O27" s="74" t="str">
        <f si="14" t="shared"/>
        <v>Arrival 4-7 pm</v>
      </c>
      <c r="Q27" s="66">
        <f>WorkBasedSubtourTime!B35</f>
        <v>35</v>
      </c>
      <c r="R27" s="66" t="str">
        <f>WorkBasedSubtourTime!C35</f>
        <v>dur5-6</v>
      </c>
      <c r="S27" s="66">
        <f>VLOOKUP(Q27,WorkBasedSubtourTime!$B$11:$E$60,4,FALSE)</f>
        <v>-5</v>
      </c>
      <c r="T27" s="67">
        <f si="0" t="shared"/>
        <v>-5</v>
      </c>
    </row>
    <row r="28" spans="2:20" x14ac:dyDescent="0.25">
      <c r="B28" t="s">
        <v>79</v>
      </c>
      <c r="C28" s="29">
        <f>SUM(Arrival_Time!E41:E44)</f>
        <v>2317.101006361082</v>
      </c>
      <c r="D28" s="29">
        <f>SUM(Arrival_Time!L41:L44)</f>
        <v>2905.6243801116943</v>
      </c>
      <c r="E28" s="30">
        <f si="8" t="shared"/>
        <v>1.3668525110339334E-2</v>
      </c>
      <c r="F28" s="30">
        <f si="8" t="shared"/>
        <v>1.623198972589902E-2</v>
      </c>
      <c r="G28" s="6">
        <f si="9" t="shared"/>
        <v>0.84207329730688907</v>
      </c>
      <c r="H28" s="6">
        <f si="10" t="shared"/>
        <v>1</v>
      </c>
      <c r="I28" s="31">
        <f si="11" t="shared"/>
        <v>-6.3941990517799793E-2</v>
      </c>
      <c r="L28" s="71">
        <v>19</v>
      </c>
      <c r="M28" s="74">
        <f si="12" t="shared"/>
        <v>-4.4149000000000003</v>
      </c>
      <c r="N28" s="73">
        <f si="13" t="shared"/>
        <v>-4.4788419905178003</v>
      </c>
      <c r="O28" s="74" t="str">
        <f si="14" t="shared"/>
        <v>Arrival 7-9 pm</v>
      </c>
      <c r="Q28" s="66">
        <f>WorkBasedSubtourTime!B36</f>
        <v>36</v>
      </c>
      <c r="R28" s="66" t="str">
        <f>WorkBasedSubtourTime!C36</f>
        <v>dur7-8</v>
      </c>
      <c r="S28" s="66">
        <f>VLOOKUP(Q28,WorkBasedSubtourTime!$B$11:$E$60,4,FALSE)</f>
        <v>-5</v>
      </c>
      <c r="T28" s="67">
        <f si="0" t="shared"/>
        <v>-5</v>
      </c>
    </row>
    <row r="29" spans="2:20" x14ac:dyDescent="0.25">
      <c r="B29" s="23" t="s">
        <v>231</v>
      </c>
      <c r="C29" s="34">
        <f>SUM(Arrival_Time!E45:E57)+Arrival_Time!E8</f>
        <v>2204.0825065354602</v>
      </c>
      <c r="D29" s="34">
        <f>SUM(Arrival_Time!L45:L57)+Arrival_Time!L8</f>
        <v>1546.4918279647827</v>
      </c>
      <c r="E29" s="35">
        <f si="8" t="shared"/>
        <v>1.3001831600406662E-2</v>
      </c>
      <c r="F29" s="35">
        <f si="8" t="shared"/>
        <v>8.639327104539983E-3</v>
      </c>
      <c r="G29" s="22">
        <f si="9" t="shared"/>
        <v>1.5049588287465321</v>
      </c>
      <c r="H29" s="22">
        <v>0</v>
      </c>
      <c r="I29" s="31">
        <f si="11" t="shared"/>
        <v>0</v>
      </c>
      <c r="L29" s="75">
        <v>20</v>
      </c>
      <c r="M29" s="75">
        <f si="12" t="shared"/>
        <v>-10</v>
      </c>
      <c r="N29" s="76">
        <f si="13" t="shared"/>
        <v>-10</v>
      </c>
      <c r="O29" s="75" t="str">
        <f si="14" t="shared"/>
        <v>Arrival 9 pm-3 am</v>
      </c>
      <c r="Q29" s="66">
        <f>WorkBasedSubtourTime!B37</f>
        <v>37</v>
      </c>
      <c r="R29" s="66" t="str">
        <f>WorkBasedSubtourTime!C37</f>
        <v>dur9-11</v>
      </c>
      <c r="S29" s="66">
        <f>VLOOKUP(Q29,WorkBasedSubtourTime!$B$11:$E$60,4,FALSE)</f>
        <v>5.1999999999999998E-2</v>
      </c>
      <c r="T29" s="67">
        <f si="0" t="shared"/>
        <v>5.1999999999999998E-2</v>
      </c>
    </row>
    <row ht="15.75" r="30" spans="2:20" thickBot="1" x14ac:dyDescent="0.3">
      <c r="B30" s="39" t="s">
        <v>82</v>
      </c>
      <c r="C30" s="40">
        <f>SUM(C20:C29)</f>
        <v>169519.02432190697</v>
      </c>
      <c r="D30" s="40">
        <f>SUM(D20:D29)</f>
        <v>178972.8727722168</v>
      </c>
      <c r="E30" s="41">
        <f si="8" t="shared"/>
        <v>0.99998879386923523</v>
      </c>
      <c r="F30" s="41">
        <f si="8" t="shared"/>
        <v>0.99981465324213104</v>
      </c>
      <c r="G30" s="42">
        <f si="9" t="shared"/>
        <v>1.0001741729094882</v>
      </c>
      <c r="H30" s="42"/>
      <c r="I30" s="43"/>
      <c r="Q30" s="66">
        <f>WorkBasedSubtourTime!B38</f>
        <v>38</v>
      </c>
      <c r="R30" s="66" t="str">
        <f>WorkBasedSubtourTime!C38</f>
        <v>dur12-13</v>
      </c>
      <c r="S30" s="66">
        <f>VLOOKUP(Q30,WorkBasedSubtourTime!$B$11:$E$60,4,FALSE)</f>
        <v>-10</v>
      </c>
      <c r="T30" s="67">
        <f si="0" t="shared"/>
        <v>-10</v>
      </c>
    </row>
    <row r="31" spans="2:20" x14ac:dyDescent="0.25">
      <c r="Q31" s="66">
        <f>WorkBasedSubtourTime!B39</f>
        <v>39</v>
      </c>
      <c r="R31" s="66" t="str">
        <f>WorkBasedSubtourTime!C39</f>
        <v>dur14-17</v>
      </c>
      <c r="S31" s="66">
        <f>VLOOKUP(Q31,WorkBasedSubtourTime!$B$11:$E$60,4,FALSE)</f>
        <v>-10</v>
      </c>
      <c r="T31" s="67">
        <f si="0" t="shared"/>
        <v>-10</v>
      </c>
    </row>
    <row r="32" spans="2:20" x14ac:dyDescent="0.25">
      <c r="Q32">
        <f>WorkBasedSubtourTime!B40</f>
        <v>41</v>
      </c>
      <c r="R32" t="str">
        <f>WorkBasedSubtourTime!C40</f>
        <v>ptwk-arr</v>
      </c>
      <c r="S32">
        <f>VLOOKUP(Q32,WorkBasedSubtourTime!$B$11:$E$60,4,FALSE)</f>
        <v>2.5999999999999999E-3</v>
      </c>
      <c r="T32" s="64">
        <f si="0" t="shared"/>
        <v>2.5999999999999999E-3</v>
      </c>
    </row>
    <row ht="15.75" r="33" spans="2:20" thickBot="1" x14ac:dyDescent="0.3">
      <c r="B33" s="37" t="s">
        <v>175</v>
      </c>
      <c r="C33" s="1"/>
      <c r="D33" s="1"/>
      <c r="E33" s="1" t="s">
        <v>86</v>
      </c>
      <c r="F33" s="38">
        <v>1</v>
      </c>
      <c r="G33" s="1"/>
      <c r="H33" s="1"/>
      <c r="I33" s="1"/>
      <c r="Q33">
        <f>WorkBasedSubtourTime!B41</f>
        <v>42</v>
      </c>
      <c r="R33" t="str">
        <f>WorkBasedSubtourTime!C41</f>
        <v>ptwk-dur</v>
      </c>
      <c r="S33">
        <f>VLOOKUP(Q33,WorkBasedSubtourTime!$B$11:$E$60,4,FALSE)</f>
        <v>0.12809999999999999</v>
      </c>
      <c r="T33" s="64">
        <f si="0" t="shared"/>
        <v>0.12809999999999999</v>
      </c>
    </row>
    <row ht="15.75" r="34" spans="2:20" thickBot="1" x14ac:dyDescent="0.3">
      <c r="B34" s="8"/>
      <c r="C34" s="95" t="s">
        <v>87</v>
      </c>
      <c r="D34" s="95"/>
      <c r="E34" s="95" t="s">
        <v>83</v>
      </c>
      <c r="F34" s="95"/>
      <c r="G34" s="8"/>
      <c r="H34" s="8"/>
      <c r="I34" s="8"/>
      <c r="L34" s="1"/>
      <c r="M34" s="1"/>
      <c r="N34" s="1"/>
      <c r="Q34">
        <f>WorkBasedSubtourTime!B42</f>
        <v>85</v>
      </c>
      <c r="R34" t="str">
        <f>WorkBasedSubtourTime!C42</f>
        <v>ctim-out</v>
      </c>
      <c r="S34">
        <f>VLOOKUP(Q34,WorkBasedSubtourTime!$B$11:$E$60,4,FALSE)</f>
        <v>0.25</v>
      </c>
      <c r="T34" s="64">
        <f si="0" t="shared"/>
        <v>0.25</v>
      </c>
    </row>
    <row r="35" spans="2:20" x14ac:dyDescent="0.25">
      <c r="B35" s="32" t="s">
        <v>14</v>
      </c>
      <c r="C35" s="33" t="s">
        <v>48</v>
      </c>
      <c r="D35" s="33" t="s">
        <v>35</v>
      </c>
      <c r="E35" s="33" t="s">
        <v>48</v>
      </c>
      <c r="F35" s="33" t="s">
        <v>35</v>
      </c>
      <c r="G35" s="33" t="s">
        <v>84</v>
      </c>
      <c r="H35" s="33" t="s">
        <v>86</v>
      </c>
      <c r="I35" s="65" t="s">
        <v>85</v>
      </c>
      <c r="L35" s="33" t="s">
        <v>88</v>
      </c>
      <c r="M35" s="33" t="s">
        <v>89</v>
      </c>
      <c r="N35" s="32" t="s">
        <v>91</v>
      </c>
      <c r="Q35">
        <f>WorkBasedSubtourTime!B43</f>
        <v>86</v>
      </c>
      <c r="R35" t="str">
        <f>WorkBasedSubtourTime!C43</f>
        <v>ctim-ret</v>
      </c>
      <c r="S35">
        <f>VLOOKUP(Q35,WorkBasedSubtourTime!$B$11:$E$60,4,FALSE)</f>
        <v>0.25</v>
      </c>
      <c r="T35" s="64">
        <f ref="T35:T52" si="15" t="shared">_xlfn.IFNA(VLOOKUP(Q35,$L$3:$N$45,3,FALSE),S35)</f>
        <v>0.25</v>
      </c>
    </row>
    <row r="36" spans="2:20" x14ac:dyDescent="0.25">
      <c r="B36" t="s">
        <v>62</v>
      </c>
      <c r="C36" s="29">
        <f>SUM(Duration!E8:E13)</f>
        <v>244888.96666478645</v>
      </c>
      <c r="D36" s="29">
        <f>SUM(Duration!L7:L12)</f>
        <v>246988.73281478882</v>
      </c>
      <c r="E36" s="30">
        <f ref="E36:E46" si="16" t="shared">C36/C$46</f>
        <v>0.94432067410817333</v>
      </c>
      <c r="F36" s="30">
        <f ref="F36:F46" si="17" t="shared">D36/D$46</f>
        <v>0.91557400416729873</v>
      </c>
      <c r="G36" s="6">
        <f>IFERROR(E36/F36,1)</f>
        <v>1.0313974291646903</v>
      </c>
      <c r="H36" s="6">
        <f>$F$33</f>
        <v>1</v>
      </c>
      <c r="I36" s="62">
        <f ref="I36:I45" si="18" t="shared">IFERROR(H36*(LN(G36)-LN($G$38)),0)</f>
        <v>0.27721784128058535</v>
      </c>
      <c r="L36">
        <v>31</v>
      </c>
      <c r="M36" s="61">
        <f>VLOOKUP(L36,$Q$3:$T$64,3,FALSE)</f>
        <v>1.9112849999999999</v>
      </c>
      <c r="N36" s="31">
        <f>I36+M36</f>
        <v>2.1885028412805854</v>
      </c>
      <c r="Q36">
        <f>WorkBasedSubtourTime!B44</f>
        <v>87</v>
      </c>
      <c r="R36" t="str">
        <f>WorkBasedSubtourTime!C44</f>
        <v>ttim-out</v>
      </c>
      <c r="S36">
        <f>VLOOKUP(Q36,WorkBasedSubtourTime!$B$11:$E$60,4,FALSE)</f>
        <v>0.25</v>
      </c>
      <c r="T36" s="64">
        <f si="15" t="shared"/>
        <v>0.25</v>
      </c>
    </row>
    <row r="37" spans="2:20" x14ac:dyDescent="0.25">
      <c r="B37" t="s">
        <v>63</v>
      </c>
      <c r="C37" s="29">
        <f>SUM(Duration!E14:E17)</f>
        <v>11041.599026056119</v>
      </c>
      <c r="D37" s="29">
        <f>SUM(Duration!L13:L16)</f>
        <v>19670.646896362305</v>
      </c>
      <c r="E37" s="30">
        <f si="16" t="shared"/>
        <v>4.2577705225038127E-2</v>
      </c>
      <c r="F37" s="30">
        <f si="17" t="shared"/>
        <v>7.2918034511998242E-2</v>
      </c>
      <c r="G37" s="6">
        <f ref="G37:G46" si="19" t="shared">IFERROR(E37/F37,1)</f>
        <v>0.58391186089954483</v>
      </c>
      <c r="H37" s="6">
        <f>$F$33</f>
        <v>1</v>
      </c>
      <c r="I37" s="63">
        <f si="18" t="shared"/>
        <v>-0.29170199944354325</v>
      </c>
      <c r="L37" s="5">
        <v>32</v>
      </c>
      <c r="M37" s="5">
        <f ref="M37:M44" si="20" t="shared">VLOOKUP(L37,$Q$3:$T$64,3,FALSE)</f>
        <v>1.531911</v>
      </c>
      <c r="N37" s="31">
        <f ref="N37:N44" si="21" t="shared">I37+M37</f>
        <v>1.2402090005564568</v>
      </c>
      <c r="Q37">
        <f>WorkBasedSubtourTime!B45</f>
        <v>88</v>
      </c>
      <c r="R37" t="str">
        <f>WorkBasedSubtourTime!C45</f>
        <v>ttim-ret</v>
      </c>
      <c r="S37">
        <f>VLOOKUP(Q37,WorkBasedSubtourTime!$B$11:$E$60,4,FALSE)</f>
        <v>0.25</v>
      </c>
      <c r="T37" s="64">
        <f si="15" t="shared"/>
        <v>0.25</v>
      </c>
    </row>
    <row r="38" spans="2:20" x14ac:dyDescent="0.25">
      <c r="B38" t="s">
        <v>64</v>
      </c>
      <c r="C38" s="29">
        <f>SUM(Duration!E18:E21)</f>
        <v>2088.0215872455251</v>
      </c>
      <c r="D38" s="29">
        <f>SUM(Duration!L17:L20)</f>
        <v>2778.6707305908203</v>
      </c>
      <c r="E38" s="30">
        <f si="16" t="shared"/>
        <v>8.0516569597810297E-3</v>
      </c>
      <c r="F38" s="30">
        <f si="17" t="shared"/>
        <v>1.0300383576514225E-2</v>
      </c>
      <c r="G38" s="6">
        <f si="19" t="shared"/>
        <v>0.78168515764204272</v>
      </c>
      <c r="H38" s="6">
        <f>$F$33</f>
        <v>1</v>
      </c>
      <c r="I38" s="63">
        <f si="18" t="shared"/>
        <v>0</v>
      </c>
      <c r="L38" s="5">
        <v>33</v>
      </c>
      <c r="M38" s="5">
        <f si="20" t="shared"/>
        <v>0</v>
      </c>
      <c r="N38" s="31">
        <f si="21" t="shared"/>
        <v>0</v>
      </c>
      <c r="Q38">
        <f>WorkBasedSubtourTime!B46</f>
        <v>91</v>
      </c>
      <c r="R38" t="str">
        <f>WorkBasedSubtourTime!C46</f>
        <v>arravail</v>
      </c>
      <c r="S38">
        <f>VLOOKUP(Q38,WorkBasedSubtourTime!$B$11:$E$60,4,FALSE)</f>
        <v>2</v>
      </c>
      <c r="T38" s="64">
        <f si="15" t="shared"/>
        <v>2</v>
      </c>
    </row>
    <row r="39" spans="2:20" x14ac:dyDescent="0.25">
      <c r="B39" t="s">
        <v>65</v>
      </c>
      <c r="C39" s="29">
        <f>SUM(Duration!E22:E25)</f>
        <v>918.73924896386939</v>
      </c>
      <c r="D39" s="29">
        <f>SUM(Duration!L21:L24)</f>
        <v>163.609619140625</v>
      </c>
      <c r="E39" s="30">
        <f si="16" t="shared"/>
        <v>3.542766661671538E-3</v>
      </c>
      <c r="F39" s="30">
        <f si="17" t="shared"/>
        <v>6.0649209544792423E-4</v>
      </c>
      <c r="G39" s="6">
        <f si="19" t="shared"/>
        <v>5.8414061588964827</v>
      </c>
      <c r="H39" s="6">
        <f>$F$33</f>
        <v>1</v>
      </c>
      <c r="I39" s="63">
        <f si="18" t="shared"/>
        <v>2.0112747797077151</v>
      </c>
      <c r="L39" s="5">
        <v>34</v>
      </c>
      <c r="M39" s="5">
        <f si="20" t="shared"/>
        <v>-2.3162820000000002</v>
      </c>
      <c r="N39" s="31">
        <f si="21" t="shared"/>
        <v>-0.30500722029228511</v>
      </c>
      <c r="Q39">
        <f>WorkBasedSubtourTime!B47</f>
        <v>92</v>
      </c>
      <c r="R39" t="str">
        <f>WorkBasedSubtourTime!C47</f>
        <v>depavail</v>
      </c>
      <c r="S39">
        <f>VLOOKUP(Q39,WorkBasedSubtourTime!$B$11:$E$60,4,FALSE)</f>
        <v>2.0366</v>
      </c>
      <c r="T39" s="64">
        <f si="15" t="shared"/>
        <v>2.0366</v>
      </c>
    </row>
    <row r="40" spans="2:20" x14ac:dyDescent="0.25">
      <c r="B40" t="s">
        <v>66</v>
      </c>
      <c r="C40" s="29">
        <f>SUM(Duration!E26:E27)</f>
        <v>239.65025027786822</v>
      </c>
      <c r="D40" s="29">
        <f>SUM(Duration!L25:L26)</f>
        <v>48.372464179992676</v>
      </c>
      <c r="E40" s="30">
        <f si="16" t="shared"/>
        <v>9.2411956722560876E-4</v>
      </c>
      <c r="F40" s="30">
        <f si="17" t="shared"/>
        <v>1.7931413395252369E-4</v>
      </c>
      <c r="G40" s="6">
        <f si="19" t="shared"/>
        <v>5.153634835446292</v>
      </c>
      <c r="H40" s="6">
        <v>0</v>
      </c>
      <c r="I40" s="63">
        <f si="18" t="shared"/>
        <v>0</v>
      </c>
      <c r="L40" s="5">
        <v>35</v>
      </c>
      <c r="M40" s="5">
        <f si="20" t="shared"/>
        <v>-5</v>
      </c>
      <c r="N40" s="31">
        <f si="21" t="shared"/>
        <v>-5</v>
      </c>
      <c r="Q40">
        <f>WorkBasedSubtourTime!B48</f>
        <v>93</v>
      </c>
      <c r="R40" t="str">
        <f>WorkBasedSubtourTime!C48</f>
        <v>cempbef1</v>
      </c>
      <c r="S40">
        <f>VLOOKUP(Q40,WorkBasedSubtourTime!$B$11:$E$60,4,FALSE)</f>
        <v>0.16059999999999999</v>
      </c>
      <c r="T40" s="64">
        <f si="15" t="shared"/>
        <v>0.16059999999999999</v>
      </c>
    </row>
    <row r="41" spans="2:20" x14ac:dyDescent="0.25">
      <c r="B41" t="s">
        <v>67</v>
      </c>
      <c r="C41" s="29">
        <f>SUM(Duration!E28:E29)</f>
        <v>112.42772510937834</v>
      </c>
      <c r="D41" s="29">
        <f>SUM(Duration!L27:L28)</f>
        <v>52.81771183013916</v>
      </c>
      <c r="E41" s="30">
        <f si="16" t="shared"/>
        <v>4.3353453856932321E-4</v>
      </c>
      <c r="F41" s="30">
        <f si="17" t="shared"/>
        <v>1.9579242891026109E-4</v>
      </c>
      <c r="G41" s="6">
        <f si="19" t="shared"/>
        <v>2.2142558881478922</v>
      </c>
      <c r="H41" s="6">
        <v>0</v>
      </c>
      <c r="I41" s="63">
        <f si="18" t="shared"/>
        <v>0</v>
      </c>
      <c r="L41" s="5">
        <v>36</v>
      </c>
      <c r="M41" s="5">
        <f si="20" t="shared"/>
        <v>-5</v>
      </c>
      <c r="N41" s="31">
        <f si="21" t="shared"/>
        <v>-5</v>
      </c>
      <c r="Q41">
        <f>WorkBasedSubtourTime!B49</f>
        <v>94</v>
      </c>
      <c r="R41" t="str">
        <f>WorkBasedSubtourTime!C49</f>
        <v>cempaft1</v>
      </c>
      <c r="S41">
        <f>VLOOKUP(Q41,WorkBasedSubtourTime!$B$11:$E$60,4,FALSE)</f>
        <v>6.6500000000000004E-2</v>
      </c>
      <c r="T41" s="64">
        <f si="15" t="shared"/>
        <v>6.6500000000000004E-2</v>
      </c>
    </row>
    <row r="42" spans="2:20" x14ac:dyDescent="0.25">
      <c r="B42" t="s">
        <v>68</v>
      </c>
      <c r="C42" s="29">
        <f>SUM(Duration!E30:E31)</f>
        <v>32.117376415510591</v>
      </c>
      <c r="D42" s="29">
        <f>SUM(Duration!L29:L30)</f>
        <v>37.586855888366699</v>
      </c>
      <c r="E42" s="30">
        <f si="16" t="shared"/>
        <v>1.238483830461687E-4</v>
      </c>
      <c r="F42" s="30">
        <f si="17" t="shared"/>
        <v>1.3933246167782494E-4</v>
      </c>
      <c r="G42" s="6">
        <f si="19" t="shared"/>
        <v>0.88886955383405408</v>
      </c>
      <c r="H42" s="6">
        <v>0</v>
      </c>
      <c r="I42" s="63">
        <f si="18" t="shared"/>
        <v>0</v>
      </c>
      <c r="L42" s="5">
        <v>37</v>
      </c>
      <c r="M42" s="5">
        <f si="20" t="shared"/>
        <v>5.1999999999999998E-2</v>
      </c>
      <c r="N42" s="31">
        <f si="21" t="shared"/>
        <v>5.1999999999999998E-2</v>
      </c>
      <c r="Q42">
        <f>WorkBasedSubtourTime!B50</f>
        <v>124</v>
      </c>
      <c r="R42" t="str">
        <f>WorkBasedSubtourTime!C50</f>
        <v>dep15</v>
      </c>
      <c r="S42">
        <f>VLOOKUP(Q42,WorkBasedSubtourTime!$B$11:$E$60,4,FALSE)</f>
        <v>0.622</v>
      </c>
      <c r="T42" s="64">
        <f si="15" t="shared"/>
        <v>0.622</v>
      </c>
    </row>
    <row r="43" spans="2:20" x14ac:dyDescent="0.25">
      <c r="B43" t="s">
        <v>69</v>
      </c>
      <c r="C43" s="29">
        <f>SUM(Duration!E32:E35)</f>
        <v>6.5791048751117822</v>
      </c>
      <c r="D43" s="29">
        <f>SUM(Duration!L31:L34)</f>
        <v>22.520160675048828</v>
      </c>
      <c r="E43" s="30">
        <f si="16" t="shared"/>
        <v>2.5369802630586577E-5</v>
      </c>
      <c r="F43" s="30">
        <f si="17" t="shared"/>
        <v>8.3481029473546931E-5</v>
      </c>
      <c r="G43" s="6">
        <f si="19" t="shared"/>
        <v>0.3038990150286256</v>
      </c>
      <c r="H43" s="6">
        <v>0</v>
      </c>
      <c r="I43" s="63">
        <f si="18" t="shared"/>
        <v>0</v>
      </c>
      <c r="L43" s="5">
        <v>38</v>
      </c>
      <c r="M43" s="5">
        <f si="20" t="shared"/>
        <v>-10</v>
      </c>
      <c r="N43" s="31">
        <f si="21" t="shared"/>
        <v>-10</v>
      </c>
      <c r="Q43">
        <f>WorkBasedSubtourTime!B51</f>
        <v>145</v>
      </c>
      <c r="R43" t="str">
        <f>WorkBasedSubtourTime!C51</f>
        <v>esco-arr</v>
      </c>
      <c r="S43">
        <f>VLOOKUP(Q43,WorkBasedSubtourTime!$B$11:$E$60,4,FALSE)</f>
        <v>0.18190000000000001</v>
      </c>
      <c r="T43" s="64">
        <f si="15" t="shared"/>
        <v>0.18190000000000001</v>
      </c>
    </row>
    <row r="44" spans="2:20" x14ac:dyDescent="0.25">
      <c r="B44" t="s">
        <v>90</v>
      </c>
      <c r="C44" s="29">
        <f>SUM(Duration!E36:E43)</f>
        <v>8.4217830258956308E-2</v>
      </c>
      <c r="D44" s="29">
        <f>SUM(Duration!L35:L42)</f>
        <v>0.85396289825439453</v>
      </c>
      <c r="E44" s="30">
        <f si="16" t="shared"/>
        <v>3.2475386427240408E-7</v>
      </c>
      <c r="F44" s="30">
        <f si="17" t="shared"/>
        <v>3.1655947267497058E-6</v>
      </c>
      <c r="G44" s="6">
        <f si="19" t="shared"/>
        <v>0.10258857886266672</v>
      </c>
      <c r="H44" s="6">
        <v>0</v>
      </c>
      <c r="I44" s="63">
        <f si="18" t="shared"/>
        <v>0</v>
      </c>
      <c r="L44" s="5">
        <v>39</v>
      </c>
      <c r="M44" s="5">
        <f si="20" t="shared"/>
        <v>-10</v>
      </c>
      <c r="N44" s="31">
        <f si="21" t="shared"/>
        <v>-10</v>
      </c>
      <c r="Q44">
        <f>WorkBasedSubtourTime!B52</f>
        <v>146</v>
      </c>
      <c r="R44" t="str">
        <f>WorkBasedSubtourTime!C52</f>
        <v>esco-dur</v>
      </c>
      <c r="S44">
        <f>VLOOKUP(Q44,WorkBasedSubtourTime!$B$11:$E$60,4,FALSE)</f>
        <v>-1.9103000000000001</v>
      </c>
      <c r="T44" s="64">
        <f si="15" t="shared"/>
        <v>-1.9103000000000001</v>
      </c>
    </row>
    <row r="45" spans="2:20" x14ac:dyDescent="0.25">
      <c r="B45" s="23" t="s">
        <v>70</v>
      </c>
      <c r="C45" s="34">
        <f>SUM(Duration!E44:E55)</f>
        <v>0</v>
      </c>
      <c r="D45" s="34">
        <f>SUM(Duration!L43:L54)</f>
        <v>0</v>
      </c>
      <c r="E45" s="35">
        <f si="16" t="shared"/>
        <v>0</v>
      </c>
      <c r="F45" s="35">
        <f si="17" t="shared"/>
        <v>0</v>
      </c>
      <c r="G45" s="22">
        <f si="19" t="shared"/>
        <v>1</v>
      </c>
      <c r="H45" s="22">
        <v>0</v>
      </c>
      <c r="I45" s="36">
        <f si="18" t="shared"/>
        <v>0</v>
      </c>
      <c r="L45" s="23"/>
      <c r="M45" s="23"/>
      <c r="N45" s="36"/>
      <c r="Q45">
        <f>WorkBasedSubtourTime!B53</f>
        <v>147</v>
      </c>
      <c r="R45" t="str">
        <f>WorkBasedSubtourTime!C53</f>
        <v>shop-arr</v>
      </c>
      <c r="S45">
        <f>VLOOKUP(Q45,WorkBasedSubtourTime!$B$11:$E$60,4,FALSE)</f>
        <v>5.8099999999999999E-2</v>
      </c>
      <c r="T45" s="64">
        <f si="15" t="shared"/>
        <v>5.8099999999999999E-2</v>
      </c>
    </row>
    <row ht="15.75" r="46" spans="2:20" thickBot="1" x14ac:dyDescent="0.3">
      <c r="B46" s="3" t="s">
        <v>82</v>
      </c>
      <c r="C46" s="44">
        <f>SUM(C36:C45)</f>
        <v>259328.18520156009</v>
      </c>
      <c r="D46" s="44">
        <f>SUM(D36:D45)</f>
        <v>269763.81121635437</v>
      </c>
      <c r="E46" s="45">
        <f si="16" t="shared"/>
        <v>1</v>
      </c>
      <c r="F46" s="45">
        <f si="17" t="shared"/>
        <v>1</v>
      </c>
      <c r="G46" s="46">
        <f si="19" t="shared"/>
        <v>1</v>
      </c>
      <c r="H46" s="46"/>
      <c r="I46" s="1"/>
      <c r="Q46">
        <f>WorkBasedSubtourTime!B54</f>
        <v>148</v>
      </c>
      <c r="R46" t="str">
        <f>WorkBasedSubtourTime!C54</f>
        <v>shop-dur</v>
      </c>
      <c r="S46">
        <f>VLOOKUP(Q46,WorkBasedSubtourTime!$B$11:$E$60,4,FALSE)</f>
        <v>-0.88929999999999998</v>
      </c>
      <c r="T46" s="64">
        <f si="15" t="shared"/>
        <v>-0.88929999999999998</v>
      </c>
    </row>
    <row r="47" spans="2:20" x14ac:dyDescent="0.25">
      <c r="Q47">
        <f>WorkBasedSubtourTime!B55</f>
        <v>149</v>
      </c>
      <c r="R47" t="str">
        <f>WorkBasedSubtourTime!C55</f>
        <v>meal-arr</v>
      </c>
      <c r="S47">
        <f>VLOOKUP(Q47,WorkBasedSubtourTime!$B$11:$E$60,4,FALSE)</f>
        <v>4.7300000000000002E-2</v>
      </c>
      <c r="T47" s="64">
        <f si="15" t="shared"/>
        <v>4.7300000000000002E-2</v>
      </c>
    </row>
    <row r="48" spans="2:20" x14ac:dyDescent="0.25">
      <c r="Q48">
        <f>WorkBasedSubtourTime!B56</f>
        <v>150</v>
      </c>
      <c r="R48" t="str">
        <f>WorkBasedSubtourTime!C56</f>
        <v>meal-dur</v>
      </c>
      <c r="S48">
        <f>VLOOKUP(Q48,WorkBasedSubtourTime!$B$11:$E$60,4,FALSE)</f>
        <v>-0.35170000000000001</v>
      </c>
      <c r="T48" s="64">
        <f si="15" t="shared"/>
        <v>-0.35170000000000001</v>
      </c>
    </row>
    <row r="49" spans="17:20" x14ac:dyDescent="0.25">
      <c r="Q49">
        <f>WorkBasedSubtourTime!B57</f>
        <v>151</v>
      </c>
      <c r="R49" t="str">
        <f>WorkBasedSubtourTime!C57</f>
        <v>srec-arr</v>
      </c>
      <c r="S49">
        <f>VLOOKUP(Q49,WorkBasedSubtourTime!$B$11:$E$60,4,FALSE)</f>
        <v>0.15</v>
      </c>
      <c r="T49" s="64">
        <f si="15" t="shared"/>
        <v>0.15</v>
      </c>
    </row>
    <row r="50" spans="17:20" x14ac:dyDescent="0.25">
      <c r="Q50">
        <f>WorkBasedSubtourTime!B58</f>
        <v>152</v>
      </c>
      <c r="R50" t="str">
        <f>WorkBasedSubtourTime!C58</f>
        <v>srec-dur</v>
      </c>
      <c r="S50">
        <f>VLOOKUP(Q50,WorkBasedSubtourTime!$B$11:$E$60,4,FALSE)</f>
        <v>-3.7699999999999997E-2</v>
      </c>
      <c r="T50" s="64">
        <f si="15" t="shared"/>
        <v>-3.7699999999999997E-2</v>
      </c>
    </row>
    <row r="51" spans="17:20" x14ac:dyDescent="0.25">
      <c r="Q51">
        <f>WorkBasedSubtourTime!B59</f>
        <v>153</v>
      </c>
      <c r="R51" t="str">
        <f>WorkBasedSubtourTime!C59</f>
        <v>pbus-arr</v>
      </c>
      <c r="S51">
        <f>VLOOKUP(Q51,WorkBasedSubtourTime!$B$11:$E$60,4,FALSE)</f>
        <v>1.6199999999999999E-2</v>
      </c>
      <c r="T51" s="64">
        <f si="15" t="shared"/>
        <v>1.6199999999999999E-2</v>
      </c>
    </row>
    <row r="52" spans="17:20" x14ac:dyDescent="0.25">
      <c r="Q52">
        <f>WorkBasedSubtourTime!B60</f>
        <v>154</v>
      </c>
      <c r="R52" t="str">
        <f>WorkBasedSubtourTime!C60</f>
        <v>pbus-dur</v>
      </c>
      <c r="S52">
        <f>VLOOKUP(Q52,WorkBasedSubtourTime!$B$11:$E$60,4,FALSE)</f>
        <v>-0.29959999999999998</v>
      </c>
      <c r="T52" s="64">
        <f si="15" t="shared"/>
        <v>-0.29959999999999998</v>
      </c>
    </row>
    <row r="53" spans="17:20" x14ac:dyDescent="0.25">
      <c r="T53" s="64"/>
    </row>
    <row r="54" spans="17:20" x14ac:dyDescent="0.25">
      <c r="T54" s="64"/>
    </row>
    <row r="55" spans="17:20" x14ac:dyDescent="0.25">
      <c r="T55" s="64"/>
    </row>
    <row r="56" spans="17:20" x14ac:dyDescent="0.25">
      <c r="T56" s="64"/>
    </row>
    <row r="57" spans="17:20" x14ac:dyDescent="0.25">
      <c r="T57" s="64"/>
    </row>
    <row r="58" spans="17:20" x14ac:dyDescent="0.25">
      <c r="T58" s="64"/>
    </row>
    <row r="59" spans="17:20" x14ac:dyDescent="0.25">
      <c r="T59" s="64"/>
    </row>
  </sheetData>
  <mergeCells count="6">
    <mergeCell ref="C34:D34"/>
    <mergeCell ref="E34:F34"/>
    <mergeCell ref="C2:D2"/>
    <mergeCell ref="E2:F2"/>
    <mergeCell ref="C18:D18"/>
    <mergeCell ref="E18:F18"/>
  </mergeCells>
  <pageMargins bottom="0.75" footer="0.3" header="0.3" left="0.7" right="0.7" top="0.75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18</vt:i4>
      </vt:variant>
      <vt:variant>
        <vt:lpstr>Named Ranges</vt:lpstr>
      </vt:variant>
      <vt:variant>
        <vt:i4>51</vt:i4>
      </vt:variant>
    </vt:vector>
  </HeadingPairs>
  <TitlesOfParts>
    <vt:vector baseType="lpstr" size="69">
      <vt:lpstr>Arrival_Time</vt:lpstr>
      <vt:lpstr>Departure_Time</vt:lpstr>
      <vt:lpstr>Duration</vt:lpstr>
      <vt:lpstr>Arrival_Time_Work</vt:lpstr>
      <vt:lpstr>Arrival_Time_School</vt:lpstr>
      <vt:lpstr>Arrival_Time_Other</vt:lpstr>
      <vt:lpstr>Arrival_Time_Workbased</vt:lpstr>
      <vt:lpstr>Depart_Time_Work</vt:lpstr>
      <vt:lpstr>Depart_Time_School</vt:lpstr>
      <vt:lpstr>Depart_Time_Other</vt:lpstr>
      <vt:lpstr>Depart_Time_Workbased</vt:lpstr>
      <vt:lpstr>Documentation</vt:lpstr>
      <vt:lpstr>SchoolTourTime</vt:lpstr>
      <vt:lpstr>WorkTourTime</vt:lpstr>
      <vt:lpstr>WorkBasedSubtourTime</vt:lpstr>
      <vt:lpstr>Calibration_Work</vt:lpstr>
      <vt:lpstr>Calibration_School</vt:lpstr>
      <vt:lpstr>Calibration_WorkBased</vt:lpstr>
      <vt:lpstr>DURDEST</vt:lpstr>
      <vt:lpstr>Other_Arrival</vt:lpstr>
      <vt:lpstr>out_1</vt:lpstr>
      <vt:lpstr>out_10</vt:lpstr>
      <vt:lpstr>out_11</vt:lpstr>
      <vt:lpstr>out_12</vt:lpstr>
      <vt:lpstr>out_13</vt:lpstr>
      <vt:lpstr>out_14</vt:lpstr>
      <vt:lpstr>out_15</vt:lpstr>
      <vt:lpstr>out_16</vt:lpstr>
      <vt:lpstr>out_17</vt:lpstr>
      <vt:lpstr>out_18</vt:lpstr>
      <vt:lpstr>out_19</vt:lpstr>
      <vt:lpstr>out_2</vt:lpstr>
      <vt:lpstr>out_20</vt:lpstr>
      <vt:lpstr>out_21</vt:lpstr>
      <vt:lpstr>out_22</vt:lpstr>
      <vt:lpstr>out_3</vt:lpstr>
      <vt:lpstr>out_4</vt:lpstr>
      <vt:lpstr>out_5</vt:lpstr>
      <vt:lpstr>out_6</vt:lpstr>
      <vt:lpstr>out_7</vt:lpstr>
      <vt:lpstr>out_8</vt:lpstr>
      <vt:lpstr>out_9</vt:lpstr>
      <vt:lpstr>out1</vt:lpstr>
      <vt:lpstr>out10</vt:lpstr>
      <vt:lpstr>out11</vt:lpstr>
      <vt:lpstr>out12</vt:lpstr>
      <vt:lpstr>out13</vt:lpstr>
      <vt:lpstr>out14</vt:lpstr>
      <vt:lpstr>out15</vt:lpstr>
      <vt:lpstr>out16</vt:lpstr>
      <vt:lpstr>out17</vt:lpstr>
      <vt:lpstr>out18</vt:lpstr>
      <vt:lpstr>out19</vt:lpstr>
      <vt:lpstr>out2</vt:lpstr>
      <vt:lpstr>out20</vt:lpstr>
      <vt:lpstr>out21</vt:lpstr>
      <vt:lpstr>out22</vt:lpstr>
      <vt:lpstr>out3</vt:lpstr>
      <vt:lpstr>out4</vt:lpstr>
      <vt:lpstr>out5</vt:lpstr>
      <vt:lpstr>out6</vt:lpstr>
      <vt:lpstr>out7</vt:lpstr>
      <vt:lpstr>out8</vt:lpstr>
      <vt:lpstr>out9</vt:lpstr>
      <vt:lpstr>School_Arrival</vt:lpstr>
      <vt:lpstr>TIMARRPD</vt:lpstr>
      <vt:lpstr>TIMDEPPD</vt:lpstr>
      <vt:lpstr>Work_Arrival</vt:lpstr>
      <vt:lpstr>Workbased_Arrival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Nagendra Dhakar</cp:lastModifiedBy>
  <dcterms:modified xsi:type="dcterms:W3CDTF">2022-03-03T06:46:41Z</dcterms:modified>
</cp:coreProperties>
</file>