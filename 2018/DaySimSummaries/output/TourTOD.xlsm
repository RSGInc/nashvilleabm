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iterations\round1\tour_tod\TourTOD_CR0\"/>
    </mc:Choice>
  </mc:AlternateContent>
  <bookViews>
    <workbookView activeTab="16" firstSheet="15"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WorkTourTime" r:id="rId13" sheetId="26"/>
    <sheet name="SchoolTourTime" r:id="rId14" sheetId="24"/>
    <sheet name="OtherTourTime" r:id="rId15" sheetId="29"/>
    <sheet name="WorkBasedSubtourTime" r:id="rId16" sheetId="25"/>
    <sheet name="Calibration_Work" r:id="rId17" sheetId="27"/>
    <sheet name="Calibration_School" r:id="rId18" sheetId="23"/>
    <sheet name="Calibration_Other" r:id="rId19" sheetId="30"/>
    <sheet name="Calibration_WorkBased" r:id="rId20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R65"/>
  <c i="28" r="Q53"/>
  <c i="30" r="H29"/>
  <c i="30" r="H21"/>
  <c i="30" r="H22"/>
  <c i="30" r="H23"/>
  <c i="30" r="H24"/>
  <c i="30" r="H25"/>
  <c i="30" r="H26"/>
  <c i="30" r="H27"/>
  <c i="30" r="H28"/>
  <c i="30" r="H20"/>
  <c i="30" r="H5"/>
  <c i="30" r="H6"/>
  <c i="30" r="H7"/>
  <c i="30" r="H8"/>
  <c i="30" r="H9"/>
  <c i="30" r="H10"/>
  <c i="30" r="H11"/>
  <c i="30" r="H12"/>
  <c i="30" r="H13"/>
  <c i="30" r="H4"/>
  <c i="30" r="I38"/>
  <c i="30" r="I39"/>
  <c i="30" r="I40"/>
  <c i="30" r="I41"/>
  <c i="30" r="I42"/>
  <c i="30" r="I43"/>
  <c i="30" r="I44"/>
  <c i="30" r="I45"/>
  <c i="30" r="I46"/>
  <c i="30" r="I37"/>
  <c i="30" r="U33"/>
  <c i="30" r="U34"/>
  <c i="30" r="U35"/>
  <c i="30" r="U36"/>
  <c i="30" r="U37"/>
  <c i="30" r="U38"/>
  <c i="30" r="U39"/>
  <c i="30" r="U40"/>
  <c i="30" r="U41"/>
  <c i="30" r="U42"/>
  <c i="30" r="U43"/>
  <c i="30" r="U44"/>
  <c i="30" r="U45"/>
  <c i="30" r="U46"/>
  <c i="30" r="U47"/>
  <c i="30" r="U48"/>
  <c i="30" r="U49"/>
  <c i="30" r="U50"/>
  <c i="30" r="U51"/>
  <c i="30" r="U52"/>
  <c i="30" r="U53"/>
  <c i="30" r="U54"/>
  <c i="30" r="U55"/>
  <c i="30" r="U56"/>
  <c i="30" r="U57"/>
  <c i="30" r="U58"/>
  <c i="30" r="U59"/>
  <c i="30" r="U60"/>
  <c i="30" r="U61"/>
  <c i="30" r="U62"/>
  <c i="30" r="U63"/>
  <c i="30" r="U64"/>
  <c i="30" r="U65"/>
  <c i="30" r="U66"/>
  <c i="30" r="U67"/>
  <c i="30" r="U68"/>
  <c i="30" r="U69"/>
  <c i="30" r="U70"/>
  <c i="30" r="U71"/>
  <c i="30" r="U72"/>
  <c i="30" r="U73"/>
  <c i="30" r="U74"/>
  <c i="30" r="U75"/>
  <c i="30" r="U76"/>
  <c i="30" r="U77"/>
  <c i="30" r="U78"/>
  <c i="30" r="U79"/>
  <c i="30" r="U80"/>
  <c i="30" r="U81"/>
  <c i="30" r="U82"/>
  <c i="30" r="U83"/>
  <c i="30" r="U84"/>
  <c i="30" r="U85"/>
  <c i="30" r="U86"/>
  <c i="30" r="U87"/>
  <c i="30" r="U88"/>
  <c i="30" r="U89"/>
  <c i="30" r="U90"/>
  <c i="30" r="U91"/>
  <c i="30" r="U92"/>
  <c i="30" r="U93"/>
  <c i="30" r="U94"/>
  <c i="30" r="U95"/>
  <c i="30" r="U96"/>
  <c i="30" r="U97"/>
  <c i="30" r="V98"/>
  <c i="23" r="I38"/>
  <c i="23" r="I39"/>
  <c i="23" r="I40"/>
  <c i="23" r="I41"/>
  <c i="23" r="I42"/>
  <c i="23" r="I43"/>
  <c i="23" r="I44"/>
  <c i="23" r="I45"/>
  <c i="23" r="I46"/>
  <c i="23" r="I37"/>
  <c i="23" r="U33"/>
  <c i="23" r="U34"/>
  <c i="23" r="U35"/>
  <c i="23" r="U36"/>
  <c i="23" r="U37"/>
  <c i="23" r="U38"/>
  <c i="23" r="U39"/>
  <c i="23" r="U40"/>
  <c i="23" r="U41"/>
  <c i="23" r="U42"/>
  <c i="23" r="U43"/>
  <c i="23" r="U44"/>
  <c i="23" r="U45"/>
  <c i="23" r="U46"/>
  <c i="23" r="U47"/>
  <c i="23" r="U48"/>
  <c i="23" r="U49"/>
  <c i="23" r="U50"/>
  <c i="23" r="U51"/>
  <c i="23" r="U52"/>
  <c i="23" r="U53"/>
  <c i="23" r="U54"/>
  <c i="23" r="U55"/>
  <c i="23" r="U56"/>
  <c i="23" r="U57"/>
  <c i="23" r="U58"/>
  <c i="23" r="U59"/>
  <c i="23" r="U60"/>
  <c i="23" r="U61"/>
  <c i="23" r="U62"/>
  <c i="23" r="U63"/>
  <c i="23" r="U64"/>
  <c i="27" r="R77"/>
  <c i="27" r="V4"/>
  <c i="27" r="V5"/>
  <c i="27" r="V6"/>
  <c i="27" r="V7"/>
  <c i="27" r="V8"/>
  <c i="27" r="V9"/>
  <c i="27" r="V10"/>
  <c i="27" r="V11"/>
  <c i="27" r="V12"/>
  <c i="27" r="V13"/>
  <c i="27" r="V14"/>
  <c i="27" r="V15"/>
  <c i="27" r="V16"/>
  <c i="27" r="V17"/>
  <c i="27" r="V18"/>
  <c i="27" r="V19"/>
  <c i="27" r="V20"/>
  <c i="27" r="V21"/>
  <c i="27" r="V22"/>
  <c i="27" r="V23"/>
  <c i="27" r="V24"/>
  <c i="27" r="V25"/>
  <c i="27" r="V26"/>
  <c i="27" r="V27"/>
  <c i="27" r="V28"/>
  <c i="27" r="V29"/>
  <c i="27" r="V30"/>
  <c i="27" r="V31"/>
  <c i="27" r="V32"/>
  <c i="27" r="V33"/>
  <c i="27" r="V34"/>
  <c i="27" r="V35"/>
  <c i="27" r="V36"/>
  <c i="27" r="V37"/>
  <c i="27" r="V38"/>
  <c i="27" r="V39"/>
  <c i="27" r="V40"/>
  <c i="27" r="V41"/>
  <c i="27" r="V42"/>
  <c i="27" r="V43"/>
  <c i="27" r="V44"/>
  <c i="27" r="V45"/>
  <c i="27" r="V46"/>
  <c i="27" r="V47"/>
  <c i="27" r="V48"/>
  <c i="27" r="V49"/>
  <c i="27" r="V50"/>
  <c i="27" r="V51"/>
  <c i="27" r="V52"/>
  <c i="27" r="V53"/>
  <c i="27" r="V54"/>
  <c i="27" r="V55"/>
  <c i="27" r="V56"/>
  <c i="27" r="V57"/>
  <c i="27" r="V58"/>
  <c i="27" r="V59"/>
  <c i="27" r="V60"/>
  <c i="27" r="V61"/>
  <c i="27" r="V62"/>
  <c i="27" r="V63"/>
  <c i="27" r="V64"/>
  <c i="27" r="V65"/>
  <c i="27" r="V66"/>
  <c i="27" r="V67"/>
  <c i="27" r="V68"/>
  <c i="27" r="V69"/>
  <c i="27" r="V70"/>
  <c i="27" r="V71"/>
  <c i="27" r="V72"/>
  <c i="27" r="V73"/>
  <c i="27" r="V74"/>
  <c i="27" r="V75"/>
  <c i="27" r="V76"/>
  <c i="27" r="V3"/>
  <c i="12" l="1" r="F9"/>
  <c i="28" l="1" r="H37"/>
  <c i="28" r="H38"/>
  <c i="28" r="H39"/>
  <c i="28" r="H40"/>
  <c i="28" r="H41"/>
  <c i="28" r="H42"/>
  <c i="28" r="H43"/>
  <c i="28" r="H44"/>
  <c i="28" r="H45"/>
  <c i="28" r="H36"/>
  <c i="28" r="H21"/>
  <c i="28" r="H22"/>
  <c i="28" r="H23"/>
  <c i="28" r="H24"/>
  <c i="28" r="H25"/>
  <c i="28" r="H26"/>
  <c i="28" r="H27"/>
  <c i="28" r="H28"/>
  <c i="28" r="H29"/>
  <c i="28" r="H20"/>
  <c i="28" r="H5"/>
  <c i="28" r="H6"/>
  <c i="28" r="H7"/>
  <c i="28" r="H8"/>
  <c i="28" r="H9"/>
  <c i="28" r="H10"/>
  <c i="28" r="H11"/>
  <c i="28" r="H12"/>
  <c i="28" r="H13"/>
  <c i="28" r="H4"/>
  <c i="23" r="H5"/>
  <c i="23" r="H6"/>
  <c i="23" r="H7"/>
  <c i="23" r="H8"/>
  <c i="23" r="H9"/>
  <c i="23" r="H10"/>
  <c i="23" r="H11"/>
  <c i="23" r="H12"/>
  <c i="23" r="H13"/>
  <c i="23" r="H4"/>
  <c i="23" r="H21"/>
  <c i="23" r="H22"/>
  <c i="23" r="H23"/>
  <c i="23" r="H24"/>
  <c i="23" r="H25"/>
  <c i="23" r="H26"/>
  <c i="23" r="H27"/>
  <c i="23" r="H28"/>
  <c i="23" r="H20"/>
  <c i="23" r="H38"/>
  <c i="23" r="H39"/>
  <c i="23" r="H40"/>
  <c i="23" r="H41"/>
  <c i="23" r="H42"/>
  <c i="23" r="H43"/>
  <c i="23" r="H44"/>
  <c i="23" r="H45"/>
  <c i="23" r="H37"/>
  <c i="27" r="H37"/>
  <c i="27" r="H38"/>
  <c i="27" r="H39"/>
  <c i="27" r="H40"/>
  <c i="27" r="H41"/>
  <c i="27" r="H42"/>
  <c i="27" r="H43"/>
  <c i="27" r="H44"/>
  <c i="27" r="H45"/>
  <c i="27" r="H36"/>
  <c i="27" r="H21"/>
  <c i="27" r="H22"/>
  <c i="27" r="H23"/>
  <c i="27" r="H24"/>
  <c i="27" r="H25"/>
  <c i="27" r="H26"/>
  <c i="27" r="H27"/>
  <c i="27" r="H28"/>
  <c i="27" r="H29"/>
  <c i="27" r="H20"/>
  <c i="30" l="1" r="H38"/>
  <c i="30" r="H39"/>
  <c i="30" r="H40"/>
  <c i="30" r="H41"/>
  <c i="30" r="H42"/>
  <c i="30" r="H43"/>
  <c i="30" r="H44"/>
  <c i="30" r="H45"/>
  <c i="30" r="H46"/>
  <c i="30" r="H37"/>
  <c i="30" l="1" r="D46"/>
  <c i="30" r="D45"/>
  <c i="30" r="D44"/>
  <c i="30" r="D43"/>
  <c i="30" r="D42"/>
  <c i="30" r="D41"/>
  <c i="30" r="D40"/>
  <c i="30" r="D39"/>
  <c i="30" r="D38"/>
  <c i="30" r="D37"/>
  <c i="30" r="C46"/>
  <c i="30" r="C45"/>
  <c i="30" r="C44"/>
  <c i="30" r="C43"/>
  <c i="30" r="C42"/>
  <c i="30" r="C41"/>
  <c i="30" r="C40"/>
  <c i="30" r="C39"/>
  <c i="30" r="C38"/>
  <c i="30" r="C37"/>
  <c i="30" r="D29"/>
  <c i="30" r="D28"/>
  <c i="30" r="D27"/>
  <c i="30" r="D26"/>
  <c i="30" r="D25"/>
  <c i="30" r="D24"/>
  <c i="30" r="D23"/>
  <c i="30" r="D22"/>
  <c i="30" r="D21"/>
  <c i="30" r="D20"/>
  <c i="30" r="C29"/>
  <c i="30" r="C28"/>
  <c i="30" r="C27"/>
  <c i="30" r="C26"/>
  <c i="30" r="C25"/>
  <c i="30" r="C24"/>
  <c i="30" r="C23"/>
  <c i="30" r="C22"/>
  <c i="30" r="C21"/>
  <c i="30" r="C20"/>
  <c i="30" l="1" r="C47"/>
  <c i="30" r="D13"/>
  <c i="30" r="D12"/>
  <c i="30" r="D11"/>
  <c i="30" r="D10"/>
  <c i="30" r="D9"/>
  <c i="30" r="D8"/>
  <c i="30" r="D7"/>
  <c i="30" r="D6"/>
  <c i="30" r="D5"/>
  <c i="30" r="D4"/>
  <c i="30" r="C13"/>
  <c i="30" r="C12"/>
  <c i="30" r="C11"/>
  <c i="30" r="C10"/>
  <c i="30" r="C9"/>
  <c i="30" r="C8"/>
  <c i="30" r="C7"/>
  <c i="30" r="C6"/>
  <c i="30" r="C5"/>
  <c i="30" r="C4"/>
  <c i="30" r="T68"/>
  <c i="30" r="V68" s="1"/>
  <c i="30" r="T69"/>
  <c i="30" r="S65"/>
  <c i="30" r="S66"/>
  <c i="30" r="S67"/>
  <c i="30" r="S68"/>
  <c i="30" r="S69"/>
  <c i="30" r="S70"/>
  <c i="30" r="S71"/>
  <c i="30" r="S72"/>
  <c i="30" r="S73"/>
  <c i="30" r="S74"/>
  <c i="30" r="S75"/>
  <c i="30" r="S76"/>
  <c i="30" r="S77"/>
  <c i="30" r="S78"/>
  <c i="30" r="S79"/>
  <c i="30" r="S80"/>
  <c i="30" r="S81"/>
  <c i="30" r="S82"/>
  <c i="30" r="S83"/>
  <c i="30" r="S84"/>
  <c i="30" r="S85"/>
  <c i="30" r="S86"/>
  <c i="30" r="S87"/>
  <c i="30" r="S88"/>
  <c i="30" r="S89"/>
  <c i="30" r="S90"/>
  <c i="30" r="S91"/>
  <c i="30" r="S92"/>
  <c i="30" r="S93"/>
  <c i="30" r="S94"/>
  <c i="30" r="S95"/>
  <c i="30" r="S96"/>
  <c i="30" r="S97"/>
  <c i="30" r="S24"/>
  <c i="30" r="S25"/>
  <c i="30" r="S26"/>
  <c i="30" r="S27"/>
  <c i="30" r="S28"/>
  <c i="30" r="S29"/>
  <c i="30" r="S30"/>
  <c i="30" r="S31"/>
  <c i="30" r="S32"/>
  <c i="30" r="S33"/>
  <c i="30" r="S34"/>
  <c i="30" r="S35"/>
  <c i="30" r="S36"/>
  <c i="30" r="S37"/>
  <c i="30" r="S38"/>
  <c i="30" r="S39"/>
  <c i="30" r="S40"/>
  <c i="30" r="S41"/>
  <c i="30" r="S42"/>
  <c i="30" r="S43"/>
  <c i="30" r="S44"/>
  <c i="30" r="S45"/>
  <c i="30" r="S46"/>
  <c i="30" r="S47"/>
  <c i="30" r="S48"/>
  <c i="30" r="S49"/>
  <c i="30" r="S50"/>
  <c i="30" r="S51"/>
  <c i="30" r="S52"/>
  <c i="30" r="S53"/>
  <c i="30" r="S54"/>
  <c i="30" r="S55"/>
  <c i="30" r="S56"/>
  <c i="30" r="S57"/>
  <c i="30" r="S58"/>
  <c i="30" r="S59"/>
  <c i="30" r="S60"/>
  <c i="30" r="S61"/>
  <c i="30" r="S62"/>
  <c i="30" r="S63"/>
  <c i="30" r="S64"/>
  <c i="30" r="S23"/>
  <c i="30" r="S4"/>
  <c i="30" r="S5"/>
  <c i="30" r="S6"/>
  <c i="30" r="S7"/>
  <c i="30" r="S8"/>
  <c i="30" r="S9"/>
  <c i="30" r="S10"/>
  <c i="30" r="S11"/>
  <c i="30" r="S12"/>
  <c i="30" r="S13"/>
  <c i="30" r="S14"/>
  <c i="30" r="S15"/>
  <c i="30" r="S16"/>
  <c i="30" r="S17"/>
  <c i="30" r="S18"/>
  <c i="30" r="S19"/>
  <c i="30" r="S20"/>
  <c i="30" r="S21"/>
  <c i="30" r="S22"/>
  <c i="30" r="S3"/>
  <c i="30" r="R93"/>
  <c i="30" r="R94"/>
  <c i="30" r="R95"/>
  <c i="30" r="R96"/>
  <c i="30" r="T96" s="1"/>
  <c i="30" r="V96" s="1"/>
  <c i="30" r="R97"/>
  <c i="30" r="T97" s="1"/>
  <c i="30" r="V97" s="1"/>
  <c i="30" r="R98"/>
  <c i="30" r="R65"/>
  <c i="30" r="T65" s="1"/>
  <c i="30" r="R66"/>
  <c i="30" r="T66" s="1"/>
  <c i="30" r="R67"/>
  <c i="30" r="T67" s="1"/>
  <c i="30" r="R68"/>
  <c i="30" r="R69"/>
  <c i="30" r="R70"/>
  <c i="30" r="T70" s="1"/>
  <c i="30" r="R71"/>
  <c i="30" r="T71" s="1"/>
  <c i="30" r="V71" s="1"/>
  <c i="30" r="R72"/>
  <c i="30" r="T72" s="1"/>
  <c i="30" r="V72" s="1"/>
  <c i="30" r="R73"/>
  <c i="30" r="T73" s="1"/>
  <c i="30" r="V73" s="1"/>
  <c i="30" r="R74"/>
  <c i="30" r="T74" s="1"/>
  <c i="30" r="V74" s="1"/>
  <c i="30" r="R75"/>
  <c i="30" r="T75" s="1"/>
  <c i="30" r="R76"/>
  <c i="30" r="T76" s="1"/>
  <c i="30" r="R77"/>
  <c i="30" r="T77" s="1"/>
  <c i="30" r="R78"/>
  <c i="30" r="T78" s="1"/>
  <c i="30" r="R79"/>
  <c i="30" r="T79" s="1"/>
  <c i="30" r="R80"/>
  <c i="30" r="T80" s="1"/>
  <c i="30" r="R81"/>
  <c i="30" r="T81" s="1"/>
  <c i="30" r="R82"/>
  <c i="30" r="T82" s="1"/>
  <c i="30" r="R83"/>
  <c i="30" r="R84"/>
  <c i="30" r="R85"/>
  <c i="30" r="R86"/>
  <c i="30" r="T86" s="1"/>
  <c i="30" r="V86" s="1"/>
  <c i="30" r="R87"/>
  <c i="30" r="T87" s="1"/>
  <c i="30" r="V87" s="1"/>
  <c i="30" r="R88"/>
  <c i="30" r="T88" s="1"/>
  <c i="30" r="V88" s="1"/>
  <c i="30" r="R89"/>
  <c i="30" r="T89" s="1"/>
  <c i="30" r="R90"/>
  <c i="30" r="T90" s="1"/>
  <c i="30" r="R91"/>
  <c i="30" r="R92"/>
  <c i="30" r="T92" s="1"/>
  <c i="30" r="V92" s="1"/>
  <c i="30" r="R24"/>
  <c i="30" r="T24" s="1"/>
  <c i="30" r="R25"/>
  <c i="30" r="T25" s="1"/>
  <c i="30" r="R26"/>
  <c i="30" r="T26" s="1"/>
  <c i="30" r="R27"/>
  <c i="30" r="T27" s="1"/>
  <c i="30" r="R28"/>
  <c i="30" r="T28" s="1"/>
  <c i="30" r="R29"/>
  <c i="30" r="R30"/>
  <c i="30" r="R31"/>
  <c i="30" r="R32"/>
  <c i="30" r="T32" s="1"/>
  <c i="30" r="R33"/>
  <c i="30" r="T33" s="1"/>
  <c i="30" r="R34"/>
  <c i="30" r="R35"/>
  <c i="30" r="T35" s="1"/>
  <c i="30" r="R36"/>
  <c i="30" r="T36" s="1"/>
  <c i="30" r="R37"/>
  <c i="30" r="T37" s="1"/>
  <c i="30" r="R38"/>
  <c i="30" r="T38" s="1"/>
  <c i="30" r="R39"/>
  <c i="30" r="T39" s="1"/>
  <c i="30" r="R40"/>
  <c i="30" r="T40" s="1"/>
  <c i="30" r="R41"/>
  <c i="30" r="T41" s="1"/>
  <c i="30" r="V41" s="1"/>
  <c i="30" r="R42"/>
  <c i="30" r="T42" s="1"/>
  <c i="30" r="V42" s="1"/>
  <c i="30" r="R43"/>
  <c i="30" r="R44"/>
  <c i="30" r="R45"/>
  <c i="30" r="R46"/>
  <c i="30" r="R47"/>
  <c i="30" r="T47" s="1"/>
  <c i="30" r="V47" s="1"/>
  <c i="30" r="R48"/>
  <c i="30" r="T48" s="1"/>
  <c i="30" r="V48" s="1"/>
  <c i="30" r="R49"/>
  <c i="30" r="R50"/>
  <c i="30" r="T50" s="1"/>
  <c i="30" r="R51"/>
  <c i="30" r="T51" s="1"/>
  <c i="30" r="R52"/>
  <c i="30" r="R53"/>
  <c i="30" r="T53" s="1"/>
  <c i="30" r="R54"/>
  <c i="30" r="R55"/>
  <c i="30" r="T55" s="1"/>
  <c i="30" r="R56"/>
  <c i="30" r="T56" s="1"/>
  <c i="30" r="R57"/>
  <c i="30" r="T57" s="1"/>
  <c i="30" r="R58"/>
  <c i="30" r="T58" s="1"/>
  <c i="30" r="R59"/>
  <c i="30" r="R60"/>
  <c i="30" r="R61"/>
  <c i="30" r="R62"/>
  <c i="30" r="T62" s="1"/>
  <c i="30" r="R63"/>
  <c i="30" r="T63" s="1"/>
  <c i="30" r="R64"/>
  <c i="30" r="T64" s="1"/>
  <c i="30" r="R23"/>
  <c i="30" r="T23" s="1"/>
  <c i="30" r="R4"/>
  <c i="30" r="T4" s="1"/>
  <c i="30" r="R5"/>
  <c i="30" r="T5" s="1"/>
  <c i="30" r="R6"/>
  <c i="30" r="T6" s="1"/>
  <c i="30" r="R7"/>
  <c i="30" r="T7" s="1"/>
  <c i="30" r="R8"/>
  <c i="30" r="T8" s="1"/>
  <c i="30" r="R9"/>
  <c i="30" r="T9" s="1"/>
  <c i="30" r="R10"/>
  <c i="30" r="T10" s="1"/>
  <c i="30" r="R11"/>
  <c i="30" r="T11" s="1"/>
  <c i="30" r="R12"/>
  <c i="30" r="T12" s="1"/>
  <c i="30" r="R13"/>
  <c i="30" r="T13" s="1"/>
  <c i="30" r="R14"/>
  <c i="30" r="T14" s="1"/>
  <c i="30" r="R15"/>
  <c i="30" r="T15" s="1"/>
  <c i="30" r="R16"/>
  <c i="30" r="T16" s="1"/>
  <c i="30" r="R17"/>
  <c i="30" r="T17" s="1"/>
  <c i="30" r="R18"/>
  <c i="30" r="T18" s="1"/>
  <c i="30" r="R19"/>
  <c i="30" r="T19" s="1"/>
  <c i="30" r="R20"/>
  <c i="30" r="T20" s="1"/>
  <c i="30" r="R21"/>
  <c i="30" r="T21" s="1"/>
  <c i="30" r="R22"/>
  <c i="30" r="T22" s="1"/>
  <c i="30" r="R3"/>
  <c i="30" r="O46"/>
  <c i="30" r="O45"/>
  <c i="30" r="O44"/>
  <c i="30" r="O43"/>
  <c i="30" r="O42"/>
  <c i="30" r="O41"/>
  <c i="30" r="O40"/>
  <c i="30" r="O39"/>
  <c i="30" r="O38"/>
  <c i="30" r="O37"/>
  <c i="30" r="O29"/>
  <c i="30" r="O28"/>
  <c i="30" r="O27"/>
  <c i="30" r="O26"/>
  <c i="30" r="O25"/>
  <c i="30" r="O24"/>
  <c i="30" r="O23"/>
  <c i="30" r="O22"/>
  <c i="30" r="O21"/>
  <c i="30" r="O20"/>
  <c i="30" r="O13"/>
  <c i="30" r="O12"/>
  <c i="30" r="O11"/>
  <c i="30" r="O10"/>
  <c i="30" r="O9"/>
  <c i="30" r="O8"/>
  <c i="30" r="O7"/>
  <c i="30" r="O6"/>
  <c i="30" r="O5"/>
  <c i="30" r="O4"/>
  <c i="30" r="D14"/>
  <c i="30" l="1" r="C14"/>
  <c i="30" r="E23" s="1"/>
  <c i="30" r="V70"/>
  <c i="30" r="V69"/>
  <c i="30" r="V55"/>
  <c i="30" r="T54"/>
  <c i="30" r="V54" s="1"/>
  <c i="30" r="V67"/>
  <c i="30" r="V66"/>
  <c i="30" r="T52"/>
  <c i="30" r="V52" s="1"/>
  <c i="30" r="T49"/>
  <c i="30" r="V49" s="1"/>
  <c i="30" r="T45"/>
  <c i="30" r="V45" s="1"/>
  <c i="30" r="T44"/>
  <c i="30" r="V44" s="1"/>
  <c i="30" r="T43"/>
  <c i="30" r="V43" s="1"/>
  <c i="30" r="V53"/>
  <c i="30" r="M24"/>
  <c i="30" r="M29"/>
  <c i="30" r="M13"/>
  <c i="30" r="M25"/>
  <c i="30" r="M27"/>
  <c i="30" r="M28"/>
  <c i="30" r="M5"/>
  <c i="30" r="M6"/>
  <c i="30" r="M7"/>
  <c i="30" r="M26"/>
  <c i="30" r="M8"/>
  <c i="30" r="M9"/>
  <c i="30" r="M10"/>
  <c i="30" r="M21"/>
  <c i="30" r="M23"/>
  <c i="30" r="M11"/>
  <c i="30" r="M12"/>
  <c i="30" r="M4"/>
  <c i="30" r="M22"/>
  <c i="30" r="T31"/>
  <c i="30" r="T30"/>
  <c i="30" r="M44" s="1"/>
  <c i="30" r="T91"/>
  <c i="30" r="V91" s="1"/>
  <c i="30" r="T29"/>
  <c i="30" r="T3"/>
  <c i="30" r="M20" s="1"/>
  <c i="30" r="T95"/>
  <c i="30" r="V95" s="1"/>
  <c i="30" r="V64"/>
  <c i="30" r="V40"/>
  <c i="30" r="V90"/>
  <c i="30" r="T94"/>
  <c i="30" r="V94" s="1"/>
  <c i="30" r="T46"/>
  <c i="30" r="V46" s="1"/>
  <c i="30" r="V63"/>
  <c i="30" r="V39"/>
  <c i="30" r="V89"/>
  <c i="30" r="V65"/>
  <c i="30" r="T93"/>
  <c i="30" r="V93" s="1"/>
  <c i="30" r="V62"/>
  <c i="30" r="V38"/>
  <c i="30" r="V37"/>
  <c i="30" r="V36"/>
  <c i="30" r="V58"/>
  <c i="30" r="V81"/>
  <c i="30" r="V33"/>
  <c i="30" r="V56"/>
  <c i="30" r="V82"/>
  <c i="30" r="E47"/>
  <c i="30" r="T85"/>
  <c i="30" r="V85" s="1"/>
  <c i="30" r="T61"/>
  <c i="30" r="V61" s="1"/>
  <c i="30" r="V80"/>
  <c i="30" r="D47"/>
  <c i="30" r="F47" s="1"/>
  <c i="30" r="T84"/>
  <c i="30" r="V84" s="1"/>
  <c i="30" r="T60"/>
  <c i="30" r="V60" s="1"/>
  <c i="30" r="V79"/>
  <c i="30" r="V35"/>
  <c i="30" r="V57"/>
  <c i="30" r="T83"/>
  <c i="30" r="V83" s="1"/>
  <c i="30" r="T59"/>
  <c i="30" r="V59" s="1"/>
  <c i="30" r="V78"/>
  <c i="30" r="D30"/>
  <c i="30" r="F30" s="1"/>
  <c i="30" r="T34"/>
  <c i="30" r="V34" s="1"/>
  <c i="30" r="V51"/>
  <c i="30" r="V77"/>
  <c i="30" r="V50"/>
  <c i="30" r="V76"/>
  <c i="30" r="V75"/>
  <c i="30" r="E39"/>
  <c i="30" r="E45"/>
  <c i="30" r="F7"/>
  <c i="30" r="F11"/>
  <c i="30" r="F12"/>
  <c i="30" r="E20"/>
  <c i="30" r="F24"/>
  <c i="30" r="E9"/>
  <c i="30" r="E25"/>
  <c i="30" r="E14"/>
  <c i="30" r="E7"/>
  <c i="30" r="E11"/>
  <c i="30" r="E28"/>
  <c i="30" r="E5"/>
  <c i="30" r="E21"/>
  <c i="30" r="E27"/>
  <c i="30" r="E4"/>
  <c i="30" r="E13"/>
  <c i="30" r="F25"/>
  <c i="30" r="F21"/>
  <c i="30" r="F14"/>
  <c i="30" r="F4"/>
  <c i="30" r="F23"/>
  <c i="30" r="F5"/>
  <c i="30" r="F10"/>
  <c i="30" r="F27"/>
  <c i="30" r="F20"/>
  <c i="30" r="F8"/>
  <c i="30" r="E12"/>
  <c i="30" r="F9"/>
  <c i="30" r="F13"/>
  <c i="30" r="E6"/>
  <c i="30" r="F28"/>
  <c i="30" r="F38"/>
  <c i="30" r="F44"/>
  <c i="30" r="F6"/>
  <c i="30" r="E10"/>
  <c i="30" r="E41"/>
  <c i="30" r="E24"/>
  <c i="30" r="E29"/>
  <c i="30" r="E22"/>
  <c i="30" r="F29"/>
  <c i="30" r="F22"/>
  <c i="30" r="E26"/>
  <c i="30" r="E8"/>
  <c i="30" r="F26"/>
  <c i="30" r="M42"/>
  <c i="30" r="M37"/>
  <c i="30" r="M39"/>
  <c i="30" r="M40"/>
  <c i="30" r="C30"/>
  <c i="30" r="E30" s="1"/>
  <c i="30" r="M41"/>
  <c i="30" r="M38"/>
  <c i="28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O27"/>
  <c i="28" r="O26"/>
  <c i="28" r="O25"/>
  <c i="28" r="O24"/>
  <c i="28" r="O23"/>
  <c i="28" r="O22"/>
  <c i="28" r="O21"/>
  <c i="28" r="O20"/>
  <c i="30" l="1" r="M43"/>
  <c i="30" r="F37"/>
  <c i="30" r="G23"/>
  <c i="30" r="G13"/>
  <c i="30" r="F41"/>
  <c i="30" r="G20"/>
  <c i="30" r="I20" s="1"/>
  <c i="30" r="N20" s="1"/>
  <c i="30" r="U3" s="1"/>
  <c i="30" r="V3" s="1"/>
  <c i="30" r="M45"/>
  <c i="30" r="F43"/>
  <c i="30" r="F39"/>
  <c i="30" r="G39" s="1"/>
  <c i="30" r="F45"/>
  <c i="30" r="G45" s="1"/>
  <c i="30" r="I23"/>
  <c i="30" r="N23" s="1"/>
  <c i="30" r="F46"/>
  <c i="30" r="E46"/>
  <c i="30" r="G46" s="1"/>
  <c i="30" r="F42"/>
  <c i="30" r="F40"/>
  <c i="30" r="E38"/>
  <c i="30" r="G38" s="1"/>
  <c i="30" r="E44"/>
  <c i="30" r="G44" s="1"/>
  <c i="30" r="E42"/>
  <c i="30" r="E43"/>
  <c i="30" r="G43" s="1"/>
  <c i="30" r="G11"/>
  <c i="30" r="E40"/>
  <c i="30" r="G40" s="1"/>
  <c i="30" r="G7"/>
  <c i="30" r="E37"/>
  <c i="30" r="G37" s="1"/>
  <c i="30" r="G8"/>
  <c i="30" r="I8" s="1"/>
  <c i="30" r="N8" s="1"/>
  <c i="30" r="G12"/>
  <c i="30" r="G28"/>
  <c i="30" r="G14"/>
  <c i="30" r="G25"/>
  <c i="30" r="G26"/>
  <c i="30" r="G6"/>
  <c i="30" r="G30"/>
  <c i="30" r="G9"/>
  <c i="30" r="G22"/>
  <c i="30" r="I22" s="1"/>
  <c i="30" r="G29"/>
  <c i="30" r="I29" s="1"/>
  <c i="30" r="N29" s="1"/>
  <c i="30" r="M46"/>
  <c i="30" r="N46" s="1"/>
  <c i="30" r="G24"/>
  <c i="30" r="I24" s="1"/>
  <c i="30" r="N24" s="1"/>
  <c i="30" r="G47"/>
  <c i="30" r="G41"/>
  <c i="30" r="G10"/>
  <c i="30" r="G4"/>
  <c i="30" r="G27"/>
  <c i="30" r="I27" s="1"/>
  <c i="30" r="N27" s="1"/>
  <c i="30" r="G21"/>
  <c i="30" r="I21" s="1"/>
  <c i="30" r="N21" s="1"/>
  <c i="30" r="G5"/>
  <c i="28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D39"/>
  <c i="28" r="C39"/>
  <c i="28" r="D38"/>
  <c i="28" r="C38"/>
  <c i="28" r="D37"/>
  <c i="28" r="C37"/>
  <c i="28" r="R52"/>
  <c i="28" r="Q52"/>
  <c i="28" r="D36"/>
  <c i="28" r="C36"/>
  <c i="28" r="R51"/>
  <c i="28" r="Q51"/>
  <c i="28" r="S51" s="1"/>
  <c i="28" r="T51" s="1"/>
  <c i="28" r="U51" s="1"/>
  <c i="28" r="R50"/>
  <c i="28" r="Q50"/>
  <c i="28" r="R49"/>
  <c i="28" r="Q49"/>
  <c i="28" r="R48"/>
  <c i="28" r="Q48"/>
  <c i="28" r="S48" s="1"/>
  <c i="28" r="T48" s="1"/>
  <c i="28" r="U48" s="1"/>
  <c i="28" r="R47"/>
  <c i="28" r="Q47"/>
  <c i="28" r="R46"/>
  <c i="28" r="Q46"/>
  <c i="28" r="R45"/>
  <c i="28" r="Q45"/>
  <c i="28" r="D13"/>
  <c i="28" r="C13"/>
  <c i="28" r="R44"/>
  <c i="28" r="Q44"/>
  <c i="28" r="D12"/>
  <c i="28" r="C12"/>
  <c i="28" r="R43"/>
  <c i="28" r="Q43"/>
  <c i="28" r="S43" s="1"/>
  <c i="28" r="T43" s="1"/>
  <c i="28" r="U43" s="1"/>
  <c i="28" r="D11"/>
  <c i="28" r="C11"/>
  <c i="28" r="R42"/>
  <c i="28" r="Q42"/>
  <c i="28" r="D10"/>
  <c i="28" r="C10"/>
  <c i="28" r="R41"/>
  <c i="28" r="Q41"/>
  <c i="28" r="S41" s="1"/>
  <c i="28" r="T41" s="1"/>
  <c i="28" r="U41" s="1"/>
  <c i="28" r="D9"/>
  <c i="28" r="C9"/>
  <c i="28" r="R40"/>
  <c i="28" r="Q40"/>
  <c i="28" r="D8"/>
  <c i="28" r="C8"/>
  <c i="28" r="R39"/>
  <c i="28" r="Q39"/>
  <c i="28" r="S39" s="1"/>
  <c i="28" r="T39" s="1"/>
  <c i="28" r="U39" s="1"/>
  <c i="28" r="D7"/>
  <c i="28" r="C7"/>
  <c i="28" r="R38"/>
  <c i="28" r="Q38"/>
  <c i="28" r="D6"/>
  <c i="28" r="C6"/>
  <c i="28" r="R37"/>
  <c i="28" r="Q37"/>
  <c i="28" r="D5"/>
  <c i="28" r="C5"/>
  <c i="28" r="R36"/>
  <c i="28" r="Q36"/>
  <c i="28" r="D4"/>
  <c i="28" r="C4"/>
  <c i="28" r="R35"/>
  <c i="28" r="Q35"/>
  <c i="28" r="S35" s="1"/>
  <c i="28" r="T35" s="1"/>
  <c i="28" r="U35" s="1"/>
  <c i="28" r="R34"/>
  <c i="28" r="Q34"/>
  <c i="28" r="R33"/>
  <c i="28" r="Q33"/>
  <c i="28" r="S33" s="1"/>
  <c i="28" r="R32"/>
  <c i="28" r="Q32"/>
  <c i="28" r="S32" s="1"/>
  <c i="28" r="T32" s="1"/>
  <c i="28" r="U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30" l="1" r="U17"/>
  <c i="30" r="V17" s="1"/>
  <c i="30" r="U7"/>
  <c i="30" r="V7" s="1"/>
  <c i="30" r="U6"/>
  <c i="30" r="V6" s="1"/>
  <c i="30" r="U4"/>
  <c i="30" r="V4" s="1"/>
  <c i="30" r="U10"/>
  <c i="30" r="V10" s="1"/>
  <c i="30" r="U12"/>
  <c i="30" r="V12" s="1"/>
  <c i="30" r="G42"/>
  <c i="30" r="N37"/>
  <c i="30" r="U23" s="1"/>
  <c i="30" r="V23" s="1"/>
  <c i="30" r="N22"/>
  <c i="30" r="I12"/>
  <c i="30" r="N12" s="1"/>
  <c i="30" r="I28"/>
  <c i="30" r="N28" s="1"/>
  <c i="30" r="I5"/>
  <c i="30" r="N5" s="1"/>
  <c i="30" r="I4"/>
  <c i="30" r="N4" s="1"/>
  <c i="30" r="I10"/>
  <c i="30" r="N10" s="1"/>
  <c i="30" r="I6"/>
  <c i="30" r="N6" s="1"/>
  <c i="30" r="I26"/>
  <c i="30" r="N26" s="1"/>
  <c i="30" r="I25"/>
  <c i="30" r="N25" s="1"/>
  <c i="30" r="N41"/>
  <c i="30" r="U27" s="1"/>
  <c i="30" r="V27" s="1"/>
  <c i="30" r="I7"/>
  <c i="30" r="N7" s="1"/>
  <c i="30" r="I13"/>
  <c i="30" r="N13" s="1"/>
  <c i="30" r="I11"/>
  <c i="30" r="N11" s="1"/>
  <c i="30" r="I9"/>
  <c i="30" r="N9" s="1"/>
  <c i="30" r="N40"/>
  <c i="30" r="U26" s="1"/>
  <c i="30" r="V26" s="1"/>
  <c i="30" r="U32"/>
  <c i="30" r="V32" s="1"/>
  <c i="30" r="N39"/>
  <c i="30" r="U25" s="1"/>
  <c i="30" r="V25" s="1"/>
  <c i="30" r="N45"/>
  <c i="30" r="U31" s="1"/>
  <c i="30" r="V31" s="1"/>
  <c i="30" r="N43"/>
  <c i="30" r="U29" s="1"/>
  <c i="30" r="V29" s="1"/>
  <c i="30" r="N42"/>
  <c i="30" r="U28" s="1"/>
  <c i="30" r="V28" s="1"/>
  <c i="30" r="N44"/>
  <c i="30" r="U30" s="1"/>
  <c i="30" r="V30" s="1"/>
  <c i="30" r="N38"/>
  <c i="30" r="U24" s="1"/>
  <c i="30" r="V24" s="1"/>
  <c i="27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U45" s="1"/>
  <c i="28" r="M37"/>
  <c i="28" r="S47"/>
  <c i="28" r="T47" s="1"/>
  <c i="28" r="U47" s="1"/>
  <c i="28" r="S50"/>
  <c i="28" r="T50" s="1"/>
  <c i="28" r="U50" s="1"/>
  <c i="28" r="C46"/>
  <c i="28" r="E46" s="1"/>
  <c i="28" r="T33"/>
  <c i="28" r="U33" s="1"/>
  <c i="28" r="D46"/>
  <c i="28" r="F37" s="1"/>
  <c i="28" r="S44"/>
  <c i="28" r="T44" s="1"/>
  <c i="28" r="U44" s="1"/>
  <c i="28" r="S37"/>
  <c i="28" r="T37" s="1"/>
  <c i="28" r="U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U40" s="1"/>
  <c i="28" r="S6"/>
  <c i="28" r="S13"/>
  <c i="28" r="M4" s="1"/>
  <c i="28" r="S46"/>
  <c i="28" r="T46" s="1"/>
  <c i="28" r="U46" s="1"/>
  <c i="28" r="S49"/>
  <c i="28" r="T49" s="1"/>
  <c i="28" r="U49" s="1"/>
  <c i="28" r="M36"/>
  <c i="28" r="S31"/>
  <c i="28" r="M44" s="1"/>
  <c i="28" r="S34"/>
  <c i="28" r="T34" s="1"/>
  <c i="28" r="U34" s="1"/>
  <c i="28" r="S36"/>
  <c i="28" r="T36" s="1"/>
  <c i="28" r="U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U42" s="1"/>
  <c i="28" r="S52"/>
  <c i="28" r="T52" s="1"/>
  <c i="28" r="U52" s="1"/>
  <c i="28" r="M12"/>
  <c i="28" r="S7"/>
  <c i="28" r="S11"/>
  <c i="28" r="S14"/>
  <c i="28" r="M5" s="1"/>
  <c i="28" r="S17"/>
  <c i="28" r="M8" s="1"/>
  <c i="28" r="S38"/>
  <c i="28" r="T38" s="1"/>
  <c i="28" r="U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30" l="1" r="U15"/>
  <c i="30" r="V15" s="1"/>
  <c i="30" r="U11"/>
  <c i="30" r="V11" s="1"/>
  <c i="30" r="U21"/>
  <c i="30" r="V21" s="1"/>
  <c i="30" r="U5"/>
  <c i="30" r="V5" s="1"/>
  <c i="30" r="U13"/>
  <c i="30" r="V13" s="1"/>
  <c i="30" r="U9"/>
  <c i="30" r="V9" s="1"/>
  <c i="30" r="U14"/>
  <c i="30" r="V14" s="1"/>
  <c i="30" r="U19"/>
  <c i="30" r="V19" s="1"/>
  <c i="30" r="U20"/>
  <c i="30" r="V20" s="1"/>
  <c i="30" r="U8"/>
  <c i="30" r="V8" s="1"/>
  <c i="30" r="U22"/>
  <c i="30" r="V22" s="1"/>
  <c i="30" r="U18"/>
  <c i="30" r="V18" s="1"/>
  <c i="30" r="U16"/>
  <c i="30" r="V16" s="1"/>
  <c i="28" r="E13"/>
  <c i="28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G20" s="1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 s="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G14" s="1"/>
  <c i="28" r="F11"/>
  <c i="28" r="F7"/>
  <c i="28" r="F8"/>
  <c i="28" r="F5"/>
  <c i="28" r="F12"/>
  <c i="28" r="F6"/>
  <c i="28" r="F10"/>
  <c i="28" r="F4"/>
  <c i="28" r="G4" s="1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0"/>
  <c i="28" r="G6"/>
  <c i="28" r="G10"/>
  <c i="28" r="G12"/>
  <c i="28" r="G8"/>
  <c i="28" r="I8" s="1"/>
  <c i="28" r="N8" s="1"/>
  <c i="28" r="T17" s="1"/>
  <c i="28" r="U17" s="1"/>
  <c i="28" r="G5"/>
  <c i="28" r="G7"/>
  <c i="28" r="G11"/>
  <c i="28" r="I11" s="1"/>
  <c i="28" r="N11" s="1"/>
  <c i="28" r="T20" s="1"/>
  <c i="28" r="U20" s="1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U6" s="1"/>
  <c i="28" r="G24"/>
  <c i="28" r="G25"/>
  <c i="28" r="I25" s="1"/>
  <c i="28" r="N25" s="1"/>
  <c i="28" r="T8" s="1"/>
  <c i="28" r="U8" s="1"/>
  <c i="28" r="G30"/>
  <c i="28" r="G39"/>
  <c i="28" r="G42"/>
  <c i="28" r="G38"/>
  <c i="28" r="I41" s="1"/>
  <c i="28" r="N41" s="1"/>
  <c i="28" r="T28" s="1"/>
  <c i="28" r="U28" s="1"/>
  <c i="28" r="G44"/>
  <c i="28" r="G36"/>
  <c i="28" r="I36" s="1"/>
  <c i="28" r="N36" s="1"/>
  <c i="28" r="T23" s="1"/>
  <c i="28" r="U23" s="1"/>
  <c i="28" r="G43"/>
  <c i="28" r="I43" s="1"/>
  <c i="28" r="N43" s="1"/>
  <c i="28" r="T30" s="1"/>
  <c i="28" r="U30" s="1"/>
  <c i="28" r="I5"/>
  <c i="28" r="N5" s="1"/>
  <c i="28" r="T14" s="1"/>
  <c i="28" r="U14" s="1"/>
  <c i="28" r="I7"/>
  <c i="28" r="N7" s="1"/>
  <c i="28" r="T16" s="1"/>
  <c i="28" r="U16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10"/>
  <c i="28" r="N10" s="1"/>
  <c i="28" r="T19" s="1"/>
  <c i="28" r="U19" s="1"/>
  <c i="28" r="I4"/>
  <c i="28" r="N4" s="1"/>
  <c i="28" r="T13" s="1"/>
  <c i="28" r="U13" s="1"/>
  <c i="28" r="I12"/>
  <c i="28" r="N12" s="1"/>
  <c i="28" r="T21" s="1"/>
  <c i="28" r="U21" s="1"/>
  <c i="28" r="I6"/>
  <c i="28" r="N6" s="1"/>
  <c i="28" r="T15" s="1"/>
  <c i="28" r="U15" s="1"/>
  <c i="28" r="I9"/>
  <c i="28" r="N9" s="1"/>
  <c i="28" r="T18" s="1"/>
  <c i="28" r="U18" s="1"/>
  <c i="27" r="F39"/>
  <c i="27" r="F42"/>
  <c i="27" r="F45"/>
  <c i="27" r="F46"/>
  <c i="27" r="G46" s="1"/>
  <c i="27" r="F40"/>
  <c i="27" r="F8"/>
  <c i="27" r="F5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45"/>
  <c i="28" r="I44"/>
  <c i="28" r="N44" s="1"/>
  <c i="28" r="T31" s="1"/>
  <c i="28" r="U31" s="1"/>
  <c i="28" r="I24"/>
  <c i="28" r="N24" s="1"/>
  <c i="28" r="T7" s="1"/>
  <c i="28" r="U7" s="1"/>
  <c i="27" r="G5"/>
  <c i="27" r="G39"/>
  <c i="27" r="I39" s="1"/>
  <c i="27" r="N39" s="1"/>
  <c i="27" r="U26" s="1"/>
  <c i="28" r="I38"/>
  <c i="28" r="N38" s="1"/>
  <c i="28" r="T25" s="1"/>
  <c i="28" r="U25" s="1"/>
  <c i="28" r="I39"/>
  <c i="28" r="N39" s="1"/>
  <c i="28" r="T26" s="1"/>
  <c i="28" r="U26" s="1"/>
  <c i="28" r="I40"/>
  <c i="28" r="N40" s="1"/>
  <c i="28" r="T27" s="1"/>
  <c i="28" r="U27" s="1"/>
  <c i="28" r="I13"/>
  <c i="28" r="N13" s="1"/>
  <c i="28" r="T22" s="1"/>
  <c i="28" r="U22" s="1"/>
  <c i="27" r="G43"/>
  <c i="27" r="I43" s="1"/>
  <c i="27" r="N43" s="1"/>
  <c i="27" r="U30" s="1"/>
  <c i="28" r="I27"/>
  <c i="28" r="N27" s="1"/>
  <c i="28" r="T10" s="1"/>
  <c i="28" r="U10" s="1"/>
  <c i="28" r="I26"/>
  <c i="28" r="N26" s="1"/>
  <c i="28" r="T9" s="1"/>
  <c i="28" r="U9" s="1"/>
  <c i="27" r="G38"/>
  <c i="27" r="I38" s="1"/>
  <c i="27" r="N38" s="1"/>
  <c i="27" r="U25" s="1"/>
  <c i="28" r="I29"/>
  <c i="28" r="N29" s="1"/>
  <c i="28" r="T12" s="1"/>
  <c i="28" r="U12" s="1"/>
  <c i="28" r="I28"/>
  <c i="28" r="N28" s="1"/>
  <c i="28" r="T11" s="1"/>
  <c i="28" r="U11" s="1"/>
  <c i="28" r="I21"/>
  <c i="28" r="N21" s="1"/>
  <c i="28" r="T4" s="1"/>
  <c i="28" r="U4" s="1"/>
  <c i="27" r="G11"/>
  <c i="28" r="I22"/>
  <c i="28" r="N22" s="1"/>
  <c i="28" r="T5" s="1"/>
  <c i="28" r="U5" s="1"/>
  <c i="27" r="G4"/>
  <c i="28" r="I20"/>
  <c i="28" r="N20" s="1"/>
  <c i="28" r="T3" s="1"/>
  <c i="28" r="U3" s="1"/>
  <c i="28" r="I37"/>
  <c i="28" r="N37" s="1"/>
  <c i="28" r="T24" s="1"/>
  <c i="28" r="U24" s="1"/>
  <c i="28" r="I42"/>
  <c i="28" r="N42" s="1"/>
  <c i="28" r="T29" s="1"/>
  <c i="28" r="U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36"/>
  <c i="27" r="N36" s="1"/>
  <c i="27" r="U23" s="1"/>
  <c i="27" l="1" r="I5"/>
  <c i="27" r="N5" s="1"/>
  <c i="27" r="U14" s="1"/>
  <c i="27" r="I4"/>
  <c i="27" r="N4" s="1"/>
  <c i="27" r="U13" s="1"/>
  <c i="27" r="I11"/>
  <c i="27" r="N11" s="1"/>
  <c i="27" r="U20" s="1"/>
  <c i="27" r="I26"/>
  <c i="27" r="N26" s="1"/>
  <c i="27" r="U9" s="1"/>
  <c i="27" r="I12"/>
  <c i="27" r="N12" s="1"/>
  <c i="27" r="U21" s="1"/>
  <c i="27" r="I7"/>
  <c i="27" r="N7" s="1"/>
  <c i="27" r="U16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V33" s="1"/>
  <c i="23" r="S33"/>
  <c i="23" r="R34"/>
  <c i="23" r="S34"/>
  <c i="23" r="R35"/>
  <c i="23" r="T35" s="1"/>
  <c i="23" r="V35" s="1"/>
  <c i="23" r="S35"/>
  <c i="23" r="R36"/>
  <c i="23" r="T36" s="1"/>
  <c i="23" r="S36"/>
  <c i="23" r="R37"/>
  <c i="23" r="T37" s="1"/>
  <c i="23" r="V37" s="1"/>
  <c i="23" r="S37"/>
  <c i="23" r="R38"/>
  <c i="23" r="T38" s="1"/>
  <c i="23" r="V38" s="1"/>
  <c i="23" r="S38"/>
  <c i="23" r="R39"/>
  <c i="23" r="T39" s="1"/>
  <c i="23" r="V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V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V57" s="1"/>
  <c i="23" r="S57"/>
  <c i="23" r="R58"/>
  <c i="23" r="S58"/>
  <c i="23" r="R59"/>
  <c i="23" r="T59" s="1"/>
  <c i="23" r="V59" s="1"/>
  <c i="23" r="S59"/>
  <c i="23" r="R60"/>
  <c i="23" r="T60" s="1"/>
  <c i="23" r="S60"/>
  <c i="23" r="R61"/>
  <c i="23" r="T61" s="1"/>
  <c i="23" r="V61" s="1"/>
  <c i="23" r="S61"/>
  <c i="23" r="R62"/>
  <c i="23" r="T62" s="1"/>
  <c i="23" r="V62" s="1"/>
  <c i="23" r="S62"/>
  <c i="23" r="R63"/>
  <c i="23" r="T63" s="1"/>
  <c i="23" r="V63" s="1"/>
  <c i="23" r="S63"/>
  <c i="23" r="R64"/>
  <c i="23" r="T64" s="1"/>
  <c i="23" r="S64"/>
  <c i="23" r="S3"/>
  <c i="23" r="R3"/>
  <c i="23" l="1" r="M29"/>
  <c i="23" r="M27"/>
  <c i="23" r="M26"/>
  <c i="23" r="M46"/>
  <c i="23" r="N46" s="1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V58" s="1"/>
  <c i="23" r="V47"/>
  <c i="23" r="T40"/>
  <c i="23" r="V40" s="1"/>
  <c i="23" r="V48"/>
  <c i="23" r="V46"/>
  <c i="23" r="T34"/>
  <c i="23" r="V34" s="1"/>
  <c i="23" r="V45"/>
  <c i="23" r="M6"/>
  <c i="23" r="V50"/>
  <c i="23" r="V64"/>
  <c i="23" r="M8"/>
  <c i="23" r="M5"/>
  <c i="23" r="M7"/>
  <c i="23" r="V60"/>
  <c i="23" r="V36"/>
  <c i="23" r="T43"/>
  <c i="23" r="V43" s="1"/>
  <c i="23" r="T42"/>
  <c i="23" r="V42" s="1"/>
  <c i="23" r="V56"/>
  <c i="23" r="T3"/>
  <c i="23" r="M20" s="1"/>
  <c i="23" r="T41"/>
  <c i="23" r="V41" s="1"/>
  <c i="23" r="V55"/>
  <c i="23" r="V53"/>
  <c i="23" r="V52"/>
  <c i="23" r="V54"/>
  <c i="23" r="V51"/>
  <c i="23" r="M4"/>
  <c i="23" r="T8"/>
  <c i="23" r="M25" s="1"/>
  <c i="23" r="M13"/>
  <c i="23" r="V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4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G29" s="1"/>
  <c i="23" r="E22"/>
  <c i="23" r="G22" s="1"/>
  <c i="23" r="E27"/>
  <c i="23" r="G27" s="1"/>
  <c i="23" r="E24"/>
  <c i="23" r="G24" s="1"/>
  <c i="23" r="E28"/>
  <c i="23" r="G28" s="1"/>
  <c i="23" r="E21"/>
  <c i="23" r="G21" s="1"/>
  <c i="23" r="E23"/>
  <c i="23" r="G23" s="1"/>
  <c i="23" r="I23" s="1"/>
  <c i="23" r="N23" s="1"/>
  <c i="23" r="E20"/>
  <c i="23" r="G20" s="1"/>
  <c i="23" r="E25"/>
  <c i="23" r="G25" s="1"/>
  <c i="23" r="I25" s="1"/>
  <c i="23" r="N25" s="1"/>
  <c i="23" r="E30"/>
  <c i="23" r="G30" s="1"/>
  <c i="23" r="F45"/>
  <c i="23" r="F40"/>
  <c i="23" r="E41"/>
  <c i="23" r="G41" s="1"/>
  <c i="23" r="E11"/>
  <c i="23" r="E7"/>
  <c i="23" r="G7" s="1"/>
  <c i="23" r="E14"/>
  <c i="23" r="E9"/>
  <c i="23" r="E6"/>
  <c i="23" r="G6" s="1"/>
  <c i="23" r="E8"/>
  <c i="23" r="E5"/>
  <c i="23" r="G5" s="1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U6"/>
  <c i="23" r="V6" s="1"/>
  <c i="23" r="U8"/>
  <c i="23" r="V8" s="1"/>
  <c i="23" r="G40"/>
  <c i="23" r="I20"/>
  <c i="23" r="N20" s="1"/>
  <c i="23" r="U3" s="1"/>
  <c i="23" r="V3" s="1"/>
  <c i="23" r="I21"/>
  <c i="23" r="N21" s="1"/>
  <c i="23" r="I28"/>
  <c i="23" r="N28" s="1"/>
  <c i="23" r="I24"/>
  <c i="23" r="N24" s="1"/>
  <c i="23" r="I27"/>
  <c i="23" r="N27" s="1"/>
  <c i="23" r="G45"/>
  <c i="23" r="I22"/>
  <c i="23" r="N22" s="1"/>
  <c i="23" r="I29"/>
  <c i="23" r="N29" s="1"/>
  <c i="23" r="I26"/>
  <c i="23" r="N26" s="1"/>
  <c i="23" r="G12"/>
  <c i="23" r="G11"/>
  <c i="23" r="G14"/>
  <c i="23" r="G9"/>
  <c i="23" r="G8"/>
  <c i="23" r="I11" s="1"/>
  <c i="23" r="N11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U20"/>
  <c i="23" r="V20" s="1"/>
  <c i="23" r="U9"/>
  <c i="23" r="V9" s="1"/>
  <c i="23" r="U12"/>
  <c i="23" r="V12" s="1"/>
  <c i="23" r="U5"/>
  <c i="23" r="V5" s="1"/>
  <c i="23" r="U10"/>
  <c i="23" r="V10" s="1"/>
  <c i="23" r="U7"/>
  <c i="23" r="V7" s="1"/>
  <c i="23" r="U11"/>
  <c i="23" r="V11" s="1"/>
  <c i="23" r="U4"/>
  <c i="23" r="V4" s="1"/>
  <c i="3" r="K106"/>
  <c i="3" r="K79"/>
  <c i="23" r="N40"/>
  <c i="23" r="U26" s="1"/>
  <c i="23" r="V26" s="1"/>
  <c i="23" r="N44"/>
  <c i="23" r="U30" s="1"/>
  <c i="23" r="V30" s="1"/>
  <c i="23" r="U32"/>
  <c i="23" r="V32" s="1"/>
  <c i="23" r="N42"/>
  <c i="23" r="U28" s="1"/>
  <c i="23" r="V28" s="1"/>
  <c i="23" r="N37"/>
  <c i="23" r="U23" s="1"/>
  <c i="23" r="V23" s="1"/>
  <c i="23" r="N45"/>
  <c i="23" r="U31" s="1"/>
  <c i="23" r="V31" s="1"/>
  <c i="23" r="N38"/>
  <c i="23" r="U24" s="1"/>
  <c i="23" r="V24" s="1"/>
  <c i="23" r="N39"/>
  <c i="23" r="U25" s="1"/>
  <c i="23" r="V25" s="1"/>
  <c i="23" r="N43"/>
  <c i="23" r="U29" s="1"/>
  <c i="23" r="V29" s="1"/>
  <c i="23" r="N41"/>
  <c i="23" r="U27" s="1"/>
  <c i="23" r="V27" s="1"/>
  <c i="23" r="I9"/>
  <c i="23" r="N9" s="1"/>
  <c i="23" r="I13"/>
  <c i="23" r="N13" s="1"/>
  <c i="23" r="I8"/>
  <c i="23" r="N8" s="1"/>
  <c i="23" r="I6"/>
  <c i="23" r="N6" s="1"/>
  <c i="3" r="K110"/>
  <c i="3" r="K89"/>
  <c i="23" r="I10"/>
  <c i="23" r="N10" s="1"/>
  <c i="3" r="L89"/>
  <c i="3" r="L91"/>
  <c i="23" r="I12"/>
  <c i="23" r="N12" s="1"/>
  <c i="3" r="L94"/>
  <c i="23" r="I5"/>
  <c i="23" r="N5" s="1"/>
  <c i="3" r="K100"/>
  <c i="23" r="I7"/>
  <c i="23" r="N7" s="1"/>
  <c i="3" r="K103"/>
  <c i="23" r="I4"/>
  <c i="23" r="N4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23" l="1" r="U18"/>
  <c i="23" r="V18" s="1"/>
  <c i="23" r="U13"/>
  <c i="23" r="V13" s="1"/>
  <c i="23" r="U16"/>
  <c i="23" r="V16" s="1"/>
  <c i="23" r="U14"/>
  <c i="23" r="V14" s="1"/>
  <c i="23" r="U21"/>
  <c i="23" r="V21" s="1"/>
  <c i="23" r="U22"/>
  <c i="23" r="V22" s="1"/>
  <c i="23" r="U19"/>
  <c i="23" r="V19" s="1"/>
  <c i="23" r="U15"/>
  <c i="23" r="V15" s="1"/>
  <c i="23" r="U17"/>
  <c i="23" r="V17" s="1"/>
  <c i="3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<sst xmlns="http://schemas.openxmlformats.org/spreadsheetml/2006/main" count="1332" uniqueCount="268">
  <si>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</si>
  <si>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</si>
  <si>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</si>
  <si>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</si>
  <si>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</si>
  <si>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</si>
  <si>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</si>
  <si>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</si>
  <si>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</si>
  <si>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</si>
  <si>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</si>
  <si>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</si>
  <si>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</si>
  <si>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</si>
  <si>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</si>
  <si>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</si>
  <si>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</si>
  <si>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</si>
  <si>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</si>
  <si>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</si>
  <si>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</si>
  <si>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</si>
  <si>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</si>
  <si>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</si>
  <si>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</si>
  <si>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</si>
  <si>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</si>
  <si>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</si>
  <si>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</si>
  <si>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</si>
  <si>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</si>
  <si>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</si>
  <si>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</si>
  <si>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</si>
  <si>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</si>
  <si>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</si>
  <si>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</si>
  <si>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</si>
  <si>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</si>
  <si>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</si>
  <si>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</si>
  <si>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</si>
  <si>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</si>
  <si>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</si>
  <si>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</si>
  <si>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</si>
  <si>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</si>
  <si>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</si>
  <si>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</si>
  <si>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</si>
  <si>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</si>
  <si>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</si>
  <si>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</si>
  <si>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</si>
  <si>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</si>
  <si>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</si>
  <si>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</si>
  <si>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</si>
  <si>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</si>
  <si>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</si>
  <si>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</si>
  <si>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</si>
  <si>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</si>
  <si>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</si>
  <si>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</si>
  <si>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</si>
  <si>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</si>
  <si>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</si>
  <si>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</si>
  <si>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</si>
  <si>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</si>
  <si>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</si>
  <si>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</si>
  <si>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</si>
  <si>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</si>
  <si>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</si>
  <si>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</si>
  <si>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</si>
  <si>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</si>
  <si>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</si>
  <si>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</si>
  <si>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</si>
  <si>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</si>
  <si>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</si>
  <si>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</si>
  <si>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</si>
  <si>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</si>
  <si>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</si>
  <si>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</si>
  <si>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</si>
  <si>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</si>
  <si>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</si>
  <si>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</si>
  <si>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</si>
  <si>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</si>
  <si>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</si>
  <si>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</si>
  <si>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</si>
  <si>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</si>
  <si>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</si>
  <si>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</si>
  <si>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</si>
  <si>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</si>
  <si>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</si>
  <si>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</si>
  <si>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</si>
  <si>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</si>
  <si>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</si>
  <si>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</si>
  <si>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</si>
  <si>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</si>
  <si>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</si>
  <si>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</si>
  <si>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</si>
  <si>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</si>
  <si>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</si>
  <si>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</si>
  <si>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</si>
  <si>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</si>
  <si>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</si>
  <si>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</si>
  <si>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</si>
  <si>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</si>
  <si>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</si>
  <si>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</si>
  <si>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</si>
  <si>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</si>
  <si>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</si>
  <si>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</si>
  <si>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</si>
  <si>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</si>
  <si>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</si>
  <si>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</si>
  <si>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</si>
  <si>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</si>
  <si>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</si>
  <si>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</si>
  <si>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</si>
  <si>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</si>
  <si>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</si>
  <si>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</si>
  <si>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</si>
  <si>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</si>
  <si>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</si>
  <si>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</si>
  <si>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</si>
  <si>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</si>
  <si>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</si>
  <si>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</si>
  <si>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</si>
  <si>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</si>
  <si>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</si>
  <si>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</si>
  <si>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</si>
  <si>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</si>
  <si>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</si>
  <si>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</si>
  <si>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</si>
  <si>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</si>
  <si>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</si>
  <si>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</si>
  <si>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</si>
  <si>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</si>
  <si>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</si>
  <si>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</si>
  <si>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</si>
  <si>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</si>
  <si>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</si>
  <si>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</si>
  <si>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</si>
  <si>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</si>
  <si>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</si>
  <si>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</si>
  <si>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</si>
  <si>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</si>
  <si>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</si>
  <si>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</si>
  <si>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</si>
  <si>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</si>
  <si>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</si>
  <si>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</si>
  <si>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</si>
  <si>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</si>
  <si>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</si>
  <si>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</si>
  <si>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</si>
  <si>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</si>
  <si>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</si>
  <si>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</si>
  <si>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</si>
  <si>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</si>
  <si>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</si>
  <si>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</si>
  <si>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</si>
  <si>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</si>
  <si>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</si>
  <si>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</si>
  <si>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</si>
  <si>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</si>
  <si>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</si>
  <si>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</si>
  <si>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</si>
  <si>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</si>
  <si>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</si>
  <si>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</si>
  <si>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</si>
  <si>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</si>
  <si>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</si>
  <si>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</si>
  <si>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</si>
  <si>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</si>
  <si>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</si>
  <si>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</si>
  <si>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</si>
  <si>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</si>
  <si>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</si>
  <si>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</si>
  <si>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</si>
  <si>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</si>
  <si>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</si>
  <si>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</si>
  <si>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</si>
  <si>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</si>
  <si>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</si>
  <si>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</si>
  <si>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</si>
  <si>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</si>
  <si>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</si>
  <si>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</si>
  <si>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</si>
  <si>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</si>
  <si>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</si>
  <si>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</si>
  <si>
    <t>other</t>
  </si>
  <si>
    <t>hb</t>
  </si>
  <si>
    <t>reti-arr</t>
  </si>
  <si>
    <t>reti-dur</t>
  </si>
  <si>
    <t>hprs-arr</t>
  </si>
  <si>
    <t>hprs-dur</t>
  </si>
  <si>
    <t>only-arr</t>
  </si>
  <si>
    <t>only-dur</t>
  </si>
  <si>
    <t>lprd-x&lt;4</t>
  </si>
  <si>
    <t>pkid-arr</t>
  </si>
  <si>
    <t>pkid-dur</t>
  </si>
  <si>
    <t>hprd-arr</t>
  </si>
  <si>
    <t>hprd-dur</t>
  </si>
  <si>
    <t>lprd-arr</t>
  </si>
  <si>
    <t>lprd-dur</t>
  </si>
  <si>
    <t>esco-x=0</t>
  </si>
  <si>
    <t>shop-x=0</t>
  </si>
  <si>
    <t>meal-x=0</t>
  </si>
  <si>
    <t>shop-x=1</t>
  </si>
  <si>
    <t>meal-x=1</t>
  </si>
  <si>
    <t>shop-a&lt;7</t>
  </si>
  <si>
    <t>meal-a&lt;7</t>
  </si>
  <si>
    <t>esco-d&gt;21</t>
  </si>
  <si>
    <t>shop-d&lt;21</t>
  </si>
  <si>
    <t>meal-d&lt;21</t>
  </si>
  <si>
    <t>OtherTourTimeModel.F12</t>
  </si>
  <si>
    <t>Other Departure Time</t>
  </si>
  <si>
    <t>Other Arrival Time</t>
  </si>
  <si>
    <t>Other Tour Duration</t>
  </si>
  <si>
    <t>016:13:56</t>
  </si>
  <si>
    <t>Open "WorkTourTime_model" in Notepad+</t>
  </si>
  <si>
    <t>Open "SchoolTourTime_model" in Notepad+</t>
  </si>
  <si>
    <t>Open "OtherHomeBasedTourTimeCoefficients_model" in Notepad+</t>
  </si>
  <si>
    <t>Open "WorkbasedSubtourTimeCoefficients_model" in Notepad+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</si>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</sst>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  <numFmt numFmtId="169" formatCode="0.0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Border="1" applyFill="1" borderId="0" fillId="0" fontId="0" numFmtId="0" xfId="0"/>
    <xf applyBorder="1" applyFill="1" applyFont="1" borderId="0" fillId="0" fontId="4" numFmtId="0" xfId="0"/>
    <xf applyBorder="1" applyFill="1" applyFont="1" borderId="0" fillId="0" fontId="1" numFmtId="0" xfId="0"/>
    <xf applyAlignment="1" applyBorder="1" applyFill="1" applyFont="1" borderId="0" fillId="0" fontId="1" numFmtId="0" xfId="0">
      <alignment horizontal="right"/>
    </xf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Border="1" applyFill="1" applyNumberFormat="1" borderId="0" fillId="0" fontId="0" numFmtId="2" xfId="0"/>
    <xf applyBorder="1" applyFill="1" applyNumberFormat="1" borderId="0" fillId="0" fontId="0" numFmtId="167" xfId="0"/>
    <xf applyBorder="1" applyFill="1" applyFont="1" applyNumberFormat="1" borderId="0" fillId="0" fontId="1" numFmtId="165" xfId="0"/>
    <xf applyBorder="1" applyFill="1" applyFont="1" applyNumberFormat="1" borderId="0" fillId="0" fontId="1" numFmtId="166" xfId="9"/>
    <xf applyBorder="1" applyFill="1" applyFont="1" applyNumberFormat="1" borderId="0" fillId="0" fontId="1" numFmtId="2" xfId="0"/>
    <xf applyNumberFormat="1" borderId="0" fillId="0" fontId="0" numFmtId="46" xfId="0"/>
    <xf applyFill="1" borderId="0" fillId="0" fontId="0" numFmtId="0" xfId="0"/>
    <xf applyAlignment="1" applyBorder="1" applyFill="1" applyFont="1" borderId="2" fillId="6" fontId="1" numFmtId="0" xfId="0">
      <alignment horizontal="left"/>
    </xf>
    <xf applyFill="1" applyNumberFormat="1" borderId="0" fillId="0" fontId="0" numFmtId="168" xfId="0"/>
    <xf applyAlignment="1" applyBorder="1" applyFill="1" applyFont="1" borderId="2" fillId="6" fontId="1" numFmtId="0" xfId="0">
      <alignment horizontal="right"/>
    </xf>
    <xf applyAlignment="1" applyBorder="1" applyFill="1" applyFont="1" borderId="0" fillId="6" fontId="1" numFmtId="0" xfId="0">
      <alignment horizontal="right"/>
    </xf>
    <xf applyFill="1" applyNumberFormat="1" borderId="0" fillId="7" fontId="0" numFmtId="169" xfId="0"/>
    <xf applyAlignment="1" applyBorder="1" applyFill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Font="1" borderId="0" fillId="0" fontId="1" numFmtId="0" xfId="0">
      <alignment horizontal="center"/>
    </xf>
    <xf applyFill="1" applyNumberFormat="1" borderId="0" fillId="0" fontId="0" numFmtId="169" xfId="0"/>
    <xf applyAlignment="1" applyFont="1" borderId="0" fillId="0" fontId="1" numFmtId="0" xfId="0">
      <alignment horizontal="right"/>
    </xf>
    <xf applyBorder="1" applyFill="1" applyNumberFormat="1" borderId="0" fillId="6" fontId="0" numFmtId="167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theme/theme1.xml" Type="http://schemas.openxmlformats.org/officeDocument/2006/relationships/theme"/>
<Relationship Id="rId22" Target="styles.xml" Type="http://schemas.openxmlformats.org/officeDocument/2006/relationships/styles"/>
<Relationship Id="rId23" Target="sharedStrings.xml" Type="http://schemas.openxmlformats.org/officeDocument/2006/relationships/sharedStrings"/>
<Relationship Id="rId24" Target="calcChain.xml" Type="http://schemas.openxmlformats.org/officeDocument/2006/relationships/calcChain"/>
<Relationship Id="rId25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1.1122490389808171E-3</c:v>
                </c:pt>
                <c:pt idx="1">
                  <c:v>4.5098076276033133E-3</c:v>
                </c:pt>
                <c:pt idx="2">
                  <c:v>8.0803099734905355E-3</c:v>
                </c:pt>
                <c:pt idx="3">
                  <c:v>1.2412598794526126E-2</c:v>
                </c:pt>
                <c:pt idx="4">
                  <c:v>1.8669931645460359E-2</c:v>
                </c:pt>
                <c:pt idx="5">
                  <c:v>2.8281255411095507E-2</c:v>
                </c:pt>
                <c:pt idx="6">
                  <c:v>4.214061206832375E-2</c:v>
                </c:pt>
                <c:pt idx="7">
                  <c:v>5.9631600010917829E-2</c:v>
                </c:pt>
                <c:pt idx="8">
                  <c:v>7.8100871286972018E-2</c:v>
                </c:pt>
                <c:pt idx="9">
                  <c:v>9.3357129252258211E-2</c:v>
                </c:pt>
                <c:pt idx="10">
                  <c:v>0.10122367990747091</c:v>
                </c:pt>
                <c:pt idx="11">
                  <c:v>9.9413446623548632E-2</c:v>
                </c:pt>
                <c:pt idx="12">
                  <c:v>8.8626940230802198E-2</c:v>
                </c:pt>
                <c:pt idx="13">
                  <c:v>7.2185568063947936E-2</c:v>
                </c:pt>
                <c:pt idx="14">
                  <c:v>5.4452519034569859E-2</c:v>
                </c:pt>
                <c:pt idx="15">
                  <c:v>3.9032398547717922E-2</c:v>
                </c:pt>
                <c:pt idx="16">
                  <c:v>2.7726548633240596E-2</c:v>
                </c:pt>
                <c:pt idx="17">
                  <c:v>2.0564223762098321E-2</c:v>
                </c:pt>
                <c:pt idx="18">
                  <c:v>1.6533996483854868E-2</c:v>
                </c:pt>
                <c:pt idx="19">
                  <c:v>1.4397627001989963E-2</c:v>
                </c:pt>
                <c:pt idx="20">
                  <c:v>1.3184681285930651E-2</c:v>
                </c:pt>
                <c:pt idx="21">
                  <c:v>1.2315993884997042E-2</c:v>
                </c:pt>
                <c:pt idx="22">
                  <c:v>1.1512507529548518E-2</c:v>
                </c:pt>
                <c:pt idx="23">
                  <c:v>1.0662153561824947E-2</c:v>
                </c:pt>
                <c:pt idx="24">
                  <c:v>9.7344370611153648E-3</c:v>
                </c:pt>
                <c:pt idx="25">
                  <c:v>8.7491415800275817E-3</c:v>
                </c:pt>
                <c:pt idx="26">
                  <c:v>7.7652829974569192E-3</c:v>
                </c:pt>
                <c:pt idx="27">
                  <c:v>6.8585756489788832E-3</c:v>
                </c:pt>
                <c:pt idx="28">
                  <c:v>6.0826991417646898E-3</c:v>
                </c:pt>
                <c:pt idx="29">
                  <c:v>5.4372102616778578E-3</c:v>
                </c:pt>
                <c:pt idx="30">
                  <c:v>4.8691676182652487E-3</c:v>
                </c:pt>
                <c:pt idx="31">
                  <c:v>4.3111312594343787E-3</c:v>
                </c:pt>
                <c:pt idx="32">
                  <c:v>3.7273253512939354E-3</c:v>
                </c:pt>
                <c:pt idx="33">
                  <c:v>3.1324717494287117E-3</c:v>
                </c:pt>
                <c:pt idx="34">
                  <c:v>2.5718975702835748E-3</c:v>
                </c:pt>
                <c:pt idx="35">
                  <c:v>2.0842633573064455E-3</c:v>
                </c:pt>
                <c:pt idx="36">
                  <c:v>1.6789768231341097E-3</c:v>
                </c:pt>
                <c:pt idx="37">
                  <c:v>1.3414580886771314E-3</c:v>
                </c:pt>
                <c:pt idx="38">
                  <c:v>1.0530213534155949E-3</c:v>
                </c:pt>
                <c:pt idx="39">
                  <c:v>8.0427025024696252E-4</c:v>
                </c:pt>
                <c:pt idx="40">
                  <c:v>5.9412244261772133E-4</c:v>
                </c:pt>
                <c:pt idx="41">
                  <c:v>4.2230777161338768E-4</c:v>
                </c:pt>
                <c:pt idx="42">
                  <c:v>2.8569652706451399E-4</c:v>
                </c:pt>
                <c:pt idx="43">
                  <c:v>1.8020334314406029E-4</c:v>
                </c:pt>
                <c:pt idx="44">
                  <c:v>1.0304491606994619E-4</c:v>
                </c:pt>
                <c:pt idx="45">
                  <c:v>5.1810181188465714E-5</c:v>
                </c:pt>
                <c:pt idx="46">
                  <c:v>2.2223912539954581E-5</c:v>
                </c:pt>
                <c:pt idx="47">
                  <c:v>7.8900527315916972E-6</c:v>
                </c:pt>
                <c:pt idx="48">
                  <c:v>2.2409595198271832E-6</c:v>
                </c:pt>
                <c:pt idx="49">
                  <c:v>4.8011983231700358E-7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4.709086177802449E-6</c:v>
                </c:pt>
                <c:pt idx="1">
                  <c:v>1.2712294847384576E-4</c:v>
                </c:pt>
                <c:pt idx="2">
                  <c:v>5.3933178239615816E-4</c:v>
                </c:pt>
                <c:pt idx="3">
                  <c:v>1.9112573606992031E-3</c:v>
                </c:pt>
                <c:pt idx="4">
                  <c:v>5.6865641865654331E-3</c:v>
                </c:pt>
                <c:pt idx="5">
                  <c:v>1.4195322468169284E-2</c:v>
                </c:pt>
                <c:pt idx="6">
                  <c:v>2.99125706564175E-2</c:v>
                </c:pt>
                <c:pt idx="7">
                  <c:v>5.3635635669392168E-2</c:v>
                </c:pt>
                <c:pt idx="8">
                  <c:v>8.249183730945385E-2</c:v>
                </c:pt>
                <c:pt idx="9">
                  <c:v>0.10962264704340839</c:v>
                </c:pt>
                <c:pt idx="10">
                  <c:v>0.12668679373443764</c:v>
                </c:pt>
                <c:pt idx="11">
                  <c:v>0.12806149096933886</c:v>
                </c:pt>
                <c:pt idx="12">
                  <c:v>0.11388132410736711</c:v>
                </c:pt>
                <c:pt idx="13">
                  <c:v>8.9734880286823235E-2</c:v>
                </c:pt>
                <c:pt idx="14">
                  <c:v>6.3404525564041664E-2</c:v>
                </c:pt>
                <c:pt idx="15">
                  <c:v>4.1097575847434238E-2</c:v>
                </c:pt>
                <c:pt idx="16">
                  <c:v>2.5493198029598083E-2</c:v>
                </c:pt>
                <c:pt idx="17">
                  <c:v>1.6137816214197503E-2</c:v>
                </c:pt>
                <c:pt idx="18">
                  <c:v>1.1085759089978504E-2</c:v>
                </c:pt>
                <c:pt idx="19">
                  <c:v>8.3882979893061711E-3</c:v>
                </c:pt>
                <c:pt idx="20">
                  <c:v>6.7772834720242576E-3</c:v>
                </c:pt>
                <c:pt idx="21">
                  <c:v>5.6705769985097888E-3</c:v>
                </c:pt>
                <c:pt idx="22">
                  <c:v>4.8995251552222535E-3</c:v>
                </c:pt>
                <c:pt idx="23">
                  <c:v>4.4489904703578029E-3</c:v>
                </c:pt>
                <c:pt idx="24">
                  <c:v>4.3122558486317622E-3</c:v>
                </c:pt>
                <c:pt idx="25">
                  <c:v>4.4429526289225304E-3</c:v>
                </c:pt>
                <c:pt idx="26">
                  <c:v>4.7508368962627667E-3</c:v>
                </c:pt>
                <c:pt idx="27">
                  <c:v>5.1106116263445137E-3</c:v>
                </c:pt>
                <c:pt idx="28">
                  <c:v>5.3828205204540618E-3</c:v>
                </c:pt>
                <c:pt idx="29">
                  <c:v>5.4471032724603607E-3</c:v>
                </c:pt>
                <c:pt idx="30">
                  <c:v>5.2346492129696489E-3</c:v>
                </c:pt>
                <c:pt idx="31">
                  <c:v>4.7470317588622834E-3</c:v>
                </c:pt>
                <c:pt idx="32">
                  <c:v>4.057242733899802E-3</c:v>
                </c:pt>
                <c:pt idx="33">
                  <c:v>3.2884290601143938E-3</c:v>
                </c:pt>
                <c:pt idx="34">
                  <c:v>2.5681352410234469E-3</c:v>
                </c:pt>
                <c:pt idx="35">
                  <c:v>1.9761356106257071E-3</c:v>
                </c:pt>
                <c:pt idx="36">
                  <c:v>1.5206589352271974E-3</c:v>
                </c:pt>
                <c:pt idx="37">
                  <c:v>1.160447232723626E-3</c:v>
                </c:pt>
                <c:pt idx="38">
                  <c:v>8.5125108705792643E-4</c:v>
                </c:pt>
                <c:pt idx="39">
                  <c:v>5.7765158404946807E-4</c:v>
                </c:pt>
                <c:pt idx="40">
                  <c:v>3.5105558965126729E-4</c:v>
                </c:pt>
                <c:pt idx="41">
                  <c:v>1.8685937026106139E-4</c:v>
                </c:pt>
                <c:pt idx="42">
                  <c:v>8.6126248941179257E-5</c:v>
                </c:pt>
                <c:pt idx="43">
                  <c:v>3.4471470444406761E-5</c:v>
                </c:pt>
                <c:pt idx="44">
                  <c:v>1.2279710517701248E-5</c:v>
                </c:pt>
                <c:pt idx="45">
                  <c:v>4.0869031245520339E-6</c:v>
                </c:pt>
                <c:pt idx="46">
                  <c:v>1.3252343647898698E-6</c:v>
                </c:pt>
                <c:pt idx="47">
                  <c:v>4.1037710746899604E-7</c:v>
                </c:pt>
                <c:pt idx="48">
                  <c:v>1.1160870522570273E-7</c:v>
                </c:pt>
                <c:pt idx="49">
                  <c:v>2.3797462135482003E-8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3.5559124287223957E-3</c:v>
                </c:pt>
                <c:pt idx="1">
                  <c:v>2.9084150949087932E-3</c:v>
                </c:pt>
                <c:pt idx="2">
                  <c:v>2.4213875666336281E-3</c:v>
                </c:pt>
                <c:pt idx="3">
                  <c:v>2.2707907494790027E-3</c:v>
                </c:pt>
                <c:pt idx="4">
                  <c:v>2.6663034908625161E-3</c:v>
                </c:pt>
                <c:pt idx="5">
                  <c:v>3.8469322693752035E-3</c:v>
                </c:pt>
                <c:pt idx="6">
                  <c:v>6.0204280318642755E-3</c:v>
                </c:pt>
                <c:pt idx="7">
                  <c:v>9.2508423906677104E-3</c:v>
                </c:pt>
                <c:pt idx="8">
                  <c:v>1.3352711137870461E-2</c:v>
                </c:pt>
                <c:pt idx="9">
                  <c:v>1.7874331791187345E-2</c:v>
                </c:pt>
                <c:pt idx="10">
                  <c:v>2.2222284423132437E-2</c:v>
                </c:pt>
                <c:pt idx="11">
                  <c:v>2.5893083596773506E-2</c:v>
                </c:pt>
                <c:pt idx="12">
                  <c:v>2.8674706223850956E-2</c:v>
                </c:pt>
                <c:pt idx="13">
                  <c:v>3.0663100782892406E-2</c:v>
                </c:pt>
                <c:pt idx="14">
                  <c:v>3.2079611429448214E-2</c:v>
                </c:pt>
                <c:pt idx="15">
                  <c:v>3.3065331849882647E-2</c:v>
                </c:pt>
                <c:pt idx="16">
                  <c:v>3.3643829951021921E-2</c:v>
                </c:pt>
                <c:pt idx="17">
                  <c:v>3.3844894221754546E-2</c:v>
                </c:pt>
                <c:pt idx="18">
                  <c:v>3.3807473589106976E-2</c:v>
                </c:pt>
                <c:pt idx="19">
                  <c:v>3.3734995914656708E-2</c:v>
                </c:pt>
                <c:pt idx="20">
                  <c:v>3.3763866054638179E-2</c:v>
                </c:pt>
                <c:pt idx="21">
                  <c:v>3.389034414389034E-2</c:v>
                </c:pt>
                <c:pt idx="22">
                  <c:v>3.4018172601312846E-2</c:v>
                </c:pt>
                <c:pt idx="23">
                  <c:v>3.4068904376273385E-2</c:v>
                </c:pt>
                <c:pt idx="24">
                  <c:v>3.4059168662693977E-2</c:v>
                </c:pt>
                <c:pt idx="25">
                  <c:v>3.4096011549585414E-2</c:v>
                </c:pt>
                <c:pt idx="26">
                  <c:v>3.4309051590498477E-2</c:v>
                </c:pt>
                <c:pt idx="27">
                  <c:v>3.4770617470865184E-2</c:v>
                </c:pt>
                <c:pt idx="28">
                  <c:v>3.5438099233135928E-2</c:v>
                </c:pt>
                <c:pt idx="29">
                  <c:v>3.6124511096370986E-2</c:v>
                </c:pt>
                <c:pt idx="30">
                  <c:v>3.6511783140264299E-2</c:v>
                </c:pt>
                <c:pt idx="31">
                  <c:v>3.624215701575409E-2</c:v>
                </c:pt>
                <c:pt idx="32">
                  <c:v>3.5077299771876465E-2</c:v>
                </c:pt>
                <c:pt idx="33">
                  <c:v>3.3015814886930256E-2</c:v>
                </c:pt>
                <c:pt idx="34">
                  <c:v>3.0249681346415452E-2</c:v>
                </c:pt>
                <c:pt idx="35">
                  <c:v>2.6987461115111164E-2</c:v>
                </c:pt>
                <c:pt idx="36">
                  <c:v>2.332392364117452E-2</c:v>
                </c:pt>
                <c:pt idx="37">
                  <c:v>1.9293831781606974E-2</c:v>
                </c:pt>
                <c:pt idx="38">
                  <c:v>1.5041525732549342E-2</c:v>
                </c:pt>
                <c:pt idx="39">
                  <c:v>1.0904074372463109E-2</c:v>
                </c:pt>
                <c:pt idx="40">
                  <c:v>7.2989037409748898E-3</c:v>
                </c:pt>
                <c:pt idx="41">
                  <c:v>4.5156377853110205E-3</c:v>
                </c:pt>
                <c:pt idx="42">
                  <c:v>2.5992416354139124E-3</c:v>
                </c:pt>
                <c:pt idx="43">
                  <c:v>1.3990535259643241E-3</c:v>
                </c:pt>
                <c:pt idx="44">
                  <c:v>6.9997542080346242E-4</c:v>
                </c:pt>
                <c:pt idx="45">
                  <c:v>3.1855120659797785E-4</c:v>
                </c:pt>
                <c:pt idx="46">
                  <c:v>1.274971368693846E-4</c:v>
                </c:pt>
                <c:pt idx="47">
                  <c:v>4.315774017791193E-5</c:v>
                </c:pt>
                <c:pt idx="48">
                  <c:v>1.184350656362197E-5</c:v>
                </c:pt>
                <c:pt idx="49">
                  <c:v>2.4717838214642942E-6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3.192344483141961E-4</c:v>
                </c:pt>
                <c:pt idx="1">
                  <c:v>7.3008328644242194E-4</c:v>
                </c:pt>
                <c:pt idx="2">
                  <c:v>1.1877914142094702E-3</c:v>
                </c:pt>
                <c:pt idx="3">
                  <c:v>1.6886047987437897E-3</c:v>
                </c:pt>
                <c:pt idx="4">
                  <c:v>2.1880318071739939E-3</c:v>
                </c:pt>
                <c:pt idx="5">
                  <c:v>2.693207941999435E-3</c:v>
                </c:pt>
                <c:pt idx="6">
                  <c:v>3.385163145567434E-3</c:v>
                </c:pt>
                <c:pt idx="7">
                  <c:v>4.6577307774550531E-3</c:v>
                </c:pt>
                <c:pt idx="8">
                  <c:v>6.9946799343843218E-3</c:v>
                </c:pt>
                <c:pt idx="9">
                  <c:v>1.0745806845688667E-2</c:v>
                </c:pt>
                <c:pt idx="10">
                  <c:v>1.5982130393521352E-2</c:v>
                </c:pt>
                <c:pt idx="11">
                  <c:v>2.2559239929040919E-2</c:v>
                </c:pt>
                <c:pt idx="12">
                  <c:v>3.0309746773329385E-2</c:v>
                </c:pt>
                <c:pt idx="13">
                  <c:v>3.9136859837670297E-2</c:v>
                </c:pt>
                <c:pt idx="14">
                  <c:v>4.8876135868253241E-2</c:v>
                </c:pt>
                <c:pt idx="15">
                  <c:v>5.9027179858515411E-2</c:v>
                </c:pt>
                <c:pt idx="16">
                  <c:v>6.8562518034867112E-2</c:v>
                </c:pt>
                <c:pt idx="17">
                  <c:v>7.5956205548673134E-2</c:v>
                </c:pt>
                <c:pt idx="18">
                  <c:v>7.9529349036105118E-2</c:v>
                </c:pt>
                <c:pt idx="19">
                  <c:v>7.8153247834996095E-2</c:v>
                </c:pt>
                <c:pt idx="20">
                  <c:v>7.2034177820731016E-2</c:v>
                </c:pt>
                <c:pt idx="21">
                  <c:v>6.2917801229590148E-2</c:v>
                </c:pt>
                <c:pt idx="22">
                  <c:v>5.3270674247651063E-2</c:v>
                </c:pt>
                <c:pt idx="23">
                  <c:v>4.4914452314149068E-2</c:v>
                </c:pt>
                <c:pt idx="24">
                  <c:v>3.8222669480565644E-2</c:v>
                </c:pt>
                <c:pt idx="25">
                  <c:v>3.2492459670667939E-2</c:v>
                </c:pt>
                <c:pt idx="26">
                  <c:v>2.698693935111271E-2</c:v>
                </c:pt>
                <c:pt idx="27">
                  <c:v>2.1640626854541819E-2</c:v>
                </c:pt>
                <c:pt idx="28">
                  <c:v>1.6945097778486823E-2</c:v>
                </c:pt>
                <c:pt idx="29">
                  <c:v>1.3362696419334692E-2</c:v>
                </c:pt>
                <c:pt idx="30">
                  <c:v>1.0912455886840098E-2</c:v>
                </c:pt>
                <c:pt idx="31">
                  <c:v>9.22956359402375E-3</c:v>
                </c:pt>
                <c:pt idx="32">
                  <c:v>7.9107832716596941E-3</c:v>
                </c:pt>
                <c:pt idx="33">
                  <c:v>6.777351332037892E-3</c:v>
                </c:pt>
                <c:pt idx="34">
                  <c:v>5.8624720926131416E-3</c:v>
                </c:pt>
                <c:pt idx="35">
                  <c:v>5.213633601668966E-3</c:v>
                </c:pt>
                <c:pt idx="36">
                  <c:v>4.7367729866412966E-3</c:v>
                </c:pt>
                <c:pt idx="37">
                  <c:v>4.224592939444014E-3</c:v>
                </c:pt>
                <c:pt idx="38">
                  <c:v>3.5175873672968765E-3</c:v>
                </c:pt>
                <c:pt idx="39">
                  <c:v>2.6291571346105744E-3</c:v>
                </c:pt>
                <c:pt idx="40">
                  <c:v>1.7222297383697905E-3</c:v>
                </c:pt>
                <c:pt idx="41">
                  <c:v>9.7750919875845641E-4</c:v>
                </c:pt>
                <c:pt idx="42">
                  <c:v>4.8080632690833278E-4</c:v>
                </c:pt>
                <c:pt idx="43">
                  <c:v>2.0791587214928731E-4</c:v>
                </c:pt>
                <c:pt idx="44">
                  <c:v>8.1532409694847402E-5</c:v>
                </c:pt>
                <c:pt idx="45">
                  <c:v>3.0075198513752321E-5</c:v>
                </c:pt>
                <c:pt idx="46">
                  <c:v>1.0539440219391481E-5</c:v>
                </c:pt>
                <c:pt idx="47">
                  <c:v>3.371074981954258E-6</c:v>
                </c:pt>
                <c:pt idx="48">
                  <c:v>9.1545950421957987E-7</c:v>
                </c:pt>
                <c:pt idx="49">
                  <c:v>1.9239228188142474E-7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1.2362699480854087E-2</c:v>
                </c:pt>
                <c:pt idx="1">
                  <c:v>8.2502547022912966E-3</c:v>
                </c:pt>
                <c:pt idx="2">
                  <c:v>4.8383940177781273E-3</c:v>
                </c:pt>
                <c:pt idx="3">
                  <c:v>2.5078920024949763E-3</c:v>
                </c:pt>
                <c:pt idx="4">
                  <c:v>1.227986098607257E-3</c:v>
                </c:pt>
                <c:pt idx="5">
                  <c:v>7.0785398718665484E-4</c:v>
                </c:pt>
                <c:pt idx="6">
                  <c:v>6.2073432962516566E-4</c:v>
                </c:pt>
                <c:pt idx="7">
                  <c:v>7.4062600562759982E-4</c:v>
                </c:pt>
                <c:pt idx="8">
                  <c:v>9.6347920189929161E-4</c:v>
                </c:pt>
                <c:pt idx="9">
                  <c:v>1.2755789946159188E-3</c:v>
                </c:pt>
                <c:pt idx="10">
                  <c:v>1.7271475989871026E-3</c:v>
                </c:pt>
                <c:pt idx="11">
                  <c:v>2.4203840533091468E-3</c:v>
                </c:pt>
                <c:pt idx="12">
                  <c:v>3.4855662889414943E-3</c:v>
                </c:pt>
                <c:pt idx="13">
                  <c:v>5.0226757646382476E-3</c:v>
                </c:pt>
                <c:pt idx="14">
                  <c:v>7.0284129866192467E-3</c:v>
                </c:pt>
                <c:pt idx="15">
                  <c:v>9.3695408697521167E-3</c:v>
                </c:pt>
                <c:pt idx="16">
                  <c:v>1.1845107904284734E-2</c:v>
                </c:pt>
                <c:pt idx="17">
                  <c:v>1.4303389167958739E-2</c:v>
                </c:pt>
                <c:pt idx="18">
                  <c:v>1.6728366905201495E-2</c:v>
                </c:pt>
                <c:pt idx="19">
                  <c:v>1.9251691611985672E-2</c:v>
                </c:pt>
                <c:pt idx="20">
                  <c:v>2.2130676656857109E-2</c:v>
                </c:pt>
                <c:pt idx="21">
                  <c:v>2.5750761143508542E-2</c:v>
                </c:pt>
                <c:pt idx="22">
                  <c:v>3.0631912511762546E-2</c:v>
                </c:pt>
                <c:pt idx="23">
                  <c:v>3.7337055772440439E-2</c:v>
                </c:pt>
                <c:pt idx="24">
                  <c:v>4.620543123041778E-2</c:v>
                </c:pt>
                <c:pt idx="25">
                  <c:v>5.6961767642605451E-2</c:v>
                </c:pt>
                <c:pt idx="26">
                  <c:v>6.838685779776163E-2</c:v>
                </c:pt>
                <c:pt idx="27">
                  <c:v>7.8301067655383888E-2</c:v>
                </c:pt>
                <c:pt idx="28">
                  <c:v>8.4067917893847224E-2</c:v>
                </c:pt>
                <c:pt idx="29">
                  <c:v>8.3595652251980623E-2</c:v>
                </c:pt>
                <c:pt idx="30">
                  <c:v>7.6409007042650176E-2</c:v>
                </c:pt>
                <c:pt idx="31">
                  <c:v>6.4089363676416336E-2</c:v>
                </c:pt>
                <c:pt idx="32">
                  <c:v>4.9653941226090841E-2</c:v>
                </c:pt>
                <c:pt idx="33">
                  <c:v>3.6196681486846516E-2</c:v>
                </c:pt>
                <c:pt idx="34">
                  <c:v>2.567308211412159E-2</c:v>
                </c:pt>
                <c:pt idx="35">
                  <c:v>1.8525344171731538E-2</c:v>
                </c:pt>
                <c:pt idx="36">
                  <c:v>1.4133780571954704E-2</c:v>
                </c:pt>
                <c:pt idx="37">
                  <c:v>1.1544467315069064E-2</c:v>
                </c:pt>
                <c:pt idx="38">
                  <c:v>9.9521637202945774E-3</c:v>
                </c:pt>
                <c:pt idx="39">
                  <c:v>8.8080609606398363E-3</c:v>
                </c:pt>
                <c:pt idx="40">
                  <c:v>7.7424350413639346E-3</c:v>
                </c:pt>
                <c:pt idx="41">
                  <c:v>6.5210830272973003E-3</c:v>
                </c:pt>
                <c:pt idx="42">
                  <c:v>5.0824263762552406E-3</c:v>
                </c:pt>
                <c:pt idx="43">
                  <c:v>3.5559045745463098E-3</c:v>
                </c:pt>
                <c:pt idx="44">
                  <c:v>2.1776257127905548E-3</c:v>
                </c:pt>
                <c:pt idx="45">
                  <c:v>1.1419745180184611E-3</c:v>
                </c:pt>
                <c:pt idx="46">
                  <c:v>5.0208026274855947E-4</c:v>
                </c:pt>
                <c:pt idx="47">
                  <c:v>1.8078719048771121E-4</c:v>
                </c:pt>
                <c:pt idx="48">
                  <c:v>5.1765675515904197E-5</c:v>
                </c:pt>
                <c:pt idx="49">
                  <c:v>1.11428059372581E-5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1.2137234292317717E-2</c:v>
                </c:pt>
                <c:pt idx="1">
                  <c:v>8.4232819780422664E-3</c:v>
                </c:pt>
                <c:pt idx="2">
                  <c:v>5.3675715864943876E-3</c:v>
                </c:pt>
                <c:pt idx="3">
                  <c:v>3.3604534247699993E-3</c:v>
                </c:pt>
                <c:pt idx="4">
                  <c:v>2.4649765861513542E-3</c:v>
                </c:pt>
                <c:pt idx="5">
                  <c:v>2.5652334917367946E-3</c:v>
                </c:pt>
                <c:pt idx="6">
                  <c:v>3.5429480858775904E-3</c:v>
                </c:pt>
                <c:pt idx="7">
                  <c:v>5.3277192595825775E-3</c:v>
                </c:pt>
                <c:pt idx="8">
                  <c:v>7.8234204381962373E-3</c:v>
                </c:pt>
                <c:pt idx="9">
                  <c:v>1.0826008183969872E-2</c:v>
                </c:pt>
                <c:pt idx="10">
                  <c:v>1.4034309085559974E-2</c:v>
                </c:pt>
                <c:pt idx="11">
                  <c:v>1.7156414165022896E-2</c:v>
                </c:pt>
                <c:pt idx="12">
                  <c:v>2.0019851136509944E-2</c:v>
                </c:pt>
                <c:pt idx="13">
                  <c:v>2.2583770976748997E-2</c:v>
                </c:pt>
                <c:pt idx="14">
                  <c:v>2.4845425876047999E-2</c:v>
                </c:pt>
                <c:pt idx="15">
                  <c:v>2.6747431112648452E-2</c:v>
                </c:pt>
                <c:pt idx="16">
                  <c:v>2.8197241838004469E-2</c:v>
                </c:pt>
                <c:pt idx="17">
                  <c:v>2.9183745778447311E-2</c:v>
                </c:pt>
                <c:pt idx="18">
                  <c:v>2.9857405813418395E-2</c:v>
                </c:pt>
                <c:pt idx="19">
                  <c:v>3.0473697565521034E-2</c:v>
                </c:pt>
                <c:pt idx="20">
                  <c:v>3.1248163241096402E-2</c:v>
                </c:pt>
                <c:pt idx="21">
                  <c:v>3.2255964408231377E-2</c:v>
                </c:pt>
                <c:pt idx="22">
                  <c:v>3.3432806039152579E-2</c:v>
                </c:pt>
                <c:pt idx="23">
                  <c:v>3.4612959480829271E-2</c:v>
                </c:pt>
                <c:pt idx="24">
                  <c:v>3.5546400997090416E-2</c:v>
                </c:pt>
                <c:pt idx="25">
                  <c:v>3.5945739131296839E-2</c:v>
                </c:pt>
                <c:pt idx="26">
                  <c:v>3.562780387717155E-2</c:v>
                </c:pt>
                <c:pt idx="27">
                  <c:v>3.4677556484555727E-2</c:v>
                </c:pt>
                <c:pt idx="28">
                  <c:v>3.347049289743631E-2</c:v>
                </c:pt>
                <c:pt idx="29">
                  <c:v>3.2497258759295801E-2</c:v>
                </c:pt>
                <c:pt idx="30">
                  <c:v>3.2112352291726695E-2</c:v>
                </c:pt>
                <c:pt idx="31">
                  <c:v>3.2369217999786037E-2</c:v>
                </c:pt>
                <c:pt idx="32">
                  <c:v>3.3006477296799772E-2</c:v>
                </c:pt>
                <c:pt idx="33">
                  <c:v>3.3558433220290874E-2</c:v>
                </c:pt>
                <c:pt idx="34">
                  <c:v>3.3535245909722414E-2</c:v>
                </c:pt>
                <c:pt idx="35">
                  <c:v>3.2606281083230333E-2</c:v>
                </c:pt>
                <c:pt idx="36">
                  <c:v>3.0705628432786573E-2</c:v>
                </c:pt>
                <c:pt idx="37">
                  <c:v>2.8003449403109233E-2</c:v>
                </c:pt>
                <c:pt idx="38">
                  <c:v>2.4766190975415756E-2</c:v>
                </c:pt>
                <c:pt idx="39">
                  <c:v>2.1208424044170091E-2</c:v>
                </c:pt>
                <c:pt idx="40">
                  <c:v>1.7445937030137887E-2</c:v>
                </c:pt>
                <c:pt idx="41">
                  <c:v>1.3574716702254044E-2</c:v>
                </c:pt>
                <c:pt idx="42">
                  <c:v>9.7860159705868144E-3</c:v>
                </c:pt>
                <c:pt idx="43">
                  <c:v>6.3879830103033717E-3</c:v>
                </c:pt>
                <c:pt idx="44">
                  <c:v>3.6903535995778023E-3</c:v>
                </c:pt>
                <c:pt idx="45">
                  <c:v>1.8451084270261777E-3</c:v>
                </c:pt>
                <c:pt idx="46">
                  <c:v>7.8047479803912282E-4</c:v>
                </c:pt>
                <c:pt idx="47">
                  <c:v>2.7236837526335884E-4</c:v>
                </c:pt>
                <c:pt idx="48">
                  <c:v>7.6023415798158315E-5</c:v>
                </c:pt>
                <c:pt idx="49">
                  <c:v>1.603202275094235E-5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3.1907371081143907E-4</c:v>
                </c:pt>
                <c:pt idx="1">
                  <c:v>4.9421767140473522E-4</c:v>
                </c:pt>
                <c:pt idx="2">
                  <c:v>7.3915318990610125E-4</c:v>
                </c:pt>
                <c:pt idx="3">
                  <c:v>1.086924786800915E-3</c:v>
                </c:pt>
                <c:pt idx="4">
                  <c:v>1.5161659015663447E-3</c:v>
                </c:pt>
                <c:pt idx="5">
                  <c:v>1.9715689208341341E-3</c:v>
                </c:pt>
                <c:pt idx="6">
                  <c:v>2.4264177019190244E-3</c:v>
                </c:pt>
                <c:pt idx="7">
                  <c:v>2.9569443514030334E-3</c:v>
                </c:pt>
                <c:pt idx="8">
                  <c:v>3.7744873592389125E-3</c:v>
                </c:pt>
                <c:pt idx="9">
                  <c:v>5.1871553812114692E-3</c:v>
                </c:pt>
                <c:pt idx="10">
                  <c:v>7.5260739678232715E-3</c:v>
                </c:pt>
                <c:pt idx="11">
                  <c:v>1.1097425317043608E-2</c:v>
                </c:pt>
                <c:pt idx="12">
                  <c:v>1.6163751897010484E-2</c:v>
                </c:pt>
                <c:pt idx="13">
                  <c:v>2.2888328247574655E-2</c:v>
                </c:pt>
                <c:pt idx="14">
                  <c:v>3.1209157060768378E-2</c:v>
                </c:pt>
                <c:pt idx="15">
                  <c:v>4.0718873950297919E-2</c:v>
                </c:pt>
                <c:pt idx="16">
                  <c:v>5.0653968153987899E-2</c:v>
                </c:pt>
                <c:pt idx="17">
                  <c:v>5.9996583557218736E-2</c:v>
                </c:pt>
                <c:pt idx="18">
                  <c:v>6.7629260804243585E-2</c:v>
                </c:pt>
                <c:pt idx="19">
                  <c:v>7.2550580699707615E-2</c:v>
                </c:pt>
                <c:pt idx="20">
                  <c:v>7.4182949358138003E-2</c:v>
                </c:pt>
                <c:pt idx="21">
                  <c:v>7.2637366962243335E-2</c:v>
                </c:pt>
                <c:pt idx="22">
                  <c:v>6.8659967743463987E-2</c:v>
                </c:pt>
                <c:pt idx="23">
                  <c:v>6.3181795167385466E-2</c:v>
                </c:pt>
                <c:pt idx="24">
                  <c:v>5.6803721792605621E-2</c:v>
                </c:pt>
                <c:pt idx="25">
                  <c:v>4.9676072534978161E-2</c:v>
                </c:pt>
                <c:pt idx="26">
                  <c:v>4.1854395424951937E-2</c:v>
                </c:pt>
                <c:pt idx="27">
                  <c:v>3.372507253135628E-2</c:v>
                </c:pt>
                <c:pt idx="28">
                  <c:v>2.6051489717376225E-2</c:v>
                </c:pt>
                <c:pt idx="29">
                  <c:v>1.9619386340005603E-2</c:v>
                </c:pt>
                <c:pt idx="30">
                  <c:v>1.4844584740679843E-2</c:v>
                </c:pt>
                <c:pt idx="31">
                  <c:v>1.1659597176662437E-2</c:v>
                </c:pt>
                <c:pt idx="32">
                  <c:v>9.6819709330067446E-3</c:v>
                </c:pt>
                <c:pt idx="33">
                  <c:v>8.4692934070121836E-3</c:v>
                </c:pt>
                <c:pt idx="34">
                  <c:v>7.6913564723832166E-3</c:v>
                </c:pt>
                <c:pt idx="35">
                  <c:v>7.1588460537830951E-3</c:v>
                </c:pt>
                <c:pt idx="36">
                  <c:v>6.7447882257462861E-3</c:v>
                </c:pt>
                <c:pt idx="37">
                  <c:v>6.3031257038191997E-3</c:v>
                </c:pt>
                <c:pt idx="38">
                  <c:v>5.6783242861716534E-3</c:v>
                </c:pt>
                <c:pt idx="39">
                  <c:v>4.7936517486161269E-3</c:v>
                </c:pt>
                <c:pt idx="40">
                  <c:v>3.7134276978818982E-3</c:v>
                </c:pt>
                <c:pt idx="41">
                  <c:v>2.6065404078701956E-3</c:v>
                </c:pt>
                <c:pt idx="42">
                  <c:v>1.6459831439399634E-3</c:v>
                </c:pt>
                <c:pt idx="43">
                  <c:v>9.2974164182678864E-4</c:v>
                </c:pt>
                <c:pt idx="44">
                  <c:v>4.6605672230762984E-4</c:v>
                </c:pt>
                <c:pt idx="45">
                  <c:v>2.0475907961419257E-4</c:v>
                </c:pt>
                <c:pt idx="46">
                  <c:v>7.7426784638564381E-5</c:v>
                </c:pt>
                <c:pt idx="47">
                  <c:v>2.4589086623588583E-5</c:v>
                </c:pt>
                <c:pt idx="48">
                  <c:v>6.3487827792597558E-6</c:v>
                </c:pt>
                <c:pt idx="49">
                  <c:v>1.2577013602503206E-6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1.883494812417009E-5</c:v>
                </c:pt>
                <c:pt idx="1">
                  <c:v>1.6995786326685011E-5</c:v>
                </c:pt>
                <c:pt idx="2">
                  <c:v>1.6694691491469058E-5</c:v>
                </c:pt>
                <c:pt idx="3">
                  <c:v>2.482417570207306E-5</c:v>
                </c:pt>
                <c:pt idx="4">
                  <c:v>5.9374873156826198E-5</c:v>
                </c:pt>
                <c:pt idx="5">
                  <c:v>1.5233378789341291E-4</c:v>
                </c:pt>
                <c:pt idx="6">
                  <c:v>3.4231708021344019E-4</c:v>
                </c:pt>
                <c:pt idx="7">
                  <c:v>6.5346455364923093E-4</c:v>
                </c:pt>
                <c:pt idx="8">
                  <c:v>1.0743817557790558E-3</c:v>
                </c:pt>
                <c:pt idx="9">
                  <c:v>1.5669654742467547E-3</c:v>
                </c:pt>
                <c:pt idx="10">
                  <c:v>2.1216500002324426E-3</c:v>
                </c:pt>
                <c:pt idx="11">
                  <c:v>2.827770144401083E-3</c:v>
                </c:pt>
                <c:pt idx="12">
                  <c:v>3.8883854715941355E-3</c:v>
                </c:pt>
                <c:pt idx="13">
                  <c:v>5.5370519808212717E-3</c:v>
                </c:pt>
                <c:pt idx="14">
                  <c:v>7.9112576299813116E-3</c:v>
                </c:pt>
                <c:pt idx="15">
                  <c:v>1.1014761676781306E-2</c:v>
                </c:pt>
                <c:pt idx="16">
                  <c:v>1.4852589400756911E-2</c:v>
                </c:pt>
                <c:pt idx="17">
                  <c:v>1.9653858429535438E-2</c:v>
                </c:pt>
                <c:pt idx="18">
                  <c:v>2.5964090023504714E-2</c:v>
                </c:pt>
                <c:pt idx="19">
                  <c:v>3.445167528487178E-2</c:v>
                </c:pt>
                <c:pt idx="20">
                  <c:v>4.5495927887261527E-2</c:v>
                </c:pt>
                <c:pt idx="21">
                  <c:v>5.8768933959820843E-2</c:v>
                </c:pt>
                <c:pt idx="22">
                  <c:v>7.2957207120046663E-2</c:v>
                </c:pt>
                <c:pt idx="23">
                  <c:v>8.5703138025680636E-2</c:v>
                </c:pt>
                <c:pt idx="24">
                  <c:v>9.3992245271929037E-2</c:v>
                </c:pt>
                <c:pt idx="25">
                  <c:v>9.5235815960777639E-2</c:v>
                </c:pt>
                <c:pt idx="26">
                  <c:v>8.8705295904022166E-2</c:v>
                </c:pt>
                <c:pt idx="27">
                  <c:v>7.6214470568057843E-2</c:v>
                </c:pt>
                <c:pt idx="28">
                  <c:v>6.1221626599171936E-2</c:v>
                </c:pt>
                <c:pt idx="29">
                  <c:v>4.6946205331205887E-2</c:v>
                </c:pt>
                <c:pt idx="30">
                  <c:v>3.5052908704152529E-2</c:v>
                </c:pt>
                <c:pt idx="31">
                  <c:v>2.5738175550957934E-2</c:v>
                </c:pt>
                <c:pt idx="32">
                  <c:v>1.8613516816756322E-2</c:v>
                </c:pt>
                <c:pt idx="33">
                  <c:v>1.3336303953209417E-2</c:v>
                </c:pt>
                <c:pt idx="34">
                  <c:v>9.6613324081960151E-3</c:v>
                </c:pt>
                <c:pt idx="35">
                  <c:v>7.2858122342198224E-3</c:v>
                </c:pt>
                <c:pt idx="36">
                  <c:v>5.8341974576939411E-3</c:v>
                </c:pt>
                <c:pt idx="37">
                  <c:v>4.9648732252065208E-3</c:v>
                </c:pt>
                <c:pt idx="38">
                  <c:v>4.4341697240628712E-3</c:v>
                </c:pt>
                <c:pt idx="39">
                  <c:v>4.067238354374102E-3</c:v>
                </c:pt>
                <c:pt idx="40">
                  <c:v>3.7103347315006734E-3</c:v>
                </c:pt>
                <c:pt idx="41">
                  <c:v>3.2374072876935529E-3</c:v>
                </c:pt>
                <c:pt idx="42">
                  <c:v>2.6020427503156739E-3</c:v>
                </c:pt>
                <c:pt idx="43">
                  <c:v>1.8674386665062761E-3</c:v>
                </c:pt>
                <c:pt idx="44">
                  <c:v>1.1674665061528152E-3</c:v>
                </c:pt>
                <c:pt idx="45">
                  <c:v>6.2256665521012852E-4</c:v>
                </c:pt>
                <c:pt idx="46">
                  <c:v>2.7748435236239636E-4</c:v>
                </c:pt>
                <c:pt idx="47">
                  <c:v>1.0104710337516019E-4</c:v>
                </c:pt>
                <c:pt idx="48">
                  <c:v>2.9205058403148673E-5</c:v>
                </c:pt>
                <c:pt idx="49">
                  <c:v>6.3346626130133657E-6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1.7430258896127291E-2</c:v>
                </c:pt>
                <c:pt idx="1">
                  <c:v>1.6730108854669159E-2</c:v>
                </c:pt>
                <c:pt idx="2">
                  <c:v>1.6553994320138259E-2</c:v>
                </c:pt>
                <c:pt idx="3">
                  <c:v>1.721091221985618E-2</c:v>
                </c:pt>
                <c:pt idx="4">
                  <c:v>1.8684969622755617E-2</c:v>
                </c:pt>
                <c:pt idx="5">
                  <c:v>2.0663414290580582E-2</c:v>
                </c:pt>
                <c:pt idx="6">
                  <c:v>2.267512191563038E-2</c:v>
                </c:pt>
                <c:pt idx="7">
                  <c:v>2.4299980221296168E-2</c:v>
                </c:pt>
                <c:pt idx="8">
                  <c:v>2.5392938676359455E-2</c:v>
                </c:pt>
                <c:pt idx="9">
                  <c:v>2.6224230826251933E-2</c:v>
                </c:pt>
                <c:pt idx="10">
                  <c:v>2.7445550420988857E-2</c:v>
                </c:pt>
                <c:pt idx="11">
                  <c:v>2.9902079911845746E-2</c:v>
                </c:pt>
                <c:pt idx="12">
                  <c:v>3.4417023486236639E-2</c:v>
                </c:pt>
                <c:pt idx="13">
                  <c:v>4.1614719059162295E-2</c:v>
                </c:pt>
                <c:pt idx="14">
                  <c:v>5.1658985019605821E-2</c:v>
                </c:pt>
                <c:pt idx="15">
                  <c:v>6.3771914052398307E-2</c:v>
                </c:pt>
                <c:pt idx="16">
                  <c:v>7.5774143456141113E-2</c:v>
                </c:pt>
                <c:pt idx="17">
                  <c:v>8.4301311244241589E-2</c:v>
                </c:pt>
                <c:pt idx="18">
                  <c:v>8.6100387381409862E-2</c:v>
                </c:pt>
                <c:pt idx="19">
                  <c:v>7.9809478318828717E-2</c:v>
                </c:pt>
                <c:pt idx="20">
                  <c:v>6.6882884808568854E-2</c:v>
                </c:pt>
                <c:pt idx="21">
                  <c:v>5.0849779104919196E-2</c:v>
                </c:pt>
                <c:pt idx="22">
                  <c:v>3.5478075290509413E-2</c:v>
                </c:pt>
                <c:pt idx="23">
                  <c:v>2.320307070662379E-2</c:v>
                </c:pt>
                <c:pt idx="24">
                  <c:v>1.468308033373055E-2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2.6246782215011543E-2</c:v>
                </c:pt>
                <c:pt idx="1">
                  <c:v>2.2826211462141362E-2</c:v>
                </c:pt>
                <c:pt idx="2">
                  <c:v>2.0490729116285376E-2</c:v>
                </c:pt>
                <c:pt idx="3">
                  <c:v>1.9942538714294758E-2</c:v>
                </c:pt>
                <c:pt idx="4">
                  <c:v>2.1347385348670811E-2</c:v>
                </c:pt>
                <c:pt idx="5">
                  <c:v>2.4476311620513194E-2</c:v>
                </c:pt>
                <c:pt idx="6">
                  <c:v>2.9009845146825201E-2</c:v>
                </c:pt>
                <c:pt idx="7">
                  <c:v>3.4778783718513534E-2</c:v>
                </c:pt>
                <c:pt idx="8">
                  <c:v>4.1787253515627898E-2</c:v>
                </c:pt>
                <c:pt idx="9">
                  <c:v>5.0032436849247387E-2</c:v>
                </c:pt>
                <c:pt idx="10">
                  <c:v>5.924630337869187E-2</c:v>
                </c:pt>
                <c:pt idx="11">
                  <c:v>6.8669048045180966E-2</c:v>
                </c:pt>
                <c:pt idx="12">
                  <c:v>7.6944703406331652E-2</c:v>
                </c:pt>
                <c:pt idx="13">
                  <c:v>8.2293862590840844E-2</c:v>
                </c:pt>
                <c:pt idx="14">
                  <c:v>8.3080855209125143E-2</c:v>
                </c:pt>
                <c:pt idx="15">
                  <c:v>7.8577858912610279E-2</c:v>
                </c:pt>
                <c:pt idx="16">
                  <c:v>6.9410414717186314E-2</c:v>
                </c:pt>
                <c:pt idx="17">
                  <c:v>5.731241035337848E-2</c:v>
                </c:pt>
                <c:pt idx="18">
                  <c:v>4.4369881095277224E-2</c:v>
                </c:pt>
                <c:pt idx="19">
                  <c:v>3.2299244589336189E-2</c:v>
                </c:pt>
                <c:pt idx="20">
                  <c:v>2.2132939800477956E-2</c:v>
                </c:pt>
                <c:pt idx="21">
                  <c:v>1.4271244880024063E-2</c:v>
                </c:pt>
                <c:pt idx="22">
                  <c:v>8.66508248808949E-3</c:v>
                </c:pt>
                <c:pt idx="23">
                  <c:v>4.9849880717592323E-3</c:v>
                </c:pt>
                <c:pt idx="24">
                  <c:v>2.7634284206980541E-3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0.29012890966532701</c:v>
                </c:pt>
                <c:pt idx="1">
                  <c:v>0.22007497747518395</c:v>
                </c:pt>
                <c:pt idx="2">
                  <c:v>0.15798591648027205</c:v>
                </c:pt>
                <c:pt idx="3">
                  <c:v>0.10868452878805528</c:v>
                </c:pt>
                <c:pt idx="4">
                  <c:v>7.2844141062113968E-2</c:v>
                </c:pt>
                <c:pt idx="5">
                  <c:v>4.8266095189567426E-2</c:v>
                </c:pt>
                <c:pt idx="6">
                  <c:v>3.1889144457419583E-2</c:v>
                </c:pt>
                <c:pt idx="7">
                  <c:v>2.1091522106623944E-2</c:v>
                </c:pt>
                <c:pt idx="8">
                  <c:v>1.4018782753134264E-2</c:v>
                </c:pt>
                <c:pt idx="9">
                  <c:v>9.424414835968703E-3</c:v>
                </c:pt>
                <c:pt idx="10">
                  <c:v>6.461666168872603E-3</c:v>
                </c:pt>
                <c:pt idx="11">
                  <c:v>4.5529451753982559E-3</c:v>
                </c:pt>
                <c:pt idx="12">
                  <c:v>3.3106847214377402E-3</c:v>
                </c:pt>
                <c:pt idx="13">
                  <c:v>2.4816348498953953E-3</c:v>
                </c:pt>
                <c:pt idx="14">
                  <c:v>1.9063539259202456E-3</c:v>
                </c:pt>
                <c:pt idx="15">
                  <c:v>1.4890960671700279E-3</c:v>
                </c:pt>
                <c:pt idx="16">
                  <c:v>1.1746779779682076E-3</c:v>
                </c:pt>
                <c:pt idx="17">
                  <c:v>9.3181260314719849E-4</c:v>
                </c:pt>
                <c:pt idx="18">
                  <c:v>7.422134026271131E-4</c:v>
                </c:pt>
                <c:pt idx="19">
                  <c:v>5.9346070969109547E-4</c:v>
                </c:pt>
                <c:pt idx="20">
                  <c:v>4.7467923352959279E-4</c:v>
                </c:pt>
                <c:pt idx="21">
                  <c:v>3.756624265110915E-4</c:v>
                </c:pt>
                <c:pt idx="22">
                  <c:v>2.8907375665111198E-4</c:v>
                </c:pt>
                <c:pt idx="23">
                  <c:v>2.1287530917644783E-4</c:v>
                </c:pt>
                <c:pt idx="24">
                  <c:v>1.4980174365465538E-4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0.31563733318118109</c:v>
                </c:pt>
                <c:pt idx="1">
                  <c:v>0.23358183493870438</c:v>
                </c:pt>
                <c:pt idx="2">
                  <c:v>0.16139496146539692</c:v>
                </c:pt>
                <c:pt idx="3">
                  <c:v>0.10520220978897359</c:v>
                </c:pt>
                <c:pt idx="4">
                  <c:v>6.6014097354285498E-2</c:v>
                </c:pt>
                <c:pt idx="5">
                  <c:v>4.1018437342211896E-2</c:v>
                </c:pt>
                <c:pt idx="6">
                  <c:v>2.5963259177678118E-2</c:v>
                </c:pt>
                <c:pt idx="7">
                  <c:v>1.6999030996758022E-2</c:v>
                </c:pt>
                <c:pt idx="8">
                  <c:v>1.144064541686597E-2</c:v>
                </c:pt>
                <c:pt idx="9">
                  <c:v>7.7482384058618174E-3</c:v>
                </c:pt>
                <c:pt idx="10">
                  <c:v>5.1770946086884496E-3</c:v>
                </c:pt>
                <c:pt idx="11">
                  <c:v>3.3929465797922389E-3</c:v>
                </c:pt>
                <c:pt idx="12">
                  <c:v>2.2027380478658459E-3</c:v>
                </c:pt>
                <c:pt idx="13">
                  <c:v>1.4398154302738347E-3</c:v>
                </c:pt>
                <c:pt idx="14">
                  <c:v>9.5520352625344095E-4</c:v>
                </c:pt>
                <c:pt idx="15">
                  <c:v>6.3837035132773196E-4</c:v>
                </c:pt>
                <c:pt idx="16">
                  <c:v>4.2263156736116009E-4</c:v>
                </c:pt>
                <c:pt idx="17">
                  <c:v>2.7315824939323319E-4</c:v>
                </c:pt>
                <c:pt idx="18">
                  <c:v>1.7184138330150826E-4</c:v>
                </c:pt>
                <c:pt idx="19">
                  <c:v>1.0716845494293398E-4</c:v>
                </c:pt>
                <c:pt idx="20">
                  <c:v>6.9258411604552681E-5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</c:v>
                </c:pt>
                <c:pt idx="1">
                  <c:v>26.995247840881348</c:v>
                </c:pt>
                <c:pt idx="2">
                  <c:v>114.53003025054932</c:v>
                </c:pt>
                <c:pt idx="3">
                  <c:v>405.86587047576904</c:v>
                </c:pt>
                <c:pt idx="4">
                  <c:v>1207.5727586746216</c:v>
                </c:pt>
                <c:pt idx="5">
                  <c:v>3014.45374584198</c:v>
                </c:pt>
                <c:pt idx="6">
                  <c:v>6352.0966758728027</c:v>
                </c:pt>
                <c:pt idx="7">
                  <c:v>11389.818245887756</c:v>
                </c:pt>
                <c:pt idx="8">
                  <c:v>17517.58922958374</c:v>
                </c:pt>
                <c:pt idx="9">
                  <c:v>23278.96388053894</c:v>
                </c:pt>
                <c:pt idx="10">
                  <c:v>26902.628015518188</c:v>
                </c:pt>
                <c:pt idx="11">
                  <c:v>27194.552432060242</c:v>
                </c:pt>
                <c:pt idx="12">
                  <c:v>24183.317061424255</c:v>
                </c:pt>
                <c:pt idx="13">
                  <c:v>19055.688704490662</c:v>
                </c:pt>
                <c:pt idx="14">
                  <c:v>13464.295018196106</c:v>
                </c:pt>
                <c:pt idx="15">
                  <c:v>8727.2932147979736</c:v>
                </c:pt>
                <c:pt idx="16">
                  <c:v>5413.6189203262329</c:v>
                </c:pt>
                <c:pt idx="17">
                  <c:v>3426.9528322219849</c:v>
                </c:pt>
                <c:pt idx="18">
                  <c:v>2354.1210908889771</c:v>
                </c:pt>
                <c:pt idx="19">
                  <c:v>1781.3005905151367</c:v>
                </c:pt>
                <c:pt idx="20">
                  <c:v>1439.1929168701172</c:v>
                </c:pt>
                <c:pt idx="21">
                  <c:v>1204.1777925491333</c:v>
                </c:pt>
                <c:pt idx="22">
                  <c:v>1040.4407501220703</c:v>
                </c:pt>
                <c:pt idx="23">
                  <c:v>944.76726531982422</c:v>
                </c:pt>
                <c:pt idx="24">
                  <c:v>915.73092651367188</c:v>
                </c:pt>
                <c:pt idx="25">
                  <c:v>943.48509693145752</c:v>
                </c:pt>
                <c:pt idx="26">
                  <c:v>1008.8659915924072</c:v>
                </c:pt>
                <c:pt idx="27">
                  <c:v>1085.2661075592041</c:v>
                </c:pt>
                <c:pt idx="28">
                  <c:v>1143.0711431503296</c:v>
                </c:pt>
                <c:pt idx="29">
                  <c:v>1156.7219343185425</c:v>
                </c:pt>
                <c:pt idx="30">
                  <c:v>1111.606162071228</c:v>
                </c:pt>
                <c:pt idx="31">
                  <c:v>1008.0579500198364</c:v>
                </c:pt>
                <c:pt idx="32">
                  <c:v>861.57750797271729</c:v>
                </c:pt>
                <c:pt idx="33">
                  <c:v>698.31575298309326</c:v>
                </c:pt>
                <c:pt idx="34">
                  <c:v>545.35745239257813</c:v>
                </c:pt>
                <c:pt idx="35">
                  <c:v>419.6431188583374</c:v>
                </c:pt>
                <c:pt idx="36">
                  <c:v>322.92017555236816</c:v>
                </c:pt>
                <c:pt idx="37">
                  <c:v>246.42726612091064</c:v>
                </c:pt>
                <c:pt idx="38">
                  <c:v>180.76778697967529</c:v>
                </c:pt>
                <c:pt idx="39">
                  <c:v>122.66744804382324</c:v>
                </c:pt>
                <c:pt idx="40">
                  <c:v>74.548559188842773</c:v>
                </c:pt>
                <c:pt idx="41">
                  <c:v>39.680601119995117</c:v>
                </c:pt>
                <c:pt idx="42">
                  <c:v>18.289376258850098</c:v>
                </c:pt>
                <c:pt idx="43">
                  <c:v>7.3202037811279297</c:v>
                </c:pt>
                <c:pt idx="44">
                  <c:v>2.6076631546020508</c:v>
                </c:pt>
                <c:pt idx="45">
                  <c:v>0.86787605285644531</c:v>
                </c:pt>
                <c:pt idx="46">
                  <c:v>0.28142070770263672</c:v>
                </c:pt>
                <c:pt idx="47">
                  <c:v>8.7145805358886719E-2</c:v>
                </c:pt>
                <c:pt idx="48">
                  <c:v>2.3700714111328125E-2</c:v>
                </c:pt>
                <c:pt idx="49">
                  <c:v>5.0535202026367188E-3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1.0310532070159913E-2</c:v>
                </c:pt>
                <c:pt idx="2">
                  <c:v>6.7637733002662667E-2</c:v>
                </c:pt>
                <c:pt idx="3">
                  <c:v>0.33131189449501036</c:v>
                </c:pt>
                <c:pt idx="4">
                  <c:v>1.2999516731452943</c:v>
                </c:pt>
                <c:pt idx="5">
                  <c:v>4.2302324814434051</c:v>
                </c:pt>
                <c:pt idx="6">
                  <c:v>11.625277187808992</c:v>
                </c:pt>
                <c:pt idx="7">
                  <c:v>27.27581544764805</c:v>
                </c:pt>
                <c:pt idx="8">
                  <c:v>55.21846807954789</c:v>
                </c:pt>
                <c:pt idx="9">
                  <c:v>97.921807193289752</c:v>
                </c:pt>
                <c:pt idx="10">
                  <c:v>155.66668915422247</c:v>
                </c:pt>
                <c:pt idx="11">
                  <c:v>229.22816421946715</c:v>
                </c:pt>
                <c:pt idx="12">
                  <c:v>325.17993899565789</c:v>
                </c:pt>
                <c:pt idx="13">
                  <c:v>459.66433822348881</c:v>
                </c:pt>
                <c:pt idx="14">
                  <c:v>655.69796438986486</c:v>
                </c:pt>
                <c:pt idx="15">
                  <c:v>932.4772197200441</c:v>
                </c:pt>
                <c:pt idx="16">
                  <c:v>1295.2229911718578</c:v>
                </c:pt>
                <c:pt idx="17">
                  <c:v>1751.875468725606</c:v>
                </c:pt>
                <c:pt idx="18">
                  <c:v>2389.7507760974713</c:v>
                </c:pt>
                <c:pt idx="19">
                  <c:v>3499.7409617068624</c:v>
                </c:pt>
                <c:pt idx="20">
                  <c:v>5628.1812652195485</c:v>
                </c:pt>
                <c:pt idx="21">
                  <c:v>9366.2397349957828</c:v>
                </c:pt>
                <c:pt idx="22">
                  <c:v>14825.995047629825</c:v>
                </c:pt>
                <c:pt idx="23">
                  <c:v>21117.586232495451</c:v>
                </c:pt>
                <c:pt idx="24">
                  <c:v>26391.995509736444</c:v>
                </c:pt>
                <c:pt idx="25">
                  <c:v>28705.822653150608</c:v>
                </c:pt>
                <c:pt idx="26">
                  <c:v>27196.117992571639</c:v>
                </c:pt>
                <c:pt idx="27">
                  <c:v>22615.032935768162</c:v>
                </c:pt>
                <c:pt idx="28">
                  <c:v>16771.661473256881</c:v>
                </c:pt>
                <c:pt idx="29">
                  <c:v>11403.413682954819</c:v>
                </c:pt>
                <c:pt idx="30">
                  <c:v>7401.2347585496318</c:v>
                </c:pt>
                <c:pt idx="31">
                  <c:v>4801.8519313203151</c:v>
                </c:pt>
                <c:pt idx="32">
                  <c:v>3234.5020553205795</c:v>
                </c:pt>
                <c:pt idx="33">
                  <c:v>2313.254550836441</c:v>
                </c:pt>
                <c:pt idx="34">
                  <c:v>1770.0796174305992</c:v>
                </c:pt>
                <c:pt idx="35">
                  <c:v>1430.6716911910689</c:v>
                </c:pt>
                <c:pt idx="36">
                  <c:v>1178.3694105518819</c:v>
                </c:pt>
                <c:pt idx="37">
                  <c:v>947.44847076349936</c:v>
                </c:pt>
                <c:pt idx="38">
                  <c:v>719.92830690136054</c:v>
                </c:pt>
                <c:pt idx="39">
                  <c:v>507.92656636136064</c:v>
                </c:pt>
                <c:pt idx="40">
                  <c:v>330.10720391000939</c:v>
                </c:pt>
                <c:pt idx="41">
                  <c:v>196.63441238173866</c:v>
                </c:pt>
                <c:pt idx="42">
                  <c:v>106.49131708038807</c:v>
                </c:pt>
                <c:pt idx="43">
                  <c:v>51.672594943551069</c:v>
                </c:pt>
                <c:pt idx="44">
                  <c:v>21.974888828455924</c:v>
                </c:pt>
                <c:pt idx="45">
                  <c:v>7.96007407493782</c:v>
                </c:pt>
                <c:pt idx="46">
                  <c:v>2.3725350006885533</c:v>
                </c:pt>
                <c:pt idx="47">
                  <c:v>0.55758711106014258</c:v>
                </c:pt>
                <c:pt idx="48">
                  <c:v>9.759830979347231E-2</c:v>
                </c:pt>
                <c:pt idx="49">
                  <c:v>1.1640554230690001E-2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4</c:v>
                </c:pt>
                <c:pt idx="1">
                  <c:v>3.6094150543212891</c:v>
                </c:pt>
                <c:pt idx="2">
                  <c:v>3.54547119140625</c:v>
                </c:pt>
                <c:pt idx="3">
                  <c:v>5.2719392776489258</c:v>
                </c:pt>
                <c:pt idx="4">
                  <c:v>12.609511375427246</c:v>
                </c:pt>
                <c:pt idx="5">
                  <c:v>32.35130500793457</c:v>
                </c:pt>
                <c:pt idx="6">
                  <c:v>72.69827938079834</c:v>
                </c:pt>
                <c:pt idx="7">
                  <c:v>138.77703285217285</c:v>
                </c:pt>
                <c:pt idx="8">
                  <c:v>228.16771221160889</c:v>
                </c:pt>
                <c:pt idx="9">
                  <c:v>332.77829360961914</c:v>
                </c:pt>
                <c:pt idx="10">
                  <c:v>450.57729625701904</c:v>
                </c:pt>
                <c:pt idx="11">
                  <c:v>600.53685855865479</c:v>
                </c:pt>
                <c:pt idx="12">
                  <c:v>825.78097820281982</c:v>
                </c:pt>
                <c:pt idx="13">
                  <c:v>1175.9102163314819</c:v>
                </c:pt>
                <c:pt idx="14">
                  <c:v>1680.1230516433716</c:v>
                </c:pt>
                <c:pt idx="15">
                  <c:v>2339.2178421020508</c:v>
                </c:pt>
                <c:pt idx="16">
                  <c:v>3154.261812210083</c:v>
                </c:pt>
                <c:pt idx="17">
                  <c:v>4173.9129409790039</c:v>
                </c:pt>
                <c:pt idx="18">
                  <c:v>5514.0242176055908</c:v>
                </c:pt>
                <c:pt idx="19">
                  <c:v>7316.5426435470581</c:v>
                </c:pt>
                <c:pt idx="20">
                  <c:v>9662.0235080718994</c:v>
                </c:pt>
                <c:pt idx="21">
                  <c:v>12480.82735824585</c:v>
                </c:pt>
                <c:pt idx="22">
                  <c:v>15494.007552146912</c:v>
                </c:pt>
                <c:pt idx="23">
                  <c:v>18200.875831604004</c:v>
                </c:pt>
                <c:pt idx="24">
                  <c:v>19961.243248939514</c:v>
                </c:pt>
                <c:pt idx="25">
                  <c:v>20225.341813087463</c:v>
                </c:pt>
                <c:pt idx="26">
                  <c:v>18838.447617530823</c:v>
                </c:pt>
                <c:pt idx="27">
                  <c:v>16185.756406784058</c:v>
                </c:pt>
                <c:pt idx="28">
                  <c:v>13001.708567619324</c:v>
                </c:pt>
                <c:pt idx="29">
                  <c:v>9970.0206279754639</c:v>
                </c:pt>
                <c:pt idx="30">
                  <c:v>7444.2272891998291</c:v>
                </c:pt>
                <c:pt idx="31">
                  <c:v>5466.0464963912964</c:v>
                </c:pt>
                <c:pt idx="32">
                  <c:v>3952.9743738174438</c:v>
                </c:pt>
                <c:pt idx="33">
                  <c:v>2832.2464952468872</c:v>
                </c:pt>
                <c:pt idx="34">
                  <c:v>2051.7884826660156</c:v>
                </c:pt>
                <c:pt idx="35">
                  <c:v>1547.296480178833</c:v>
                </c:pt>
                <c:pt idx="36">
                  <c:v>1239.0153493881226</c:v>
                </c:pt>
                <c:pt idx="37">
                  <c:v>1054.3959436416626</c:v>
                </c:pt>
                <c:pt idx="38">
                  <c:v>941.6898193359375</c:v>
                </c:pt>
                <c:pt idx="39">
                  <c:v>863.76417446136475</c:v>
                </c:pt>
                <c:pt idx="40">
                  <c:v>787.9681339263916</c:v>
                </c:pt>
                <c:pt idx="41">
                  <c:v>687.53197860717773</c:v>
                </c:pt>
                <c:pt idx="42">
                  <c:v>552.59886741638184</c:v>
                </c:pt>
                <c:pt idx="43">
                  <c:v>396.59013748168945</c:v>
                </c:pt>
                <c:pt idx="44">
                  <c:v>247.93622970581055</c:v>
                </c:pt>
                <c:pt idx="45">
                  <c:v>132.2152099609375</c:v>
                </c:pt>
                <c:pt idx="46">
                  <c:v>58.92967700958252</c:v>
                </c:pt>
                <c:pt idx="47">
                  <c:v>21.459491729736328</c:v>
                </c:pt>
                <c:pt idx="48">
                  <c:v>6.2023124694824219</c:v>
                </c:pt>
                <c:pt idx="49">
                  <c:v>1.3452997207641602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opLeftCell="A57" workbookViewId="0">
      <selection activeCell="N25" sqref="N2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773.531642</v>
      </c>
      <c r="E8" s="6" t="n">
        <v>0.0</v>
      </c>
      <c r="F8" s="6">
        <f>SUM(B8:E8)</f>
        <v>773.53164200000003</v>
      </c>
      <c r="H8" t="s">
        <v>5</v>
      </c>
      <c r="I8" s="9" t="n">
        <v>549.0</v>
      </c>
      <c r="J8" s="9" t="n">
        <v>0.0</v>
      </c>
      <c r="K8" s="9" t="n">
        <v>178.0</v>
      </c>
      <c r="L8" s="9" t="n">
        <v>21.0</v>
      </c>
      <c r="M8">
        <f>SUM(I8:L8)</f>
        <v>3880</v>
      </c>
      <c r="O8" s="5"/>
      <c r="P8" s="16"/>
      <c r="Q8" s="16"/>
      <c r="R8" s="5"/>
    </row>
    <row r="9" spans="1:18" x14ac:dyDescent="0.25">
      <c r="A9" s="12">
        <v>0.125</v>
      </c>
      <c r="B9" s="6" t="n">
        <v>929.6789523274489</v>
      </c>
      <c r="C9" s="6" t="n">
        <v>37.45645995222091</v>
      </c>
      <c r="D9" s="6" t="n">
        <v>608.6554428600178</v>
      </c>
      <c r="E9" s="6" t="n">
        <v>0.2378517388095856</v>
      </c>
      <c r="F9" s="6">
        <f>SUM(B9:E9)</f>
        <v>1576.0287068784974</v>
      </c>
      <c r="H9" s="12">
        <v>0.125</v>
      </c>
      <c r="I9" s="9" t="n">
        <v>1874.8342275619507</v>
      </c>
      <c r="J9" s="9" t="n">
        <v>33.60769081115723</v>
      </c>
      <c r="K9" s="9" t="n">
        <v>490.80402851104736</v>
      </c>
      <c r="L9" s="9" t="n">
        <v>18.915945053100586</v>
      </c>
      <c r="M9">
        <f ref="M9:M58" si="0" t="shared">SUM(I9:L9)</f>
        <v>5455.3210477828979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2286.7763216511203</v>
      </c>
      <c r="C10" s="6" t="n">
        <v>177.29719883773515</v>
      </c>
      <c r="D10" s="6" t="n">
        <v>553.8577856802684</v>
      </c>
      <c r="E10" s="6" t="n">
        <v>1.1081696325941086</v>
      </c>
      <c r="F10" s="6">
        <f ref="F10:F58" si="1" t="shared">SUM(B10:E10)</f>
        <v>3019.0394758017183</v>
      </c>
      <c r="H10" s="12">
        <v>0.14583333333333334</v>
      </c>
      <c r="I10" s="9" t="n">
        <v>3398.6486797332764</v>
      </c>
      <c r="J10" s="9" t="n">
        <v>146.13218116760254</v>
      </c>
      <c r="K10" s="9" t="n">
        <v>826.4645729064941</v>
      </c>
      <c r="L10" s="9" t="n">
        <v>17.975462913513184</v>
      </c>
      <c r="M10">
        <f si="0" t="shared"/>
        <v>7345.9465494155884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4583.067396647826</v>
      </c>
      <c r="C11" s="6" t="n">
        <v>651.7053851572762</v>
      </c>
      <c r="D11" s="6" t="n">
        <v>731.6451912371894</v>
      </c>
      <c r="E11" s="6" t="n">
        <v>4.017502730766297</v>
      </c>
      <c r="F11" s="6">
        <f si="1" t="shared"/>
        <v>5970.435475773058</v>
      </c>
      <c r="H11" s="12">
        <v>0.16666666666666666</v>
      </c>
      <c r="I11" s="9" t="n">
        <v>5539.587885856628</v>
      </c>
      <c r="J11" s="9" t="n">
        <v>519.088641166687</v>
      </c>
      <c r="K11" s="9" t="n">
        <v>1296.2026929855347</v>
      </c>
      <c r="L11" s="9" t="n">
        <v>19.051091194152832</v>
      </c>
      <c r="M11">
        <f si="0" t="shared"/>
        <v>10210.776926040649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8440.47810862338</v>
      </c>
      <c r="C12" s="6" t="n">
        <v>1938.1096947635706</v>
      </c>
      <c r="D12" s="6" t="n">
        <v>1298.0851401668624</v>
      </c>
      <c r="E12" s="6" t="n">
        <v>12.10713389402485</v>
      </c>
      <c r="F12" s="6">
        <f si="1" t="shared"/>
        <v>11688.780077447838</v>
      </c>
      <c r="H12" s="12">
        <v>0.1875</v>
      </c>
      <c r="I12" s="9" t="n">
        <v>9024.585953712463</v>
      </c>
      <c r="J12" s="9" t="n">
        <v>1537.33798122406</v>
      </c>
      <c r="K12" s="9" t="n">
        <v>2136.9494524002075</v>
      </c>
      <c r="L12" s="9" t="n">
        <v>23.118881225585938</v>
      </c>
      <c r="M12">
        <f si="0" t="shared"/>
        <v>15250.245632171631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14468.476073402928</v>
      </c>
      <c r="C13" s="6" t="n">
        <v>4742.159251094073</v>
      </c>
      <c r="D13" s="6" t="n">
        <v>2451.899608087635</v>
      </c>
      <c r="E13" s="6" t="n">
        <v>31.366653040553096</v>
      </c>
      <c r="F13" s="6">
        <f si="1" t="shared"/>
        <v>21693.90158562519</v>
      </c>
      <c r="H13" s="12">
        <v>0.20833333333333334</v>
      </c>
      <c r="I13" s="9" t="n">
        <v>14716.741436958313</v>
      </c>
      <c r="J13" s="9" t="n">
        <v>3800.384570121765</v>
      </c>
      <c r="K13" s="9" t="n">
        <v>3663.7463607788086</v>
      </c>
      <c r="L13" s="9" t="n">
        <v>32.39850330352783</v>
      </c>
      <c r="M13">
        <f si="0" t="shared"/>
        <v>24047.440891265869</v>
      </c>
    </row>
    <row r="14" spans="1:18" x14ac:dyDescent="0.25">
      <c r="A14" s="12">
        <v>0.22916666666666666</v>
      </c>
      <c r="B14" s="6" t="n">
        <v>22929.034992532506</v>
      </c>
      <c r="C14" s="6" t="n">
        <v>9666.765769703143</v>
      </c>
      <c r="D14" s="6" t="n">
        <v>4381.324819093519</v>
      </c>
      <c r="E14" s="6" t="n">
        <v>71.31680236172582</v>
      </c>
      <c r="F14" s="6">
        <f si="1" t="shared"/>
        <v>37048.44238369089</v>
      </c>
      <c r="H14" s="12">
        <v>0.22916666666666666</v>
      </c>
      <c r="I14" s="9" t="n">
        <v>23154.614011764526</v>
      </c>
      <c r="J14" s="9" t="n">
        <v>7888.9736585617065</v>
      </c>
      <c r="K14" s="9" t="n">
        <v>6138.826751708984</v>
      </c>
      <c r="L14" s="9" t="n">
        <v>51.590749740600586</v>
      </c>
      <c r="M14">
        <f si="0" t="shared"/>
        <v>37879.991293907166</v>
      </c>
    </row>
    <row r="15" spans="1:18" x14ac:dyDescent="0.25">
      <c r="A15" s="12">
        <v>0.25</v>
      </c>
      <c r="B15" s="6" t="n">
        <v>33280.36385853661</v>
      </c>
      <c r="C15" s="6" t="n">
        <v>16573.432751015473</v>
      </c>
      <c r="D15" s="6" t="n">
        <v>7123.403603153838</v>
      </c>
      <c r="E15" s="6" t="n">
        <v>143.97818019294263</v>
      </c>
      <c r="F15" s="6">
        <f si="1" t="shared"/>
        <v>57121.178392898866</v>
      </c>
      <c r="H15" s="12">
        <v>0.25</v>
      </c>
      <c r="I15" s="9" t="n">
        <v>33972.51973628998</v>
      </c>
      <c r="J15" s="9" t="n">
        <v>13854.581202507019</v>
      </c>
      <c r="K15" s="9" t="n">
        <v>9606.608341217041</v>
      </c>
      <c r="L15" s="9" t="n">
        <v>88.57083415985107</v>
      </c>
      <c r="M15">
        <f si="0" t="shared"/>
        <v>56639.960525512695</v>
      </c>
    </row>
    <row r="16" spans="1:18" x14ac:dyDescent="0.25">
      <c r="A16" s="12">
        <v>0.27083333333333331</v>
      </c>
      <c r="B16" s="6" t="n">
        <v>43905.15825190958</v>
      </c>
      <c r="C16" s="6" t="n">
        <v>24070.22548011659</v>
      </c>
      <c r="D16" s="6" t="n">
        <v>10411.791386685429</v>
      </c>
      <c r="E16" s="6" t="n">
        <v>260.1693204819641</v>
      </c>
      <c r="F16" s="6">
        <f si="1" t="shared"/>
        <v>78647.344439193563</v>
      </c>
      <c r="H16" s="12">
        <v>0.27083333333333331</v>
      </c>
      <c r="I16" s="9" t="n">
        <v>45567.69447898865</v>
      </c>
      <c r="J16" s="9" t="n">
        <v>20735.442212104797</v>
      </c>
      <c r="K16" s="9" t="n">
        <v>13782.125205039978</v>
      </c>
      <c r="L16" s="9" t="n">
        <v>156.06990146636963</v>
      </c>
      <c r="M16">
        <f si="0" t="shared"/>
        <v>77980.814073562622</v>
      </c>
    </row>
    <row r="17" spans="1:13" x14ac:dyDescent="0.25">
      <c r="A17" s="12">
        <v>0.29166666666666669</v>
      </c>
      <c r="B17" s="6" t="n">
        <v>52383.047644210994</v>
      </c>
      <c r="C17" s="6" t="n">
        <v>29773.845709561618</v>
      </c>
      <c r="D17" s="6" t="n">
        <v>13677.254144341528</v>
      </c>
      <c r="E17" s="6" t="n">
        <v>425.02425418433285</v>
      </c>
      <c r="F17" s="6">
        <f si="1" t="shared"/>
        <v>96259.171752298469</v>
      </c>
      <c r="H17" s="12">
        <v>0.29166666666666669</v>
      </c>
      <c r="I17" s="9" t="n">
        <v>55371.8253736496</v>
      </c>
      <c r="J17" s="9" t="n">
        <v>26621.094688415527</v>
      </c>
      <c r="K17" s="9" t="n">
        <v>18079.661814689636</v>
      </c>
      <c r="L17" s="9" t="n">
        <v>278.94270515441895</v>
      </c>
      <c r="M17">
        <f si="0" t="shared"/>
        <v>97516.447965621948</v>
      </c>
    </row>
    <row r="18" spans="1:13" x14ac:dyDescent="0.25">
      <c r="A18" s="12">
        <v>0.3125</v>
      </c>
      <c r="B18" s="6" t="n">
        <v>56384.16528109776</v>
      </c>
      <c r="C18" s="6" t="n">
        <v>31498.878274162707</v>
      </c>
      <c r="D18" s="6" t="n">
        <v>16290.958775080897</v>
      </c>
      <c r="E18" s="6" t="n">
        <v>639.2245644333047</v>
      </c>
      <c r="F18" s="6">
        <f si="1" t="shared"/>
        <v>104813.22689477466</v>
      </c>
      <c r="H18" s="12">
        <v>0.3125</v>
      </c>
      <c r="I18" s="9" t="n">
        <v>60771.5380191803</v>
      </c>
      <c r="J18" s="9" t="n">
        <v>29483.48569202423</v>
      </c>
      <c r="K18" s="9" t="n">
        <v>21808.94592475891</v>
      </c>
      <c r="L18" s="9" t="n">
        <v>509.4382667541504</v>
      </c>
      <c r="M18">
        <f si="0" t="shared"/>
        <v>110398.20790290833</v>
      </c>
    </row>
    <row r="19" spans="1:13" x14ac:dyDescent="0.25">
      <c r="A19" s="12">
        <v>0.33333333333333331</v>
      </c>
      <c r="B19" s="6" t="n">
        <v>54766.1070946987</v>
      </c>
      <c r="C19" s="6" t="n">
        <v>28602.827337067567</v>
      </c>
      <c r="D19" s="6" t="n">
        <v>17911.659899233844</v>
      </c>
      <c r="E19" s="6" t="n">
        <v>914.5635410383932</v>
      </c>
      <c r="F19" s="6">
        <f si="1" t="shared"/>
        <v>102195.15787203852</v>
      </c>
      <c r="H19" s="12">
        <v>0.33333333333333331</v>
      </c>
      <c r="I19" s="9" t="n">
        <v>60261.463748931885</v>
      </c>
      <c r="J19" s="9" t="n">
        <v>28301.676699638367</v>
      </c>
      <c r="K19" s="9" t="n">
        <v>24460.733423233032</v>
      </c>
      <c r="L19" s="9" t="n">
        <v>940.0610523223877</v>
      </c>
      <c r="M19">
        <f si="0" t="shared"/>
        <v>113568.06418991089</v>
      </c>
    </row>
    <row r="20" spans="1:13" x14ac:dyDescent="0.25">
      <c r="A20" s="12">
        <v>0.35416666666666669</v>
      </c>
      <c r="B20" s="6" t="n">
        <v>48174.6388664289</v>
      </c>
      <c r="C20" s="6" t="n">
        <v>22380.481691197012</v>
      </c>
      <c r="D20" s="6" t="n">
        <v>18653.42383675617</v>
      </c>
      <c r="E20" s="6" t="n">
        <v>1305.6844032990257</v>
      </c>
      <c r="F20" s="6">
        <f si="1" t="shared"/>
        <v>90514.228797681091</v>
      </c>
      <c r="H20" s="12">
        <v>0.35416666666666669</v>
      </c>
      <c r="I20" s="9" t="n">
        <v>54160.507895469666</v>
      </c>
      <c r="J20" s="9" t="n">
        <v>23638.573474884033</v>
      </c>
      <c r="K20" s="9" t="n">
        <v>25914.756826400757</v>
      </c>
      <c r="L20" s="9" t="n">
        <v>1689.3719186782837</v>
      </c>
      <c r="M20">
        <f si="0" t="shared"/>
        <v>107276.55306434631</v>
      </c>
    </row>
    <row r="21" spans="1:13" x14ac:dyDescent="0.25">
      <c r="A21" s="12">
        <v>0.375</v>
      </c>
      <c r="B21" s="6" t="n">
        <v>38715.95684261892</v>
      </c>
      <c r="C21" s="6" t="n">
        <v>15183.390889290546</v>
      </c>
      <c r="D21" s="6" t="n">
        <v>18927.297038257806</v>
      </c>
      <c r="E21" s="6" t="n">
        <v>1938.6174145642915</v>
      </c>
      <c r="F21" s="6">
        <f si="1" t="shared"/>
        <v>74765.26218473156</v>
      </c>
      <c r="H21" s="12">
        <v>0.375</v>
      </c>
      <c r="I21" s="9" t="n">
        <v>44437.68928050995</v>
      </c>
      <c r="J21" s="9" t="n">
        <v>17241.946266174316</v>
      </c>
      <c r="K21" s="9" t="n">
        <v>26424.8182888031</v>
      </c>
      <c r="L21" s="9" t="n">
        <v>2845.1034727096558</v>
      </c>
      <c r="M21">
        <f si="0" t="shared"/>
        <v>94818.783881187439</v>
      </c>
    </row>
    <row r="22" spans="1:13" x14ac:dyDescent="0.25">
      <c r="A22" s="12">
        <v>0.39583333333333331</v>
      </c>
      <c r="B22" s="6" t="n">
        <v>28922.204662529333</v>
      </c>
      <c r="C22" s="6" t="n">
        <v>9050.327101174778</v>
      </c>
      <c r="D22" s="6" t="n">
        <v>19102.052277978044</v>
      </c>
      <c r="E22" s="6" t="n">
        <v>2989.0201560240585</v>
      </c>
      <c r="F22" s="6">
        <f si="1" t="shared"/>
        <v>60063.60419770622</v>
      </c>
      <c r="H22" s="12">
        <v>0.39583333333333331</v>
      </c>
      <c r="I22" s="9" t="n">
        <v>33764.03314781189</v>
      </c>
      <c r="J22" s="9" t="n">
        <v>11036.28139591217</v>
      </c>
      <c r="K22" s="9" t="n">
        <v>26397.52415370941</v>
      </c>
      <c r="L22" s="9" t="n">
        <v>4388.808243751526</v>
      </c>
      <c r="M22">
        <f si="0" t="shared"/>
        <v>80697.704345703125</v>
      </c>
    </row>
    <row r="23" spans="1:13" x14ac:dyDescent="0.25">
      <c r="A23" s="12">
        <v>0.41666666666666669</v>
      </c>
      <c r="B23" s="6" t="n">
        <v>20703.598535506222</v>
      </c>
      <c r="C23" s="6" t="n">
        <v>4895.034237685732</v>
      </c>
      <c r="D23" s="6" t="n">
        <v>19271.36352595571</v>
      </c>
      <c r="E23" s="6" t="n">
        <v>4567.551918299366</v>
      </c>
      <c r="F23" s="6">
        <f si="1" t="shared"/>
        <v>49437.548217447031</v>
      </c>
      <c r="H23" s="12">
        <v>0.41666666666666669</v>
      </c>
      <c r="I23" s="9" t="n">
        <v>24392.15249156952</v>
      </c>
      <c r="J23" s="9" t="n">
        <v>6261.465016365051</v>
      </c>
      <c r="K23" s="9" t="n">
        <v>26155.510591506958</v>
      </c>
      <c r="L23" s="9" t="n">
        <v>6157.586200714111</v>
      </c>
      <c r="M23">
        <f si="0" t="shared"/>
        <v>68509.115566253662</v>
      </c>
    </row>
    <row r="24" spans="1:13" x14ac:dyDescent="0.25">
      <c r="A24" s="12">
        <v>0.4375</v>
      </c>
      <c r="B24" s="6" t="n">
        <v>14872.411631241694</v>
      </c>
      <c r="C24" s="6" t="n">
        <v>2592.3807735518794</v>
      </c>
      <c r="D24" s="6" t="n">
        <v>19289.527601763657</v>
      </c>
      <c r="E24" s="6" t="n">
        <v>6548.482204288334</v>
      </c>
      <c r="F24" s="6">
        <f si="1" t="shared"/>
        <v>43302.802210845563</v>
      </c>
      <c r="H24" s="12">
        <v>0.4375</v>
      </c>
      <c r="I24" s="9" t="n">
        <v>17488.23979663849</v>
      </c>
      <c r="J24" s="9" t="n">
        <v>3227.6223526000977</v>
      </c>
      <c r="K24" s="9" t="n">
        <v>25871.84913253784</v>
      </c>
      <c r="L24" s="9" t="n">
        <v>7874.828797340393</v>
      </c>
      <c r="M24">
        <f si="0" t="shared"/>
        <v>59833.180484771729</v>
      </c>
    </row>
    <row r="25" spans="1:13" x14ac:dyDescent="0.25">
      <c r="A25" s="12">
        <v>0.45833333333333331</v>
      </c>
      <c r="B25" s="6" t="n">
        <v>11310.536447010934</v>
      </c>
      <c r="C25" s="6" t="n">
        <v>1541.369256151847</v>
      </c>
      <c r="D25" s="6" t="n">
        <v>19001.31484033111</v>
      </c>
      <c r="E25" s="6" t="n">
        <v>8487.447689893745</v>
      </c>
      <c r="F25" s="6">
        <f si="1" t="shared"/>
        <v>40340.668233387638</v>
      </c>
      <c r="H25" s="12">
        <v>0.45833333333333331</v>
      </c>
      <c r="I25" s="9" t="n">
        <v>13135.123387336731</v>
      </c>
      <c r="J25" s="9" t="n">
        <v>1604.2113904953003</v>
      </c>
      <c r="K25" s="9" t="n">
        <v>25666.08317756653</v>
      </c>
      <c r="L25" s="9" t="n">
        <v>9226.204297065735</v>
      </c>
      <c r="M25">
        <f si="0" t="shared"/>
        <v>54450.688055038452</v>
      </c>
    </row>
    <row r="26" spans="1:13" x14ac:dyDescent="0.25">
      <c r="A26" s="12">
        <v>0.47916666666666669</v>
      </c>
      <c r="B26" s="6" t="n">
        <v>9437.343571748253</v>
      </c>
      <c r="C26" s="6" t="n">
        <v>1151.028539946661</v>
      </c>
      <c r="D26" s="6" t="n">
        <v>18457.053459988252</v>
      </c>
      <c r="E26" s="6" t="n">
        <v>9770.999670708887</v>
      </c>
      <c r="F26" s="6">
        <f si="1" t="shared"/>
        <v>38816.425242392055</v>
      </c>
      <c r="H26" s="12">
        <v>0.47916666666666669</v>
      </c>
      <c r="I26" s="9" t="n">
        <v>10772.178311347961</v>
      </c>
      <c r="J26" s="9" t="n">
        <v>862.4418497085571</v>
      </c>
      <c r="K26" s="9" t="n">
        <v>25685.97385597229</v>
      </c>
      <c r="L26" s="9" t="n">
        <v>9941.680342674255</v>
      </c>
      <c r="M26">
        <f si="0" t="shared"/>
        <v>51268.721120834351</v>
      </c>
    </row>
    <row r="27" spans="1:13" x14ac:dyDescent="0.25">
      <c r="A27" s="12">
        <v>0.5</v>
      </c>
      <c r="B27" s="6" t="n">
        <v>8606.758380730775</v>
      </c>
      <c r="C27" s="6" t="n">
        <v>1031.6614848286085</v>
      </c>
      <c r="D27" s="6" t="n">
        <v>17948.870297543624</v>
      </c>
      <c r="E27" s="6" t="n">
        <v>9952.16748512574</v>
      </c>
      <c r="F27" s="6">
        <f si="1" t="shared"/>
        <v>37539.457648228745</v>
      </c>
      <c r="H27" s="12">
        <v>0.5</v>
      </c>
      <c r="I27" s="9" t="n">
        <v>9678.476546287537</v>
      </c>
      <c r="J27" s="9" t="n">
        <v>569.9989280700684</v>
      </c>
      <c r="K27" s="9" t="n">
        <v>26053.884342193604</v>
      </c>
      <c r="L27" s="9" t="n">
        <v>9875.088428497314</v>
      </c>
      <c r="M27">
        <f si="0" t="shared"/>
        <v>49172.518153190613</v>
      </c>
    </row>
    <row r="28" spans="1:13" x14ac:dyDescent="0.25">
      <c r="A28" s="12">
        <v>0.52083333333333337</v>
      </c>
      <c r="B28" s="6" t="n">
        <v>8292.76106561734</v>
      </c>
      <c r="C28" s="6" t="n">
        <v>980.3894788480377</v>
      </c>
      <c r="D28" s="6" t="n">
        <v>17853.814141517963</v>
      </c>
      <c r="E28" s="6" t="n">
        <v>9020.060258569401</v>
      </c>
      <c r="F28" s="6">
        <f si="1" t="shared"/>
        <v>36147.024944552744</v>
      </c>
      <c r="H28" s="12">
        <v>0.52083333333333337</v>
      </c>
      <c r="I28" s="9" t="n">
        <v>9254.506128311157</v>
      </c>
      <c r="J28" s="9" t="n">
        <v>474.0169429779053</v>
      </c>
      <c r="K28" s="9" t="n">
        <v>26750.50583934784</v>
      </c>
      <c r="L28" s="9" t="n">
        <v>9073.387861251831</v>
      </c>
      <c r="M28">
        <f si="0" t="shared"/>
        <v>47442.558488845825</v>
      </c>
    </row>
    <row r="29" spans="1:13" x14ac:dyDescent="0.25">
      <c r="A29" s="12">
        <v>0.54166666666666663</v>
      </c>
      <c r="B29" s="6" t="n">
        <v>8124.130003390584</v>
      </c>
      <c r="C29" s="6" t="n">
        <v>912.9479506010696</v>
      </c>
      <c r="D29" s="6" t="n">
        <v>18399.355718846153</v>
      </c>
      <c r="E29" s="6" t="n">
        <v>7379.6482935795275</v>
      </c>
      <c r="F29" s="6">
        <f si="1" t="shared"/>
        <v>34816.081966417332</v>
      </c>
      <c r="H29" s="12">
        <v>0.54166666666666663</v>
      </c>
      <c r="I29" s="9" t="n">
        <v>9090.256132125854</v>
      </c>
      <c r="J29" s="9" t="n">
        <v>461.1525707244873</v>
      </c>
      <c r="K29" s="9" t="n">
        <v>27600.731806755066</v>
      </c>
      <c r="L29" s="9" t="n">
        <v>7782.434797286987</v>
      </c>
      <c r="M29">
        <f si="0" t="shared"/>
        <v>45788.677562713623</v>
      </c>
    </row>
    <row r="30" spans="1:13" x14ac:dyDescent="0.25">
      <c r="A30" s="12">
        <v>0.5625</v>
      </c>
      <c r="B30" s="6" t="n">
        <v>7870.587805776807</v>
      </c>
      <c r="C30" s="6" t="n">
        <v>815.8915782327766</v>
      </c>
      <c r="D30" s="6" t="n">
        <v>19507.951033582493</v>
      </c>
      <c r="E30" s="6" t="n">
        <v>5576.888035482931</v>
      </c>
      <c r="F30" s="6">
        <f si="1" t="shared"/>
        <v>33771.318453075008</v>
      </c>
      <c r="H30" s="12">
        <v>0.5625</v>
      </c>
      <c r="I30" s="9" t="n">
        <v>8928.760986328125</v>
      </c>
      <c r="J30" s="9" t="n">
        <v>493.9565362930298</v>
      </c>
      <c r="K30" s="9" t="n">
        <v>28416.900117874146</v>
      </c>
      <c r="L30" s="9" t="n">
        <v>6341.492111206055</v>
      </c>
      <c r="M30">
        <f si="0" t="shared"/>
        <v>44189.006678581238</v>
      </c>
    </row>
    <row r="31" spans="1:13" x14ac:dyDescent="0.25">
      <c r="A31" s="12">
        <v>0.58333333333333337</v>
      </c>
      <c r="B31" s="6" t="n">
        <v>7427.780757596249</v>
      </c>
      <c r="C31" s="6" t="n">
        <v>720.6361300486784</v>
      </c>
      <c r="D31" s="6" t="n">
        <v>20832.43719628367</v>
      </c>
      <c r="E31" s="6" t="n">
        <v>4010.9095879636243</v>
      </c>
      <c r="F31" s="6">
        <f si="1" t="shared"/>
        <v>32991.763671892222</v>
      </c>
      <c r="H31" s="12">
        <v>0.58333333333333337</v>
      </c>
      <c r="I31" s="9" t="n">
        <v>8620.758178710938</v>
      </c>
      <c r="J31" s="9" t="n">
        <v>567.3032341003418</v>
      </c>
      <c r="K31" s="9" t="n">
        <v>29177.92564868927</v>
      </c>
      <c r="L31" s="9" t="n">
        <v>5018.336003303528</v>
      </c>
      <c r="M31">
        <f si="0" t="shared"/>
        <v>42701.657069206238</v>
      </c>
    </row>
    <row r="32" spans="1:13" x14ac:dyDescent="0.25">
      <c r="A32" s="12">
        <v>0.60416666666666663</v>
      </c>
      <c r="B32" s="6" t="n">
        <v>6800.330048262378</v>
      </c>
      <c r="C32" s="6" t="n">
        <v>680.4931700876637</v>
      </c>
      <c r="D32" s="6" t="n">
        <v>21982.777105147212</v>
      </c>
      <c r="E32" s="6" t="n">
        <v>2826.72666793555</v>
      </c>
      <c r="F32" s="6">
        <f si="1" t="shared"/>
        <v>32290.326991432801</v>
      </c>
      <c r="H32" s="12">
        <v>0.60416666666666663</v>
      </c>
      <c r="I32" s="9" t="n">
        <v>8102.942291259766</v>
      </c>
      <c r="J32" s="9" t="n">
        <v>684.8472375869751</v>
      </c>
      <c r="K32" s="9" t="n">
        <v>30071.13590335846</v>
      </c>
      <c r="L32" s="9" t="n">
        <v>3912.716833114624</v>
      </c>
      <c r="M32">
        <f si="0" t="shared"/>
        <v>41362.276111602783</v>
      </c>
    </row>
    <row r="33" spans="1:13" x14ac:dyDescent="0.25">
      <c r="A33" s="12">
        <v>0.625</v>
      </c>
      <c r="B33" s="6" t="n">
        <v>6070.652125609612</v>
      </c>
      <c r="C33" s="6" t="n">
        <v>742.677579453844</v>
      </c>
      <c r="D33" s="6" t="n">
        <v>22807.472179579432</v>
      </c>
      <c r="E33" s="6" t="n">
        <v>1985.5007347652293</v>
      </c>
      <c r="F33" s="6">
        <f si="1" t="shared"/>
        <v>31606.302619408118</v>
      </c>
      <c r="H33" s="12">
        <v>0.625</v>
      </c>
      <c r="I33" s="9" t="n">
        <v>7390.135443687439</v>
      </c>
      <c r="J33" s="9" t="n">
        <v>844.1161279678345</v>
      </c>
      <c r="K33" s="9" t="n">
        <v>31345.72949886322</v>
      </c>
      <c r="L33" s="9" t="n">
        <v>2993.974262237549</v>
      </c>
      <c r="M33">
        <f si="0" t="shared"/>
        <v>40191.287745475769</v>
      </c>
    </row>
    <row r="34" spans="1:13" x14ac:dyDescent="0.25">
      <c r="A34" s="12">
        <v>0.64583333333333337</v>
      </c>
      <c r="B34" s="6" t="n">
        <v>5348.682090821088</v>
      </c>
      <c r="C34" s="6" t="n">
        <v>920.5259220601912</v>
      </c>
      <c r="D34" s="6" t="n">
        <v>23525.99524925027</v>
      </c>
      <c r="E34" s="6" t="n">
        <v>1388.8300855676737</v>
      </c>
      <c r="F34" s="6">
        <f si="1" t="shared"/>
        <v>31184.033347699227</v>
      </c>
      <c r="H34" s="12">
        <v>0.64583333333333337</v>
      </c>
      <c r="I34" s="9" t="n">
        <v>6561.153670310974</v>
      </c>
      <c r="J34" s="9" t="n">
        <v>1026.386339187622</v>
      </c>
      <c r="K34" s="9" t="n">
        <v>33098.916160583496</v>
      </c>
      <c r="L34" s="9" t="n">
        <v>2208.3341789245605</v>
      </c>
      <c r="M34">
        <f si="0" t="shared"/>
        <v>39240.168380737305</v>
      </c>
    </row>
    <row r="35" spans="1:13" x14ac:dyDescent="0.25">
      <c r="A35" s="12">
        <v>0.66666666666666663</v>
      </c>
      <c r="B35" s="6" t="n">
        <v>4713.654650092738</v>
      </c>
      <c r="C35" s="6" t="n">
        <v>1176.461497478443</v>
      </c>
      <c r="D35" s="6" t="n">
        <v>24589.827197314284</v>
      </c>
      <c r="E35" s="6" t="n">
        <v>958.0179481783554</v>
      </c>
      <c r="F35" s="6">
        <f si="1" t="shared"/>
        <v>31437.961293063821</v>
      </c>
      <c r="H35" s="12">
        <v>0.66666666666666663</v>
      </c>
      <c r="I35" s="9" t="n">
        <v>5724.879363059998</v>
      </c>
      <c r="J35" s="9" t="n">
        <v>1195.742621421814</v>
      </c>
      <c r="K35" s="9" t="n">
        <v>35167.87640285492</v>
      </c>
      <c r="L35" s="9" t="n">
        <v>1546.8335857391357</v>
      </c>
      <c r="M35">
        <f si="0" t="shared"/>
        <v>38585.825810432434</v>
      </c>
    </row>
    <row r="36" spans="1:13" x14ac:dyDescent="0.25">
      <c r="A36" s="12">
        <v>0.6875</v>
      </c>
      <c r="B36" s="6" t="n">
        <v>4176.296336804074</v>
      </c>
      <c r="C36" s="6" t="n">
        <v>1426.1398079031583</v>
      </c>
      <c r="D36" s="6" t="n">
        <v>26329.08488018075</v>
      </c>
      <c r="E36" s="6" t="n">
        <v>650.0465508660556</v>
      </c>
      <c r="F36" s="6">
        <f si="1" t="shared"/>
        <v>32581.567575754038</v>
      </c>
      <c r="H36" s="12">
        <v>0.6875</v>
      </c>
      <c r="I36" s="9" t="n">
        <v>4970.745891571045</v>
      </c>
      <c r="J36" s="9" t="n">
        <v>1309.9707860946655</v>
      </c>
      <c r="K36" s="9" t="n">
        <v>37182.7938375473</v>
      </c>
      <c r="L36" s="9" t="n">
        <v>1034.934718132019</v>
      </c>
      <c r="M36">
        <f si="0" t="shared"/>
        <v>38247.505573272705</v>
      </c>
    </row>
    <row r="37" spans="1:13" x14ac:dyDescent="0.25">
      <c r="A37" s="12">
        <v>0.70833333333333337</v>
      </c>
      <c r="B37" s="6" t="n">
        <v>3686.618408527312</v>
      </c>
      <c r="C37" s="6" t="n">
        <v>1569.0671418324928</v>
      </c>
      <c r="D37" s="6" t="n">
        <v>28591.818305818633</v>
      </c>
      <c r="E37" s="6" t="n">
        <v>440.6055380444966</v>
      </c>
      <c r="F37" s="6">
        <f si="1" t="shared"/>
        <v>34288.109394222934</v>
      </c>
      <c r="H37" s="12">
        <v>0.70833333333333337</v>
      </c>
      <c r="I37" s="9" t="n">
        <v>4328.440757751465</v>
      </c>
      <c r="J37" s="9" t="n">
        <v>1336.8625535964966</v>
      </c>
      <c r="K37" s="9" t="n">
        <v>38687.037338256836</v>
      </c>
      <c r="L37" s="9" t="n">
        <v>686.6500873565674</v>
      </c>
      <c r="M37">
        <f si="0" t="shared"/>
        <v>38083.742625236511</v>
      </c>
    </row>
    <row r="38" spans="1:13" x14ac:dyDescent="0.25">
      <c r="A38" s="12">
        <v>0.72916666666666663</v>
      </c>
      <c r="B38" s="6" t="n">
        <v>3180.791905161166</v>
      </c>
      <c r="C38" s="6" t="n">
        <v>1536.355312054539</v>
      </c>
      <c r="D38" s="6" t="n">
        <v>30625.237838344132</v>
      </c>
      <c r="E38" s="6" t="n">
        <v>306.6313359692831</v>
      </c>
      <c r="F38" s="6">
        <f si="1" t="shared"/>
        <v>35649.01639152912</v>
      </c>
      <c r="H38" s="12">
        <v>0.72916666666666663</v>
      </c>
      <c r="I38" s="9" t="n">
        <v>3765.078966140747</v>
      </c>
      <c r="J38" s="9" t="n">
        <v>1265.4729499816895</v>
      </c>
      <c r="K38" s="9" t="n">
        <v>39229.19921207428</v>
      </c>
      <c r="L38" s="9" t="n">
        <v>478.8800687789917</v>
      </c>
      <c r="M38">
        <f si="0" t="shared"/>
        <v>37766.67218875885</v>
      </c>
    </row>
    <row r="39" spans="1:13" x14ac:dyDescent="0.25">
      <c r="A39" s="12">
        <v>0.75</v>
      </c>
      <c r="B39" s="6" t="n">
        <v>2629.779362052895</v>
      </c>
      <c r="C39" s="6" t="n">
        <v>1328.03920135534</v>
      </c>
      <c r="D39" s="6" t="n">
        <v>31349.655113006367</v>
      </c>
      <c r="E39" s="6" t="n">
        <v>221.98937571316623</v>
      </c>
      <c r="F39" s="6">
        <f si="1" t="shared"/>
        <v>35529.463052127765</v>
      </c>
      <c r="H39" s="12">
        <v>0.75</v>
      </c>
      <c r="I39" s="9" t="n">
        <v>3223.8710556030273</v>
      </c>
      <c r="J39" s="9" t="n">
        <v>1108.1060047149658</v>
      </c>
      <c r="K39" s="9" t="n">
        <v>38450.448576927185</v>
      </c>
      <c r="L39" s="9" t="n">
        <v>362.23742866516113</v>
      </c>
      <c r="M39">
        <f si="0" t="shared"/>
        <v>36897.112014770508</v>
      </c>
    </row>
    <row r="40" spans="1:13" x14ac:dyDescent="0.25">
      <c r="A40" s="12">
        <v>0.77083333333333337</v>
      </c>
      <c r="B40" s="6" t="n">
        <v>2055.7494883507743</v>
      </c>
      <c r="C40" s="6" t="n">
        <v>1011.7590133762446</v>
      </c>
      <c r="D40" s="6" t="n">
        <v>29929.43358958727</v>
      </c>
      <c r="E40" s="6" t="n">
        <v>163.17446313898944</v>
      </c>
      <c r="F40" s="6">
        <f si="1" t="shared"/>
        <v>33160.116554453278</v>
      </c>
      <c r="H40" s="12">
        <v>0.77083333333333337</v>
      </c>
      <c r="I40" s="9" t="n">
        <v>2675.0131273269653</v>
      </c>
      <c r="J40" s="9" t="n">
        <v>895.8764944076538</v>
      </c>
      <c r="K40" s="9" t="n">
        <v>36216.54450798035</v>
      </c>
      <c r="L40" s="9" t="n">
        <v>288.6240577697754</v>
      </c>
      <c r="M40">
        <f si="0" t="shared"/>
        <v>35212.449780464172</v>
      </c>
    </row>
    <row r="41" spans="1:13" x14ac:dyDescent="0.25">
      <c r="A41" s="12">
        <v>0.79166666666666663</v>
      </c>
      <c r="B41" s="6" t="n">
        <v>1513.0719766502816</v>
      </c>
      <c r="C41" s="6" t="n">
        <v>682.0331080585728</v>
      </c>
      <c r="D41" s="6" t="n">
        <v>26282.160269957534</v>
      </c>
      <c r="E41" s="6" t="n">
        <v>115.82010885602186</v>
      </c>
      <c r="F41" s="6">
        <f si="1" t="shared"/>
        <v>28593.085463522413</v>
      </c>
      <c r="H41" s="12">
        <v>0.79166666666666663</v>
      </c>
      <c r="I41" s="9" t="n">
        <v>2138.851852416992</v>
      </c>
      <c r="J41" s="9" t="n">
        <v>670.1333951950073</v>
      </c>
      <c r="K41" s="9" t="n">
        <v>32716.846057891846</v>
      </c>
      <c r="L41" s="9" t="n">
        <v>230.18420791625977</v>
      </c>
      <c r="M41">
        <f si="0" t="shared"/>
        <v>32727.008829116821</v>
      </c>
    </row>
    <row r="42" spans="1:13" x14ac:dyDescent="0.25">
      <c r="A42" s="12">
        <v>0.8125</v>
      </c>
      <c r="B42" s="6" t="n">
        <v>1055.2600739727304</v>
      </c>
      <c r="C42" s="6" t="n">
        <v>411.2676853860455</v>
      </c>
      <c r="D42" s="6" t="n">
        <v>21151.71236555231</v>
      </c>
      <c r="E42" s="6" t="n">
        <v>75.72755672933197</v>
      </c>
      <c r="F42" s="6">
        <f si="1" t="shared"/>
        <v>22693.967681640417</v>
      </c>
      <c r="H42" s="12">
        <v>0.8125</v>
      </c>
      <c r="I42" s="9" t="n">
        <v>1665.3920259475708</v>
      </c>
      <c r="J42" s="9" t="n">
        <v>469.6682081222534</v>
      </c>
      <c r="K42" s="9" t="n">
        <v>28393.28732776642</v>
      </c>
      <c r="L42" s="9" t="n">
        <v>179.78170013427734</v>
      </c>
      <c r="M42">
        <f si="0" t="shared"/>
        <v>29670.033092498779</v>
      </c>
    </row>
    <row r="43" spans="1:13" x14ac:dyDescent="0.25">
      <c r="A43" s="12">
        <v>0.83333333333333337</v>
      </c>
      <c r="B43" s="6" t="n">
        <v>710.4805658569096</v>
      </c>
      <c r="C43" s="6" t="n">
        <v>226.27411469268515</v>
      </c>
      <c r="D43" s="6" t="n">
        <v>15692.489461682047</v>
      </c>
      <c r="E43" s="6" t="n">
        <v>44.43897830933666</v>
      </c>
      <c r="F43" s="6">
        <f si="1" t="shared"/>
        <v>16673.683120540976</v>
      </c>
      <c r="H43" s="12">
        <v>0.83333333333333337</v>
      </c>
      <c r="I43" s="9" t="n">
        <v>1291.9474411010742</v>
      </c>
      <c r="J43" s="9" t="n">
        <v>317.42687797546387</v>
      </c>
      <c r="K43" s="9" t="n">
        <v>23718.84329891205</v>
      </c>
      <c r="L43" s="9" t="n">
        <v>139.71085166931152</v>
      </c>
      <c r="M43">
        <f si="0" t="shared"/>
        <v>26272.857149124146</v>
      </c>
    </row>
    <row r="44" spans="1:13" x14ac:dyDescent="0.25">
      <c r="A44" s="12">
        <v>0.85416666666666663</v>
      </c>
      <c r="B44" s="6" t="n">
        <v>475.5252290777597</v>
      </c>
      <c r="C44" s="6" t="n">
        <v>116.93192446192171</v>
      </c>
      <c r="D44" s="6" t="n">
        <v>10889.596627938503</v>
      </c>
      <c r="E44" s="6" t="n">
        <v>23.650584787978172</v>
      </c>
      <c r="F44" s="6">
        <f si="1" t="shared"/>
        <v>11505.704366266162</v>
      </c>
      <c r="H44" s="12">
        <v>0.85416666666666663</v>
      </c>
      <c r="I44" s="9" t="n">
        <v>1016.9700698852539</v>
      </c>
      <c r="J44" s="9" t="n">
        <v>215.01987648010254</v>
      </c>
      <c r="K44" s="9" t="n">
        <v>19022.243037223816</v>
      </c>
      <c r="L44" s="9" t="n">
        <v>110.93544578552246</v>
      </c>
      <c r="M44">
        <f si="0" t="shared"/>
        <v>22616.973559379578</v>
      </c>
    </row>
    <row r="45" spans="1:13" x14ac:dyDescent="0.25">
      <c r="A45" s="12">
        <v>0.875</v>
      </c>
      <c r="B45" s="6" t="n">
        <v>325.4535069323978</v>
      </c>
      <c r="C45" s="6" t="n">
        <v>58.644382486431134</v>
      </c>
      <c r="D45" s="6" t="n">
        <v>7212.530795999037</v>
      </c>
      <c r="E45" s="6" t="n">
        <v>12.382706525850297</v>
      </c>
      <c r="F45" s="6">
        <f si="1" t="shared"/>
        <v>7609.0113919437163</v>
      </c>
      <c r="H45" s="12">
        <v>0.875</v>
      </c>
      <c r="I45" s="9" t="n">
        <v>808.5585432052612</v>
      </c>
      <c r="J45" s="9" t="n">
        <v>149.08340549468994</v>
      </c>
      <c r="K45" s="9" t="n">
        <v>14500.152585029602</v>
      </c>
      <c r="L45" s="9" t="n">
        <v>89.9361982345581</v>
      </c>
      <c r="M45">
        <f si="0" t="shared"/>
        <v>18692.88830280304</v>
      </c>
    </row>
    <row r="46" spans="1:13" x14ac:dyDescent="0.25">
      <c r="A46" s="12">
        <v>0.89583333333333337</v>
      </c>
      <c r="B46" s="6" t="n">
        <v>229.37143304390713</v>
      </c>
      <c r="C46" s="6" t="n">
        <v>29.190928185688023</v>
      </c>
      <c r="D46" s="6" t="n">
        <v>4642.544094394025</v>
      </c>
      <c r="E46" s="6" t="n">
        <v>7.489209984874726</v>
      </c>
      <c r="F46" s="6">
        <f si="1" t="shared"/>
        <v>4908.5956656084945</v>
      </c>
      <c r="H46" s="12">
        <v>0.89583333333333337</v>
      </c>
      <c r="I46" s="9" t="n">
        <v>632.952036857605</v>
      </c>
      <c r="J46" s="9" t="n">
        <v>103.66242218017578</v>
      </c>
      <c r="K46" s="9" t="n">
        <v>10340.871932983398</v>
      </c>
      <c r="L46" s="9" t="n">
        <v>71.81957530975342</v>
      </c>
      <c r="M46">
        <f si="0" t="shared"/>
        <v>14590.667399406433</v>
      </c>
    </row>
    <row r="47" spans="1:13" x14ac:dyDescent="0.25">
      <c r="A47" s="12">
        <v>0.91666666666666663</v>
      </c>
      <c r="B47" s="6" t="n">
        <v>162.83821670220277</v>
      </c>
      <c r="C47" s="6" t="n">
        <v>14.3651995592165</v>
      </c>
      <c r="D47" s="6" t="n">
        <v>2919.6356673554565</v>
      </c>
      <c r="E47" s="6" t="n">
        <v>5.57802946044159</v>
      </c>
      <c r="F47" s="6">
        <f si="1" t="shared"/>
        <v>3102.417113077317</v>
      </c>
      <c r="H47" s="12">
        <v>0.91666666666666663</v>
      </c>
      <c r="I47" s="9" t="n">
        <v>474.95819187164307</v>
      </c>
      <c r="J47" s="9" t="n">
        <v>68.90994453430176</v>
      </c>
      <c r="K47" s="9" t="n">
        <v>6781.641379356384</v>
      </c>
      <c r="L47" s="9" t="n">
        <v>54.118059158325195</v>
      </c>
      <c r="M47">
        <f si="0" t="shared"/>
        <v>10602.576926231384</v>
      </c>
    </row>
    <row r="48" spans="1:13" x14ac:dyDescent="0.25">
      <c r="A48" s="12">
        <v>0.9375</v>
      </c>
      <c r="B48" s="6" t="n">
        <v>112.35153926988123</v>
      </c>
      <c r="C48" s="6" t="n">
        <v>6.75772980505371</v>
      </c>
      <c r="D48" s="6" t="n">
        <v>1773.248558622138</v>
      </c>
      <c r="E48" s="6" t="n">
        <v>4.414969352923393</v>
      </c>
      <c r="F48" s="6">
        <f si="1" t="shared"/>
        <v>1896.7727970499964</v>
      </c>
      <c r="H48" s="12">
        <v>0.9375</v>
      </c>
      <c r="I48" s="9" t="n">
        <v>337.10436058044434</v>
      </c>
      <c r="J48" s="9" t="n">
        <v>41.91110420227051</v>
      </c>
      <c r="K48" s="9" t="n">
        <v>4032.2337646484375</v>
      </c>
      <c r="L48" s="9" t="n">
        <v>37.50397777557373</v>
      </c>
      <c r="M48">
        <f si="0" t="shared"/>
        <v>7119.5417652130127</v>
      </c>
    </row>
    <row r="49" spans="1:13" x14ac:dyDescent="0.25">
      <c r="A49" s="12">
        <v>0.95833333333333337</v>
      </c>
      <c r="B49" s="6" t="n">
        <v>73.08389018005465</v>
      </c>
      <c r="C49" s="6" t="n">
        <v>2.8870169488677977</v>
      </c>
      <c r="D49" s="6" t="n">
        <v>1017.9047579924355</v>
      </c>
      <c r="E49" s="6" t="n">
        <v>3.1789717867984773</v>
      </c>
      <c r="F49" s="6">
        <f si="1" t="shared"/>
        <v>1097.0546369081565</v>
      </c>
      <c r="H49" s="12">
        <v>0.95833333333333337</v>
      </c>
      <c r="I49" s="9" t="n">
        <v>226.38574028015137</v>
      </c>
      <c r="J49" s="9" t="n">
        <v>22.756772994995117</v>
      </c>
      <c r="K49" s="9" t="n">
        <v>2157.2878742218018</v>
      </c>
      <c r="L49" s="9" t="n">
        <v>23.8262996673584</v>
      </c>
      <c r="M49">
        <f si="0" t="shared"/>
        <v>4422.0996809005737</v>
      </c>
    </row>
    <row r="50" spans="1:13" x14ac:dyDescent="0.25">
      <c r="A50" s="12">
        <v>0.97916666666666663</v>
      </c>
      <c r="B50" s="6" t="n">
        <v>44.037526421090114</v>
      </c>
      <c r="C50" s="6" t="n">
        <v>1.0604547704133986</v>
      </c>
      <c r="D50" s="6" t="n">
        <v>540.867590234787</v>
      </c>
      <c r="E50" s="6" t="n">
        <v>1.935217821537018</v>
      </c>
      <c r="F50" s="6">
        <f si="1" t="shared"/>
        <v>587.90078924782756</v>
      </c>
      <c r="H50" s="12">
        <v>0.97916666666666663</v>
      </c>
      <c r="I50" s="9" t="n">
        <v>144.37259483337402</v>
      </c>
      <c r="J50" s="9" t="n">
        <v>11.007180213928223</v>
      </c>
      <c r="K50" s="9" t="n">
        <v>1040.921760559082</v>
      </c>
      <c r="L50" s="9" t="n">
        <v>14.063570976257324</v>
      </c>
      <c r="M50">
        <f si="0" t="shared"/>
        <v>2557.9649877548218</v>
      </c>
    </row>
    <row r="51" spans="1:13" x14ac:dyDescent="0.25">
      <c r="A51" s="12">
        <v>1</v>
      </c>
      <c r="B51" s="6" t="n">
        <v>24.38238004843616</v>
      </c>
      <c r="C51" s="6" t="n">
        <v>0.31758802208137515</v>
      </c>
      <c r="D51" s="6" t="n">
        <v>262.2085113664971</v>
      </c>
      <c r="E51" s="6" t="n">
        <v>0.9651064297132492</v>
      </c>
      <c r="F51" s="6">
        <f si="1" t="shared"/>
        <v>287.87358586672786</v>
      </c>
      <c r="H51" s="12">
        <v>1</v>
      </c>
      <c r="I51" s="9" t="n">
        <v>86.86404323577881</v>
      </c>
      <c r="J51" s="9" t="n">
        <v>4.846384048461914</v>
      </c>
      <c r="K51" s="9" t="n">
        <v>459.3849287033081</v>
      </c>
      <c r="L51" s="9" t="n">
        <v>7.8368682861328125</v>
      </c>
      <c r="M51">
        <f si="0" t="shared"/>
        <v>1384.9135341644287</v>
      </c>
    </row>
    <row r="52" spans="1:13" x14ac:dyDescent="0.25">
      <c r="A52" s="12">
        <v>1.0208333333333333</v>
      </c>
      <c r="B52" s="6" t="n">
        <v>12.325030123533248</v>
      </c>
      <c r="C52" s="6" t="n">
        <v>0.07331420340824127</v>
      </c>
      <c r="D52" s="6" t="n">
        <v>114.91532073865986</v>
      </c>
      <c r="E52" s="6" t="n">
        <v>0.38584500418663026</v>
      </c>
      <c r="F52" s="6">
        <f si="1" t="shared"/>
        <v>127.69951006978798</v>
      </c>
      <c r="H52" s="12">
        <v>1.0208333333333333</v>
      </c>
      <c r="I52" s="9" t="n">
        <v>48.19937801361084</v>
      </c>
      <c r="J52" s="9" t="n">
        <v>2.022317886352539</v>
      </c>
      <c r="K52" s="9" t="n">
        <v>189.3988094329834</v>
      </c>
      <c r="L52" s="9" t="n">
        <v>4.1211957931518555</v>
      </c>
      <c r="M52">
        <f si="0" t="shared"/>
        <v>697.26953601837158</v>
      </c>
    </row>
    <row r="53" spans="1:13" x14ac:dyDescent="0.25">
      <c r="A53" s="12">
        <v>4.1666666666666664E-2</v>
      </c>
      <c r="B53" s="6" t="n">
        <v>5.614120840101242</v>
      </c>
      <c r="C53" s="6" t="n">
        <v>0.01213167303943634</v>
      </c>
      <c r="D53" s="6" t="n">
        <v>45.09811280139065</v>
      </c>
      <c r="E53" s="6" t="n">
        <v>0.12056878718376161</v>
      </c>
      <c r="F53" s="6">
        <f si="1" t="shared"/>
        <v>50.84493410171509</v>
      </c>
      <c r="H53" s="12">
        <v>4.1666666666666664E-2</v>
      </c>
      <c r="I53" s="9" t="n">
        <v>23.844853401184082</v>
      </c>
      <c r="J53" s="9" t="n">
        <v>0.8240337371826172</v>
      </c>
      <c r="K53" s="9" t="n">
        <v>73.79060173034668</v>
      </c>
      <c r="L53" s="9" t="n">
        <v>1.9923162460327148</v>
      </c>
      <c r="M53">
        <f si="0" t="shared"/>
        <v>319.23993396759033</v>
      </c>
    </row>
    <row r="54" spans="1:13" x14ac:dyDescent="0.25">
      <c r="A54" s="12">
        <v>6.25E-2</v>
      </c>
      <c r="B54" s="6" t="n">
        <v>2.249446884160042</v>
      </c>
      <c r="C54" s="6" t="n">
        <v>0.0012746907615661621</v>
      </c>
      <c r="D54" s="6" t="n">
        <v>15.590234502180099</v>
      </c>
      <c r="E54" s="6" t="n">
        <v>0.028369126396179202</v>
      </c>
      <c r="F54" s="6">
        <f si="1" t="shared"/>
        <v>17.869325203497887</v>
      </c>
      <c r="H54" s="12">
        <v>6.25E-2</v>
      </c>
      <c r="I54" s="9" t="n">
        <v>10.140294075012207</v>
      </c>
      <c r="J54" s="9" t="n">
        <v>0.3213672637939453</v>
      </c>
      <c r="K54" s="9" t="n">
        <v>26.689075469970703</v>
      </c>
      <c r="L54" s="9" t="n">
        <v>0.8480310440063477</v>
      </c>
      <c r="M54">
        <f si="0" t="shared"/>
        <v>128.45331001281738</v>
      </c>
    </row>
    <row r="55" spans="1:13" x14ac:dyDescent="0.25">
      <c r="A55" s="12">
        <v>8.3333333333333329E-2</v>
      </c>
      <c r="B55" s="6" t="n">
        <v>0.7659242404146194</v>
      </c>
      <c r="C55" s="6" t="n">
        <v>6.37345380783081E-5</v>
      </c>
      <c r="D55" s="6" t="n">
        <v>4.617139420108795</v>
      </c>
      <c r="E55" s="6" t="n">
        <v>0.004728187732696534</v>
      </c>
      <c r="F55" s="6">
        <f si="1" t="shared"/>
        <v>5.387855582794189</v>
      </c>
      <c r="H55" s="12">
        <v>8.3333333333333329E-2</v>
      </c>
      <c r="I55" s="9" t="n">
        <v>3.577498435974121</v>
      </c>
      <c r="J55" s="9" t="n">
        <v>0.112213134765625</v>
      </c>
      <c r="K55" s="9" t="n">
        <v>8.545576095581055</v>
      </c>
      <c r="L55" s="9" t="n">
        <v>0.30341243743896484</v>
      </c>
      <c r="M55">
        <f si="0" t="shared"/>
        <v>43.676609992980957</v>
      </c>
    </row>
    <row r="56" spans="1:13" x14ac:dyDescent="0.25">
      <c r="A56" s="12">
        <v>0.10416666666666667</v>
      </c>
      <c r="B56" s="6" t="n">
        <v>0.21232097869110106</v>
      </c>
      <c r="C56" s="6" t="n">
        <v>0.0</v>
      </c>
      <c r="D56" s="6" t="n">
        <v>1.1246581828403472</v>
      </c>
      <c r="E56" s="6" t="n">
        <v>4.97703971862793E-4</v>
      </c>
      <c r="F56" s="6">
        <f si="1" t="shared"/>
        <v>1.3374768655033111</v>
      </c>
      <c r="G56" s="5"/>
      <c r="H56" s="12">
        <v>0.10416666666666667</v>
      </c>
      <c r="I56" s="9" t="n">
        <v>1.0090675354003906</v>
      </c>
      <c r="J56" s="9" t="n">
        <v>0.032486915588378906</v>
      </c>
      <c r="K56" s="9" t="n">
        <v>2.2786741256713867</v>
      </c>
      <c r="L56" s="9" t="n">
        <v>0.08720111846923828</v>
      </c>
      <c r="M56">
        <f si="0" t="shared"/>
        <v>12.031000137329102</v>
      </c>
    </row>
    <row r="57" spans="1:13" x14ac:dyDescent="0.25">
      <c r="A57" s="12">
        <v>0.125</v>
      </c>
      <c r="B57" s="6" t="n">
        <v>0.04480058361148834</v>
      </c>
      <c r="C57" s="6" t="n">
        <v>0.0</v>
      </c>
      <c r="D57" s="6" t="n">
        <v>0.21078376097869872</v>
      </c>
      <c r="E57" s="6" t="n">
        <v>2.4885198593139647E-5</v>
      </c>
      <c r="F57" s="6">
        <f si="1" t="shared"/>
        <v>0.2556092297887802</v>
      </c>
      <c r="G57" s="5"/>
      <c r="H57" s="12">
        <v>0.125</v>
      </c>
      <c r="I57" s="9" t="n">
        <v>0.21436691284179688</v>
      </c>
      <c r="J57" s="9" t="n">
        <v>0.007153511047363281</v>
      </c>
      <c r="K57" s="9" t="n">
        <v>0.4675273895263672</v>
      </c>
      <c r="L57" s="9" t="n">
        <v>0.018868446350097656</v>
      </c>
      <c r="M57">
        <f si="0" t="shared"/>
        <v>2.5187740325927734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1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0" t="shared"/>
        <v>0</v>
      </c>
    </row>
    <row ht="15.75" r="59" spans="1:13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612272.94979190826</v>
      </c>
      <c r="J59" s="26">
        <f>SUM(J8:J58)</f>
        <v>212355.42571163177</v>
      </c>
      <c r="K59" s="26">
        <f>SUM(K8:K58)</f>
        <v>889504.46992206573</v>
      </c>
      <c r="L59" s="26">
        <f>SUM(L8:L58)</f>
        <v>109637.29066467285</v>
      </c>
      <c r="M59" s="26">
        <f>SUM(M8:M58)</f>
        <v>1823770.1360902786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1.216710963738098E-3</v>
      </c>
      <c r="E65" s="18">
        <f si="2" t="shared"/>
        <v>0</v>
      </c>
      <c r="F65" s="18">
        <f si="2" t="shared"/>
        <v>5.190795018889953E-4</v>
      </c>
      <c r="H65" t="s">
        <v>5</v>
      </c>
      <c r="I65" s="17">
        <f ref="I65:M65" si="3" t="shared">I8/I$59</f>
        <v>1.1122490389808171E-3</v>
      </c>
      <c r="J65" s="17">
        <f si="3" t="shared"/>
        <v>4.709086177802449E-6</v>
      </c>
      <c r="K65" s="17">
        <f si="3" t="shared"/>
        <v>3.5559124287223957E-3</v>
      </c>
      <c r="L65" s="17">
        <f si="3" t="shared"/>
        <v>3.192344483141961E-4</v>
      </c>
      <c r="M65" s="18">
        <f si="3" t="shared"/>
        <v>2.1274610891029175E-3</v>
      </c>
    </row>
    <row r="66" spans="1:13" x14ac:dyDescent="0.25">
      <c r="A66" s="12">
        <v>0.125</v>
      </c>
      <c r="B66" s="18">
        <f ref="B66:F66" si="4" t="shared">B9/B$59</f>
        <v>1.6896351213744841E-3</v>
      </c>
      <c r="C66" s="18">
        <f si="4" t="shared"/>
        <v>1.6954026841402918E-4</v>
      </c>
      <c r="D66" s="18">
        <f si="4" t="shared"/>
        <v>9.5737227833616028E-4</v>
      </c>
      <c r="E66" s="18">
        <f si="4" t="shared"/>
        <v>2.855766340246399E-6</v>
      </c>
      <c r="F66" s="18">
        <f si="4" t="shared"/>
        <v>1.0575962917483959E-3</v>
      </c>
      <c r="H66" s="12">
        <v>0.125</v>
      </c>
      <c r="I66" s="17">
        <f ref="I66:M66" si="5" t="shared">I9/I$59</f>
        <v>4.5098076276033133E-3</v>
      </c>
      <c r="J66" s="17">
        <f si="5" t="shared"/>
        <v>1.2712294847384576E-4</v>
      </c>
      <c r="K66" s="17">
        <f si="5" t="shared"/>
        <v>2.9084150949087932E-3</v>
      </c>
      <c r="L66" s="17">
        <f si="5" t="shared"/>
        <v>7.3008328644242194E-4</v>
      </c>
      <c r="M66" s="18">
        <f si="5" t="shared"/>
        <v>2.9912327983820288E-3</v>
      </c>
    </row>
    <row r="67" spans="1:13" x14ac:dyDescent="0.25">
      <c r="A67" s="12">
        <v>0.14583333333333334</v>
      </c>
      <c r="B67" s="18">
        <f ref="B67:F67" si="6" t="shared">B10/B$59</f>
        <v>4.1560772975619484E-3</v>
      </c>
      <c r="C67" s="18">
        <f si="6" t="shared"/>
        <v>8.0250548819477607E-4</v>
      </c>
      <c r="D67" s="18">
        <f si="6" t="shared"/>
        <v>8.7117941089847272E-4</v>
      </c>
      <c r="E67" s="18">
        <f si="6" t="shared"/>
        <v>1.3305236076407171E-5</v>
      </c>
      <c r="F67" s="18">
        <f si="6" t="shared"/>
        <v>2.0259307081873313E-3</v>
      </c>
      <c r="H67" s="12">
        <v>0.14583333333333334</v>
      </c>
      <c r="I67" s="17">
        <f ref="I67:M67" si="7" t="shared">I10/I$59</f>
        <v>8.0803099734905355E-3</v>
      </c>
      <c r="J67" s="17">
        <f si="7" t="shared"/>
        <v>5.3933178239615816E-4</v>
      </c>
      <c r="K67" s="17">
        <f si="7" t="shared"/>
        <v>2.4213875666336281E-3</v>
      </c>
      <c r="L67" s="17">
        <f si="7" t="shared"/>
        <v>1.1877914142094702E-3</v>
      </c>
      <c r="M67" s="18">
        <f si="7" t="shared"/>
        <v>4.0278905789978107E-3</v>
      </c>
    </row>
    <row r="68" spans="1:13" x14ac:dyDescent="0.25">
      <c r="A68" s="12">
        <v>0.16666666666666666</v>
      </c>
      <c r="B68" s="18">
        <f ref="B68:F68" si="8" t="shared">B11/B$59</f>
        <v>8.3294470823676581E-3</v>
      </c>
      <c r="C68" s="18">
        <f si="8" t="shared"/>
        <v>2.9498331146983249E-3</v>
      </c>
      <c r="D68" s="18">
        <f si="8" t="shared"/>
        <v>1.1508265175072768E-3</v>
      </c>
      <c r="E68" s="18">
        <f si="8" t="shared"/>
        <v>4.8236137048193856E-5</v>
      </c>
      <c r="F68" s="18">
        <f si="8" t="shared"/>
        <v>4.0064691662925738E-3</v>
      </c>
      <c r="H68" s="12">
        <v>0.16666666666666666</v>
      </c>
      <c r="I68" s="17">
        <f ref="I68:M68" si="9" t="shared">I11/I$59</f>
        <v>1.2412598794526126E-2</v>
      </c>
      <c r="J68" s="17">
        <f si="9" t="shared"/>
        <v>1.9112573606992031E-3</v>
      </c>
      <c r="K68" s="17">
        <f si="9" t="shared"/>
        <v>2.2707907494790027E-3</v>
      </c>
      <c r="L68" s="17">
        <f si="9" t="shared"/>
        <v>1.6886047987437897E-3</v>
      </c>
      <c r="M68" s="18">
        <f si="9" t="shared"/>
        <v>5.5987192267168504E-3</v>
      </c>
    </row>
    <row r="69" spans="1:13" x14ac:dyDescent="0.25">
      <c r="A69" s="12">
        <v>0.1875</v>
      </c>
      <c r="B69" s="18">
        <f ref="B69:F69" si="10" t="shared">B12/B$59</f>
        <v>1.5340057143188346E-2</v>
      </c>
      <c r="C69" s="18">
        <f si="10" t="shared"/>
        <v>8.7725225044008714E-3</v>
      </c>
      <c r="D69" s="18">
        <f si="10" t="shared"/>
        <v>2.0417967878119808E-3</v>
      </c>
      <c r="E69" s="18">
        <f si="10" t="shared"/>
        <v>1.4536427450333642E-4</v>
      </c>
      <c r="F69" s="18">
        <f si="10" t="shared"/>
        <v>7.8437723951461005E-3</v>
      </c>
      <c r="H69" s="12">
        <v>0.1875</v>
      </c>
      <c r="I69" s="17">
        <f ref="I69:M69" si="11" t="shared">I12/I$59</f>
        <v>1.8669931645460359E-2</v>
      </c>
      <c r="J69" s="17">
        <f si="11" t="shared"/>
        <v>5.6865641865654331E-3</v>
      </c>
      <c r="K69" s="17">
        <f si="11" t="shared"/>
        <v>2.6663034908625161E-3</v>
      </c>
      <c r="L69" s="17">
        <f si="11" t="shared"/>
        <v>2.1880318071739939E-3</v>
      </c>
      <c r="M69" s="18">
        <f si="11" t="shared"/>
        <v>8.3619340674502239E-3</v>
      </c>
    </row>
    <row r="70" spans="1:13" x14ac:dyDescent="0.25">
      <c r="A70" s="12">
        <v>0.20833333333333334</v>
      </c>
      <c r="B70" s="18">
        <f ref="B70:F70" si="12" t="shared">B13/B$59</f>
        <v>2.6295577914490116E-2</v>
      </c>
      <c r="C70" s="18">
        <f si="12" t="shared"/>
        <v>2.1464573889740744E-2</v>
      </c>
      <c r="D70" s="18">
        <f si="12" t="shared"/>
        <v>3.8566659373261564E-3</v>
      </c>
      <c r="E70" s="18">
        <f si="12" t="shared"/>
        <v>3.7660364564797089E-4</v>
      </c>
      <c r="F70" s="18">
        <f si="12" t="shared"/>
        <v>1.4557723327231658E-2</v>
      </c>
      <c r="H70" s="12">
        <v>0.20833333333333334</v>
      </c>
      <c r="I70" s="17">
        <f ref="I70:M70" si="13" t="shared">I13/I$59</f>
        <v>2.8281255411095507E-2</v>
      </c>
      <c r="J70" s="17">
        <f si="13" t="shared"/>
        <v>1.4195322468169284E-2</v>
      </c>
      <c r="K70" s="17">
        <f si="13" t="shared"/>
        <v>3.8469322693752035E-3</v>
      </c>
      <c r="L70" s="17">
        <f si="13" t="shared"/>
        <v>2.693207941999435E-3</v>
      </c>
      <c r="M70" s="18">
        <f si="13" t="shared"/>
        <v>1.3185565667183123E-2</v>
      </c>
    </row>
    <row r="71" spans="1:13" x14ac:dyDescent="0.25">
      <c r="A71" s="12">
        <v>0.22916666666666666</v>
      </c>
      <c r="B71" s="18">
        <f ref="B71:F71" si="14" t="shared">B14/B$59</f>
        <v>4.167213071310015E-2</v>
      </c>
      <c r="C71" s="18">
        <f si="14" t="shared"/>
        <v>4.3754964173912662E-2</v>
      </c>
      <c r="D71" s="18">
        <f si="14" t="shared"/>
        <v>6.8915163306130442E-3</v>
      </c>
      <c r="E71" s="18">
        <f si="14" t="shared"/>
        <v>8.5626501911624314E-4</v>
      </c>
      <c r="F71" s="18">
        <f si="14" t="shared"/>
        <v>2.4861409636154751E-2</v>
      </c>
      <c r="H71" s="12">
        <v>0.22916666666666666</v>
      </c>
      <c r="I71" s="17">
        <f ref="I71:M71" si="15" t="shared">I14/I$59</f>
        <v>4.214061206832375E-2</v>
      </c>
      <c r="J71" s="17">
        <f si="15" t="shared"/>
        <v>2.99125706564175E-2</v>
      </c>
      <c r="K71" s="17">
        <f si="15" t="shared"/>
        <v>6.0204280318642755E-3</v>
      </c>
      <c r="L71" s="17">
        <f si="15" t="shared"/>
        <v>3.385163145567434E-3</v>
      </c>
      <c r="M71" s="18">
        <f si="15" t="shared"/>
        <v>2.077015658075896E-2</v>
      </c>
    </row>
    <row r="72" spans="1:13" x14ac:dyDescent="0.25">
      <c r="A72" s="12">
        <v>0.25</v>
      </c>
      <c r="B72" s="18">
        <f ref="B72:F72" si="16" t="shared">B15/B$59</f>
        <v>6.0485043236409367E-2</v>
      </c>
      <c r="C72" s="18">
        <f si="16" t="shared"/>
        <v>7.5016812606777589E-2</v>
      </c>
      <c r="D72" s="18">
        <f si="16" t="shared"/>
        <v>1.1204613738462616E-2</v>
      </c>
      <c r="E72" s="18">
        <f si="16" t="shared"/>
        <v>1.72867368043124E-3</v>
      </c>
      <c r="F72" s="18">
        <f si="16" t="shared"/>
        <v>3.8331247511525043E-2</v>
      </c>
      <c r="H72" s="12">
        <v>0.25</v>
      </c>
      <c r="I72" s="17">
        <f ref="I72:M72" si="17" t="shared">I15/I$59</f>
        <v>5.9631600010917829E-2</v>
      </c>
      <c r="J72" s="17">
        <f si="17" t="shared"/>
        <v>5.3635635669392168E-2</v>
      </c>
      <c r="K72" s="17">
        <f si="17" t="shared"/>
        <v>9.2508423906677104E-3</v>
      </c>
      <c r="L72" s="17">
        <f si="17" t="shared"/>
        <v>4.6577307774550531E-3</v>
      </c>
      <c r="M72" s="18">
        <f si="17" t="shared"/>
        <v>3.10565237387509E-2</v>
      </c>
    </row>
    <row r="73" spans="1:13" x14ac:dyDescent="0.25">
      <c r="A73" s="12">
        <v>0.27083333333333331</v>
      </c>
      <c r="B73" s="18">
        <f ref="B73:F73" si="18" t="shared">B16/B$59</f>
        <v>7.979496277312989E-2</v>
      </c>
      <c r="C73" s="18">
        <f si="18" t="shared"/>
        <v>0.10894976444358842</v>
      </c>
      <c r="D73" s="18">
        <f si="18" t="shared"/>
        <v>1.6377016846499028E-2</v>
      </c>
      <c r="E73" s="18">
        <f si="18" t="shared"/>
        <v>3.1237223318849598E-3</v>
      </c>
      <c r="F73" s="18">
        <f si="18" t="shared"/>
        <v>5.2776411667964887E-2</v>
      </c>
      <c r="H73" s="12">
        <v>0.27083333333333331</v>
      </c>
      <c r="I73" s="17">
        <f ref="I73:M73" si="19" t="shared">I16/I$59</f>
        <v>7.8100871286972018E-2</v>
      </c>
      <c r="J73" s="17">
        <f si="19" t="shared"/>
        <v>8.249183730945385E-2</v>
      </c>
      <c r="K73" s="17">
        <f si="19" t="shared"/>
        <v>1.3352711137870461E-2</v>
      </c>
      <c r="L73" s="17">
        <f si="19" t="shared"/>
        <v>6.9946799343843218E-3</v>
      </c>
      <c r="M73" s="18">
        <f si="19" t="shared"/>
        <v>4.2758027741771558E-2</v>
      </c>
    </row>
    <row r="74" spans="1:13" x14ac:dyDescent="0.25">
      <c r="A74" s="12">
        <v>0.29166666666666669</v>
      </c>
      <c r="B74" s="18">
        <f ref="B74:F74" si="20" t="shared">B17/B$59</f>
        <v>9.5203012655833155E-2</v>
      </c>
      <c r="C74" s="18">
        <f si="20" t="shared"/>
        <v>0.13476622723439363</v>
      </c>
      <c r="D74" s="18">
        <f si="20" t="shared"/>
        <v>2.1513360498383691E-2</v>
      </c>
      <c r="E74" s="18">
        <f si="20" t="shared"/>
        <v>5.1030527040192971E-3</v>
      </c>
      <c r="F74" s="18">
        <f si="20" t="shared"/>
        <v>6.4594853283881995E-2</v>
      </c>
      <c r="H74" s="12">
        <v>0.29166666666666669</v>
      </c>
      <c r="I74" s="17">
        <f ref="I74:M74" si="21" t="shared">I17/I$59</f>
        <v>9.3357129252258211E-2</v>
      </c>
      <c r="J74" s="17">
        <f si="21" t="shared"/>
        <v>0.10962264704340839</v>
      </c>
      <c r="K74" s="17">
        <f si="21" t="shared"/>
        <v>1.7874331791187345E-2</v>
      </c>
      <c r="L74" s="17">
        <f si="21" t="shared"/>
        <v>1.0745806845688667E-2</v>
      </c>
      <c r="M74" s="18">
        <f si="21" t="shared"/>
        <v>5.3469703245976816E-2</v>
      </c>
    </row>
    <row r="75" spans="1:13" x14ac:dyDescent="0.25">
      <c r="A75" s="12">
        <v>0.3125</v>
      </c>
      <c r="B75" s="18">
        <f ref="B75:F75" si="22" t="shared">B18/B$59</f>
        <v>0.10247480133848542</v>
      </c>
      <c r="C75" s="18">
        <f si="22" t="shared"/>
        <v>0.14257429250266704</v>
      </c>
      <c r="D75" s="18">
        <f si="22" t="shared"/>
        <v>2.5624534376120972E-2</v>
      </c>
      <c r="E75" s="18">
        <f si="22" t="shared"/>
        <v>7.67484822311389E-3</v>
      </c>
      <c r="F75" s="18">
        <f si="22" t="shared"/>
        <v>7.0335064079922766E-2</v>
      </c>
      <c r="H75" s="12">
        <v>0.3125</v>
      </c>
      <c r="I75" s="17">
        <f ref="I75:M75" si="23" t="shared">I18/I$59</f>
        <v>0.10122367990747091</v>
      </c>
      <c r="J75" s="17">
        <f si="23" t="shared"/>
        <v>0.12668679373443764</v>
      </c>
      <c r="K75" s="17">
        <f si="23" t="shared"/>
        <v>2.2222284423132437E-2</v>
      </c>
      <c r="L75" s="17">
        <f si="23" t="shared"/>
        <v>1.5982130393521352E-2</v>
      </c>
      <c r="M75" s="18">
        <f si="23" t="shared"/>
        <v>6.0532961757765888E-2</v>
      </c>
    </row>
    <row r="76" spans="1:13" x14ac:dyDescent="0.25">
      <c r="A76" s="12">
        <v>0.33333333333333331</v>
      </c>
      <c r="B76" s="18">
        <f ref="B76:F76" si="24" t="shared">B19/B$59</f>
        <v>9.953407870157624E-2</v>
      </c>
      <c r="C76" s="18">
        <f si="24" t="shared"/>
        <v>0.12946581258112289</v>
      </c>
      <c r="D76" s="18">
        <f si="24" t="shared"/>
        <v>2.8173783456095326E-2</v>
      </c>
      <c r="E76" s="18">
        <f si="24" t="shared"/>
        <v>1.098070499541264E-2</v>
      </c>
      <c r="F76" s="18">
        <f si="24" t="shared"/>
        <v>6.857820516110831E-2</v>
      </c>
      <c r="H76" s="12">
        <v>0.33333333333333331</v>
      </c>
      <c r="I76" s="17">
        <f ref="I76:M76" si="25" t="shared">I19/I$59</f>
        <v>9.9413446623548632E-2</v>
      </c>
      <c r="J76" s="17">
        <f si="25" t="shared"/>
        <v>0.12806149096933886</v>
      </c>
      <c r="K76" s="17">
        <f si="25" t="shared"/>
        <v>2.5893083596773506E-2</v>
      </c>
      <c r="L76" s="17">
        <f si="25" t="shared"/>
        <v>2.2559239929040919E-2</v>
      </c>
      <c r="M76" s="18">
        <f si="25" t="shared"/>
        <v>6.2271040600200479E-2</v>
      </c>
    </row>
    <row r="77" spans="1:13" x14ac:dyDescent="0.25">
      <c r="A77" s="12">
        <v>0.35416666666666669</v>
      </c>
      <c r="B77" s="18">
        <f ref="B77:F77" si="26" t="shared">B20/B$59</f>
        <v>8.7554484894459467E-2</v>
      </c>
      <c r="C77" s="18">
        <f si="26" t="shared"/>
        <v>0.10130142779111793</v>
      </c>
      <c r="D77" s="18">
        <f si="26" t="shared"/>
        <v>2.9340526051078862E-2</v>
      </c>
      <c r="E77" s="18">
        <f si="26" t="shared"/>
        <v>1.5676696704374864E-2</v>
      </c>
      <c r="F77" s="18">
        <f si="26" t="shared"/>
        <v>6.0739701192684827E-2</v>
      </c>
      <c r="H77" s="12">
        <v>0.35416666666666669</v>
      </c>
      <c r="I77" s="17">
        <f ref="I77:M77" si="27" t="shared">I20/I$59</f>
        <v>8.8626940230802198E-2</v>
      </c>
      <c r="J77" s="17">
        <f si="27" t="shared"/>
        <v>0.11388132410736711</v>
      </c>
      <c r="K77" s="17">
        <f si="27" t="shared"/>
        <v>2.8674706223850956E-2</v>
      </c>
      <c r="L77" s="17">
        <f si="27" t="shared"/>
        <v>3.0309746773329385E-2</v>
      </c>
      <c r="M77" s="18">
        <f si="27" t="shared"/>
        <v>5.8821312478732249E-2</v>
      </c>
    </row>
    <row r="78" spans="1:13" x14ac:dyDescent="0.25">
      <c r="A78" s="12">
        <v>0.375</v>
      </c>
      <c r="B78" s="18">
        <f ref="B78:F78" si="28" t="shared">B21/B$59</f>
        <v>7.0363903877934772E-2</v>
      </c>
      <c r="C78" s="18">
        <f si="28" t="shared"/>
        <v>6.8725025538693821E-2</v>
      </c>
      <c r="D78" s="18">
        <f si="28" t="shared"/>
        <v>2.977130936859064E-2</v>
      </c>
      <c r="E78" s="18">
        <f si="28" t="shared"/>
        <v>2.3276005409236421E-2</v>
      </c>
      <c r="F78" s="18">
        <f si="28" t="shared"/>
        <v>5.0171334883092722E-2</v>
      </c>
      <c r="H78" s="12">
        <v>0.375</v>
      </c>
      <c r="I78" s="17">
        <f ref="I78:M78" si="29" t="shared">I21/I$59</f>
        <v>7.2185568063947936E-2</v>
      </c>
      <c r="J78" s="17">
        <f si="29" t="shared"/>
        <v>8.9734880286823235E-2</v>
      </c>
      <c r="K78" s="17">
        <f si="29" t="shared"/>
        <v>3.0663100782892406E-2</v>
      </c>
      <c r="L78" s="17">
        <f si="29" t="shared"/>
        <v>3.9136859837670297E-2</v>
      </c>
      <c r="M78" s="18">
        <f si="29" t="shared"/>
        <v>5.1990534335898238E-2</v>
      </c>
    </row>
    <row r="79" spans="1:13" x14ac:dyDescent="0.25">
      <c r="A79" s="12">
        <v>0.39583333333333331</v>
      </c>
      <c r="B79" s="18">
        <f ref="B79:F79" si="30" t="shared">B22/B$59</f>
        <v>5.2564353170575256E-2</v>
      </c>
      <c r="C79" s="18">
        <f si="30" t="shared"/>
        <v>4.0964759828483355E-2</v>
      </c>
      <c r="D79" s="18">
        <f si="30" t="shared"/>
        <v>3.0046187091224634E-2</v>
      </c>
      <c r="E79" s="18">
        <f si="30" t="shared"/>
        <v>3.5887663443676034E-2</v>
      </c>
      <c r="F79" s="18">
        <f si="30" t="shared"/>
        <v>4.0305766507484526E-2</v>
      </c>
      <c r="H79" s="12">
        <v>0.39583333333333331</v>
      </c>
      <c r="I79" s="17">
        <f ref="I79:M79" si="31" t="shared">I22/I$59</f>
        <v>5.4452519034569859E-2</v>
      </c>
      <c r="J79" s="17">
        <f si="31" t="shared"/>
        <v>6.3404525564041664E-2</v>
      </c>
      <c r="K79" s="17">
        <f si="31" t="shared"/>
        <v>3.2079611429448214E-2</v>
      </c>
      <c r="L79" s="17">
        <f si="31" t="shared"/>
        <v>4.8876135868253241E-2</v>
      </c>
      <c r="M79" s="18">
        <f si="31" t="shared"/>
        <v>4.4247738653457422E-2</v>
      </c>
    </row>
    <row r="80" spans="1:13" x14ac:dyDescent="0.25">
      <c r="A80" s="12">
        <v>0.41666666666666669</v>
      </c>
      <c r="B80" s="18">
        <f ref="B80:F80" si="32" t="shared">B23/B$59</f>
        <v>3.7627534899926991E-2</v>
      </c>
      <c r="C80" s="18">
        <f si="32" t="shared"/>
        <v>2.2156536405515119E-2</v>
      </c>
      <c r="D80" s="18">
        <f si="32" t="shared"/>
        <v>3.0312501797066498E-2</v>
      </c>
      <c r="E80" s="18">
        <f si="32" t="shared"/>
        <v>5.4840301319174216E-2</v>
      </c>
      <c r="F80" s="18">
        <f si="32" t="shared"/>
        <v>3.3175136620106863E-2</v>
      </c>
      <c r="H80" s="12">
        <v>0.41666666666666669</v>
      </c>
      <c r="I80" s="17">
        <f ref="I80:M80" si="33" t="shared">I23/I$59</f>
        <v>3.9032398547717922E-2</v>
      </c>
      <c r="J80" s="17">
        <f si="33" t="shared"/>
        <v>4.1097575847434238E-2</v>
      </c>
      <c r="K80" s="17">
        <f si="33" t="shared"/>
        <v>3.3065331849882647E-2</v>
      </c>
      <c r="L80" s="17">
        <f si="33" t="shared"/>
        <v>5.9027179858515411E-2</v>
      </c>
      <c r="M80" s="18">
        <f si="33" t="shared"/>
        <v>3.7564556086613313E-2</v>
      </c>
    </row>
    <row r="81" spans="1:13" x14ac:dyDescent="0.25">
      <c r="A81" s="12">
        <v>0.4375</v>
      </c>
      <c r="B81" s="18">
        <f ref="B81:F81" si="34" t="shared">B24/B$59</f>
        <v>2.70297062967534E-2</v>
      </c>
      <c r="C81" s="18">
        <f si="34" t="shared"/>
        <v>1.1733968793099845E-2</v>
      </c>
      <c r="D81" s="18">
        <f si="34" t="shared"/>
        <v>3.0341072613025051E-2</v>
      </c>
      <c r="E81" s="18">
        <f si="34" t="shared"/>
        <v>7.8624336119234237E-2</v>
      </c>
      <c r="F81" s="18">
        <f si="34" t="shared"/>
        <v>2.9058406639819651E-2</v>
      </c>
      <c r="H81" s="12">
        <v>0.4375</v>
      </c>
      <c r="I81" s="17">
        <f ref="I81:M81" si="35" t="shared">I24/I$59</f>
        <v>2.7726548633240596E-2</v>
      </c>
      <c r="J81" s="17">
        <f si="35" t="shared"/>
        <v>2.5493198029598083E-2</v>
      </c>
      <c r="K81" s="17">
        <f si="35" t="shared"/>
        <v>3.3643829951021921E-2</v>
      </c>
      <c r="L81" s="17">
        <f si="35" t="shared"/>
        <v>6.8562518034867112E-2</v>
      </c>
      <c r="M81" s="18">
        <f si="35" t="shared"/>
        <v>3.2807413226449457E-2</v>
      </c>
    </row>
    <row r="82" spans="1:13" x14ac:dyDescent="0.25">
      <c r="A82" s="12">
        <v>0.45833333333333331</v>
      </c>
      <c r="B82" s="18">
        <f ref="B82:F82" si="36" t="shared">B25/B$59</f>
        <v>2.0556214136732157E-2</v>
      </c>
      <c r="C82" s="18">
        <f si="36" t="shared"/>
        <v>6.9767446722530414E-3</v>
      </c>
      <c r="D82" s="18">
        <f si="36" t="shared"/>
        <v>2.9887734174512653E-2</v>
      </c>
      <c r="E82" s="18">
        <f si="36" t="shared"/>
        <v>0.10190452064260375</v>
      </c>
      <c r="F82" s="18">
        <f si="36" t="shared"/>
        <v>2.7070662446741989E-2</v>
      </c>
      <c r="H82" s="12">
        <v>0.45833333333333331</v>
      </c>
      <c r="I82" s="17">
        <f ref="I82:M82" si="37" t="shared">I25/I$59</f>
        <v>2.0564223762098321E-2</v>
      </c>
      <c r="J82" s="17">
        <f si="37" t="shared"/>
        <v>1.6137816214197503E-2</v>
      </c>
      <c r="K82" s="17">
        <f si="37" t="shared"/>
        <v>3.3844894221754546E-2</v>
      </c>
      <c r="L82" s="17">
        <f si="37" t="shared"/>
        <v>7.5956205548673134E-2</v>
      </c>
      <c r="M82" s="18">
        <f si="37" t="shared"/>
        <v>2.9856113430921476E-2</v>
      </c>
    </row>
    <row r="83" spans="1:13" x14ac:dyDescent="0.25">
      <c r="A83" s="12">
        <v>0.47916666666666669</v>
      </c>
      <c r="B83" s="18">
        <f ref="B83:F83" si="38" t="shared">B26/B$59</f>
        <v>1.7151799673837544E-2</v>
      </c>
      <c r="C83" s="18">
        <f si="38" t="shared"/>
        <v>5.2099340905064429E-3</v>
      </c>
      <c r="D83" s="18">
        <f si="38" t="shared"/>
        <v>2.9031649235452865E-2</v>
      </c>
      <c r="E83" s="18">
        <f si="38" t="shared"/>
        <v>0.1173154844686994</v>
      </c>
      <c r="F83" s="18">
        <f si="38" t="shared"/>
        <v>2.6047817032845168E-2</v>
      </c>
      <c r="H83" s="12">
        <v>0.47916666666666669</v>
      </c>
      <c r="I83" s="17">
        <f ref="I83:M83" si="39" t="shared">I26/I$59</f>
        <v>1.6533996483854868E-2</v>
      </c>
      <c r="J83" s="17">
        <f si="39" t="shared"/>
        <v>1.1085759089978504E-2</v>
      </c>
      <c r="K83" s="17">
        <f si="39" t="shared"/>
        <v>3.3807473589106976E-2</v>
      </c>
      <c r="L83" s="17">
        <f si="39" t="shared"/>
        <v>7.9529349036105118E-2</v>
      </c>
      <c r="M83" s="18">
        <f si="39" t="shared"/>
        <v>2.8111394142434017E-2</v>
      </c>
    </row>
    <row r="84" spans="1:13" x14ac:dyDescent="0.25">
      <c r="A84" s="12">
        <v>0.5</v>
      </c>
      <c r="B84" s="18">
        <f ref="B84:F84" si="40" t="shared">B27/B$59</f>
        <v>1.564226145473159E-2</v>
      </c>
      <c r="C84" s="18">
        <f si="40" t="shared"/>
        <v>4.6696395033959245E-3</v>
      </c>
      <c r="D84" s="18">
        <f si="40" t="shared"/>
        <v>2.8232312800119976E-2</v>
      </c>
      <c r="E84" s="18">
        <f si="40" t="shared"/>
        <v>0.11949067540460356</v>
      </c>
      <c r="F84" s="18">
        <f si="40" t="shared"/>
        <v>2.5190906123560501E-2</v>
      </c>
      <c r="H84" s="12">
        <v>0.5</v>
      </c>
      <c r="I84" s="17">
        <f ref="I84:M84" si="41" t="shared">I27/I$59</f>
        <v>1.4397627001989963E-2</v>
      </c>
      <c r="J84" s="17">
        <f si="41" t="shared"/>
        <v>8.3882979893061711E-3</v>
      </c>
      <c r="K84" s="17">
        <f si="41" t="shared"/>
        <v>3.3734995914656708E-2</v>
      </c>
      <c r="L84" s="17">
        <f si="41" t="shared"/>
        <v>7.8153247834996095E-2</v>
      </c>
      <c r="M84" s="18">
        <f si="41" t="shared"/>
        <v>2.6962015212402029E-2</v>
      </c>
    </row>
    <row r="85" spans="1:13" x14ac:dyDescent="0.25">
      <c r="A85" s="12">
        <v>0.52083333333333337</v>
      </c>
      <c r="B85" s="18">
        <f ref="B85:F85" si="42" t="shared">B28/B$59</f>
        <v>1.5071590374887584E-2</v>
      </c>
      <c r="C85" s="18">
        <f si="42" t="shared"/>
        <v>4.437565525578481E-3</v>
      </c>
      <c r="D85" s="18">
        <f si="42" t="shared"/>
        <v>2.808279614051936E-2</v>
      </c>
      <c r="E85" s="18">
        <f si="42" t="shared"/>
        <v>0.10829933219045533</v>
      </c>
      <c r="F85" s="18">
        <f si="42" t="shared"/>
        <v>2.4256512189306828E-2</v>
      </c>
      <c r="H85" s="12">
        <v>0.52083333333333337</v>
      </c>
      <c r="I85" s="17">
        <f ref="I85:M85" si="43" t="shared">I28/I$59</f>
        <v>1.3184681285930651E-2</v>
      </c>
      <c r="J85" s="17">
        <f si="43" t="shared"/>
        <v>6.7772834720242576E-3</v>
      </c>
      <c r="K85" s="17">
        <f si="43" t="shared"/>
        <v>3.3763866054638179E-2</v>
      </c>
      <c r="L85" s="17">
        <f si="43" t="shared"/>
        <v>7.2034177820731016E-2</v>
      </c>
      <c r="M85" s="18">
        <f si="43" t="shared"/>
        <v>2.6013452874357936E-2</v>
      </c>
    </row>
    <row r="86" spans="1:13" x14ac:dyDescent="0.25">
      <c r="A86" s="12">
        <v>0.54166666666666663</v>
      </c>
      <c r="B86" s="18">
        <f ref="B86:F86" si="44" t="shared">B29/B$59</f>
        <v>1.476511364485115E-2</v>
      </c>
      <c r="C86" s="18">
        <f si="44" t="shared"/>
        <v>4.1323029669750122E-3</v>
      </c>
      <c r="D86" s="18">
        <f si="44" t="shared"/>
        <v>2.8940894739555315E-2</v>
      </c>
      <c r="E86" s="18">
        <f si="44" t="shared"/>
        <v>8.8603729807216647E-2</v>
      </c>
      <c r="F86" s="18">
        <f si="44" t="shared"/>
        <v>2.3363381022303856E-2</v>
      </c>
      <c r="H86" s="12">
        <v>0.54166666666666663</v>
      </c>
      <c r="I86" s="17">
        <f ref="I86:M86" si="45" t="shared">I29/I$59</f>
        <v>1.2315993884997042E-2</v>
      </c>
      <c r="J86" s="17">
        <f si="45" t="shared"/>
        <v>5.6705769985097888E-3</v>
      </c>
      <c r="K86" s="17">
        <f si="45" t="shared"/>
        <v>3.389034414389034E-2</v>
      </c>
      <c r="L86" s="17">
        <f si="45" t="shared"/>
        <v>6.2917801229590148E-2</v>
      </c>
      <c r="M86" s="18">
        <f si="45" t="shared"/>
        <v>2.5106605627874496E-2</v>
      </c>
    </row>
    <row r="87" spans="1:13" x14ac:dyDescent="0.25">
      <c r="A87" s="12">
        <v>0.5625</v>
      </c>
      <c r="B87" s="18">
        <f ref="B87:F87" si="46" t="shared">B30/B$59</f>
        <v>1.4304316075145797E-2</v>
      </c>
      <c r="C87" s="18">
        <f si="46" t="shared"/>
        <v>3.6929938746688481E-3</v>
      </c>
      <c r="D87" s="18">
        <f si="46" t="shared"/>
        <v>3.0684637335916219E-2</v>
      </c>
      <c r="E87" s="18">
        <f si="46" t="shared"/>
        <v>6.695889302623495E-2</v>
      </c>
      <c r="F87" s="18">
        <f si="46" t="shared"/>
        <v>2.2662290989715981E-2</v>
      </c>
      <c r="H87" s="12">
        <v>0.5625</v>
      </c>
      <c r="I87" s="17">
        <f ref="I87:M87" si="47" t="shared">I30/I$59</f>
        <v>1.1512507529548518E-2</v>
      </c>
      <c r="J87" s="17">
        <f si="47" t="shared"/>
        <v>4.8995251552222535E-3</v>
      </c>
      <c r="K87" s="17">
        <f si="47" t="shared"/>
        <v>3.4018172601312846E-2</v>
      </c>
      <c r="L87" s="17">
        <f si="47" t="shared"/>
        <v>5.3270674247651063E-2</v>
      </c>
      <c r="M87" s="18">
        <f si="47" t="shared"/>
        <v>2.4229482545049107E-2</v>
      </c>
    </row>
    <row r="88" spans="1:13" x14ac:dyDescent="0.25">
      <c r="A88" s="12">
        <v>0.58333333333333337</v>
      </c>
      <c r="B88" s="18">
        <f ref="B88:F88" si="48" t="shared">B31/B$59</f>
        <v>1.3499541116301174E-2</v>
      </c>
      <c r="C88" s="18">
        <f si="48" t="shared"/>
        <v>3.2618363580847669E-3</v>
      </c>
      <c r="D88" s="18">
        <f si="48" t="shared"/>
        <v>3.2767961078576928E-2</v>
      </c>
      <c r="E88" s="18">
        <f si="48" t="shared"/>
        <v>4.8156976494705607E-2</v>
      </c>
      <c r="F88" s="18">
        <f si="48" t="shared"/>
        <v>2.2139169651763598E-2</v>
      </c>
      <c r="H88" s="12">
        <v>0.58333333333333337</v>
      </c>
      <c r="I88" s="17">
        <f ref="I88:M88" si="49" t="shared">I31/I$59</f>
        <v>1.0662153561824947E-2</v>
      </c>
      <c r="J88" s="17">
        <f si="49" t="shared"/>
        <v>4.4489904703578029E-3</v>
      </c>
      <c r="K88" s="17">
        <f si="49" t="shared"/>
        <v>3.4068904376273385E-2</v>
      </c>
      <c r="L88" s="17">
        <f si="49" t="shared"/>
        <v>4.4914452314149068E-2</v>
      </c>
      <c r="M88" s="18">
        <f si="49" t="shared"/>
        <v>2.3413946869833193E-2</v>
      </c>
    </row>
    <row r="89" spans="1:13" x14ac:dyDescent="0.25">
      <c r="A89" s="12">
        <v>0.60416666666666663</v>
      </c>
      <c r="B89" s="18">
        <f ref="B89:F89" si="50" t="shared">B32/B$59</f>
        <v>1.2359187499853555E-2</v>
      </c>
      <c r="C89" s="18">
        <f si="50" t="shared"/>
        <v>3.0801361062348714E-3</v>
      </c>
      <c r="D89" s="18">
        <f si="50" t="shared"/>
        <v>3.45773649906405E-2</v>
      </c>
      <c r="E89" s="18">
        <f si="50" t="shared"/>
        <v>3.393908706225475E-2</v>
      </c>
      <c r="F89" s="18">
        <f si="50" t="shared"/>
        <v>2.166846957573549E-2</v>
      </c>
      <c r="H89" s="12">
        <v>0.60416666666666663</v>
      </c>
      <c r="I89" s="17">
        <f ref="I89:M89" si="51" t="shared">I32/I$59</f>
        <v>9.7344370611153648E-3</v>
      </c>
      <c r="J89" s="17">
        <f si="51" t="shared"/>
        <v>4.3122558486317622E-3</v>
      </c>
      <c r="K89" s="17">
        <f si="51" t="shared"/>
        <v>3.4059168662693977E-2</v>
      </c>
      <c r="L89" s="17">
        <f si="51" t="shared"/>
        <v>3.8222669480565644E-2</v>
      </c>
      <c r="M89" s="18">
        <f si="51" t="shared"/>
        <v>2.2679544583547949E-2</v>
      </c>
    </row>
    <row r="90" spans="1:13" x14ac:dyDescent="0.25">
      <c r="A90" s="12">
        <v>0.625</v>
      </c>
      <c r="B90" s="18">
        <f ref="B90:F90" si="52" t="shared">B33/B$59</f>
        <v>1.1033042122119497E-2</v>
      </c>
      <c r="C90" s="18">
        <f si="52" t="shared"/>
        <v>3.3616032141398451E-3</v>
      </c>
      <c r="D90" s="18">
        <f si="52" t="shared"/>
        <v>3.5874552441444857E-2</v>
      </c>
      <c r="E90" s="18">
        <f si="52" t="shared"/>
        <v>2.3838909882497459E-2</v>
      </c>
      <c r="F90" s="18">
        <f si="52" t="shared"/>
        <v>2.1209454053897916E-2</v>
      </c>
      <c r="H90" s="12">
        <v>0.625</v>
      </c>
      <c r="I90" s="17">
        <f ref="I90:M90" si="53" t="shared">I33/I$59</f>
        <v>8.7491415800275817E-3</v>
      </c>
      <c r="J90" s="17">
        <f si="53" t="shared"/>
        <v>4.4429526289225304E-3</v>
      </c>
      <c r="K90" s="17">
        <f si="53" t="shared"/>
        <v>3.4096011549585414E-2</v>
      </c>
      <c r="L90" s="17">
        <f si="53" t="shared"/>
        <v>3.2492459670667939E-2</v>
      </c>
      <c r="M90" s="18">
        <f si="53" t="shared"/>
        <v>2.2037474432845004E-2</v>
      </c>
    </row>
    <row r="91" spans="1:13" x14ac:dyDescent="0.25">
      <c r="A91" s="12">
        <v>0.64583333333333337</v>
      </c>
      <c r="B91" s="18">
        <f ref="B91:F91" si="54" t="shared">B34/B$59</f>
        <v>9.7209053631827514E-3</v>
      </c>
      <c r="C91" s="18">
        <f si="54" t="shared"/>
        <v>4.1666033604679416E-3</v>
      </c>
      <c r="D91" s="18">
        <f si="54" t="shared"/>
        <v>3.7004738783023447E-2</v>
      </c>
      <c r="E91" s="18">
        <f si="54" t="shared"/>
        <v>1.6674985142155492E-2</v>
      </c>
      <c r="F91" s="18">
        <f si="54" t="shared"/>
        <v>2.0926089662164759E-2</v>
      </c>
      <c r="H91" s="12">
        <v>0.64583333333333337</v>
      </c>
      <c r="I91" s="17">
        <f ref="I91:M91" si="55" t="shared">I34/I$59</f>
        <v>7.7652829974569192E-3</v>
      </c>
      <c r="J91" s="17">
        <f si="55" t="shared"/>
        <v>4.7508368962627667E-3</v>
      </c>
      <c r="K91" s="17">
        <f si="55" t="shared"/>
        <v>3.4309051590498477E-2</v>
      </c>
      <c r="L91" s="17">
        <f si="55" t="shared"/>
        <v>2.698693935111271E-2</v>
      </c>
      <c r="M91" s="18">
        <f si="55" t="shared"/>
        <v>2.1515961690686921E-2</v>
      </c>
    </row>
    <row r="92" spans="1:13" x14ac:dyDescent="0.25">
      <c r="A92" s="12">
        <v>0.66666666666666663</v>
      </c>
      <c r="B92" s="18">
        <f ref="B92:F92" si="56" t="shared">B35/B$59</f>
        <v>8.5667814968684603E-3</v>
      </c>
      <c r="C92" s="18">
        <f si="56" t="shared"/>
        <v>5.325052028827393E-3</v>
      </c>
      <c r="D92" s="18">
        <f si="56" t="shared"/>
        <v>3.8678071746414161E-2</v>
      </c>
      <c r="E92" s="18">
        <f si="56" t="shared"/>
        <v>1.1502440232105667E-2</v>
      </c>
      <c r="F92" s="18">
        <f si="56" t="shared"/>
        <v>2.1096488368874098E-2</v>
      </c>
      <c r="H92" s="12">
        <v>0.66666666666666663</v>
      </c>
      <c r="I92" s="17">
        <f ref="I92:M92" si="57" t="shared">I35/I$59</f>
        <v>6.8585756489788832E-3</v>
      </c>
      <c r="J92" s="17">
        <f si="57" t="shared"/>
        <v>5.1106116263445137E-3</v>
      </c>
      <c r="K92" s="17">
        <f si="57" t="shared"/>
        <v>3.4770617470865184E-2</v>
      </c>
      <c r="L92" s="17">
        <f si="57" t="shared"/>
        <v>2.1640626854541819E-2</v>
      </c>
      <c r="M92" s="18">
        <f si="57" t="shared"/>
        <v>2.1157176031597433E-2</v>
      </c>
    </row>
    <row r="93" spans="1:13" x14ac:dyDescent="0.25">
      <c r="A93" s="12">
        <v>0.6875</v>
      </c>
      <c r="B93" s="18">
        <f ref="B93:F93" si="58" t="shared">B36/B$59</f>
        <v>7.5901653471513392E-3</v>
      </c>
      <c r="C93" s="18">
        <f si="58" t="shared"/>
        <v>6.4551782559338503E-3</v>
      </c>
      <c r="D93" s="18">
        <f si="58" t="shared"/>
        <v>4.1413801969469921E-2</v>
      </c>
      <c r="E93" s="18">
        <f si="58" t="shared"/>
        <v>7.8047823776587694E-3</v>
      </c>
      <c r="F93" s="18">
        <f si="58" t="shared"/>
        <v>2.1863906981564749E-2</v>
      </c>
      <c r="H93" s="12">
        <v>0.6875</v>
      </c>
      <c r="I93" s="17">
        <f ref="I93:M93" si="59" t="shared">I36/I$59</f>
        <v>6.0826991417646898E-3</v>
      </c>
      <c r="J93" s="17">
        <f si="59" t="shared"/>
        <v>5.3828205204540618E-3</v>
      </c>
      <c r="K93" s="17">
        <f si="59" t="shared"/>
        <v>3.5438099233135928E-2</v>
      </c>
      <c r="L93" s="17">
        <f si="59" t="shared"/>
        <v>1.6945097778486823E-2</v>
      </c>
      <c r="M93" s="18">
        <f si="59" t="shared"/>
        <v>2.097167006762491E-2</v>
      </c>
    </row>
    <row r="94" spans="1:13" x14ac:dyDescent="0.25">
      <c r="A94" s="12">
        <v>0.70833333333333337</v>
      </c>
      <c r="B94" s="18">
        <f ref="B94:F94" si="60" t="shared">B37/B$59</f>
        <v>6.700205405918965E-3</v>
      </c>
      <c r="C94" s="18">
        <f si="60" t="shared"/>
        <v>7.1021144209903178E-3</v>
      </c>
      <c r="D94" s="18">
        <f si="60" t="shared"/>
        <v>4.4972922783031E-2</v>
      </c>
      <c r="E94" s="18">
        <f si="60" t="shared"/>
        <v>5.2901293518856484E-3</v>
      </c>
      <c r="F94" s="18">
        <f si="60" t="shared"/>
        <v>2.3009084281349436E-2</v>
      </c>
      <c r="H94" s="12">
        <v>0.70833333333333337</v>
      </c>
      <c r="I94" s="17">
        <f ref="I94:M94" si="61" t="shared">I37/I$59</f>
        <v>5.4372102616778578E-3</v>
      </c>
      <c r="J94" s="17">
        <f si="61" t="shared"/>
        <v>5.4471032724603607E-3</v>
      </c>
      <c r="K94" s="17">
        <f si="61" t="shared"/>
        <v>3.6124511096370986E-2</v>
      </c>
      <c r="L94" s="17">
        <f si="61" t="shared"/>
        <v>1.3362696419334692E-2</v>
      </c>
      <c r="M94" s="18">
        <f si="61" t="shared"/>
        <v>2.0881876433660018E-2</v>
      </c>
    </row>
    <row r="95" spans="1:13" x14ac:dyDescent="0.25">
      <c r="A95" s="12">
        <v>0.72916666666666663</v>
      </c>
      <c r="B95" s="18">
        <f ref="B95:F95" si="62" t="shared">B38/B$59</f>
        <v>5.780896408689497E-3</v>
      </c>
      <c r="C95" s="18">
        <f si="62" t="shared"/>
        <v>6.9540499106777384E-3</v>
      </c>
      <c r="D95" s="18">
        <f si="62" t="shared"/>
        <v>4.8171348942698006E-2</v>
      </c>
      <c r="E95" s="18">
        <f si="62" t="shared"/>
        <v>3.6815684110969951E-3</v>
      </c>
      <c r="F95" s="18">
        <f si="62" t="shared"/>
        <v>2.3922322845776441E-2</v>
      </c>
      <c r="H95" s="12">
        <v>0.72916666666666663</v>
      </c>
      <c r="I95" s="17">
        <f ref="I95:M95" si="63" t="shared">I38/I$59</f>
        <v>4.8691676182652487E-3</v>
      </c>
      <c r="J95" s="17">
        <f si="63" t="shared"/>
        <v>5.2346492129696489E-3</v>
      </c>
      <c r="K95" s="17">
        <f si="63" t="shared"/>
        <v>3.6511783140264299E-2</v>
      </c>
      <c r="L95" s="17">
        <f si="63" t="shared"/>
        <v>1.0912455886840098E-2</v>
      </c>
      <c r="M95" s="18">
        <f si="63" t="shared"/>
        <v>2.0708022048064371E-2</v>
      </c>
    </row>
    <row r="96" spans="1:13" x14ac:dyDescent="0.25">
      <c r="A96" s="12">
        <v>0.75</v>
      </c>
      <c r="B96" s="18">
        <f ref="B96:F96" si="64" t="shared">B39/B$59</f>
        <v>4.7794645242493633E-3</v>
      </c>
      <c r="C96" s="18">
        <f si="64" t="shared"/>
        <v>6.0111426159691608E-3</v>
      </c>
      <c r="D96" s="18">
        <f si="64" t="shared"/>
        <v>4.9310806454899964E-2</v>
      </c>
      <c r="E96" s="18">
        <f si="64" t="shared"/>
        <v>2.6653149151938129E-3</v>
      </c>
      <c r="F96" s="18">
        <f si="64" t="shared"/>
        <v>2.3842096408361199E-2</v>
      </c>
      <c r="H96" s="12">
        <v>0.75</v>
      </c>
      <c r="I96" s="17">
        <f ref="I96:M96" si="65" t="shared">I39/I$59</f>
        <v>4.3111312594343787E-3</v>
      </c>
      <c r="J96" s="17">
        <f si="65" t="shared"/>
        <v>4.7470317588622834E-3</v>
      </c>
      <c r="K96" s="17">
        <f si="65" t="shared"/>
        <v>3.624215701575409E-2</v>
      </c>
      <c r="L96" s="17">
        <f si="65" t="shared"/>
        <v>9.22956359402375E-3</v>
      </c>
      <c r="M96" s="18">
        <f si="65" t="shared"/>
        <v>2.0231229410230929E-2</v>
      </c>
    </row>
    <row r="97" spans="1:13" x14ac:dyDescent="0.25">
      <c r="A97" s="12">
        <v>0.77083333333333337</v>
      </c>
      <c r="B97" s="18">
        <f ref="B97:F97" si="66" t="shared">B40/B$59</f>
        <v>3.7362000371948612E-3</v>
      </c>
      <c r="C97" s="18">
        <f si="66" t="shared"/>
        <v>4.5795543657069782E-3</v>
      </c>
      <c r="D97" s="18">
        <f si="66" t="shared"/>
        <v>4.7076897711344205E-2</v>
      </c>
      <c r="E97" s="18">
        <f si="66" t="shared"/>
        <v>1.9591538062841488E-3</v>
      </c>
      <c r="F97" s="18">
        <f si="66" t="shared"/>
        <v>2.2252143091603012E-2</v>
      </c>
      <c r="H97" s="12">
        <v>0.77083333333333337</v>
      </c>
      <c r="I97" s="17">
        <f ref="I97:M97" si="67" t="shared">I40/I$59</f>
        <v>3.7273253512939354E-3</v>
      </c>
      <c r="J97" s="17">
        <f si="67" t="shared"/>
        <v>4.057242733899802E-3</v>
      </c>
      <c r="K97" s="17">
        <f si="67" t="shared"/>
        <v>3.5077299771876465E-2</v>
      </c>
      <c r="L97" s="17">
        <f si="67" t="shared"/>
        <v>7.9107832716596941E-3</v>
      </c>
      <c r="M97" s="18">
        <f si="67" t="shared"/>
        <v>1.9307504319569097E-2</v>
      </c>
    </row>
    <row r="98" spans="1:13" x14ac:dyDescent="0.25">
      <c r="A98" s="12">
        <v>0.79166666666666663</v>
      </c>
      <c r="B98" s="18">
        <f ref="B98:F98" si="68" t="shared">B41/B$59</f>
        <v>2.7499165669132757E-3</v>
      </c>
      <c r="C98" s="18">
        <f si="68" t="shared"/>
        <v>3.0871063724389369E-3</v>
      </c>
      <c r="D98" s="18">
        <f si="68" t="shared"/>
        <v>4.1339992852133613E-2</v>
      </c>
      <c r="E98" s="18">
        <f si="68" t="shared"/>
        <v>1.3905938634297317E-3</v>
      </c>
      <c r="F98" s="18">
        <f si="68" t="shared"/>
        <v>1.9187430421721115E-2</v>
      </c>
      <c r="H98" s="12">
        <v>0.79166666666666663</v>
      </c>
      <c r="I98" s="17">
        <f ref="I98:M98" si="69" t="shared">I41/I$59</f>
        <v>3.1324717494287117E-3</v>
      </c>
      <c r="J98" s="17">
        <f si="69" t="shared"/>
        <v>3.2884290601143938E-3</v>
      </c>
      <c r="K98" s="17">
        <f si="69" t="shared"/>
        <v>3.3015814886930256E-2</v>
      </c>
      <c r="L98" s="17">
        <f si="69" t="shared"/>
        <v>6.777351332037892E-3</v>
      </c>
      <c r="M98" s="18">
        <f si="69" t="shared"/>
        <v>1.7944700475946821E-2</v>
      </c>
    </row>
    <row r="99" spans="1:13" x14ac:dyDescent="0.25">
      <c r="A99" s="12">
        <v>0.8125</v>
      </c>
      <c r="B99" s="18">
        <f ref="B99:F99" si="70" t="shared">B42/B$59</f>
        <v>1.9178711948945539E-3</v>
      </c>
      <c r="C99" s="18">
        <f si="70" t="shared"/>
        <v>1.8615329334194693E-3</v>
      </c>
      <c r="D99" s="18">
        <f si="70" t="shared"/>
        <v>3.3270158503745081E-2</v>
      </c>
      <c r="E99" s="18">
        <f si="70" t="shared"/>
        <v>9.0922273101335196E-4</v>
      </c>
      <c r="F99" s="18">
        <f si="70" t="shared"/>
        <v>1.5228819094734414E-2</v>
      </c>
      <c r="H99" s="12">
        <v>0.8125</v>
      </c>
      <c r="I99" s="17">
        <f ref="I99:M99" si="71" t="shared">I42/I$59</f>
        <v>2.5718975702835748E-3</v>
      </c>
      <c r="J99" s="17">
        <f si="71" t="shared"/>
        <v>2.5681352410234469E-3</v>
      </c>
      <c r="K99" s="17">
        <f si="71" t="shared"/>
        <v>3.0249681346415452E-2</v>
      </c>
      <c r="L99" s="17">
        <f si="71" t="shared"/>
        <v>5.8624720926131416E-3</v>
      </c>
      <c r="M99" s="18">
        <f si="71" t="shared"/>
        <v>1.6268515700177077E-2</v>
      </c>
    </row>
    <row r="100" spans="1:13" x14ac:dyDescent="0.25">
      <c r="A100" s="12">
        <v>0.83333333333333337</v>
      </c>
      <c r="B100" s="18">
        <f ref="B100:F100" si="72" t="shared">B43/B$59</f>
        <v>1.291255345859472E-3</v>
      </c>
      <c r="C100" s="18">
        <f si="72" t="shared"/>
        <v>1.0241911325597664E-3</v>
      </c>
      <c r="D100" s="18">
        <f si="72" t="shared"/>
        <v>2.4683184164266042E-2</v>
      </c>
      <c r="E100" s="18">
        <f si="72" t="shared"/>
        <v>5.3355648811270751E-4</v>
      </c>
      <c r="F100" s="18">
        <f si="72" t="shared"/>
        <v>1.1188898629263E-2</v>
      </c>
      <c r="H100" s="12">
        <v>0.83333333333333337</v>
      </c>
      <c r="I100" s="17">
        <f ref="I100:M100" si="73" t="shared">I43/I$59</f>
        <v>2.0842633573064455E-3</v>
      </c>
      <c r="J100" s="17">
        <f si="73" t="shared"/>
        <v>1.9761356106257071E-3</v>
      </c>
      <c r="K100" s="17">
        <f si="73" t="shared"/>
        <v>2.6987461115111164E-2</v>
      </c>
      <c r="L100" s="17">
        <f si="73" t="shared"/>
        <v>5.213633601668966E-3</v>
      </c>
      <c r="M100" s="18">
        <f si="73" t="shared"/>
        <v>1.4405794145443563E-2</v>
      </c>
    </row>
    <row r="101" spans="1:13" x14ac:dyDescent="0.25">
      <c r="A101" s="12">
        <v>0.85416666666666663</v>
      </c>
      <c r="B101" s="18">
        <f ref="B101:F101" si="74" t="shared">B44/B$59</f>
        <v>8.6423826863882367E-4</v>
      </c>
      <c r="C101" s="18">
        <f si="74" t="shared"/>
        <v>5.2927238411561975E-4</v>
      </c>
      <c r="D101" s="18">
        <f si="74" t="shared"/>
        <v>1.7128570944610687E-2</v>
      </c>
      <c r="E101" s="18">
        <f si="74" t="shared"/>
        <v>2.8396069039765055E-4</v>
      </c>
      <c r="F101" s="18">
        <f si="74" t="shared"/>
        <v>7.7209191803474762E-3</v>
      </c>
      <c r="H101" s="12">
        <v>0.85416666666666663</v>
      </c>
      <c r="I101" s="17">
        <f ref="I101:M101" si="75" t="shared">I44/I$59</f>
        <v>1.6789768231341097E-3</v>
      </c>
      <c r="J101" s="17">
        <f si="75" t="shared"/>
        <v>1.5206589352271974E-3</v>
      </c>
      <c r="K101" s="17">
        <f si="75" t="shared"/>
        <v>2.332392364117452E-2</v>
      </c>
      <c r="L101" s="17">
        <f si="75" t="shared"/>
        <v>4.7367729866412966E-3</v>
      </c>
      <c r="M101" s="18">
        <f si="75" t="shared"/>
        <v>1.2401219381662259E-2</v>
      </c>
    </row>
    <row r="102" spans="1:13" x14ac:dyDescent="0.25">
      <c r="A102" s="12">
        <v>0.875</v>
      </c>
      <c r="B102" s="18">
        <f ref="B102:F102" si="76" t="shared">B45/B$59</f>
        <v>5.9149201378691648E-4</v>
      </c>
      <c r="C102" s="18">
        <f si="76" t="shared"/>
        <v>2.6544378087003386E-4</v>
      </c>
      <c r="D102" s="18">
        <f si="76" t="shared"/>
        <v>1.1344804555248819E-2</v>
      </c>
      <c r="E102" s="18">
        <f si="76" t="shared"/>
        <v>1.4867293665648656E-4</v>
      </c>
      <c r="F102" s="18">
        <f si="76" t="shared"/>
        <v>5.1060378512581064E-3</v>
      </c>
      <c r="H102" s="12">
        <v>0.875</v>
      </c>
      <c r="I102" s="17">
        <f ref="I102:M102" si="77" t="shared">I45/I$59</f>
        <v>1.3414580886771314E-3</v>
      </c>
      <c r="J102" s="17">
        <f si="77" t="shared"/>
        <v>1.160447232723626E-3</v>
      </c>
      <c r="K102" s="17">
        <f si="77" t="shared"/>
        <v>1.9293831781606974E-2</v>
      </c>
      <c r="L102" s="17">
        <f si="77" t="shared"/>
        <v>4.224592939444014E-3</v>
      </c>
      <c r="M102" s="18">
        <f si="77" t="shared"/>
        <v>1.0249585697721789E-2</v>
      </c>
    </row>
    <row r="103" spans="1:13" x14ac:dyDescent="0.25">
      <c r="A103" s="12">
        <v>0.89583333333333337</v>
      </c>
      <c r="B103" s="18">
        <f ref="B103:F103" si="78" t="shared">B46/B$59</f>
        <v>4.1686867078225324E-4</v>
      </c>
      <c r="C103" s="18">
        <f si="78" t="shared"/>
        <v>1.3212775062483589E-4</v>
      </c>
      <c r="D103" s="18">
        <f si="78" t="shared"/>
        <v>7.3023959106339551E-3</v>
      </c>
      <c r="E103" s="18">
        <f si="78" t="shared"/>
        <v>8.9919181994983812E-5</v>
      </c>
      <c r="F103" s="18">
        <f si="78" t="shared"/>
        <v>3.2939200605817472E-3</v>
      </c>
      <c r="H103" s="12">
        <v>0.89583333333333337</v>
      </c>
      <c r="I103" s="17">
        <f ref="I103:M103" si="79" t="shared">I46/I$59</f>
        <v>1.0530213534155949E-3</v>
      </c>
      <c r="J103" s="17">
        <f si="79" t="shared"/>
        <v>8.5125108705792643E-4</v>
      </c>
      <c r="K103" s="17">
        <f si="79" t="shared"/>
        <v>1.5041525732549342E-2</v>
      </c>
      <c r="L103" s="17">
        <f si="79" t="shared"/>
        <v>3.5175873672968765E-3</v>
      </c>
      <c r="M103" s="18">
        <f si="79" t="shared"/>
        <v>8.0002776175978462E-3</v>
      </c>
    </row>
    <row r="104" spans="1:13" x14ac:dyDescent="0.25">
      <c r="A104" s="12">
        <v>0.91666666666666663</v>
      </c>
      <c r="B104" s="18">
        <f ref="B104:F104" si="80" t="shared">B47/B$59</f>
        <v>2.9594858456591464E-4</v>
      </c>
      <c r="C104" s="18">
        <f si="80" t="shared"/>
        <v>6.5021622230112852E-5</v>
      </c>
      <c r="D104" s="18">
        <f si="80" t="shared"/>
        <v>4.5923819191254003E-3</v>
      </c>
      <c r="E104" s="18">
        <f si="80" t="shared"/>
        <v>6.6972597542305209E-5</v>
      </c>
      <c r="F104" s="18">
        <f si="80" t="shared"/>
        <v>2.0818813895502782E-3</v>
      </c>
      <c r="H104" s="12">
        <v>0.91666666666666663</v>
      </c>
      <c r="I104" s="17">
        <f ref="I104:M104" si="81" t="shared">I47/I$59</f>
        <v>8.0427025024696252E-4</v>
      </c>
      <c r="J104" s="17">
        <f si="81" t="shared"/>
        <v>5.7765158404946807E-4</v>
      </c>
      <c r="K104" s="17">
        <f si="81" t="shared"/>
        <v>1.0904074372463109E-2</v>
      </c>
      <c r="L104" s="17">
        <f si="81" t="shared"/>
        <v>2.6291571346105744E-3</v>
      </c>
      <c r="M104" s="18">
        <f si="81" t="shared"/>
        <v>5.8135489316437326E-3</v>
      </c>
    </row>
    <row r="105" spans="1:13" x14ac:dyDescent="0.25">
      <c r="A105" s="12">
        <v>0.9375</v>
      </c>
      <c r="B105" s="18">
        <f ref="B105:F105" si="82" t="shared">B48/B$59</f>
        <v>2.0419210977685274E-4</v>
      </c>
      <c r="C105" s="18">
        <f si="82" t="shared"/>
        <v>3.0587709742985429E-5</v>
      </c>
      <c r="D105" s="18">
        <f si="82" t="shared"/>
        <v>2.7891954841432775E-3</v>
      </c>
      <c r="E105" s="18">
        <f si="82" t="shared"/>
        <v>5.3008319108365218E-5</v>
      </c>
      <c r="F105" s="18">
        <f si="82" t="shared"/>
        <v>1.2728320668869398E-3</v>
      </c>
      <c r="H105" s="12">
        <v>0.9375</v>
      </c>
      <c r="I105" s="17">
        <f ref="I105:M105" si="83" t="shared">I48/I$59</f>
        <v>5.9412244261772133E-4</v>
      </c>
      <c r="J105" s="17">
        <f si="83" t="shared"/>
        <v>3.5105558965126729E-4</v>
      </c>
      <c r="K105" s="17">
        <f si="83" t="shared"/>
        <v>7.2989037409748898E-3</v>
      </c>
      <c r="L105" s="17">
        <f si="83" t="shared"/>
        <v>1.7222297383697905E-3</v>
      </c>
      <c r="M105" s="18">
        <f si="83" t="shared"/>
        <v>3.9037495045705626E-3</v>
      </c>
    </row>
    <row r="106" spans="1:13" x14ac:dyDescent="0.25">
      <c r="A106" s="12">
        <v>0.95833333333333337</v>
      </c>
      <c r="B106" s="18">
        <f ref="B106:F106" si="84" t="shared">B49/B$59</f>
        <v>1.3282553869349356E-4</v>
      </c>
      <c r="C106" s="18">
        <f si="84" t="shared"/>
        <v>1.3067589116837404E-5</v>
      </c>
      <c r="D106" s="18">
        <f si="84" t="shared"/>
        <v>1.6010927179247458E-3</v>
      </c>
      <c r="E106" s="18">
        <f si="84" t="shared"/>
        <v>3.8168317249931225E-5</v>
      </c>
      <c r="F106" s="18">
        <f si="84" t="shared"/>
        <v>7.3618006497955051E-4</v>
      </c>
      <c r="H106" s="12">
        <v>0.95833333333333337</v>
      </c>
      <c r="I106" s="17">
        <f ref="I106:M106" si="85" t="shared">I49/I$59</f>
        <v>4.2230777161338768E-4</v>
      </c>
      <c r="J106" s="17">
        <f si="85" t="shared"/>
        <v>1.8685937026106139E-4</v>
      </c>
      <c r="K106" s="17">
        <f si="85" t="shared"/>
        <v>4.5156377853110205E-3</v>
      </c>
      <c r="L106" s="17">
        <f si="85" t="shared"/>
        <v>9.7750919875845641E-4</v>
      </c>
      <c r="M106" s="18">
        <f si="85" t="shared"/>
        <v>2.4247023204253602E-3</v>
      </c>
    </row>
    <row r="107" spans="1:13" x14ac:dyDescent="0.25">
      <c r="A107" s="12">
        <v>0.97916666666666663</v>
      </c>
      <c r="B107" s="18">
        <f ref="B107:F107" si="86" t="shared">B50/B$59</f>
        <v>8.0035533893987846E-5</v>
      </c>
      <c r="C107" s="18">
        <f si="86" t="shared"/>
        <v>4.7999673927051135E-6</v>
      </c>
      <c r="D107" s="18">
        <f si="86" t="shared"/>
        <v>8.5074674549547437E-4</v>
      </c>
      <c r="E107" s="18">
        <f si="86" t="shared"/>
        <v>2.3235188203583801E-5</v>
      </c>
      <c r="F107" s="18">
        <f si="86" t="shared"/>
        <v>3.9451165572734195E-4</v>
      </c>
      <c r="H107" s="12">
        <v>0.97916666666666663</v>
      </c>
      <c r="I107" s="17">
        <f ref="I107:M107" si="87" t="shared">I50/I$59</f>
        <v>2.8569652706451399E-4</v>
      </c>
      <c r="J107" s="17">
        <f si="87" t="shared"/>
        <v>8.6126248941179257E-5</v>
      </c>
      <c r="K107" s="17">
        <f si="87" t="shared"/>
        <v>2.5992416354139124E-3</v>
      </c>
      <c r="L107" s="17">
        <f si="87" t="shared"/>
        <v>4.8080632690833278E-4</v>
      </c>
      <c r="M107" s="18">
        <f si="87" t="shared"/>
        <v>1.4025698398804133E-3</v>
      </c>
    </row>
    <row r="108" spans="1:13" x14ac:dyDescent="0.25">
      <c r="A108" s="12">
        <v>1</v>
      </c>
      <c r="B108" s="18">
        <f ref="B108:F108" si="88" t="shared">B51/B$59</f>
        <v>4.4313497223316537E-5</v>
      </c>
      <c r="C108" s="18">
        <f si="88" t="shared"/>
        <v>1.4375079379482149E-6</v>
      </c>
      <c r="D108" s="18">
        <f si="88" t="shared"/>
        <v>4.1243557889912753E-4</v>
      </c>
      <c r="E108" s="18">
        <f si="88" t="shared"/>
        <v>1.1587548068912417E-5</v>
      </c>
      <c r="F108" s="18">
        <f si="88" t="shared"/>
        <v>1.9317797675650871E-4</v>
      </c>
      <c r="H108" s="12">
        <v>1</v>
      </c>
      <c r="I108" s="17">
        <f ref="I108:M108" si="89" t="shared">I51/I$59</f>
        <v>1.8020334314406029E-4</v>
      </c>
      <c r="J108" s="17">
        <f si="89" t="shared"/>
        <v>3.4471470444406761E-5</v>
      </c>
      <c r="K108" s="17">
        <f si="89" t="shared"/>
        <v>1.3990535259643241E-3</v>
      </c>
      <c r="L108" s="17">
        <f si="89" t="shared"/>
        <v>2.0791587214928731E-4</v>
      </c>
      <c r="M108" s="18">
        <f si="89" t="shared"/>
        <v>7.593684679656768E-4</v>
      </c>
    </row>
    <row r="109" spans="1:13" x14ac:dyDescent="0.25">
      <c r="A109" s="12">
        <v>1.0208333333333333</v>
      </c>
      <c r="B109" s="18">
        <f ref="B109:F109" si="90" t="shared">B52/B$59</f>
        <v>2.2399994876280062E-5</v>
      </c>
      <c r="C109" s="18">
        <f si="90" t="shared"/>
        <v>3.3184421966862784E-7</v>
      </c>
      <c r="D109" s="18">
        <f si="90" t="shared"/>
        <v>1.8075373139578364E-4</v>
      </c>
      <c r="E109" s="18">
        <f si="90" t="shared"/>
        <v>4.6326471314575184E-6</v>
      </c>
      <c r="F109" s="18">
        <f si="90" t="shared"/>
        <v>8.5692936758357291E-5</v>
      </c>
      <c r="H109" s="12">
        <v>1.0208333333333333</v>
      </c>
      <c r="I109" s="17">
        <f ref="I109:M109" si="91" t="shared">I52/I$59</f>
        <v>1.0304491606994619E-4</v>
      </c>
      <c r="J109" s="17">
        <f si="91" t="shared"/>
        <v>1.2279710517701248E-5</v>
      </c>
      <c r="K109" s="17">
        <f si="91" t="shared"/>
        <v>6.9997542080346242E-4</v>
      </c>
      <c r="L109" s="17">
        <f si="91" t="shared"/>
        <v>8.1532409694847402E-5</v>
      </c>
      <c r="M109" s="18">
        <f si="91" t="shared"/>
        <v>3.8232314600410584E-4</v>
      </c>
    </row>
    <row r="110" spans="1:13" x14ac:dyDescent="0.25">
      <c r="A110" s="12">
        <v>4.1666666666666664E-2</v>
      </c>
      <c r="B110" s="18">
        <f ref="B110:F110" si="92" t="shared">B53/B$59</f>
        <v>1.020332419415086E-5</v>
      </c>
      <c r="C110" s="18">
        <f si="92" t="shared"/>
        <v>5.4911945924439233E-8</v>
      </c>
      <c r="D110" s="18">
        <f si="92" t="shared"/>
        <v>7.0936165128910735E-5</v>
      </c>
      <c r="E110" s="18">
        <f si="92" t="shared"/>
        <v>1.4476088585560579E-6</v>
      </c>
      <c r="F110" s="18">
        <f si="92" t="shared"/>
        <v>3.4119564907335824E-5</v>
      </c>
      <c r="H110" s="12">
        <v>4.1666666666666664E-2</v>
      </c>
      <c r="I110" s="17">
        <f ref="I110:M110" si="93" t="shared">I53/I$59</f>
        <v>5.1810181188465714E-5</v>
      </c>
      <c r="J110" s="17">
        <f si="93" t="shared"/>
        <v>4.0869031245520339E-6</v>
      </c>
      <c r="K110" s="17">
        <f si="93" t="shared"/>
        <v>3.1855120659797785E-4</v>
      </c>
      <c r="L110" s="17">
        <f si="93" t="shared"/>
        <v>3.0075198513752321E-5</v>
      </c>
      <c r="M110" s="18">
        <f si="93" t="shared"/>
        <v>1.7504395299067864E-4</v>
      </c>
    </row>
    <row r="111" spans="1:13" x14ac:dyDescent="0.25">
      <c r="A111" s="12">
        <v>6.25E-2</v>
      </c>
      <c r="B111" s="18">
        <f ref="B111:F111" si="94" t="shared">B54/B$59</f>
        <v>4.0882333085287707E-6</v>
      </c>
      <c r="C111" s="18">
        <f si="94" t="shared"/>
        <v>5.7696700151717485E-9</v>
      </c>
      <c r="D111" s="18">
        <f si="94" t="shared"/>
        <v>2.4522344292220296E-5</v>
      </c>
      <c r="E111" s="18">
        <f si="94" t="shared"/>
        <v>3.4061384907201359E-7</v>
      </c>
      <c r="F111" s="18">
        <f si="94" t="shared"/>
        <v>1.19912359392845E-5</v>
      </c>
      <c r="H111" s="12">
        <v>6.25E-2</v>
      </c>
      <c r="I111" s="17">
        <f ref="I111:M111" si="95" t="shared">I54/I$59</f>
        <v>2.2223912539954581E-5</v>
      </c>
      <c r="J111" s="17">
        <f si="95" t="shared"/>
        <v>1.3252343647898698E-6</v>
      </c>
      <c r="K111" s="17">
        <f si="95" t="shared"/>
        <v>1.274971368693846E-4</v>
      </c>
      <c r="L111" s="17">
        <f si="95" t="shared"/>
        <v>1.0539440219391481E-5</v>
      </c>
      <c r="M111" s="18">
        <f si="95" t="shared"/>
        <v>7.0432839901737927E-5</v>
      </c>
    </row>
    <row r="112" spans="1:13" x14ac:dyDescent="0.25">
      <c r="A112" s="12">
        <v>8.3333333333333329E-2</v>
      </c>
      <c r="B112" s="18">
        <f ref="B112:F112" si="96" t="shared">B55/B$59</f>
        <v>1.3920208623382917E-6</v>
      </c>
      <c r="C112" s="18">
        <f si="96" t="shared"/>
        <v>2.8848350075858738E-10</v>
      </c>
      <c r="D112" s="18">
        <f si="96" t="shared"/>
        <v>7.2624361416281069E-6</v>
      </c>
      <c r="E112" s="18">
        <f si="96" t="shared"/>
        <v>5.6768974845335601E-8</v>
      </c>
      <c r="F112" s="18">
        <f si="96" t="shared"/>
        <v>3.6155281055285517E-6</v>
      </c>
      <c r="H112" s="12">
        <v>8.3333333333333329E-2</v>
      </c>
      <c r="I112" s="17">
        <f ref="I112:M112" si="97" t="shared">I55/I$59</f>
        <v>7.8900527315916972E-6</v>
      </c>
      <c r="J112" s="17">
        <f si="97" t="shared"/>
        <v>4.1037710746899604E-7</v>
      </c>
      <c r="K112" s="17">
        <f si="97" t="shared"/>
        <v>4.315774017791193E-5</v>
      </c>
      <c r="L112" s="17">
        <f si="97" t="shared"/>
        <v>3.371074981954258E-6</v>
      </c>
      <c r="M112" s="18">
        <f si="97" t="shared"/>
        <v>2.394852790309037E-5</v>
      </c>
    </row>
    <row r="113" spans="1:13" x14ac:dyDescent="0.25">
      <c r="A113" s="12">
        <v>0.10416666666666667</v>
      </c>
      <c r="B113" s="18">
        <f ref="B113:F113" si="98" t="shared">B56/B$59</f>
        <v>3.8588050391263632E-7</v>
      </c>
      <c r="C113" s="18">
        <f si="98" t="shared"/>
        <v>0</v>
      </c>
      <c r="D113" s="18">
        <f si="98" t="shared"/>
        <v>1.7690083601255148E-6</v>
      </c>
      <c r="E113" s="18">
        <f si="98" t="shared"/>
        <v>5.9756815626669049E-9</v>
      </c>
      <c r="F113" s="18">
        <f si="98" t="shared"/>
        <v>8.9751574135801607E-7</v>
      </c>
      <c r="H113" s="12">
        <v>0.10416666666666667</v>
      </c>
      <c r="I113" s="17">
        <f ref="I113:M113" si="99" t="shared">I56/I$59</f>
        <v>2.2409595198271832E-6</v>
      </c>
      <c r="J113" s="17">
        <f si="99" t="shared"/>
        <v>1.1160870522570273E-7</v>
      </c>
      <c r="K113" s="17">
        <f si="99" t="shared"/>
        <v>1.184350656362197E-5</v>
      </c>
      <c r="L113" s="17">
        <f si="99" t="shared"/>
        <v>9.1545950421957987E-7</v>
      </c>
      <c r="M113" s="18">
        <f si="99" t="shared"/>
        <v>6.5967743956596698E-6</v>
      </c>
    </row>
    <row r="114" spans="1:13" x14ac:dyDescent="0.25">
      <c r="A114" s="12">
        <v>0.125</v>
      </c>
      <c r="B114" s="18">
        <f ref="B114:F114" si="100" t="shared">B57/B$59</f>
        <v>8.1422344066775396E-8</v>
      </c>
      <c r="C114" s="18">
        <f si="100" t="shared"/>
        <v>0</v>
      </c>
      <c r="D114" s="18">
        <f si="100" t="shared"/>
        <v>3.3154805703569833E-7</v>
      </c>
      <c r="E114" s="18">
        <f si="100" t="shared"/>
        <v>2.987840781333452E-10</v>
      </c>
      <c r="F114" s="18">
        <f si="100" t="shared"/>
        <v>1.7152693499898192E-7</v>
      </c>
      <c r="H114" s="12">
        <v>0.125</v>
      </c>
      <c r="I114" s="17">
        <f ref="I114:M114" si="101" t="shared">I57/I$59</f>
        <v>4.8011983231700358E-7</v>
      </c>
      <c r="J114" s="17">
        <f si="101" t="shared"/>
        <v>2.3797462135482003E-8</v>
      </c>
      <c r="K114" s="17">
        <f si="101" t="shared"/>
        <v>2.4717838214642942E-6</v>
      </c>
      <c r="L114" s="17">
        <f si="101" t="shared"/>
        <v>1.9239228188142474E-7</v>
      </c>
      <c r="M114" s="18">
        <f si="101" t="shared"/>
        <v>1.3810808625216415E-6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O5" sqref="O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5380.5293440000005</v>
      </c>
      <c r="C8" s="6" t="n">
        <v>0.0</v>
      </c>
      <c r="D8" s="6" t="n">
        <v>2035.68096</v>
      </c>
      <c r="E8" s="6" t="n">
        <v>0.0</v>
      </c>
      <c r="F8" s="6">
        <f>SUM(B8:E8)</f>
        <v>7416.2103040000002</v>
      </c>
      <c r="H8" t="s">
        <v>5</v>
      </c>
      <c r="I8" s="9" t="n">
        <v>5251.0</v>
      </c>
      <c r="J8" s="9" t="n">
        <v>0.0</v>
      </c>
      <c r="K8" s="9" t="n">
        <v>1809.0</v>
      </c>
      <c r="L8" s="9" t="n">
        <v>21.0</v>
      </c>
      <c r="M8">
        <f>SUM(I8:L8)</f>
        <v>18748</v>
      </c>
      <c r="O8" s="5"/>
      <c r="P8" s="16"/>
      <c r="Q8" s="16"/>
    </row>
    <row r="9" spans="1:17" x14ac:dyDescent="0.25">
      <c r="A9" s="12">
        <v>0.125</v>
      </c>
      <c r="B9" s="6" t="n">
        <v>3572.2247214947533</v>
      </c>
      <c r="C9" s="6" t="n">
        <v>0.010310532070159913</v>
      </c>
      <c r="D9" s="6" t="n">
        <v>1402.9366956898793</v>
      </c>
      <c r="E9" s="6" t="n">
        <v>0.044074003572463986</v>
      </c>
      <c r="F9" s="6">
        <f ref="F9:F58" si="0" t="shared">SUM(B9:E9)</f>
        <v>4975.2158017202755</v>
      </c>
      <c r="H9" s="12">
        <v>0.125</v>
      </c>
      <c r="I9" s="9" t="n">
        <v>3512.415636062622</v>
      </c>
      <c r="J9" s="9" t="n">
        <v>1.4697189331054688</v>
      </c>
      <c r="K9" s="9" t="n">
        <v>1471.0400619506836</v>
      </c>
      <c r="L9" s="9" t="n">
        <v>17.481268882751465</v>
      </c>
      <c r="M9">
        <f ref="M9:M58" si="1" t="shared">SUM(I9:L9)</f>
        <v>12834.73210811615</v>
      </c>
      <c r="O9" s="5"/>
      <c r="P9" s="16"/>
      <c r="Q9" s="16"/>
    </row>
    <row r="10" spans="1:17" x14ac:dyDescent="0.25">
      <c r="A10" s="12">
        <v>0.14583333333333334</v>
      </c>
      <c r="B10" s="6" t="n">
        <v>2067.1693785998154</v>
      </c>
      <c r="C10" s="6" t="n">
        <v>0.06763773300266265</v>
      </c>
      <c r="D10" s="6" t="n">
        <v>922.4302043587246</v>
      </c>
      <c r="E10" s="6" t="n">
        <v>0.29190098532104486</v>
      </c>
      <c r="F10" s="6">
        <f si="0" t="shared"/>
        <v>2989.959121676864</v>
      </c>
      <c r="H10" s="12">
        <v>0.14583333333333334</v>
      </c>
      <c r="I10" s="9" t="n">
        <v>2072.5578632354736</v>
      </c>
      <c r="J10" s="9" t="n">
        <v>2.5871658325195312</v>
      </c>
      <c r="K10" s="9" t="n">
        <v>1234.2667636871338</v>
      </c>
      <c r="L10" s="9" t="n">
        <v>15.25514030456543</v>
      </c>
      <c r="M10">
        <f si="1" t="shared"/>
        <v>7963.0335311889648</v>
      </c>
      <c r="O10" s="5"/>
      <c r="P10" s="16"/>
      <c r="Q10" s="16"/>
    </row>
    <row r="11" spans="1:17" x14ac:dyDescent="0.25">
      <c r="A11" s="12">
        <v>0.16666666666666666</v>
      </c>
      <c r="B11" s="6" t="n">
        <v>1029.9286818672163</v>
      </c>
      <c r="C11" s="6" t="n">
        <v>0.33131189449501036</v>
      </c>
      <c r="D11" s="6" t="n">
        <v>722.0297844368458</v>
      </c>
      <c r="E11" s="6" t="n">
        <v>1.3910963359985347</v>
      </c>
      <c r="F11" s="6">
        <f si="0" t="shared"/>
        <v>1753.6808745345556</v>
      </c>
      <c r="H11" s="12">
        <v>0.16666666666666666</v>
      </c>
      <c r="I11" s="9" t="n">
        <v>1094.6035232543945</v>
      </c>
      <c r="J11" s="9" t="n">
        <v>4.027849197387695</v>
      </c>
      <c r="K11" s="9" t="n">
        <v>1207.0863666534424</v>
      </c>
      <c r="L11" s="9" t="n">
        <v>15.259974479675293</v>
      </c>
      <c r="M11">
        <f si="1" t="shared"/>
        <v>4729.11891746521</v>
      </c>
      <c r="O11" s="5"/>
      <c r="P11" s="16"/>
      <c r="Q11" s="16"/>
    </row>
    <row r="12" spans="1:17" x14ac:dyDescent="0.25">
      <c r="A12" s="12">
        <v>0.1875</v>
      </c>
      <c r="B12" s="6" t="n">
        <v>447.36525645277413</v>
      </c>
      <c r="C12" s="6" t="n">
        <v>1.2999516731452943</v>
      </c>
      <c r="D12" s="6" t="n">
        <v>916.3127291588879</v>
      </c>
      <c r="E12" s="6" t="n">
        <v>5.128887801131247</v>
      </c>
      <c r="F12" s="6">
        <f si="0" t="shared"/>
        <v>1370.1068250859387</v>
      </c>
      <c r="H12" s="12">
        <v>0.1875</v>
      </c>
      <c r="I12" s="9" t="n">
        <v>567.4165105819702</v>
      </c>
      <c r="J12" s="9" t="n">
        <v>8.20437240600586</v>
      </c>
      <c r="K12" s="9" t="n">
        <v>1524.1536302566528</v>
      </c>
      <c r="L12" s="9" t="n">
        <v>18.097115516662598</v>
      </c>
      <c r="M12">
        <f si="1" t="shared"/>
        <v>3171.9247446060181</v>
      </c>
      <c r="O12" s="5"/>
      <c r="P12" s="5"/>
      <c r="Q12" s="5"/>
    </row>
    <row r="13" spans="1:17" x14ac:dyDescent="0.25">
      <c r="A13" s="12">
        <v>0.20833333333333334</v>
      </c>
      <c r="B13" s="6" t="n">
        <v>195.99170962143234</v>
      </c>
      <c r="C13" s="6" t="n">
        <v>4.230232481443405</v>
      </c>
      <c r="D13" s="6" t="n">
        <v>1637.3189891507045</v>
      </c>
      <c r="E13" s="6" t="n">
        <v>15.30378790887165</v>
      </c>
      <c r="F13" s="6">
        <f si="0" t="shared"/>
        <v>1852.8447191624521</v>
      </c>
      <c r="H13" s="12">
        <v>0.20833333333333334</v>
      </c>
      <c r="I13" s="9" t="n">
        <v>370.0272903442383</v>
      </c>
      <c r="J13" s="9" t="n">
        <v>19.212480545043945</v>
      </c>
      <c r="K13" s="9" t="n">
        <v>2357.413914680481</v>
      </c>
      <c r="L13" s="9" t="n">
        <v>24.571629524230957</v>
      </c>
      <c r="M13">
        <f si="1" t="shared"/>
        <v>3004.8738145828247</v>
      </c>
    </row>
    <row r="14" spans="1:17" x14ac:dyDescent="0.25">
      <c r="A14" s="12">
        <v>0.22916666666666666</v>
      </c>
      <c r="B14" s="6" t="n">
        <v>140.75101995991136</v>
      </c>
      <c r="C14" s="6" t="n">
        <v>11.62527718780899</v>
      </c>
      <c r="D14" s="6" t="n">
        <v>3019.0733768535247</v>
      </c>
      <c r="E14" s="6" t="n">
        <v>38.193535642476085</v>
      </c>
      <c r="F14" s="6">
        <f si="0" t="shared"/>
        <v>3209.6432096437211</v>
      </c>
      <c r="H14" s="12">
        <v>0.22916666666666666</v>
      </c>
      <c r="I14" s="9" t="n">
        <v>366.9355525970459</v>
      </c>
      <c r="J14" s="9" t="n">
        <v>41.32954216003418</v>
      </c>
      <c r="K14" s="9" t="n">
        <v>3880.0603065490723</v>
      </c>
      <c r="L14" s="9" t="n">
        <v>36.487060546875</v>
      </c>
      <c r="M14">
        <f si="1" t="shared"/>
        <v>3921.1997423171997</v>
      </c>
    </row>
    <row r="15" spans="1:17" x14ac:dyDescent="0.25">
      <c r="A15" s="12">
        <v>0.25</v>
      </c>
      <c r="B15" s="6" t="n">
        <v>194.09868244980905</v>
      </c>
      <c r="C15" s="6" t="n">
        <v>27.275815447648046</v>
      </c>
      <c r="D15" s="6" t="n">
        <v>5088.446929428036</v>
      </c>
      <c r="E15" s="6" t="n">
        <v>81.79213185402776</v>
      </c>
      <c r="F15" s="6">
        <f si="0" t="shared"/>
        <v>5391.613559179521</v>
      </c>
      <c r="H15" s="12">
        <v>0.25</v>
      </c>
      <c r="I15" s="9" t="n">
        <v>466.0362253189087</v>
      </c>
      <c r="J15" s="9" t="n">
        <v>75.91042232513428</v>
      </c>
      <c r="K15" s="9" t="n">
        <v>6172.116693496704</v>
      </c>
      <c r="L15" s="9" t="n">
        <v>57.32243061065674</v>
      </c>
      <c r="M15">
        <f si="1" t="shared"/>
        <v>5728.847957611084</v>
      </c>
    </row>
    <row r="16" spans="1:17" x14ac:dyDescent="0.25">
      <c r="A16" s="12">
        <v>0.27083333333333331</v>
      </c>
      <c r="B16" s="6" t="n">
        <v>321.86088486003774</v>
      </c>
      <c r="C16" s="6" t="n">
        <v>55.21846807954788</v>
      </c>
      <c r="D16" s="6" t="n">
        <v>7619.170657937229</v>
      </c>
      <c r="E16" s="6" t="n">
        <v>153.48013369409372</v>
      </c>
      <c r="F16" s="6">
        <f si="0" t="shared"/>
        <v>8149.730144570909</v>
      </c>
      <c r="H16" s="12">
        <v>0.27083333333333331</v>
      </c>
      <c r="I16" s="9" t="n">
        <v>627.0730485916138</v>
      </c>
      <c r="J16" s="9" t="n">
        <v>118.51291275024414</v>
      </c>
      <c r="K16" s="9" t="n">
        <v>9115.659469604492</v>
      </c>
      <c r="L16" s="9" t="n">
        <v>93.65184783935547</v>
      </c>
      <c r="M16">
        <f si="1" t="shared"/>
        <v>8296.54660987854</v>
      </c>
    </row>
    <row r="17" spans="1:13" x14ac:dyDescent="0.25">
      <c r="A17" s="12">
        <v>0.29166666666666669</v>
      </c>
      <c r="B17" s="6" t="n">
        <v>522.5204214042948</v>
      </c>
      <c r="C17" s="6" t="n">
        <v>97.92180719328975</v>
      </c>
      <c r="D17" s="6" t="n">
        <v>10105.849117751068</v>
      </c>
      <c r="E17" s="6" t="n">
        <v>257.13124861935336</v>
      </c>
      <c r="F17" s="6">
        <f si="0" t="shared"/>
        <v>10983.422594968006</v>
      </c>
      <c r="H17" s="12">
        <v>0.29166666666666669</v>
      </c>
      <c r="I17" s="9" t="n">
        <v>847.9859619140625</v>
      </c>
      <c r="J17" s="9" t="n">
        <v>159.71469116210938</v>
      </c>
      <c r="K17" s="9" t="n">
        <v>12364.511239051819</v>
      </c>
      <c r="L17" s="9" t="n">
        <v>160.53880310058594</v>
      </c>
      <c r="M17">
        <f si="1" t="shared"/>
        <v>11457.544333457947</v>
      </c>
    </row>
    <row r="18" spans="1:13" x14ac:dyDescent="0.25">
      <c r="A18" s="12">
        <v>0.3125</v>
      </c>
      <c r="B18" s="6" t="n">
        <v>806.7020502620762</v>
      </c>
      <c r="C18" s="6" t="n">
        <v>155.66668915422247</v>
      </c>
      <c r="D18" s="6" t="n">
        <v>11966.436775568316</v>
      </c>
      <c r="E18" s="6" t="n">
        <v>392.4839762959691</v>
      </c>
      <c r="F18" s="6">
        <f si="0" t="shared"/>
        <v>13321.289491280584</v>
      </c>
      <c r="H18" s="12">
        <v>0.3125</v>
      </c>
      <c r="I18" s="9" t="n">
        <v>1155.1623620986938</v>
      </c>
      <c r="J18" s="9" t="n">
        <v>191.14367866516113</v>
      </c>
      <c r="K18" s="9" t="n">
        <v>15442.904088973999</v>
      </c>
      <c r="L18" s="9" t="n">
        <v>293.8410120010376</v>
      </c>
      <c r="M18">
        <f si="1" t="shared"/>
        <v>15006.371570587158</v>
      </c>
    </row>
    <row r="19" spans="1:13" x14ac:dyDescent="0.25">
      <c r="A19" s="12">
        <v>0.33333333333333331</v>
      </c>
      <c r="B19" s="6" t="n">
        <v>1189.1159091968116</v>
      </c>
      <c r="C19" s="6" t="n">
        <v>229.22816421946717</v>
      </c>
      <c r="D19" s="6" t="n">
        <v>12873.2128646863</v>
      </c>
      <c r="E19" s="6" t="n">
        <v>561.0778671612245</v>
      </c>
      <c r="F19" s="6">
        <f si="0" t="shared"/>
        <v>14852.634805263802</v>
      </c>
      <c r="H19" s="12">
        <v>0.33333333333333331</v>
      </c>
      <c r="I19" s="9" t="n">
        <v>1600.688265800476</v>
      </c>
      <c r="J19" s="9" t="n">
        <v>213.04085159301758</v>
      </c>
      <c r="K19" s="9" t="n">
        <v>17937.867564201355</v>
      </c>
      <c r="L19" s="9" t="n">
        <v>564.1812982559204</v>
      </c>
      <c r="M19">
        <f si="1" t="shared"/>
        <v>18796.857476234436</v>
      </c>
    </row>
    <row r="20" spans="1:13" x14ac:dyDescent="0.25">
      <c r="A20" s="12">
        <v>0.35416666666666669</v>
      </c>
      <c r="B20" s="6" t="n">
        <v>1695.1737753326433</v>
      </c>
      <c r="C20" s="6" t="n">
        <v>325.17993899565795</v>
      </c>
      <c r="D20" s="6" t="n">
        <v>12952.806619349856</v>
      </c>
      <c r="E20" s="6" t="n">
        <v>782.434011190118</v>
      </c>
      <c r="F20" s="6">
        <f si="0" t="shared"/>
        <v>15755.594344868276</v>
      </c>
      <c r="H20" s="12">
        <v>0.35416666666666669</v>
      </c>
      <c r="I20" s="9" t="n">
        <v>2250.4219856262207</v>
      </c>
      <c r="J20" s="9" t="n">
        <v>236.75029277801514</v>
      </c>
      <c r="K20" s="9" t="n">
        <v>19667.11914730072</v>
      </c>
      <c r="L20" s="9" t="n">
        <v>1074.6984205245972</v>
      </c>
      <c r="M20">
        <f si="1" t="shared"/>
        <v>22827.458962440491</v>
      </c>
    </row>
    <row r="21" spans="1:13" x14ac:dyDescent="0.25">
      <c r="A21" s="12">
        <v>0.375</v>
      </c>
      <c r="B21" s="6" t="n">
        <v>2371.6370071870583</v>
      </c>
      <c r="C21" s="6" t="n">
        <v>459.66433822348887</v>
      </c>
      <c r="D21" s="6" t="n">
        <v>12689.302029442937</v>
      </c>
      <c r="E21" s="6" t="n">
        <v>1118.3730171156512</v>
      </c>
      <c r="F21" s="6">
        <f si="0" t="shared"/>
        <v>16638.976391969136</v>
      </c>
      <c r="H21" s="12">
        <v>0.375</v>
      </c>
      <c r="I21" s="9" t="n">
        <v>3149.223247528076</v>
      </c>
      <c r="J21" s="9" t="n">
        <v>279.9607391357422</v>
      </c>
      <c r="K21" s="9" t="n">
        <v>20707.322374343872</v>
      </c>
      <c r="L21" s="9" t="n">
        <v>1925.0533599853516</v>
      </c>
      <c r="M21">
        <f si="1" t="shared"/>
        <v>27191.754844665527</v>
      </c>
    </row>
    <row r="22" spans="1:13" x14ac:dyDescent="0.25">
      <c r="A22" s="12">
        <v>0.39583333333333331</v>
      </c>
      <c r="B22" s="6" t="n">
        <v>3274.7085835200273</v>
      </c>
      <c r="C22" s="6" t="n">
        <v>655.697964389865</v>
      </c>
      <c r="D22" s="6" t="n">
        <v>12624.528872544672</v>
      </c>
      <c r="E22" s="6" t="n">
        <v>1689.7638574197788</v>
      </c>
      <c r="F22" s="6">
        <f si="0" t="shared"/>
        <v>18244.699277874341</v>
      </c>
      <c r="H22" s="12">
        <v>0.39583333333333331</v>
      </c>
      <c r="I22" s="9" t="n">
        <v>4277.98154258728</v>
      </c>
      <c r="J22" s="9" t="n">
        <v>362.15378189086914</v>
      </c>
      <c r="K22" s="9" t="n">
        <v>21274.32013320923</v>
      </c>
      <c r="L22" s="9" t="n">
        <v>3150.168978691101</v>
      </c>
      <c r="M22">
        <f si="1" t="shared"/>
        <v>31907.592519760132</v>
      </c>
    </row>
    <row r="23" spans="1:13" x14ac:dyDescent="0.25">
      <c r="A23" s="12">
        <v>0.41666666666666669</v>
      </c>
      <c r="B23" s="6" t="n">
        <v>4418.936194487227</v>
      </c>
      <c r="C23" s="6" t="n">
        <v>932.4772197200441</v>
      </c>
      <c r="D23" s="6" t="n">
        <v>13091.567792405556</v>
      </c>
      <c r="E23" s="6" t="n">
        <v>2654.1861355344145</v>
      </c>
      <c r="F23" s="6">
        <f si="0" t="shared"/>
        <v>21097.167342147244</v>
      </c>
      <c r="H23" s="12">
        <v>0.41666666666666669</v>
      </c>
      <c r="I23" s="9" t="n">
        <v>5544.144060134888</v>
      </c>
      <c r="J23" s="9" t="n">
        <v>513.4849891662598</v>
      </c>
      <c r="K23" s="9" t="n">
        <v>21572.87033843994</v>
      </c>
      <c r="L23" s="9" t="n">
        <v>4673.304393768311</v>
      </c>
      <c r="M23">
        <f si="1" t="shared"/>
        <v>36795.601863861084</v>
      </c>
    </row>
    <row r="24" spans="1:13" x14ac:dyDescent="0.25">
      <c r="A24" s="12">
        <v>0.4375</v>
      </c>
      <c r="B24" s="6" t="n">
        <v>5720.511938763999</v>
      </c>
      <c r="C24" s="6" t="n">
        <v>1295.2229911718578</v>
      </c>
      <c r="D24" s="6" t="n">
        <v>14124.521479529885</v>
      </c>
      <c r="E24" s="6" t="n">
        <v>4117.272774285342</v>
      </c>
      <c r="F24" s="6">
        <f si="0" t="shared"/>
        <v>25257.529183751085</v>
      </c>
      <c r="H24" s="12">
        <v>0.4375</v>
      </c>
      <c r="I24" s="9" t="n">
        <v>6832.145517349243</v>
      </c>
      <c r="J24" s="9" t="n">
        <v>803.1571607589722</v>
      </c>
      <c r="K24" s="9" t="n">
        <v>21751.445748329163</v>
      </c>
      <c r="L24" s="9" t="n">
        <v>6309.327842712402</v>
      </c>
      <c r="M24">
        <f si="1" t="shared"/>
        <v>41563.356966018677</v>
      </c>
    </row>
    <row r="25" spans="1:13" x14ac:dyDescent="0.25">
      <c r="A25" s="12">
        <v>0.45833333333333331</v>
      </c>
      <c r="B25" s="6" t="n">
        <v>7007.865051483344</v>
      </c>
      <c r="C25" s="6" t="n">
        <v>1751.8754687256062</v>
      </c>
      <c r="D25" s="6" t="n">
        <v>15523.461851508702</v>
      </c>
      <c r="E25" s="6" t="n">
        <v>5999.07411366254</v>
      </c>
      <c r="F25" s="6">
        <f si="0" t="shared"/>
        <v>30282.276485380193</v>
      </c>
      <c r="H25" s="12">
        <v>0.45833333333333331</v>
      </c>
      <c r="I25" s="9" t="n">
        <v>8085.627884864807</v>
      </c>
      <c r="J25" s="9" t="n">
        <v>1373.236457824707</v>
      </c>
      <c r="K25" s="9" t="n">
        <v>21973.441318511963</v>
      </c>
      <c r="L25" s="9" t="n">
        <v>7813.489895820618</v>
      </c>
      <c r="M25">
        <f si="1" t="shared"/>
        <v>46042.444298744202</v>
      </c>
    </row>
    <row r="26" spans="1:13" x14ac:dyDescent="0.25">
      <c r="A26" s="12">
        <v>0.47916666666666669</v>
      </c>
      <c r="B26" s="6" t="n">
        <v>8133.629809625428</v>
      </c>
      <c r="C26" s="6" t="n">
        <v>2389.7507760974713</v>
      </c>
      <c r="D26" s="6" t="n">
        <v>16996.008534234366</v>
      </c>
      <c r="E26" s="6" t="n">
        <v>7950.214246257345</v>
      </c>
      <c r="F26" s="6">
        <f si="0" t="shared"/>
        <v>35469.603366214607</v>
      </c>
      <c r="H26" s="12">
        <v>0.47916666666666669</v>
      </c>
      <c r="I26" s="9" t="n">
        <v>9361.381244659424</v>
      </c>
      <c r="J26" s="9" t="n">
        <v>2446.7973737716675</v>
      </c>
      <c r="K26" s="9" t="n">
        <v>22474.57160282135</v>
      </c>
      <c r="L26" s="9" t="n">
        <v>8943.289778709412</v>
      </c>
      <c r="M26">
        <f si="1" t="shared"/>
        <v>50351.626538276672</v>
      </c>
    </row>
    <row r="27" spans="1:13" x14ac:dyDescent="0.25">
      <c r="A27" s="12">
        <v>0.5</v>
      </c>
      <c r="B27" s="6" t="n">
        <v>9128.055190354446</v>
      </c>
      <c r="C27" s="6" t="n">
        <v>3499.740961706862</v>
      </c>
      <c r="D27" s="6" t="n">
        <v>18321.211078000284</v>
      </c>
      <c r="E27" s="6" t="n">
        <v>9430.087761025767</v>
      </c>
      <c r="F27" s="6">
        <f si="0" t="shared"/>
        <v>40379.094991087361</v>
      </c>
      <c r="H27" s="12">
        <v>0.5</v>
      </c>
      <c r="I27" s="9" t="n">
        <v>10830.221759796143</v>
      </c>
      <c r="J27" s="9" t="n">
        <v>4287.713702201843</v>
      </c>
      <c r="K27" s="9" t="n">
        <v>23484.410866737366</v>
      </c>
      <c r="L27" s="9" t="n">
        <v>9515.352170944214</v>
      </c>
      <c r="M27">
        <f si="1" t="shared"/>
        <v>54835.95777797699</v>
      </c>
    </row>
    <row r="28" spans="1:13" x14ac:dyDescent="0.25">
      <c r="A28" s="12">
        <v>0.52083333333333337</v>
      </c>
      <c r="B28" s="6" t="n">
        <v>10287.75963395745</v>
      </c>
      <c r="C28" s="6" t="n">
        <v>5628.181265219549</v>
      </c>
      <c r="D28" s="6" t="n">
        <v>19472.540469859152</v>
      </c>
      <c r="E28" s="6" t="n">
        <v>9956.333043298559</v>
      </c>
      <c r="F28" s="6">
        <f si="0" t="shared"/>
        <v>45344.814412334708</v>
      </c>
      <c r="H28" s="12">
        <v>0.52083333333333337</v>
      </c>
      <c r="I28" s="9" t="n">
        <v>12759.845573425293</v>
      </c>
      <c r="J28" s="9" t="n">
        <v>7118.466724395752</v>
      </c>
      <c r="K28" s="9" t="n">
        <v>25055.97433280945</v>
      </c>
      <c r="L28" s="9" t="n">
        <v>9456.509915351868</v>
      </c>
      <c r="M28">
        <f si="1" t="shared"/>
        <v>59868.633205413818</v>
      </c>
    </row>
    <row r="29" spans="1:13" x14ac:dyDescent="0.25">
      <c r="A29" s="12">
        <v>0.54166666666666663</v>
      </c>
      <c r="B29" s="6" t="n">
        <v>12140.912883276287</v>
      </c>
      <c r="C29" s="6" t="n">
        <v>9366.239734995785</v>
      </c>
      <c r="D29" s="6" t="n">
        <v>20603.09007451569</v>
      </c>
      <c r="E29" s="6" t="n">
        <v>9373.918582230584</v>
      </c>
      <c r="F29" s="6">
        <f si="0" t="shared"/>
        <v>51484.161275018341</v>
      </c>
      <c r="H29" s="12">
        <v>0.54166666666666663</v>
      </c>
      <c r="I29" s="9" t="n">
        <v>15513.25322151184</v>
      </c>
      <c r="J29" s="9" t="n">
        <v>11009.75633430481</v>
      </c>
      <c r="K29" s="9" t="n">
        <v>26980.979172706604</v>
      </c>
      <c r="L29" s="9" t="n">
        <v>8830.846709251404</v>
      </c>
      <c r="M29">
        <f si="1" t="shared"/>
        <v>65702.280356407166</v>
      </c>
    </row>
    <row r="30" spans="1:13" x14ac:dyDescent="0.25">
      <c r="A30" s="12">
        <v>0.5625</v>
      </c>
      <c r="B30" s="6" t="n">
        <v>15300.783117587358</v>
      </c>
      <c r="C30" s="6" t="n">
        <v>14825.995047629825</v>
      </c>
      <c r="D30" s="6" t="n">
        <v>21855.424672175865</v>
      </c>
      <c r="E30" s="6" t="n">
        <v>7939.130686053878</v>
      </c>
      <c r="F30" s="6">
        <f si="0" t="shared"/>
        <v>59921.333523446927</v>
      </c>
      <c r="H30" s="12">
        <v>0.5625</v>
      </c>
      <c r="I30" s="9" t="n">
        <v>19521.19448852539</v>
      </c>
      <c r="J30" s="9" t="n">
        <v>15733.710586547852</v>
      </c>
      <c r="K30" s="9" t="n">
        <v>28897.135769844055</v>
      </c>
      <c r="L30" s="9" t="n">
        <v>7810.002297401428</v>
      </c>
      <c r="M30">
        <f si="1" t="shared"/>
        <v>72408.841145515442</v>
      </c>
    </row>
    <row r="31" spans="1:13" x14ac:dyDescent="0.25">
      <c r="A31" s="12">
        <v>0.58333333333333337</v>
      </c>
      <c r="B31" s="6" t="n">
        <v>20241.729453425884</v>
      </c>
      <c r="C31" s="6" t="n">
        <v>21117.58623249545</v>
      </c>
      <c r="D31" s="6" t="n">
        <v>23129.972804309426</v>
      </c>
      <c r="E31" s="6" t="n">
        <v>6151.815247322904</v>
      </c>
      <c r="F31" s="6">
        <f si="0" t="shared"/>
        <v>70641.103737553654</v>
      </c>
      <c r="H31" s="12">
        <v>0.58333333333333337</v>
      </c>
      <c r="I31" s="9" t="n">
        <v>25137.75177383423</v>
      </c>
      <c r="J31" s="9" t="n">
        <v>20607.01834487915</v>
      </c>
      <c r="K31" s="9" t="n">
        <v>30492.37880897522</v>
      </c>
      <c r="L31" s="9" t="n">
        <v>6592.4467487335205</v>
      </c>
      <c r="M31">
        <f si="1" t="shared"/>
        <v>79794.425634384155</v>
      </c>
    </row>
    <row r="32" spans="1:13" x14ac:dyDescent="0.25">
      <c r="A32" s="12">
        <v>0.60416666666666663</v>
      </c>
      <c r="B32" s="6" t="n">
        <v>27030.319646486103</v>
      </c>
      <c r="C32" s="6" t="n">
        <v>26391.99550973645</v>
      </c>
      <c r="D32" s="6" t="n">
        <v>24051.728870647396</v>
      </c>
      <c r="E32" s="6" t="n">
        <v>4474.855233709028</v>
      </c>
      <c r="F32" s="6">
        <f si="0" t="shared"/>
        <v>81948.899260578968</v>
      </c>
      <c r="H32" s="12">
        <v>0.60416666666666663</v>
      </c>
      <c r="I32" s="9" t="n">
        <v>32363.038601875305</v>
      </c>
      <c r="J32" s="9" t="n">
        <v>24486.024768829346</v>
      </c>
      <c r="K32" s="9" t="n">
        <v>31624.81735610962</v>
      </c>
      <c r="L32" s="9" t="n">
        <v>5331.044141769409</v>
      </c>
      <c r="M32">
        <f si="1" t="shared"/>
        <v>87272.821550369263</v>
      </c>
    </row>
    <row r="33" spans="1:13" x14ac:dyDescent="0.25">
      <c r="A33" s="12">
        <v>0.625</v>
      </c>
      <c r="B33" s="6" t="n">
        <v>35082.93536631376</v>
      </c>
      <c r="C33" s="6" t="n">
        <v>28705.822653150615</v>
      </c>
      <c r="D33" s="6" t="n">
        <v>24232.433976241286</v>
      </c>
      <c r="E33" s="6" t="n">
        <v>3148.982170145948</v>
      </c>
      <c r="F33" s="6">
        <f si="0" t="shared"/>
        <v>91170.174165851597</v>
      </c>
      <c r="H33" s="12">
        <v>0.625</v>
      </c>
      <c r="I33" s="9" t="n">
        <v>40569.69830036163</v>
      </c>
      <c r="J33" s="9" t="n">
        <v>26125.050575256348</v>
      </c>
      <c r="K33" s="9" t="n">
        <v>32300.779551506042</v>
      </c>
      <c r="L33" s="9" t="n">
        <v>4119.253875732422</v>
      </c>
      <c r="M33">
        <f si="1" t="shared"/>
        <v>93878.728057861328</v>
      </c>
    </row>
    <row r="34" spans="1:13" x14ac:dyDescent="0.25">
      <c r="A34" s="12">
        <v>0.64583333333333337</v>
      </c>
      <c r="B34" s="6" t="n">
        <v>43090.92633196675</v>
      </c>
      <c r="C34" s="6" t="n">
        <v>27196.117992571646</v>
      </c>
      <c r="D34" s="6" t="n">
        <v>23624.88757191636</v>
      </c>
      <c r="E34" s="6" t="n">
        <v>2192.903173200432</v>
      </c>
      <c r="F34" s="6">
        <f si="0" t="shared"/>
        <v>96104.835069655193</v>
      </c>
      <c r="H34" s="12">
        <v>0.64583333333333337</v>
      </c>
      <c r="I34" s="9" t="n">
        <v>48440.9457654953</v>
      </c>
      <c r="J34" s="9" t="n">
        <v>24836.87019920349</v>
      </c>
      <c r="K34" s="9" t="n">
        <v>32609.0229473114</v>
      </c>
      <c r="L34" s="9" t="n">
        <v>3021.458625793457</v>
      </c>
      <c r="M34">
        <f si="1" t="shared"/>
        <v>98531.817569732666</v>
      </c>
    </row>
    <row r="35" spans="1:13" x14ac:dyDescent="0.25">
      <c r="A35" s="12">
        <v>0.66666666666666663</v>
      </c>
      <c r="B35" s="6" t="n">
        <v>49265.2093011221</v>
      </c>
      <c r="C35" s="6" t="n">
        <v>22615.032935768166</v>
      </c>
      <c r="D35" s="6" t="n">
        <v>22637.843003850987</v>
      </c>
      <c r="E35" s="6" t="n">
        <v>1517.6638385632964</v>
      </c>
      <c r="F35" s="6">
        <f si="0" t="shared"/>
        <v>96035.749079304544</v>
      </c>
      <c r="H35" s="12">
        <v>0.66666666666666663</v>
      </c>
      <c r="I35" s="9" t="n">
        <v>54239.14925956726</v>
      </c>
      <c r="J35" s="9" t="n">
        <v>20984.381222724915</v>
      </c>
      <c r="K35" s="9" t="n">
        <v>32705.6464138031</v>
      </c>
      <c r="L35" s="9" t="n">
        <v>2095.704592704773</v>
      </c>
      <c r="M35">
        <f si="1" t="shared"/>
        <v>100365.60173225403</v>
      </c>
    </row>
    <row r="36" spans="1:13" x14ac:dyDescent="0.25">
      <c r="A36" s="12">
        <v>0.6875</v>
      </c>
      <c r="B36" s="6" t="n">
        <v>51922.6546678997</v>
      </c>
      <c r="C36" s="6" t="n">
        <v>16771.661473256885</v>
      </c>
      <c r="D36" s="6" t="n">
        <v>21897.923842407035</v>
      </c>
      <c r="E36" s="6" t="n">
        <v>1032.88542412786</v>
      </c>
      <c r="F36" s="6">
        <f si="0" t="shared"/>
        <v>91625.125407691477</v>
      </c>
      <c r="H36" s="12">
        <v>0.6875</v>
      </c>
      <c r="I36" s="9" t="n">
        <v>56357.523213386536</v>
      </c>
      <c r="J36" s="9" t="n">
        <v>15829.612998962402</v>
      </c>
      <c r="K36" s="9" t="n">
        <v>32824.09584236145</v>
      </c>
      <c r="L36" s="9" t="n">
        <v>1384.8662395477295</v>
      </c>
      <c r="M36">
        <f si="1" t="shared"/>
        <v>98878.670900344849</v>
      </c>
    </row>
    <row r="37" spans="1:13" x14ac:dyDescent="0.25">
      <c r="A37" s="12">
        <v>0.70833333333333337</v>
      </c>
      <c r="B37" s="6" t="n">
        <v>50195.245404917565</v>
      </c>
      <c r="C37" s="6" t="n">
        <v>11403.413682954819</v>
      </c>
      <c r="D37" s="6" t="n">
        <v>21874.35928744288</v>
      </c>
      <c r="E37" s="6" t="n">
        <v>685.3310535321568</v>
      </c>
      <c r="F37" s="6">
        <f si="0" t="shared"/>
        <v>84158.349428847418</v>
      </c>
      <c r="H37" s="12">
        <v>0.70833333333333337</v>
      </c>
      <c r="I37" s="9" t="n">
        <v>53961.51260471344</v>
      </c>
      <c r="J37" s="9" t="n">
        <v>10816.900938034058</v>
      </c>
      <c r="K37" s="9" t="n">
        <v>33222.81948471069</v>
      </c>
      <c r="L37" s="9" t="n">
        <v>896.0632171630859</v>
      </c>
      <c r="M37">
        <f si="1" t="shared"/>
        <v>93967.623913764954</v>
      </c>
    </row>
    <row r="38" spans="1:13" x14ac:dyDescent="0.25">
      <c r="A38" s="12">
        <v>0.72916666666666663</v>
      </c>
      <c r="B38" s="6" t="n">
        <v>44465.45760335876</v>
      </c>
      <c r="C38" s="6" t="n">
        <v>7401.234758549633</v>
      </c>
      <c r="D38" s="6" t="n">
        <v>22662.74440734528</v>
      </c>
      <c r="E38" s="6" t="n">
        <v>447.5780464330711</v>
      </c>
      <c r="F38" s="6">
        <f si="0" t="shared"/>
        <v>74977.014815686736</v>
      </c>
      <c r="H38" s="12">
        <v>0.72916666666666663</v>
      </c>
      <c r="I38" s="9" t="n">
        <v>47425.794348716736</v>
      </c>
      <c r="J38" s="9" t="n">
        <v>6877.419171333313</v>
      </c>
      <c r="K38" s="9" t="n">
        <v>34046.43268299103</v>
      </c>
      <c r="L38" s="9" t="n">
        <v>596.0059947967529</v>
      </c>
      <c r="M38">
        <f si="1" t="shared"/>
        <v>86052.133375167847</v>
      </c>
    </row>
    <row r="39" spans="1:13" x14ac:dyDescent="0.25">
      <c r="A39" s="12">
        <v>0.75</v>
      </c>
      <c r="B39" s="6" t="n">
        <v>36223.88284389942</v>
      </c>
      <c r="C39" s="6" t="n">
        <v>4801.851931320316</v>
      </c>
      <c r="D39" s="6" t="n">
        <v>24015.047640892728</v>
      </c>
      <c r="E39" s="6" t="n">
        <v>297.75296831760687</v>
      </c>
      <c r="F39" s="6">
        <f si="0" t="shared"/>
        <v>65338.535384430063</v>
      </c>
      <c r="H39" s="12">
        <v>0.75</v>
      </c>
      <c r="I39" s="9" t="n">
        <v>38280.86143016815</v>
      </c>
      <c r="J39" s="9" t="n">
        <v>4232.0591106414795</v>
      </c>
      <c r="K39" s="9" t="n">
        <v>35179.38667488098</v>
      </c>
      <c r="L39" s="9" t="n">
        <v>427.4900302886963</v>
      </c>
      <c r="M39">
        <f si="1" t="shared"/>
        <v>76209.080401420593</v>
      </c>
    </row>
    <row r="40" spans="1:13" x14ac:dyDescent="0.25">
      <c r="A40" s="12">
        <v>0.77083333333333337</v>
      </c>
      <c r="B40" s="6" t="n">
        <v>27408.129490621417</v>
      </c>
      <c r="C40" s="6" t="n">
        <v>3234.50205532058</v>
      </c>
      <c r="D40" s="6" t="n">
        <v>25484.526313218394</v>
      </c>
      <c r="E40" s="6" t="n">
        <v>211.29822419326402</v>
      </c>
      <c r="F40" s="6">
        <f si="0" t="shared"/>
        <v>56338.456083353653</v>
      </c>
      <c r="H40" s="12">
        <v>0.77083333333333337</v>
      </c>
      <c r="I40" s="9" t="n">
        <v>28610.140402793884</v>
      </c>
      <c r="J40" s="9" t="n">
        <v>2642.9448709487915</v>
      </c>
      <c r="K40" s="9" t="n">
        <v>36205.45074272156</v>
      </c>
      <c r="L40" s="9" t="n">
        <v>333.20891666412354</v>
      </c>
      <c r="M40">
        <f si="1" t="shared"/>
        <v>65975.82977104187</v>
      </c>
    </row>
    <row r="41" spans="1:13" x14ac:dyDescent="0.25">
      <c r="A41" s="12">
        <v>0.79166666666666663</v>
      </c>
      <c r="B41" s="6" t="n">
        <v>19629.21375111274</v>
      </c>
      <c r="C41" s="6" t="n">
        <v>2313.2545508364415</v>
      </c>
      <c r="D41" s="6" t="n">
        <v>26545.219029625823</v>
      </c>
      <c r="E41" s="6" t="n">
        <v>163.1914587541428</v>
      </c>
      <c r="F41" s="6">
        <f si="0" t="shared"/>
        <v>48650.878790329145</v>
      </c>
      <c r="H41" s="12">
        <v>0.79166666666666663</v>
      </c>
      <c r="I41" s="9" t="n">
        <v>20207.224259376526</v>
      </c>
      <c r="J41" s="9" t="n">
        <v>1752.3337574005127</v>
      </c>
      <c r="K41" s="9" t="n">
        <v>36525.408036231995</v>
      </c>
      <c r="L41" s="9" t="n">
        <v>272.2119665145874</v>
      </c>
      <c r="M41">
        <f si="1" t="shared"/>
        <v>56757.073938369751</v>
      </c>
    </row>
    <row r="42" spans="1:13" x14ac:dyDescent="0.25">
      <c r="A42" s="12">
        <v>0.8125</v>
      </c>
      <c r="B42" s="6" t="n">
        <v>13717.667638910094</v>
      </c>
      <c r="C42" s="6" t="n">
        <v>1770.0796174305992</v>
      </c>
      <c r="D42" s="6" t="n">
        <v>26681.66932970554</v>
      </c>
      <c r="E42" s="6" t="n">
        <v>132.720978944355</v>
      </c>
      <c r="F42" s="6">
        <f si="0" t="shared"/>
        <v>42302.137564990582</v>
      </c>
      <c r="H42" s="12">
        <v>0.8125</v>
      </c>
      <c r="I42" s="9" t="n">
        <v>13989.531106948853</v>
      </c>
      <c r="J42" s="9" t="n">
        <v>1267.0542497634888</v>
      </c>
      <c r="K42" s="9" t="n">
        <v>35588.65439891815</v>
      </c>
      <c r="L42" s="9" t="n">
        <v>223.72126579284668</v>
      </c>
      <c r="M42">
        <f si="1" t="shared"/>
        <v>49252.867451667786</v>
      </c>
    </row>
    <row r="43" spans="1:13" x14ac:dyDescent="0.25">
      <c r="A43" s="12">
        <v>0.83333333333333337</v>
      </c>
      <c r="B43" s="6" t="n">
        <v>9734.759354454513</v>
      </c>
      <c r="C43" s="6" t="n">
        <v>1430.6716911910685</v>
      </c>
      <c r="D43" s="6" t="n">
        <v>25519.032005696947</v>
      </c>
      <c r="E43" s="6" t="n">
        <v>106.64566058564759</v>
      </c>
      <c r="F43" s="6">
        <f si="0" t="shared"/>
        <v>36791.10871192818</v>
      </c>
      <c r="H43" s="12">
        <v>0.83333333333333337</v>
      </c>
      <c r="I43" s="9" t="n">
        <v>9956.703868865967</v>
      </c>
      <c r="J43" s="9" t="n">
        <v>993.7179327011108</v>
      </c>
      <c r="K43" s="9" t="n">
        <v>33133.10932159424</v>
      </c>
      <c r="L43" s="9" t="n">
        <v>181.52781200408936</v>
      </c>
      <c r="M43">
        <f si="1" t="shared"/>
        <v>43358.324279785156</v>
      </c>
    </row>
    <row r="44" spans="1:13" x14ac:dyDescent="0.25">
      <c r="A44" s="12">
        <v>0.85416666666666663</v>
      </c>
      <c r="B44" s="6" t="n">
        <v>7282.551457334464</v>
      </c>
      <c r="C44" s="6" t="n">
        <v>1178.3694105518816</v>
      </c>
      <c r="D44" s="6" t="n">
        <v>22986.52302708726</v>
      </c>
      <c r="E44" s="6" t="n">
        <v>79.94909965927602</v>
      </c>
      <c r="F44" s="6">
        <f si="0" t="shared"/>
        <v>31527.392994632883</v>
      </c>
      <c r="H44" s="12">
        <v>0.85416666666666663</v>
      </c>
      <c r="I44" s="9" t="n">
        <v>7571.0627517700195</v>
      </c>
      <c r="J44" s="9" t="n">
        <v>820.9411964416504</v>
      </c>
      <c r="K44" s="9" t="n">
        <v>29319.627093315125</v>
      </c>
      <c r="L44" s="9" t="n">
        <v>145.54237842559814</v>
      </c>
      <c r="M44">
        <f si="1" t="shared"/>
        <v>38530.703515052795</v>
      </c>
    </row>
    <row r="45" spans="1:13" x14ac:dyDescent="0.25">
      <c r="A45" s="12">
        <v>0.875</v>
      </c>
      <c r="B45" s="6" t="n">
        <v>5843.737155369084</v>
      </c>
      <c r="C45" s="6" t="n">
        <v>947.4484707634991</v>
      </c>
      <c r="D45" s="6" t="n">
        <v>19393.671130320137</v>
      </c>
      <c r="E45" s="6" t="n">
        <v>54.00177283800792</v>
      </c>
      <c r="F45" s="6">
        <f si="0" t="shared"/>
        <v>26238.858529290726</v>
      </c>
      <c r="H45" s="12">
        <v>0.875</v>
      </c>
      <c r="I45" s="9" t="n">
        <v>6203.01259803772</v>
      </c>
      <c r="J45" s="9" t="n">
        <v>697.9403028488159</v>
      </c>
      <c r="K45" s="9" t="n">
        <v>24681.57386779785</v>
      </c>
      <c r="L45" s="9" t="n">
        <v>115.87681484222412</v>
      </c>
      <c r="M45">
        <f si="1" t="shared"/>
        <v>34234.887767791748</v>
      </c>
    </row>
    <row r="46" spans="1:13" x14ac:dyDescent="0.25">
      <c r="A46" s="12">
        <v>0.89583333333333337</v>
      </c>
      <c r="B46" s="6" t="n">
        <v>4980.016229744223</v>
      </c>
      <c r="C46" s="6" t="n">
        <v>719.9283069013604</v>
      </c>
      <c r="D46" s="6" t="n">
        <v>15318.040715250077</v>
      </c>
      <c r="E46" s="6" t="n">
        <v>32.61743676930904</v>
      </c>
      <c r="F46" s="6">
        <f si="0" t="shared"/>
        <v>21050.602688664971</v>
      </c>
      <c r="H46" s="12">
        <v>0.89583333333333337</v>
      </c>
      <c r="I46" s="9" t="n">
        <v>5374.657546043396</v>
      </c>
      <c r="J46" s="9" t="n">
        <v>610.3153858184814</v>
      </c>
      <c r="K46" s="9" t="n">
        <v>19896.089701652527</v>
      </c>
      <c r="L46" s="9" t="n">
        <v>91.22505283355713</v>
      </c>
      <c r="M46">
        <f si="1" t="shared"/>
        <v>30135.765026092529</v>
      </c>
    </row>
    <row r="47" spans="1:13" x14ac:dyDescent="0.25">
      <c r="A47" s="12">
        <v>0.91666666666666663</v>
      </c>
      <c r="B47" s="6" t="n">
        <v>4375.19773795847</v>
      </c>
      <c r="C47" s="6" t="n">
        <v>507.9265663613605</v>
      </c>
      <c r="D47" s="6" t="n">
        <v>11358.796769348875</v>
      </c>
      <c r="E47" s="6" t="n">
        <v>18.143426977756498</v>
      </c>
      <c r="F47" s="6">
        <f si="0" t="shared"/>
        <v>16260.064500646462</v>
      </c>
      <c r="H47" s="12">
        <v>0.91666666666666663</v>
      </c>
      <c r="I47" s="9" t="n">
        <v>4779.633482933044</v>
      </c>
      <c r="J47" s="9" t="n">
        <v>552.4816360473633</v>
      </c>
      <c r="K47" s="9" t="n">
        <v>15501.191868782043</v>
      </c>
      <c r="L47" s="9" t="n">
        <v>69.96080207824707</v>
      </c>
      <c r="M47">
        <f si="1" t="shared"/>
        <v>26035.996612548828</v>
      </c>
    </row>
    <row r="48" spans="1:13" x14ac:dyDescent="0.25">
      <c r="A48" s="12">
        <v>0.9375</v>
      </c>
      <c r="B48" s="6" t="n">
        <v>3810.3897657237194</v>
      </c>
      <c r="C48" s="6" t="n">
        <v>330.10720391000933</v>
      </c>
      <c r="D48" s="6" t="n">
        <v>7927.676307683929</v>
      </c>
      <c r="E48" s="6" t="n">
        <v>9.989307367296218</v>
      </c>
      <c r="F48" s="6">
        <f si="0" t="shared"/>
        <v>12078.162584684953</v>
      </c>
      <c r="H48" s="12">
        <v>0.9375</v>
      </c>
      <c r="I48" s="9" t="n">
        <v>4216.303199768066</v>
      </c>
      <c r="J48" s="9" t="n">
        <v>509.4396781921387</v>
      </c>
      <c r="K48" s="9" t="n">
        <v>11735.142461776733</v>
      </c>
      <c r="L48" s="9" t="n">
        <v>51.351383209228516</v>
      </c>
      <c r="M48">
        <f si="1" t="shared"/>
        <v>21781.813762664795</v>
      </c>
    </row>
    <row r="49" spans="1:13" x14ac:dyDescent="0.25">
      <c r="A49" s="12">
        <v>0.95833333333333337</v>
      </c>
      <c r="B49" s="6" t="n">
        <v>3157.2058171138815</v>
      </c>
      <c r="C49" s="6" t="n">
        <v>196.63441238173863</v>
      </c>
      <c r="D49" s="6" t="n">
        <v>5195.962692683641</v>
      </c>
      <c r="E49" s="6" t="n">
        <v>5.8262911300516125</v>
      </c>
      <c r="F49" s="6">
        <f si="0" t="shared"/>
        <v>8555.629213309312</v>
      </c>
      <c r="H49" s="12">
        <v>0.95833333333333337</v>
      </c>
      <c r="I49" s="9" t="n">
        <v>3557.7700777053833</v>
      </c>
      <c r="J49" s="9" t="n">
        <v>458.0338296890259</v>
      </c>
      <c r="K49" s="9" t="n">
        <v>8583.591326713562</v>
      </c>
      <c r="L49" s="9" t="n">
        <v>35.58935070037842</v>
      </c>
      <c r="M49">
        <f si="1" t="shared"/>
        <v>17304.178347587585</v>
      </c>
    </row>
    <row r="50" spans="1:13" x14ac:dyDescent="0.25">
      <c r="A50" s="12">
        <v>0.97916666666666663</v>
      </c>
      <c r="B50" s="6" t="n">
        <v>2397.9359811547556</v>
      </c>
      <c r="C50" s="6" t="n">
        <v>106.49131708038806</v>
      </c>
      <c r="D50" s="6" t="n">
        <v>3166.8095427244643</v>
      </c>
      <c r="E50" s="6" t="n">
        <v>3.5164822851543427</v>
      </c>
      <c r="F50" s="6">
        <f si="0" t="shared"/>
        <v>5674.7533232447622</v>
      </c>
      <c r="H50" s="12">
        <v>0.97916666666666663</v>
      </c>
      <c r="I50" s="9" t="n">
        <v>2773.266890525818</v>
      </c>
      <c r="J50" s="9" t="n">
        <v>381.9842300415039</v>
      </c>
      <c r="K50" s="9" t="n">
        <v>5953.755537033081</v>
      </c>
      <c r="L50" s="9" t="n">
        <v>23.06930446624756</v>
      </c>
      <c r="M50">
        <f si="1" t="shared"/>
        <v>12745.795999526978</v>
      </c>
    </row>
    <row r="51" spans="1:13" x14ac:dyDescent="0.25">
      <c r="A51" s="12">
        <v>1</v>
      </c>
      <c r="B51" s="6" t="n">
        <v>1619.3796134604893</v>
      </c>
      <c r="C51" s="6" t="n">
        <v>51.67259494355106</v>
      </c>
      <c r="D51" s="6" t="n">
        <v>1764.840846557473</v>
      </c>
      <c r="E51" s="6" t="n">
        <v>1.9921069316892626</v>
      </c>
      <c r="F51" s="6">
        <f si="0" t="shared"/>
        <v>3437.8851618932026</v>
      </c>
      <c r="H51" s="12">
        <v>1</v>
      </c>
      <c r="I51" s="9" t="n">
        <v>1937.9169244766235</v>
      </c>
      <c r="J51" s="9" t="n">
        <v>283.9752426147461</v>
      </c>
      <c r="K51" s="9" t="n">
        <v>3811.5174283981323</v>
      </c>
      <c r="L51" s="9" t="n">
        <v>13.841755867004395</v>
      </c>
      <c r="M51">
        <f si="1" t="shared"/>
        <v>8489.8564615249634</v>
      </c>
    </row>
    <row r="52" spans="1:13" x14ac:dyDescent="0.25">
      <c r="A52" s="12">
        <v>1.0208333333333333</v>
      </c>
      <c r="B52" s="6" t="n">
        <v>949.1496193970097</v>
      </c>
      <c r="C52" s="6" t="n">
        <v>21.974888828455924</v>
      </c>
      <c r="D52" s="6" t="n">
        <v>880.6961117048044</v>
      </c>
      <c r="E52" s="6" t="n">
        <v>0.97114156215477</v>
      </c>
      <c r="F52" s="6">
        <f si="0" t="shared"/>
        <v>1852.7917614924247</v>
      </c>
      <c r="H52" s="12">
        <v>1.0208333333333333</v>
      </c>
      <c r="I52" s="9" t="n">
        <v>1184.207088470459</v>
      </c>
      <c r="J52" s="9" t="n">
        <v>182.9764108657837</v>
      </c>
      <c r="K52" s="9" t="n">
        <v>2187.4966650009155</v>
      </c>
      <c r="L52" s="9" t="n">
        <v>7.564205169677734</v>
      </c>
      <c r="M52">
        <f si="1" t="shared"/>
        <v>4993.220685005188</v>
      </c>
    </row>
    <row r="53" spans="1:13" x14ac:dyDescent="0.25">
      <c r="A53" s="12">
        <v>4.1666666666666664E-2</v>
      </c>
      <c r="B53" s="6" t="n">
        <v>473.0987049418592</v>
      </c>
      <c r="C53" s="6" t="n">
        <v>7.96007407493782</v>
      </c>
      <c r="D53" s="6" t="n">
        <v>384.79707546492193</v>
      </c>
      <c r="E53" s="6" t="n">
        <v>0.38614835750007637</v>
      </c>
      <c r="F53" s="6">
        <f si="0" t="shared"/>
        <v>866.24200283921914</v>
      </c>
      <c r="H53" s="12">
        <v>4.1666666666666664E-2</v>
      </c>
      <c r="I53" s="9" t="n">
        <v>619.3341798782349</v>
      </c>
      <c r="J53" s="9" t="n">
        <v>100.02516746520996</v>
      </c>
      <c r="K53" s="9" t="n">
        <v>1094.706992149353</v>
      </c>
      <c r="L53" s="9" t="n">
        <v>3.6776771545410156</v>
      </c>
      <c r="M53">
        <f si="1" t="shared"/>
        <v>2535.124400138855</v>
      </c>
    </row>
    <row r="54" spans="1:13" x14ac:dyDescent="0.25">
      <c r="A54" s="12">
        <v>6.25E-2</v>
      </c>
      <c r="B54" s="6" t="n">
        <v>196.65425704231833</v>
      </c>
      <c r="C54" s="6" t="n">
        <v>2.372535000688553</v>
      </c>
      <c r="D54" s="6" t="n">
        <v>143.81481072357178</v>
      </c>
      <c r="E54" s="6" t="n">
        <v>0.12056878718376161</v>
      </c>
      <c r="F54" s="6">
        <f si="0" t="shared"/>
        <v>342.9621715537624</v>
      </c>
      <c r="H54" s="12">
        <v>6.25E-2</v>
      </c>
      <c r="I54" s="9" t="n">
        <v>271.49017429351807</v>
      </c>
      <c r="J54" s="9" t="n">
        <v>45.490074157714844</v>
      </c>
      <c r="K54" s="9" t="n">
        <v>465.2366991043091</v>
      </c>
      <c r="L54" s="9" t="n">
        <v>1.5453271865844727</v>
      </c>
      <c r="M54">
        <f si="1" t="shared"/>
        <v>1086.3105907440186</v>
      </c>
    </row>
    <row r="55" spans="1:13" x14ac:dyDescent="0.25">
      <c r="A55" s="12">
        <v>8.3333333333333329E-2</v>
      </c>
      <c r="B55" s="6" t="n">
        <v>66.69112494814397</v>
      </c>
      <c r="C55" s="6" t="n">
        <v>0.5575871110601425</v>
      </c>
      <c r="D55" s="6" t="n">
        <v>44.81926014286137</v>
      </c>
      <c r="E55" s="6" t="n">
        <v>0.028369126396179202</v>
      </c>
      <c r="F55" s="6">
        <f si="0" t="shared"/>
        <v>112.09634132846166</v>
      </c>
      <c r="H55" s="12">
        <v>8.3333333333333329E-2</v>
      </c>
      <c r="I55" s="9" t="n">
        <v>97.46055507659912</v>
      </c>
      <c r="J55" s="9" t="n">
        <v>16.84037971496582</v>
      </c>
      <c r="K55" s="9" t="n">
        <v>163.3722505569458</v>
      </c>
      <c r="L55" s="9" t="n">
        <v>0.5430459976196289</v>
      </c>
      <c r="M55">
        <f si="1" t="shared"/>
        <v>383.22997093200684</v>
      </c>
    </row>
    <row r="56" spans="1:13" x14ac:dyDescent="0.25">
      <c r="A56" s="12">
        <v>0.10416666666666667</v>
      </c>
      <c r="B56" s="6" t="n">
        <v>17.939565963903426</v>
      </c>
      <c r="C56" s="6" t="n">
        <v>0.0975983097934723</v>
      </c>
      <c r="D56" s="6" t="n">
        <v>11.291070829512595</v>
      </c>
      <c r="E56" s="6" t="n">
        <v>0.004728187732696534</v>
      </c>
      <c r="F56" s="6">
        <f si="0" t="shared"/>
        <v>29.332963290942189</v>
      </c>
      <c r="H56" s="12">
        <v>0.10416666666666667</v>
      </c>
      <c r="I56" s="9" t="n">
        <v>27.822731018066406</v>
      </c>
      <c r="J56" s="9" t="n">
        <v>4.933894157409668</v>
      </c>
      <c r="K56" s="9" t="n">
        <v>45.89786148071289</v>
      </c>
      <c r="L56" s="9" t="n">
        <v>0.1537008285522461</v>
      </c>
      <c r="M56">
        <f si="1" t="shared"/>
        <v>107.94342231750488</v>
      </c>
    </row>
    <row r="57" spans="1:13" x14ac:dyDescent="0.25">
      <c r="A57" s="12">
        <v>0.125</v>
      </c>
      <c r="B57" s="6" t="n">
        <v>3.62878783084774</v>
      </c>
      <c r="C57" s="6" t="n">
        <v>0.011640554230690004</v>
      </c>
      <c r="D57" s="6" t="n">
        <v>2.1766319821271893</v>
      </c>
      <c r="E57" s="6" t="n">
        <v>4.97703971862793E-4</v>
      </c>
      <c r="F57" s="6">
        <f si="0" t="shared"/>
        <v>5.8175580711774826</v>
      </c>
      <c r="H57" s="12">
        <v>0.125</v>
      </c>
      <c r="I57" s="9" t="n">
        <v>5.972097396850586</v>
      </c>
      <c r="J57" s="9" t="n">
        <v>1.0821208953857422</v>
      </c>
      <c r="K57" s="9" t="n">
        <v>9.736885070800781</v>
      </c>
      <c r="L57" s="9" t="n">
        <v>0.032928466796875</v>
      </c>
      <c r="M57">
        <f si="1" t="shared"/>
        <v>22.934154510498047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628827.06257152557</v>
      </c>
      <c r="J59" s="7">
        <f>SUM(J8:J58)</f>
        <v>212371.17159175873</v>
      </c>
      <c r="K59" s="7">
        <f>SUM(K8:K58)</f>
        <v>900946.60254859924</v>
      </c>
      <c r="L59" s="7">
        <f>SUM(L8:L58)</f>
        <v>109692.52186584473</v>
      </c>
      <c r="M59" s="7">
        <f>SUM(M8:M58)</f>
        <v>1851837.3585777283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ref="C65:F65" si="2" t="shared">C8/C$59</f>
        <v>0</v>
      </c>
      <c r="D65" s="18">
        <f si="2" t="shared"/>
        <v>3.1932216961389828E-3</v>
      </c>
      <c r="E65" s="18">
        <f si="2" t="shared"/>
        <v>0</v>
      </c>
      <c r="F65" s="18">
        <f si="2" t="shared"/>
        <v>4.9432946971245941E-3</v>
      </c>
      <c r="H65" t="s">
        <v>5</v>
      </c>
      <c r="I65" s="17">
        <f ref="I65:M80" si="3" t="shared">I8/I$59</f>
        <v>1.2362699480854087E-2</v>
      </c>
      <c r="J65" s="17">
        <f si="3" t="shared"/>
        <v>1.883494812417009E-5</v>
      </c>
      <c r="K65" s="17">
        <f si="3" t="shared"/>
        <v>1.2137234292317717E-2</v>
      </c>
      <c r="L65" s="17">
        <f si="3" t="shared"/>
        <v>3.1907371081143907E-4</v>
      </c>
      <c r="M65" s="18">
        <f si="3" t="shared"/>
        <v>1.0123999234143909E-2</v>
      </c>
    </row>
    <row r="66" spans="1:13" x14ac:dyDescent="0.25">
      <c r="A66" s="12">
        <v>0.125</v>
      </c>
      <c r="B66" s="18">
        <f ref="B66:F81" si="4" t="shared">B9/B$59</f>
        <v>6.3957623020340637E-3</v>
      </c>
      <c r="C66" s="18">
        <f si="4" t="shared"/>
        <v>4.6667151179682894E-8</v>
      </c>
      <c r="D66" s="18">
        <f si="4" t="shared"/>
        <v>2.2006827115907479E-3</v>
      </c>
      <c r="E66" s="18">
        <f si="4" t="shared"/>
        <v>5.2917415003555102E-7</v>
      </c>
      <c r="F66" s="18">
        <f si="4" t="shared"/>
        <v>3.3162433212592891E-3</v>
      </c>
      <c r="H66" s="12">
        <v>0.125</v>
      </c>
      <c r="I66" s="17">
        <f si="3" t="shared"/>
        <v>8.2502547022912966E-3</v>
      </c>
      <c r="J66" s="17">
        <f si="3" t="shared"/>
        <v>1.6995786326685011E-5</v>
      </c>
      <c r="K66" s="17">
        <f si="3" t="shared"/>
        <v>8.4232819780422664E-3</v>
      </c>
      <c r="L66" s="17">
        <f si="3" t="shared"/>
        <v>4.9421767140473522E-4</v>
      </c>
      <c r="M66" s="18">
        <f si="3" t="shared"/>
        <v>6.9308095814492286E-3</v>
      </c>
    </row>
    <row r="67" spans="1:13" x14ac:dyDescent="0.25">
      <c r="A67" s="12">
        <v>0.14583333333333334</v>
      </c>
      <c r="B67" s="18">
        <f si="4" t="shared"/>
        <v>3.7010896610210078E-3</v>
      </c>
      <c r="C67" s="18">
        <f si="4" t="shared"/>
        <v>3.0613942035266172E-7</v>
      </c>
      <c r="D67" s="18">
        <f si="4" t="shared"/>
        <v>1.4469478270957524E-3</v>
      </c>
      <c r="E67" s="18">
        <f si="4" t="shared"/>
        <v>3.5047067042103118E-6</v>
      </c>
      <c r="F67" s="18">
        <f si="4" t="shared"/>
        <v>1.9929652025688499E-3</v>
      </c>
      <c r="H67" s="12">
        <v>0.14583333333333334</v>
      </c>
      <c r="I67" s="17">
        <f si="3" t="shared"/>
        <v>4.8383940177781273E-3</v>
      </c>
      <c r="J67" s="17">
        <f si="3" t="shared"/>
        <v>1.6694691491469058E-5</v>
      </c>
      <c r="K67" s="17">
        <f si="3" t="shared"/>
        <v>5.3675715864943876E-3</v>
      </c>
      <c r="L67" s="17">
        <f si="3" t="shared"/>
        <v>7.3915318990610125E-4</v>
      </c>
      <c r="M67" s="18">
        <f si="3" t="shared"/>
        <v>4.3000717607861822E-3</v>
      </c>
    </row>
    <row r="68" spans="1:13" x14ac:dyDescent="0.25">
      <c r="A68" s="12">
        <v>0.16666666666666666</v>
      </c>
      <c r="B68" s="18">
        <f si="4" t="shared"/>
        <v>1.8439990624424245E-3</v>
      </c>
      <c r="C68" s="18">
        <f si="4" t="shared"/>
        <v>1.4995717158742125E-6</v>
      </c>
      <c r="D68" s="18">
        <f si="4" t="shared"/>
        <v>1.1325945559378268E-3</v>
      </c>
      <c r="E68" s="18">
        <f si="4" t="shared"/>
        <v>1.6702186358207437E-5</v>
      </c>
      <c r="F68" s="18">
        <f si="4" t="shared"/>
        <v>1.1689206497906088E-3</v>
      </c>
      <c r="H68" s="12">
        <v>0.16666666666666666</v>
      </c>
      <c r="I68" s="17">
        <f si="3" t="shared"/>
        <v>2.5078920024949763E-3</v>
      </c>
      <c r="J68" s="17">
        <f si="3" t="shared"/>
        <v>2.482417570207306E-5</v>
      </c>
      <c r="K68" s="17">
        <f si="3" t="shared"/>
        <v>3.3604534247699993E-3</v>
      </c>
      <c r="L68" s="17">
        <f si="3" t="shared"/>
        <v>1.086924786800915E-3</v>
      </c>
      <c r="M68" s="18">
        <f si="3" t="shared"/>
        <v>2.553744201973184E-3</v>
      </c>
    </row>
    <row r="69" spans="1:13" x14ac:dyDescent="0.25">
      <c r="A69" s="12">
        <v>0.1875</v>
      </c>
      <c r="B69" s="18">
        <f si="4" t="shared"/>
        <v>8.0096916222650253E-4</v>
      </c>
      <c r="C69" s="18">
        <f si="4" t="shared"/>
        <v>5.8837934690612212E-6</v>
      </c>
      <c r="D69" s="18">
        <f si="4" t="shared"/>
        <v>1.4373517976011745E-3</v>
      </c>
      <c r="E69" s="18">
        <f si="4" t="shared"/>
        <v>6.1579947878549442E-5</v>
      </c>
      <c r="F69" s="18">
        <f si="4" t="shared"/>
        <v>9.1324834724394765E-4</v>
      </c>
      <c r="H69" s="12">
        <v>0.1875</v>
      </c>
      <c r="I69" s="17">
        <f si="3" t="shared"/>
        <v>1.227986098607257E-3</v>
      </c>
      <c r="J69" s="17">
        <f si="3" t="shared"/>
        <v>5.9374873156826198E-5</v>
      </c>
      <c r="K69" s="17">
        <f si="3" t="shared"/>
        <v>2.4649765861513542E-3</v>
      </c>
      <c r="L69" s="17">
        <f si="3" t="shared"/>
        <v>1.5161659015663447E-3</v>
      </c>
      <c r="M69" s="18">
        <f si="3" t="shared"/>
        <v>1.7128527675033839E-3</v>
      </c>
    </row>
    <row r="70" spans="1:13" x14ac:dyDescent="0.25">
      <c r="A70" s="12">
        <v>0.20833333333333334</v>
      </c>
      <c r="B70" s="18">
        <f si="4" t="shared"/>
        <v>3.5090636385928304E-4</v>
      </c>
      <c r="C70" s="18">
        <f si="4" t="shared"/>
        <v>1.9146722729088286E-5</v>
      </c>
      <c r="D70" s="18">
        <f si="4" t="shared"/>
        <v>2.5683408266766799E-3</v>
      </c>
      <c r="E70" s="18">
        <f si="4" t="shared"/>
        <v>1.8374479971365926E-4</v>
      </c>
      <c r="F70" s="18">
        <f si="4" t="shared"/>
        <v>1.2350185740945053E-3</v>
      </c>
      <c r="H70" s="12">
        <v>0.20833333333333334</v>
      </c>
      <c r="I70" s="17">
        <f si="3" t="shared"/>
        <v>7.0785398718665484E-4</v>
      </c>
      <c r="J70" s="17">
        <f si="3" t="shared"/>
        <v>1.5233378789341291E-4</v>
      </c>
      <c r="K70" s="17">
        <f si="3" t="shared"/>
        <v>2.5652334917367946E-3</v>
      </c>
      <c r="L70" s="17">
        <f si="3" t="shared"/>
        <v>1.9715689208341341E-3</v>
      </c>
      <c r="M70" s="18">
        <f si="3" t="shared"/>
        <v>1.6226445592882228E-3</v>
      </c>
    </row>
    <row r="71" spans="1:13" x14ac:dyDescent="0.25">
      <c r="A71" s="12">
        <v>0.22916666666666666</v>
      </c>
      <c r="B71" s="18">
        <f si="4" t="shared"/>
        <v>2.5200264194346749E-4</v>
      </c>
      <c r="C71" s="18">
        <f si="4" t="shared"/>
        <v>5.2617902193362431E-5</v>
      </c>
      <c r="D71" s="18">
        <f si="4" t="shared"/>
        <v>4.7357964232294337E-3</v>
      </c>
      <c r="E71" s="18">
        <f si="4" t="shared"/>
        <v>4.5857036171515414E-4</v>
      </c>
      <c r="F71" s="18">
        <f si="4" t="shared"/>
        <v>2.1393962155221223E-3</v>
      </c>
      <c r="H71" s="12">
        <v>0.22916666666666666</v>
      </c>
      <c r="I71" s="17">
        <f si="3" t="shared"/>
        <v>6.2073432962516566E-4</v>
      </c>
      <c r="J71" s="17">
        <f si="3" t="shared"/>
        <v>3.4231708021344019E-4</v>
      </c>
      <c r="K71" s="17">
        <f si="3" t="shared"/>
        <v>3.5429480858775904E-3</v>
      </c>
      <c r="L71" s="17">
        <f si="3" t="shared"/>
        <v>2.4264177019190244E-3</v>
      </c>
      <c r="M71" s="18">
        <f si="3" t="shared"/>
        <v>2.1174644329072234E-3</v>
      </c>
    </row>
    <row r="72" spans="1:13" x14ac:dyDescent="0.25">
      <c r="A72" s="12">
        <v>0.25</v>
      </c>
      <c r="B72" s="18">
        <f si="4" t="shared"/>
        <v>3.4751706089966176E-4</v>
      </c>
      <c r="C72" s="18">
        <f si="4" t="shared"/>
        <v>1.2345479305849046E-4</v>
      </c>
      <c r="D72" s="18">
        <f si="4" t="shared"/>
        <v>7.9818691897090756E-3</v>
      </c>
      <c r="E72" s="18">
        <f si="4" t="shared"/>
        <v>9.8203653730454909E-4</v>
      </c>
      <c r="F72" s="18">
        <f si="4" t="shared"/>
        <v>3.5937943536555332E-3</v>
      </c>
      <c r="H72" s="12">
        <v>0.25</v>
      </c>
      <c r="I72" s="17">
        <f si="3" t="shared"/>
        <v>7.4062600562759982E-4</v>
      </c>
      <c r="J72" s="17">
        <f si="3" t="shared"/>
        <v>6.5346455364923093E-4</v>
      </c>
      <c r="K72" s="17">
        <f si="3" t="shared"/>
        <v>5.3277192595825775E-3</v>
      </c>
      <c r="L72" s="17">
        <f si="3" t="shared"/>
        <v>2.9569443514030334E-3</v>
      </c>
      <c r="M72" s="18">
        <f si="3" t="shared"/>
        <v>3.0936021087786167E-3</v>
      </c>
    </row>
    <row r="73" spans="1:13" x14ac:dyDescent="0.25">
      <c r="A73" s="12">
        <v>0.27083333333333331</v>
      </c>
      <c r="B73" s="18">
        <f si="4" t="shared"/>
        <v>5.7626433787899621E-4</v>
      </c>
      <c r="C73" s="18">
        <f si="4" t="shared"/>
        <v>2.499278000634538E-4</v>
      </c>
      <c r="D73" s="18">
        <f si="4" t="shared"/>
        <v>1.1951627749915532E-2</v>
      </c>
      <c r="E73" s="18">
        <f si="4" t="shared"/>
        <v>1.8427579233046346E-3</v>
      </c>
      <c r="F73" s="18">
        <f si="4" t="shared"/>
        <v>5.4322242972161842E-3</v>
      </c>
      <c r="H73" s="12">
        <v>0.27083333333333331</v>
      </c>
      <c r="I73" s="17">
        <f si="3" t="shared"/>
        <v>9.6347920189929161E-4</v>
      </c>
      <c r="J73" s="17">
        <f si="3" t="shared"/>
        <v>1.0743817557790558E-3</v>
      </c>
      <c r="K73" s="17">
        <f si="3" t="shared"/>
        <v>7.8234204381962373E-3</v>
      </c>
      <c r="L73" s="17">
        <f si="3" t="shared"/>
        <v>3.7744873592389125E-3</v>
      </c>
      <c r="M73" s="18">
        <f si="3" t="shared"/>
        <v>4.4801702327954759E-3</v>
      </c>
    </row>
    <row r="74" spans="1:13" x14ac:dyDescent="0.25">
      <c r="A74" s="12">
        <v>0.29166666666666669</v>
      </c>
      <c r="B74" s="18">
        <f si="4" t="shared"/>
        <v>9.3552804591256447E-4</v>
      </c>
      <c r="C74" s="18">
        <f si="4" t="shared"/>
        <v>4.4321008353220105E-4</v>
      </c>
      <c r="D74" s="18">
        <f si="4" t="shared"/>
        <v>1.5852295764808701E-2</v>
      </c>
      <c r="E74" s="18">
        <f si="4" t="shared"/>
        <v>3.0872441554353519E-3</v>
      </c>
      <c r="F74" s="18">
        <f si="4" t="shared"/>
        <v>7.3210295345453825E-3</v>
      </c>
      <c r="H74" s="12">
        <v>0.29166666666666669</v>
      </c>
      <c r="I74" s="17">
        <f si="3" t="shared"/>
        <v>1.2755789946159188E-3</v>
      </c>
      <c r="J74" s="17">
        <f si="3" t="shared"/>
        <v>1.5669654742467547E-3</v>
      </c>
      <c r="K74" s="17">
        <f si="3" t="shared"/>
        <v>1.0826008183969872E-2</v>
      </c>
      <c r="L74" s="17">
        <f si="3" t="shared"/>
        <v>5.1871553812114692E-3</v>
      </c>
      <c r="M74" s="18">
        <f si="3" t="shared"/>
        <v>6.1871223627639289E-3</v>
      </c>
    </row>
    <row r="75" spans="1:13" x14ac:dyDescent="0.25">
      <c r="A75" s="12">
        <v>0.3125</v>
      </c>
      <c r="B75" s="18">
        <f si="4" t="shared"/>
        <v>1.4443309042105441E-3</v>
      </c>
      <c r="C75" s="18">
        <f si="4" t="shared"/>
        <v>7.0457284521962919E-4</v>
      </c>
      <c r="D75" s="18">
        <f si="4" t="shared"/>
        <v>1.8770861587868937E-2</v>
      </c>
      <c r="E75" s="18">
        <f si="4" t="shared"/>
        <v>4.7123555321566543E-3</v>
      </c>
      <c r="F75" s="18">
        <f si="4" t="shared"/>
        <v>8.8793409304468527E-3</v>
      </c>
      <c r="H75" s="12">
        <v>0.3125</v>
      </c>
      <c r="I75" s="17">
        <f si="3" t="shared"/>
        <v>1.7271475989871026E-3</v>
      </c>
      <c r="J75" s="17">
        <f si="3" t="shared"/>
        <v>2.1216500002324426E-3</v>
      </c>
      <c r="K75" s="17">
        <f si="3" t="shared"/>
        <v>1.4034309085559974E-2</v>
      </c>
      <c r="L75" s="17">
        <f si="3" t="shared"/>
        <v>7.5260739678232715E-3</v>
      </c>
      <c r="M75" s="18">
        <f si="3" t="shared"/>
        <v>8.1035040691222159E-3</v>
      </c>
    </row>
    <row r="76" spans="1:13" x14ac:dyDescent="0.25">
      <c r="A76" s="12">
        <v>0.33333333333333331</v>
      </c>
      <c r="B76" s="18">
        <f si="4" t="shared"/>
        <v>2.1290101541001551E-3</v>
      </c>
      <c r="C76" s="18">
        <f si="4" t="shared"/>
        <v>1.0375240891040785E-3</v>
      </c>
      <c r="D76" s="18">
        <f si="4" t="shared"/>
        <v>2.0193253965754911E-2</v>
      </c>
      <c r="E76" s="18">
        <f si="4" t="shared"/>
        <v>6.7365766527345671E-3</v>
      </c>
      <c r="F76" s="18">
        <f si="4" t="shared"/>
        <v>9.9000632211829909E-3</v>
      </c>
      <c r="H76" s="12">
        <v>0.33333333333333331</v>
      </c>
      <c r="I76" s="17">
        <f si="3" t="shared"/>
        <v>2.4203840533091468E-3</v>
      </c>
      <c r="J76" s="17">
        <f si="3" t="shared"/>
        <v>2.827770144401083E-3</v>
      </c>
      <c r="K76" s="17">
        <f si="3" t="shared"/>
        <v>1.7156414165022896E-2</v>
      </c>
      <c r="L76" s="17">
        <f si="3" t="shared"/>
        <v>1.1097425317043608E-2</v>
      </c>
      <c r="M76" s="18">
        <f si="3" t="shared"/>
        <v>1.0150382477795478E-2</v>
      </c>
    </row>
    <row r="77" spans="1:13" x14ac:dyDescent="0.25">
      <c r="A77" s="12">
        <v>0.35416666666666669</v>
      </c>
      <c r="B77" s="18">
        <f si="4" t="shared"/>
        <v>3.0350634052867232E-3</v>
      </c>
      <c r="C77" s="18">
        <f si="4" t="shared"/>
        <v>1.4718174843400753E-3</v>
      </c>
      <c r="D77" s="18">
        <f si="4" t="shared"/>
        <v>2.0318106783688047E-2</v>
      </c>
      <c r="E77" s="18">
        <f si="4" t="shared"/>
        <v>9.3942873183664836E-3</v>
      </c>
      <c r="F77" s="18">
        <f si="4" t="shared"/>
        <v>1.0501933303189347E-2</v>
      </c>
      <c r="H77" s="12">
        <v>0.35416666666666669</v>
      </c>
      <c r="I77" s="17">
        <f si="3" t="shared"/>
        <v>3.4855662889414943E-3</v>
      </c>
      <c r="J77" s="17">
        <f si="3" t="shared"/>
        <v>3.8883854715941355E-3</v>
      </c>
      <c r="K77" s="17">
        <f si="3" t="shared"/>
        <v>2.0019851136509944E-2</v>
      </c>
      <c r="L77" s="17">
        <f si="3" t="shared"/>
        <v>1.6163751897010484E-2</v>
      </c>
      <c r="M77" s="18">
        <f si="3" t="shared"/>
        <v>1.232692431476419E-2</v>
      </c>
    </row>
    <row r="78" spans="1:13" x14ac:dyDescent="0.25">
      <c r="A78" s="12">
        <v>0.375</v>
      </c>
      <c r="B78" s="18">
        <f si="4" t="shared"/>
        <v>4.2462128637665427E-3</v>
      </c>
      <c r="C78" s="18">
        <f si="4" t="shared"/>
        <v>2.0805158276814071E-3</v>
      </c>
      <c r="D78" s="18">
        <f si="4" t="shared"/>
        <v>1.990476668273088E-2</v>
      </c>
      <c r="E78" s="18">
        <f si="4" t="shared"/>
        <v>1.3427736143412573E-2</v>
      </c>
      <c r="F78" s="18">
        <f si="4" t="shared"/>
        <v>1.109075395551274E-2</v>
      </c>
      <c r="H78" s="12">
        <v>0.375</v>
      </c>
      <c r="I78" s="17">
        <f si="3" t="shared"/>
        <v>5.0226757646382476E-3</v>
      </c>
      <c r="J78" s="17">
        <f si="3" t="shared"/>
        <v>5.5370519808212717E-3</v>
      </c>
      <c r="K78" s="17">
        <f si="3" t="shared"/>
        <v>2.2583770976748997E-2</v>
      </c>
      <c r="L78" s="17">
        <f si="3" t="shared"/>
        <v>2.2888328247574655E-2</v>
      </c>
      <c r="M78" s="18">
        <f si="3" t="shared"/>
        <v>1.468366253586637E-2</v>
      </c>
    </row>
    <row r="79" spans="1:13" x14ac:dyDescent="0.25">
      <c r="A79" s="12">
        <v>0.39583333333333331</v>
      </c>
      <c r="B79" s="18">
        <f si="4" t="shared"/>
        <v>5.8630851476390022E-3</v>
      </c>
      <c r="C79" s="18">
        <f si="4" t="shared"/>
        <v>2.9677960190775655E-3</v>
      </c>
      <c r="D79" s="18">
        <f si="4" t="shared"/>
        <v>1.980316183698189E-2</v>
      </c>
      <c r="E79" s="18">
        <f si="4" t="shared"/>
        <v>2.0288135420707728E-2</v>
      </c>
      <c r="F79" s="18">
        <f si="4" t="shared"/>
        <v>1.2161052814576323E-2</v>
      </c>
      <c r="H79" s="12">
        <v>0.39583333333333331</v>
      </c>
      <c r="I79" s="17">
        <f si="3" t="shared"/>
        <v>7.0284129866192467E-3</v>
      </c>
      <c r="J79" s="17">
        <f si="3" t="shared"/>
        <v>7.9112576299813116E-3</v>
      </c>
      <c r="K79" s="17">
        <f>K22/K$59</f>
        <v>2.4845425876047999E-2</v>
      </c>
      <c r="L79" s="17">
        <f si="3" t="shared"/>
        <v>3.1209157060768378E-2</v>
      </c>
      <c r="M79" s="18">
        <f si="3" t="shared"/>
        <v>1.7230234810829286E-2</v>
      </c>
    </row>
    <row r="80" spans="1:13" x14ac:dyDescent="0.25">
      <c r="A80" s="12">
        <v>0.41666666666666669</v>
      </c>
      <c r="B80" s="18">
        <f si="4" t="shared"/>
        <v>7.9117266497078578E-3</v>
      </c>
      <c r="C80" s="18">
        <f si="4" t="shared"/>
        <v>4.2205441085069783E-3</v>
      </c>
      <c r="D80" s="18">
        <f si="4" t="shared"/>
        <v>2.0535771141261622E-2</v>
      </c>
      <c r="E80" s="18">
        <f si="4" t="shared"/>
        <v>3.1867463322190009E-2</v>
      </c>
      <c r="F80" s="18">
        <f si="4" t="shared"/>
        <v>1.4062372987257002E-2</v>
      </c>
      <c r="H80" s="12">
        <v>0.41666666666666669</v>
      </c>
      <c r="I80" s="17">
        <f si="3" t="shared"/>
        <v>9.3695408697521167E-3</v>
      </c>
      <c r="J80" s="17">
        <f si="3" t="shared"/>
        <v>1.1014761676781306E-2</v>
      </c>
      <c r="K80" s="17">
        <f si="3" t="shared"/>
        <v>2.6747431112648452E-2</v>
      </c>
      <c r="L80" s="17">
        <f si="3" t="shared"/>
        <v>4.0718873950297919E-2</v>
      </c>
      <c r="M80" s="18">
        <f si="3" t="shared"/>
        <v>1.9869780514699904E-2</v>
      </c>
    </row>
    <row r="81" spans="1:13" x14ac:dyDescent="0.25">
      <c r="A81" s="12">
        <v>0.4375</v>
      </c>
      <c r="B81" s="18">
        <f si="4" t="shared"/>
        <v>1.0242086503161869E-2</v>
      </c>
      <c r="C81" s="18">
        <f si="4" t="shared"/>
        <v>5.8623906825674317E-3</v>
      </c>
      <c r="D81" s="18">
        <f si="4" t="shared"/>
        <v>2.2156088956108287E-2</v>
      </c>
      <c r="E81" s="18">
        <f si="4" t="shared"/>
        <v>4.9434000639737123E-2</v>
      </c>
      <c r="F81" s="18">
        <f si="4" t="shared"/>
        <v>1.6835473234781993E-2</v>
      </c>
      <c r="H81" s="12">
        <v>0.4375</v>
      </c>
      <c r="I81" s="17">
        <f ref="I81:M96" si="5" t="shared">I24/I$59</f>
        <v>1.1845107904284734E-2</v>
      </c>
      <c r="J81" s="17">
        <f si="5" t="shared"/>
        <v>1.4852589400756911E-2</v>
      </c>
      <c r="K81" s="17">
        <f si="5" t="shared"/>
        <v>2.8197241838004469E-2</v>
      </c>
      <c r="L81" s="17">
        <f si="5" t="shared"/>
        <v>5.0653968153987899E-2</v>
      </c>
      <c r="M81" s="18">
        <f si="5" t="shared"/>
        <v>2.2444388419693994E-2</v>
      </c>
    </row>
    <row r="82" spans="1:13" x14ac:dyDescent="0.25">
      <c r="A82" s="12">
        <v>0.45833333333333331</v>
      </c>
      <c r="B82" s="18">
        <f ref="B82:F97" si="6" t="shared">B25/B$59</f>
        <v>1.2546981953381851E-2</v>
      </c>
      <c r="C82" s="18">
        <f si="6" t="shared"/>
        <v>7.9292743372193115E-3</v>
      </c>
      <c r="D82" s="18">
        <f si="6" t="shared"/>
        <v>2.4350502931178086E-2</v>
      </c>
      <c r="E82" s="18">
        <f si="6" t="shared"/>
        <v>7.202783245861083E-2</v>
      </c>
      <c r="F82" s="18">
        <f si="6" t="shared"/>
        <v>2.0184731909005028E-2</v>
      </c>
      <c r="H82" s="12">
        <v>0.45833333333333331</v>
      </c>
      <c r="I82" s="17">
        <f si="5" t="shared"/>
        <v>1.4303389167958739E-2</v>
      </c>
      <c r="J82" s="17">
        <f si="5" t="shared"/>
        <v>1.9653858429535438E-2</v>
      </c>
      <c r="K82" s="17">
        <f si="5" t="shared"/>
        <v>2.9183745778447311E-2</v>
      </c>
      <c r="L82" s="17">
        <f si="5" t="shared"/>
        <v>5.9996583557218736E-2</v>
      </c>
      <c r="M82" s="18">
        <f si="5" t="shared"/>
        <v>2.4863114509206308E-2</v>
      </c>
    </row>
    <row r="83" spans="1:13" x14ac:dyDescent="0.25">
      <c r="A83" s="12">
        <v>0.47916666666666669</v>
      </c>
      <c r="B83" s="18">
        <f si="6" t="shared"/>
        <v>1.4562567299331428E-2</v>
      </c>
      <c r="C83" s="18">
        <f si="6" t="shared"/>
        <v>1.0816402101368522E-2</v>
      </c>
      <c r="D83" s="18">
        <f si="6" t="shared"/>
        <v>2.6660377665113345E-2</v>
      </c>
      <c r="E83" s="18">
        <f si="6" t="shared"/>
        <v>9.5454179910086201E-2</v>
      </c>
      <c r="F83" s="18">
        <f si="6" t="shared"/>
        <v>2.3642358434030907E-2</v>
      </c>
      <c r="H83" s="12">
        <v>0.47916666666666669</v>
      </c>
      <c r="I83" s="17">
        <f si="5" t="shared"/>
        <v>1.6728366905201495E-2</v>
      </c>
      <c r="J83" s="17">
        <f si="5" t="shared"/>
        <v>2.5964090023504714E-2</v>
      </c>
      <c r="K83" s="17">
        <f si="5" t="shared"/>
        <v>2.9857405813418395E-2</v>
      </c>
      <c r="L83" s="17">
        <f si="5" t="shared"/>
        <v>6.7629260804243585E-2</v>
      </c>
      <c r="M83" s="18">
        <f si="5" t="shared"/>
        <v>2.7190091130329268E-2</v>
      </c>
    </row>
    <row r="84" spans="1:13" x14ac:dyDescent="0.25">
      <c r="A84" s="12">
        <v>0.5</v>
      </c>
      <c r="B84" s="18">
        <f si="6" t="shared"/>
        <v>1.6343000742945025E-2</v>
      </c>
      <c r="C84" s="18">
        <f si="6" t="shared"/>
        <v>1.584039886965502E-2</v>
      </c>
      <c r="D84" s="18">
        <f si="6" t="shared"/>
        <v>2.8739124579625873E-2</v>
      </c>
      <c r="E84" s="18">
        <f si="6" t="shared"/>
        <v>0.11322226871214287</v>
      </c>
      <c r="F84" s="18">
        <f si="6" t="shared"/>
        <v>2.6914793130458185E-2</v>
      </c>
      <c r="H84" s="12">
        <v>0.5</v>
      </c>
      <c r="I84" s="17">
        <f si="5" t="shared"/>
        <v>1.9251691611985672E-2</v>
      </c>
      <c r="J84" s="17">
        <f si="5" t="shared"/>
        <v>3.445167528487178E-2</v>
      </c>
      <c r="K84" s="17">
        <f si="5" t="shared"/>
        <v>3.0473697565521034E-2</v>
      </c>
      <c r="L84" s="17">
        <f si="5" t="shared"/>
        <v>7.2550580699707615E-2</v>
      </c>
      <c r="M84" s="18">
        <f si="5" t="shared"/>
        <v>2.961164895177015E-2</v>
      </c>
    </row>
    <row r="85" spans="1:13" x14ac:dyDescent="0.25">
      <c r="A85" s="12">
        <v>0.52083333333333337</v>
      </c>
      <c r="B85" s="18">
        <f si="6" t="shared"/>
        <v>1.8419352187821047E-2</v>
      </c>
      <c r="C85" s="18">
        <f si="6" t="shared"/>
        <v>2.5474067117332189E-2</v>
      </c>
      <c r="D85" s="18">
        <f si="6" t="shared"/>
        <v>3.0545129580275009E-2</v>
      </c>
      <c r="E85" s="18">
        <f si="6" t="shared"/>
        <v>0.11954062822988148</v>
      </c>
      <c r="F85" s="18">
        <f si="6" t="shared"/>
        <v>3.0224706614063276E-2</v>
      </c>
      <c r="H85" s="12">
        <v>0.52083333333333337</v>
      </c>
      <c r="I85" s="17">
        <f si="5" t="shared"/>
        <v>2.2130676656857109E-2</v>
      </c>
      <c r="J85" s="17">
        <f si="5" t="shared"/>
        <v>4.5495927887261527E-2</v>
      </c>
      <c r="K85" s="17">
        <f si="5" t="shared"/>
        <v>3.1248163241096402E-2</v>
      </c>
      <c r="L85" s="17">
        <f si="5" t="shared"/>
        <v>7.4182949358138003E-2</v>
      </c>
      <c r="M85" s="18">
        <f si="5" t="shared"/>
        <v>3.2329314952040326E-2</v>
      </c>
    </row>
    <row r="86" spans="1:13" x14ac:dyDescent="0.25">
      <c r="A86" s="12">
        <v>0.54166666666666663</v>
      </c>
      <c r="B86" s="18">
        <f si="6" t="shared"/>
        <v>2.1737264305882281E-2</v>
      </c>
      <c r="C86" s="18">
        <f si="6" t="shared"/>
        <v>4.2393129930046576E-2</v>
      </c>
      <c r="D86" s="18">
        <f si="6" t="shared"/>
        <v>3.2318538870378409E-2</v>
      </c>
      <c r="E86" s="18">
        <f si="6" t="shared"/>
        <v>0.11254787394339294</v>
      </c>
      <c r="F86" s="18">
        <f si="6" t="shared"/>
        <v>3.4316904589320761E-2</v>
      </c>
      <c r="H86" s="12">
        <v>0.54166666666666663</v>
      </c>
      <c r="I86" s="17">
        <f si="5" t="shared"/>
        <v>2.5750761143508542E-2</v>
      </c>
      <c r="J86" s="17">
        <f si="5" t="shared"/>
        <v>5.8768933959820843E-2</v>
      </c>
      <c r="K86" s="17">
        <f si="5" t="shared"/>
        <v>3.2255964408231377E-2</v>
      </c>
      <c r="L86" s="17">
        <f si="5" t="shared"/>
        <v>7.2637366962243335E-2</v>
      </c>
      <c r="M86" s="18">
        <f si="5" t="shared"/>
        <v>3.5479509068155245E-2</v>
      </c>
    </row>
    <row r="87" spans="1:13" x14ac:dyDescent="0.25">
      <c r="A87" s="12">
        <v>0.5625</v>
      </c>
      <c r="B87" s="18">
        <f si="6" t="shared"/>
        <v>2.739474122840628E-2</v>
      </c>
      <c r="C87" s="18">
        <f si="6" t="shared"/>
        <v>6.710487369312261E-2</v>
      </c>
      <c r="D87" s="18">
        <f si="6" t="shared"/>
        <v>3.4282983243859193E-2</v>
      </c>
      <c r="E87" s="18">
        <f si="6" t="shared"/>
        <v>9.5321105238519457E-2</v>
      </c>
      <c r="F87" s="18">
        <f si="6" t="shared"/>
        <v>3.9940724185144327E-2</v>
      </c>
      <c r="H87" s="12">
        <v>0.5625</v>
      </c>
      <c r="I87" s="17">
        <f si="5" t="shared"/>
        <v>3.0631912511762546E-2</v>
      </c>
      <c r="J87" s="17">
        <f si="5" t="shared"/>
        <v>7.2957207120046663E-2</v>
      </c>
      <c r="K87" s="17">
        <f si="5" t="shared"/>
        <v>3.3432806039152579E-2</v>
      </c>
      <c r="L87" s="17">
        <f si="5" t="shared"/>
        <v>6.8659967743463987E-2</v>
      </c>
      <c r="M87" s="18">
        <f si="5" t="shared"/>
        <v>3.9101080238022522E-2</v>
      </c>
    </row>
    <row r="88" spans="1:13" x14ac:dyDescent="0.25">
      <c r="A88" s="12">
        <v>0.58333333333333337</v>
      </c>
      <c r="B88" s="18">
        <f si="6" t="shared"/>
        <v>3.6241082311311693E-2</v>
      </c>
      <c r="C88" s="18">
        <f si="6" t="shared"/>
        <v>9.5581642397875838E-2</v>
      </c>
      <c r="D88" s="18">
        <f si="6" t="shared"/>
        <v>3.6282272340861059E-2</v>
      </c>
      <c r="E88" s="18">
        <f si="6" t="shared"/>
        <v>7.3861717584279049E-2</v>
      </c>
      <c r="F88" s="18">
        <f si="6" t="shared"/>
        <v>4.7086015524200178E-2</v>
      </c>
      <c r="H88" s="12">
        <v>0.58333333333333337</v>
      </c>
      <c r="I88" s="17">
        <f si="5" t="shared"/>
        <v>3.7337055772440439E-2</v>
      </c>
      <c r="J88" s="17">
        <f si="5" t="shared"/>
        <v>8.5703138025680636E-2</v>
      </c>
      <c r="K88" s="17">
        <f si="5" t="shared"/>
        <v>3.4612959480829271E-2</v>
      </c>
      <c r="L88" s="17">
        <f si="5" t="shared"/>
        <v>6.3181795167385466E-2</v>
      </c>
      <c r="M88" s="18">
        <f si="5" t="shared"/>
        <v>4.3089327075499159E-2</v>
      </c>
    </row>
    <row r="89" spans="1:13" x14ac:dyDescent="0.25">
      <c r="A89" s="12">
        <v>0.60416666666666663</v>
      </c>
      <c r="B89" s="18">
        <f si="6" t="shared"/>
        <v>4.8395471417763229E-2</v>
      </c>
      <c r="C89" s="18">
        <f si="6" t="shared"/>
        <v>0.11945447974997479</v>
      </c>
      <c r="D89" s="18">
        <f si="6" t="shared"/>
        <v>3.7728162697657504E-2</v>
      </c>
      <c r="E89" s="18">
        <f si="6" t="shared"/>
        <v>5.3727311405618428E-2</v>
      </c>
      <c r="F89" s="18">
        <f si="6" t="shared"/>
        <v>5.462325669641873E-2</v>
      </c>
      <c r="H89" s="12">
        <v>0.60416666666666663</v>
      </c>
      <c r="I89" s="17">
        <f si="5" t="shared"/>
        <v>4.620543123041778E-2</v>
      </c>
      <c r="J89" s="17">
        <f si="5" t="shared"/>
        <v>9.3992245271929037E-2</v>
      </c>
      <c r="K89" s="17">
        <f si="5" t="shared"/>
        <v>3.5546400997090416E-2</v>
      </c>
      <c r="L89" s="17">
        <f si="5" t="shared"/>
        <v>5.6803721792605621E-2</v>
      </c>
      <c r="M89" s="18">
        <f si="5" t="shared"/>
        <v>4.7127692475864971E-2</v>
      </c>
    </row>
    <row r="90" spans="1:13" x14ac:dyDescent="0.25">
      <c r="A90" s="12">
        <v>0.625</v>
      </c>
      <c r="B90" s="18">
        <f si="6" t="shared"/>
        <v>6.2812989930453547E-2</v>
      </c>
      <c r="C90" s="18">
        <f si="6" t="shared"/>
        <v>0.12992723909649492</v>
      </c>
      <c r="D90" s="18">
        <f si="6" t="shared"/>
        <v>3.8011621390411351E-2</v>
      </c>
      <c r="E90" s="18">
        <f si="6" t="shared"/>
        <v>3.7808227714651615E-2</v>
      </c>
      <c r="F90" s="18">
        <f si="6" t="shared"/>
        <v>6.0769722003015607E-2</v>
      </c>
      <c r="H90" s="12">
        <v>0.625</v>
      </c>
      <c r="I90" s="17">
        <f si="5" t="shared"/>
        <v>5.6961767642605451E-2</v>
      </c>
      <c r="J90" s="17">
        <f si="5" t="shared"/>
        <v>9.5235815960777639E-2</v>
      </c>
      <c r="K90" s="17">
        <f si="5" t="shared"/>
        <v>3.5945739131296839E-2</v>
      </c>
      <c r="L90" s="17">
        <f si="5" t="shared"/>
        <v>4.9676072534978161E-2</v>
      </c>
      <c r="M90" s="18">
        <f si="5" t="shared"/>
        <v>5.0694909908267138E-2</v>
      </c>
    </row>
    <row r="91" spans="1:13" x14ac:dyDescent="0.25">
      <c r="A91" s="12">
        <v>0.64583333333333337</v>
      </c>
      <c r="B91" s="18">
        <f si="6" t="shared"/>
        <v>7.7150611644162967E-2</v>
      </c>
      <c r="C91" s="18">
        <f si="6" t="shared"/>
        <v>0.12309406936747452</v>
      </c>
      <c r="D91" s="18">
        <f si="6" t="shared"/>
        <v>3.7058608419409458E-2</v>
      </c>
      <c r="E91" s="18">
        <f si="6" t="shared"/>
        <v>2.632907334775457E-2</v>
      </c>
      <c r="F91" s="18">
        <f si="6" t="shared"/>
        <v>6.4058933349236943E-2</v>
      </c>
      <c r="H91" s="12">
        <v>0.64583333333333337</v>
      </c>
      <c r="I91" s="17">
        <f si="5" t="shared"/>
        <v>6.838685779776163E-2</v>
      </c>
      <c r="J91" s="17">
        <f si="5" t="shared"/>
        <v>8.8705295904022166E-2</v>
      </c>
      <c r="K91" s="17">
        <f si="5" t="shared"/>
        <v>3.562780387717155E-2</v>
      </c>
      <c r="L91" s="17">
        <f si="5" t="shared"/>
        <v>4.1854395424951937E-2</v>
      </c>
      <c r="M91" s="18">
        <f si="5" t="shared"/>
        <v>5.32075979098987E-2</v>
      </c>
    </row>
    <row r="92" spans="1:13" x14ac:dyDescent="0.25">
      <c r="A92" s="12">
        <v>0.66666666666666663</v>
      </c>
      <c r="B92" s="18">
        <f si="6" t="shared"/>
        <v>8.8205136298953143E-2</v>
      </c>
      <c r="C92" s="18">
        <f si="6" t="shared"/>
        <v>0.10235933061121183</v>
      </c>
      <c r="D92" s="18">
        <f si="6" t="shared"/>
        <v>3.5510304833663651E-2</v>
      </c>
      <c r="E92" s="18">
        <f si="6" t="shared"/>
        <v>1.8221818004143839E-2</v>
      </c>
      <c r="F92" s="18">
        <f si="6" t="shared"/>
        <v>6.4012883898675682E-2</v>
      </c>
      <c r="H92" s="12">
        <v>0.66666666666666663</v>
      </c>
      <c r="I92" s="17">
        <f si="5" t="shared"/>
        <v>7.8301067655383888E-2</v>
      </c>
      <c r="J92" s="17">
        <f si="5" t="shared"/>
        <v>7.6214470568057843E-2</v>
      </c>
      <c r="K92" s="17">
        <f si="5" t="shared"/>
        <v>3.4677556484555727E-2</v>
      </c>
      <c r="L92" s="17">
        <f si="5" t="shared"/>
        <v>3.372507253135628E-2</v>
      </c>
      <c r="M92" s="18">
        <f si="5" t="shared"/>
        <v>5.4197849107730553E-2</v>
      </c>
    </row>
    <row r="93" spans="1:13" x14ac:dyDescent="0.25">
      <c r="A93" s="12">
        <v>0.6875</v>
      </c>
      <c r="B93" s="18">
        <f si="6" t="shared"/>
        <v>9.2963064543019294E-2</v>
      </c>
      <c r="C93" s="18">
        <f si="6" t="shared"/>
        <v>7.5911277534565003E-2</v>
      </c>
      <c r="D93" s="18">
        <f si="6" t="shared"/>
        <v>3.4349648539215724E-2</v>
      </c>
      <c r="E93" s="18">
        <f si="6" t="shared"/>
        <v>1.2401330083352199E-2</v>
      </c>
      <c r="F93" s="18">
        <f si="6" t="shared"/>
        <v>6.1072970962935784E-2</v>
      </c>
      <c r="H93" s="12">
        <v>0.6875</v>
      </c>
      <c r="I93" s="17">
        <f si="5" t="shared"/>
        <v>8.4067917893847224E-2</v>
      </c>
      <c r="J93" s="17">
        <f si="5" t="shared"/>
        <v>6.1221626599171936E-2</v>
      </c>
      <c r="K93" s="17">
        <f si="5" t="shared"/>
        <v>3.347049289743631E-2</v>
      </c>
      <c r="L93" s="17">
        <f si="5" t="shared"/>
        <v>2.6051489717376225E-2</v>
      </c>
      <c r="M93" s="18">
        <f si="5" t="shared"/>
        <v>5.3394900174325736E-2</v>
      </c>
    </row>
    <row r="94" spans="1:13" x14ac:dyDescent="0.25">
      <c r="A94" s="12">
        <v>0.70833333333333337</v>
      </c>
      <c r="B94" s="18">
        <f si="6" t="shared"/>
        <v>8.9870286258974891E-2</v>
      </c>
      <c r="C94" s="18">
        <f si="6" t="shared"/>
        <v>5.1613711754709017E-2</v>
      </c>
      <c r="D94" s="18">
        <f si="6" t="shared"/>
        <v>3.4312684570082075E-2</v>
      </c>
      <c r="E94" s="18">
        <f si="6" t="shared"/>
        <v>8.2284214809209156E-3</v>
      </c>
      <c r="F94" s="18">
        <f si="6" t="shared"/>
        <v>5.6095971580794594E-2</v>
      </c>
      <c r="H94" s="12">
        <v>0.70833333333333337</v>
      </c>
      <c r="I94" s="17">
        <f si="5" t="shared"/>
        <v>8.3595652251980623E-2</v>
      </c>
      <c r="J94" s="17">
        <f si="5" t="shared"/>
        <v>4.6946205331205887E-2</v>
      </c>
      <c r="K94" s="17">
        <f si="5" t="shared"/>
        <v>3.2497258759295801E-2</v>
      </c>
      <c r="L94" s="17">
        <f si="5" t="shared"/>
        <v>1.9619386340005603E-2</v>
      </c>
      <c r="M94" s="18">
        <f si="5" t="shared"/>
        <v>5.0742914046153151E-2</v>
      </c>
    </row>
    <row r="95" spans="1:13" x14ac:dyDescent="0.25">
      <c r="A95" s="12">
        <v>0.72916666666666663</v>
      </c>
      <c r="B95" s="18">
        <f si="6" t="shared"/>
        <v>7.9611592118218194E-2</v>
      </c>
      <c r="C95" s="18">
        <f si="6" t="shared"/>
        <v>3.3499196650886569E-2</v>
      </c>
      <c r="D95" s="18">
        <f si="6" t="shared"/>
        <v>3.5549365817906624E-2</v>
      </c>
      <c r="E95" s="18">
        <f si="6" t="shared"/>
        <v>5.3738420179229411E-3</v>
      </c>
      <c r="F95" s="18">
        <f si="6" t="shared"/>
        <v>4.9976128582102347E-2</v>
      </c>
      <c r="H95" s="12">
        <v>0.72916666666666663</v>
      </c>
      <c r="I95" s="17">
        <f si="5" t="shared"/>
        <v>7.6409007042650176E-2</v>
      </c>
      <c r="J95" s="17">
        <f si="5" t="shared"/>
        <v>3.5052908704152529E-2</v>
      </c>
      <c r="K95" s="17">
        <f si="5" t="shared"/>
        <v>3.2112352291726695E-2</v>
      </c>
      <c r="L95" s="17">
        <f si="5" t="shared"/>
        <v>1.4844584740679843E-2</v>
      </c>
      <c r="M95" s="18">
        <f si="5" t="shared"/>
        <v>4.6468515702296181E-2</v>
      </c>
    </row>
    <row r="96" spans="1:13" x14ac:dyDescent="0.25">
      <c r="A96" s="12">
        <v>0.75</v>
      </c>
      <c r="B96" s="18">
        <f si="6" t="shared"/>
        <v>6.4855758634738692E-2</v>
      </c>
      <c r="C96" s="18">
        <f si="6" t="shared"/>
        <v>2.1733965667001889E-2</v>
      </c>
      <c r="D96" s="18">
        <f si="6" t="shared"/>
        <v>3.7670623573897333E-2</v>
      </c>
      <c r="E96" s="18">
        <f si="6" t="shared"/>
        <v>3.5749684884191541E-3</v>
      </c>
      <c r="F96" s="18">
        <f si="6" t="shared"/>
        <v>4.3551574489403902E-2</v>
      </c>
      <c r="H96" s="12">
        <v>0.75</v>
      </c>
      <c r="I96" s="17">
        <f si="5" t="shared"/>
        <v>6.4089363676416336E-2</v>
      </c>
      <c r="J96" s="17">
        <f si="5" t="shared"/>
        <v>2.5738175550957934E-2</v>
      </c>
      <c r="K96" s="17">
        <f si="5" t="shared"/>
        <v>3.2369217999786037E-2</v>
      </c>
      <c r="L96" s="17">
        <f si="5" t="shared"/>
        <v>1.1659597176662437E-2</v>
      </c>
      <c r="M96" s="18">
        <f si="5" t="shared"/>
        <v>4.115322549705535E-2</v>
      </c>
    </row>
    <row r="97" spans="1:13" x14ac:dyDescent="0.25">
      <c r="A97" s="12">
        <v>0.77083333333333337</v>
      </c>
      <c r="B97" s="18">
        <f si="6" t="shared"/>
        <v>4.9071907573618199E-2</v>
      </c>
      <c r="C97" s="18">
        <f si="6" t="shared"/>
        <v>1.4639884283323842E-2</v>
      </c>
      <c r="D97" s="18">
        <f si="6" t="shared"/>
        <v>3.9975685747531763E-2</v>
      </c>
      <c r="E97" s="18">
        <f si="6" t="shared"/>
        <v>2.5369503364416229E-3</v>
      </c>
      <c r="F97" s="18">
        <f si="6" t="shared"/>
        <v>3.7552547700921958E-2</v>
      </c>
      <c r="H97" s="12">
        <v>0.77083333333333337</v>
      </c>
      <c r="I97" s="17">
        <f ref="I97:M112" si="7" t="shared">I40/I$59</f>
        <v>4.9653941226090841E-2</v>
      </c>
      <c r="J97" s="17">
        <f si="7" t="shared"/>
        <v>1.8613516816756322E-2</v>
      </c>
      <c r="K97" s="17">
        <f si="7" t="shared"/>
        <v>3.3006477296799772E-2</v>
      </c>
      <c r="L97" s="17">
        <f si="7" t="shared"/>
        <v>9.6819709330067446E-3</v>
      </c>
      <c r="M97" s="18">
        <f si="7" t="shared"/>
        <v>3.5627226908152163E-2</v>
      </c>
    </row>
    <row r="98" spans="1:13" x14ac:dyDescent="0.25">
      <c r="A98" s="12">
        <v>0.79166666666666663</v>
      </c>
      <c r="B98" s="18">
        <f ref="B98:F113" si="8" t="shared">B41/B$59</f>
        <v>3.5144425425565971E-2</v>
      </c>
      <c r="C98" s="18">
        <f si="8" t="shared"/>
        <v>1.0470167699046722E-2</v>
      </c>
      <c r="D98" s="18">
        <f si="8" t="shared"/>
        <v>4.1639515719674745E-2</v>
      </c>
      <c r="E98" s="18">
        <f si="8" t="shared"/>
        <v>1.9593568652619083E-3</v>
      </c>
      <c r="F98" s="18">
        <f si="8" t="shared"/>
        <v>3.2428372615724226E-2</v>
      </c>
      <c r="H98" s="12">
        <v>0.79166666666666663</v>
      </c>
      <c r="I98" s="17">
        <f si="7" t="shared"/>
        <v>3.6196681486846516E-2</v>
      </c>
      <c r="J98" s="17">
        <f si="7" t="shared"/>
        <v>1.3336303953209417E-2</v>
      </c>
      <c r="K98" s="17">
        <f si="7" t="shared"/>
        <v>3.3558433220290874E-2</v>
      </c>
      <c r="L98" s="17">
        <f si="7" t="shared"/>
        <v>8.4692934070121836E-3</v>
      </c>
      <c r="M98" s="18">
        <f si="7" t="shared"/>
        <v>3.0649059797541314E-2</v>
      </c>
    </row>
    <row r="99" spans="1:13" x14ac:dyDescent="0.25">
      <c r="A99" s="12">
        <v>0.8125</v>
      </c>
      <c r="B99" s="18">
        <f si="8" t="shared"/>
        <v>2.4560308602327292E-2</v>
      </c>
      <c r="C99" s="18">
        <f si="8" t="shared"/>
        <v>8.0116692857954384E-3</v>
      </c>
      <c r="D99" s="18">
        <f si="8" t="shared"/>
        <v>4.1853555182253019E-2</v>
      </c>
      <c r="E99" s="18">
        <f si="8" t="shared"/>
        <v>1.5935133078911925E-3</v>
      </c>
      <c r="F99" s="18">
        <f si="8" t="shared"/>
        <v>2.8196602271279528E-2</v>
      </c>
      <c r="H99" s="12">
        <v>0.8125</v>
      </c>
      <c r="I99" s="17">
        <f si="7" t="shared"/>
        <v>2.567308211412159E-2</v>
      </c>
      <c r="J99" s="17">
        <f si="7" t="shared"/>
        <v>9.6613324081960151E-3</v>
      </c>
      <c r="K99" s="17">
        <f si="7" t="shared"/>
        <v>3.3535245909722414E-2</v>
      </c>
      <c r="L99" s="17">
        <f si="7" t="shared"/>
        <v>7.6913564723832166E-3</v>
      </c>
      <c r="M99" s="18">
        <f si="7" t="shared"/>
        <v>2.6596756579905918E-2</v>
      </c>
    </row>
    <row r="100" spans="1:13" x14ac:dyDescent="0.25">
      <c r="A100" s="12">
        <v>0.83333333333333337</v>
      </c>
      <c r="B100" s="18">
        <f si="8" t="shared"/>
        <v>1.7429252567442398E-2</v>
      </c>
      <c r="C100" s="18">
        <f si="8" t="shared"/>
        <v>6.4754536086972939E-3</v>
      </c>
      <c r="D100" s="18">
        <f si="8" t="shared"/>
        <v>4.0029812267368556E-2</v>
      </c>
      <c r="E100" s="18">
        <f si="8" t="shared"/>
        <v>1.2804402192009656E-3</v>
      </c>
      <c r="F100" s="18">
        <f si="8" t="shared"/>
        <v>2.452321133597252E-2</v>
      </c>
      <c r="H100" s="12">
        <v>0.83333333333333337</v>
      </c>
      <c r="I100" s="17">
        <f si="7" t="shared"/>
        <v>1.8525344171731538E-2</v>
      </c>
      <c r="J100" s="17">
        <f si="7" t="shared"/>
        <v>7.2858122342198224E-3</v>
      </c>
      <c r="K100" s="17">
        <f si="7" t="shared"/>
        <v>3.2606281083230333E-2</v>
      </c>
      <c r="L100" s="17">
        <f si="7" t="shared"/>
        <v>7.1588460537830951E-3</v>
      </c>
      <c r="M100" s="18">
        <f si="7" t="shared"/>
        <v>2.3413678355147651E-2</v>
      </c>
    </row>
    <row r="101" spans="1:13" x14ac:dyDescent="0.25">
      <c r="A101" s="12">
        <v>0.85416666666666663</v>
      </c>
      <c r="B101" s="18">
        <f si="8" t="shared"/>
        <v>1.3038784428420066E-2</v>
      </c>
      <c r="C101" s="18">
        <f si="8" t="shared"/>
        <v>5.3334923021955728E-3</v>
      </c>
      <c r="D101" s="18">
        <f si="8" t="shared"/>
        <v>3.605725331777597E-2</v>
      </c>
      <c r="E101" s="18">
        <f si="8" t="shared"/>
        <v>9.5990818689176203E-4</v>
      </c>
      <c r="F101" s="18">
        <f si="8" t="shared"/>
        <v>2.1014667628893039E-2</v>
      </c>
      <c r="H101" s="12">
        <v>0.85416666666666663</v>
      </c>
      <c r="I101" s="17">
        <f si="7" t="shared"/>
        <v>1.4133780571954704E-2</v>
      </c>
      <c r="J101" s="17">
        <f si="7" t="shared"/>
        <v>5.8341974576939411E-3</v>
      </c>
      <c r="K101" s="17">
        <f si="7" t="shared"/>
        <v>3.0705628432786573E-2</v>
      </c>
      <c r="L101" s="17">
        <f si="7" t="shared"/>
        <v>6.7447882257462861E-3</v>
      </c>
      <c r="M101" s="18">
        <f si="7" t="shared"/>
        <v>2.0806742739354626E-2</v>
      </c>
    </row>
    <row r="102" spans="1:13" x14ac:dyDescent="0.25">
      <c r="A102" s="12">
        <v>0.875</v>
      </c>
      <c r="B102" s="18">
        <f si="8" t="shared"/>
        <v>1.0462710695777894E-2</v>
      </c>
      <c r="C102" s="18">
        <f si="8" t="shared"/>
        <v>4.2883064345479336E-3</v>
      </c>
      <c r="D102" s="18">
        <f si="8" t="shared"/>
        <v>3.0421413098603869E-2</v>
      </c>
      <c r="E102" s="18">
        <f si="8" t="shared"/>
        <v>6.4837182751011362E-4</v>
      </c>
      <c r="F102" s="18">
        <f si="8" t="shared"/>
        <v>1.7489580919312245E-2</v>
      </c>
      <c r="H102" s="12">
        <v>0.875</v>
      </c>
      <c r="I102" s="17">
        <f si="7" t="shared"/>
        <v>1.1544467315069064E-2</v>
      </c>
      <c r="J102" s="17">
        <f si="7" t="shared"/>
        <v>4.9648732252065208E-3</v>
      </c>
      <c r="K102" s="17">
        <f si="7" t="shared"/>
        <v>2.8003449403109233E-2</v>
      </c>
      <c r="L102" s="17">
        <f si="7" t="shared"/>
        <v>6.3031257038191997E-3</v>
      </c>
      <c r="M102" s="18">
        <f si="7" t="shared"/>
        <v>1.8486984080548663E-2</v>
      </c>
    </row>
    <row r="103" spans="1:13" x14ac:dyDescent="0.25">
      <c r="A103" s="12">
        <v>0.89583333333333337</v>
      </c>
      <c r="B103" s="18">
        <f si="8" t="shared"/>
        <v>8.9162923805051805E-3</v>
      </c>
      <c r="C103" s="18">
        <f si="8" t="shared"/>
        <v>3.2585130338649779E-3</v>
      </c>
      <c r="D103" s="18">
        <f si="8" t="shared"/>
        <v>2.4028274034786301E-2</v>
      </c>
      <c r="E103" s="18">
        <f si="8" t="shared"/>
        <v>3.9162097789366971E-4</v>
      </c>
      <c r="F103" s="18">
        <f si="8" t="shared"/>
        <v>1.4031335193667435E-2</v>
      </c>
      <c r="H103" s="12">
        <v>0.89583333333333337</v>
      </c>
      <c r="I103" s="17">
        <f si="7" t="shared"/>
        <v>9.9521637202945774E-3</v>
      </c>
      <c r="J103" s="17">
        <f si="7" t="shared"/>
        <v>4.4341697240628712E-3</v>
      </c>
      <c r="K103" s="17">
        <f si="7" t="shared"/>
        <v>2.4766190975415756E-2</v>
      </c>
      <c r="L103" s="17">
        <f si="7" t="shared"/>
        <v>5.6783242861716534E-3</v>
      </c>
      <c r="M103" s="18">
        <f si="7" t="shared"/>
        <v>1.6273440476024192E-2</v>
      </c>
    </row>
    <row r="104" spans="1:13" x14ac:dyDescent="0.25">
      <c r="A104" s="12">
        <v>0.91666666666666663</v>
      </c>
      <c r="B104" s="18">
        <f si="8" t="shared"/>
        <v>7.8334166907255663E-3</v>
      </c>
      <c r="C104" s="18">
        <f si="8" t="shared"/>
        <v>2.2989585502734599E-3</v>
      </c>
      <c r="D104" s="18">
        <f si="8" t="shared"/>
        <v>1.7817701790519384E-2</v>
      </c>
      <c r="E104" s="18">
        <f si="8" t="shared"/>
        <v>2.1783890210701884E-4</v>
      </c>
      <c r="F104" s="18">
        <f si="8" t="shared"/>
        <v>1.0838189226861158E-2</v>
      </c>
      <c r="H104" s="12">
        <v>0.91666666666666663</v>
      </c>
      <c r="I104" s="17">
        <f si="7" t="shared"/>
        <v>8.8080609606398363E-3</v>
      </c>
      <c r="J104" s="17">
        <f si="7" t="shared"/>
        <v>4.067238354374102E-3</v>
      </c>
      <c r="K104" s="17">
        <f si="7" t="shared"/>
        <v>2.1208424044170091E-2</v>
      </c>
      <c r="L104" s="17">
        <f si="7" t="shared"/>
        <v>4.7936517486161269E-3</v>
      </c>
      <c r="M104" s="18">
        <f si="7" t="shared"/>
        <v>1.4059548205974918E-2</v>
      </c>
    </row>
    <row r="105" spans="1:13" x14ac:dyDescent="0.25">
      <c r="A105" s="12">
        <v>0.9375</v>
      </c>
      <c r="B105" s="18">
        <f si="8" t="shared"/>
        <v>6.8221764081725245E-3</v>
      </c>
      <c r="C105" s="18">
        <f si="8" t="shared"/>
        <v>1.4941190896399475E-3</v>
      </c>
      <c r="D105" s="18">
        <f si="8" t="shared"/>
        <v>1.2435557674844739E-2</v>
      </c>
      <c r="E105" s="18">
        <f si="8" t="shared"/>
        <v>1.1993653417125505E-4</v>
      </c>
      <c r="F105" s="18">
        <f si="8" t="shared"/>
        <v>8.0507313855000696E-3</v>
      </c>
      <c r="H105" s="12">
        <v>0.9375</v>
      </c>
      <c r="I105" s="17">
        <f si="7" t="shared"/>
        <v>7.7424350413639346E-3</v>
      </c>
      <c r="J105" s="17">
        <f si="7" t="shared"/>
        <v>3.7103347315006734E-3</v>
      </c>
      <c r="K105" s="17">
        <f si="7" t="shared"/>
        <v>1.7445937030137887E-2</v>
      </c>
      <c r="L105" s="17">
        <f si="7" t="shared"/>
        <v>3.7134276978818982E-3</v>
      </c>
      <c r="M105" s="18">
        <f si="7" t="shared"/>
        <v>1.1762271487704482E-2</v>
      </c>
    </row>
    <row r="106" spans="1:13" x14ac:dyDescent="0.25">
      <c r="A106" s="12">
        <v>0.95833333333333337</v>
      </c>
      <c r="B106" s="18">
        <f si="8" t="shared"/>
        <v>5.6527065118149155E-3</v>
      </c>
      <c r="C106" s="18">
        <f si="8" t="shared"/>
        <v>8.8999944787566954E-4</v>
      </c>
      <c r="D106" s="18">
        <f si="8" t="shared"/>
        <v>8.1505211910053599E-3</v>
      </c>
      <c r="E106" s="18">
        <f si="8" t="shared"/>
        <v>6.9953315031515942E-5</v>
      </c>
      <c r="F106" s="18">
        <f si="8" t="shared"/>
        <v>5.7027774007305425E-3</v>
      </c>
      <c r="H106" s="12">
        <v>0.95833333333333337</v>
      </c>
      <c r="I106" s="17">
        <f si="7" t="shared"/>
        <v>6.5210830272973003E-3</v>
      </c>
      <c r="J106" s="17">
        <f si="7" t="shared"/>
        <v>3.2374072876935529E-3</v>
      </c>
      <c r="K106" s="17">
        <f si="7" t="shared"/>
        <v>1.3574716702254044E-2</v>
      </c>
      <c r="L106" s="17">
        <f si="7" t="shared"/>
        <v>2.6065404078701956E-3</v>
      </c>
      <c r="M106" s="18">
        <f si="7" t="shared"/>
        <v>9.3443294398584554E-3</v>
      </c>
    </row>
    <row r="107" spans="1:13" x14ac:dyDescent="0.25">
      <c r="A107" s="12">
        <v>0.97916666666666663</v>
      </c>
      <c r="B107" s="18">
        <f si="8" t="shared"/>
        <v>4.2932989234068198E-3</v>
      </c>
      <c r="C107" s="18">
        <f si="8" t="shared"/>
        <v>4.8199708411720589E-4</v>
      </c>
      <c r="D107" s="18">
        <f si="8" t="shared"/>
        <v>4.9675391861835417E-3</v>
      </c>
      <c r="E107" s="18">
        <f si="8" t="shared"/>
        <v>4.2220614728184323E-5</v>
      </c>
      <c r="F107" s="18">
        <f si="8" t="shared"/>
        <v>3.7825219162347531E-3</v>
      </c>
      <c r="H107" s="12">
        <v>0.97916666666666663</v>
      </c>
      <c r="I107" s="17">
        <f si="7" t="shared"/>
        <v>5.0824263762552406E-3</v>
      </c>
      <c r="J107" s="17">
        <f si="7" t="shared"/>
        <v>2.6020427503156739E-3</v>
      </c>
      <c r="K107" s="17">
        <f si="7" t="shared"/>
        <v>9.7860159705868144E-3</v>
      </c>
      <c r="L107" s="17">
        <f si="7" t="shared"/>
        <v>1.6459831439399634E-3</v>
      </c>
      <c r="M107" s="18">
        <f si="7" t="shared"/>
        <v>6.8827837069429069E-3</v>
      </c>
    </row>
    <row r="108" spans="1:13" x14ac:dyDescent="0.25">
      <c r="A108" s="12">
        <v>1</v>
      </c>
      <c r="B108" s="18">
        <f si="8" t="shared"/>
        <v>2.899360452362376E-3</v>
      </c>
      <c r="C108" s="18">
        <f si="8" t="shared"/>
        <v>2.3387859944261975E-4</v>
      </c>
      <c r="D108" s="18">
        <f si="8" t="shared"/>
        <v>2.7683749036291091E-3</v>
      </c>
      <c r="E108" s="18">
        <f si="8" t="shared"/>
        <v>2.3918214977302568E-5</v>
      </c>
      <c r="F108" s="18">
        <f si="8" t="shared"/>
        <v>2.2915314956675203E-3</v>
      </c>
      <c r="H108" s="12">
        <v>1</v>
      </c>
      <c r="I108" s="17">
        <f si="7" t="shared"/>
        <v>3.5559045745463098E-3</v>
      </c>
      <c r="J108" s="17">
        <f si="7" t="shared"/>
        <v>1.8674386665062761E-3</v>
      </c>
      <c r="K108" s="17">
        <f si="7" t="shared"/>
        <v>6.3879830103033717E-3</v>
      </c>
      <c r="L108" s="17">
        <f si="7" t="shared"/>
        <v>9.2974164182678864E-4</v>
      </c>
      <c r="M108" s="18">
        <f si="7" t="shared"/>
        <v>4.5845583696645211E-3</v>
      </c>
    </row>
    <row r="109" spans="1:13" x14ac:dyDescent="0.25">
      <c r="A109" s="12">
        <v>1.0208333333333333</v>
      </c>
      <c r="B109" s="18">
        <f si="8" t="shared"/>
        <v>1.6993710720946003E-3</v>
      </c>
      <c r="C109" s="18">
        <f si="8" t="shared"/>
        <v>9.9461933888187026E-5</v>
      </c>
      <c r="D109" s="18">
        <f si="8" t="shared"/>
        <v>1.3814826521740531E-3</v>
      </c>
      <c r="E109" s="18">
        <f si="8" t="shared"/>
        <v>1.1660002928313906E-5</v>
      </c>
      <c r="F109" s="18">
        <f si="8" t="shared"/>
        <v>1.2349832750187392E-3</v>
      </c>
      <c r="H109" s="12">
        <v>1.0208333333333333</v>
      </c>
      <c r="I109" s="17">
        <f si="7" t="shared"/>
        <v>2.1776257127905548E-3</v>
      </c>
      <c r="J109" s="17">
        <f si="7" t="shared"/>
        <v>1.1674665061528152E-3</v>
      </c>
      <c r="K109" s="17">
        <f si="7" t="shared"/>
        <v>3.6903535995778023E-3</v>
      </c>
      <c r="L109" s="17">
        <f si="7" t="shared"/>
        <v>4.6605672230762984E-4</v>
      </c>
      <c r="M109" s="18">
        <f si="7" t="shared"/>
        <v>2.6963602726106277E-3</v>
      </c>
    </row>
    <row r="110" spans="1:13" x14ac:dyDescent="0.25">
      <c r="A110" s="12">
        <v>4.1666666666666664E-2</v>
      </c>
      <c r="B110" s="18">
        <f si="8" t="shared"/>
        <v>8.4704269695053222E-4</v>
      </c>
      <c r="C110" s="18">
        <f si="8" t="shared"/>
        <v>3.6028594618476976E-5</v>
      </c>
      <c r="D110" s="18">
        <f si="8" t="shared"/>
        <v>6.0360262444337956E-4</v>
      </c>
      <c r="E110" s="18">
        <f si="8" t="shared"/>
        <v>4.6362869788255826E-6</v>
      </c>
      <c r="F110" s="18">
        <f si="8" t="shared"/>
        <v>5.7739591024705912E-4</v>
      </c>
      <c r="H110" s="12">
        <v>4.1666666666666664E-2</v>
      </c>
      <c r="I110" s="17">
        <f si="7" t="shared"/>
        <v>1.1419745180184611E-3</v>
      </c>
      <c r="J110" s="17">
        <f si="7" t="shared"/>
        <v>6.2256665521012852E-4</v>
      </c>
      <c r="K110" s="17">
        <f si="7" t="shared"/>
        <v>1.8451084270261777E-3</v>
      </c>
      <c r="L110" s="17">
        <f si="7" t="shared"/>
        <v>2.0475907961419257E-4</v>
      </c>
      <c r="M110" s="18">
        <f si="7" t="shared"/>
        <v>1.3689778901997708E-3</v>
      </c>
    </row>
    <row r="111" spans="1:13" x14ac:dyDescent="0.25">
      <c r="A111" s="12">
        <v>6.25E-2</v>
      </c>
      <c r="B111" s="18">
        <f si="8" t="shared"/>
        <v>3.5209259825050559E-4</v>
      </c>
      <c r="C111" s="18">
        <f si="8" t="shared"/>
        <v>1.0738480691666626E-5</v>
      </c>
      <c r="D111" s="18">
        <f si="8" t="shared"/>
        <v>2.2559162405715613E-4</v>
      </c>
      <c r="E111" s="18">
        <f si="8" t="shared"/>
        <v>1.4476081205984575E-6</v>
      </c>
      <c r="F111" s="18">
        <f si="8" t="shared"/>
        <v>2.2860234735274962E-4</v>
      </c>
      <c r="H111" s="12">
        <v>6.25E-2</v>
      </c>
      <c r="I111" s="17">
        <f si="7" t="shared"/>
        <v>5.0208026274855947E-4</v>
      </c>
      <c r="J111" s="17">
        <f si="7" t="shared"/>
        <v>2.7748435236239636E-4</v>
      </c>
      <c r="K111" s="17">
        <f si="7" t="shared"/>
        <v>7.8047479803912282E-4</v>
      </c>
      <c r="L111" s="17">
        <f si="7" t="shared"/>
        <v>7.7426784638564381E-5</v>
      </c>
      <c r="M111" s="18">
        <f si="7" t="shared"/>
        <v>5.866123100455974E-4</v>
      </c>
    </row>
    <row r="112" spans="1:13" x14ac:dyDescent="0.25">
      <c r="A112" s="12">
        <v>8.3333333333333329E-2</v>
      </c>
      <c r="B112" s="18">
        <f si="8" t="shared"/>
        <v>1.1940474524377122E-4</v>
      </c>
      <c r="C112" s="18">
        <f si="8" t="shared"/>
        <v>2.5237302818730992E-6</v>
      </c>
      <c r="D112" s="18">
        <f si="8" t="shared"/>
        <v>7.0304648275082402E-5</v>
      </c>
      <c r="E112" s="18">
        <f si="8" t="shared"/>
        <v>3.4061367543493116E-7</v>
      </c>
      <c r="F112" s="18">
        <f si="8" t="shared"/>
        <v>7.4718114365928984E-5</v>
      </c>
      <c r="H112" s="12">
        <v>8.3333333333333329E-2</v>
      </c>
      <c r="I112" s="17">
        <f si="7" t="shared"/>
        <v>1.8078719048771121E-4</v>
      </c>
      <c r="J112" s="17">
        <f si="7" t="shared"/>
        <v>1.0104710337516019E-4</v>
      </c>
      <c r="K112" s="17">
        <f si="7" t="shared"/>
        <v>2.7236837526335884E-4</v>
      </c>
      <c r="L112" s="17">
        <f si="7" t="shared"/>
        <v>2.4589086623588583E-5</v>
      </c>
      <c r="M112" s="18">
        <f si="7" t="shared"/>
        <v>2.0694580393730688E-4</v>
      </c>
    </row>
    <row r="113" spans="1:13" x14ac:dyDescent="0.25">
      <c r="A113" s="12">
        <v>0.10416666666666667</v>
      </c>
      <c r="B113" s="18">
        <f si="8" t="shared"/>
        <v>3.2119255828557322E-5</v>
      </c>
      <c r="C113" s="18">
        <f si="8" t="shared"/>
        <v>4.4174588149482922E-7</v>
      </c>
      <c r="D113" s="18">
        <f si="8" t="shared"/>
        <v>1.7711465133240528E-5</v>
      </c>
      <c r="E113" s="18">
        <f si="8" t="shared"/>
        <v>5.6768945905821854E-8</v>
      </c>
      <c r="F113" s="18">
        <f si="8" t="shared"/>
        <v>1.9551964675119452E-5</v>
      </c>
      <c r="H113" s="12">
        <v>0.10416666666666667</v>
      </c>
      <c r="I113" s="17">
        <f ref="I113:M115" si="9" t="shared">I56/I$59</f>
        <v>5.1765675515904197E-5</v>
      </c>
      <c r="J113" s="17">
        <f si="9" t="shared"/>
        <v>2.9205058403148673E-5</v>
      </c>
      <c r="K113" s="17">
        <f si="9" t="shared"/>
        <v>7.6023415798158315E-5</v>
      </c>
      <c r="L113" s="17">
        <f si="9" t="shared"/>
        <v>6.3487827792597558E-6</v>
      </c>
      <c r="M113" s="18">
        <f si="9" t="shared"/>
        <v>5.8289904249695538E-5</v>
      </c>
    </row>
    <row r="114" spans="1:13" x14ac:dyDescent="0.25">
      <c r="A114" s="12">
        <v>0.125</v>
      </c>
      <c r="B114" s="18">
        <f ref="B114:F115" si="10" t="shared">B57/B$59</f>
        <v>6.4970337031049031E-6</v>
      </c>
      <c r="C114" s="18">
        <f si="10" t="shared"/>
        <v>5.2687048583175827E-8</v>
      </c>
      <c r="D114" s="18">
        <f si="10" t="shared"/>
        <v>3.4143211074875603E-6</v>
      </c>
      <c r="E114" s="18">
        <f si="10" t="shared"/>
        <v>5.9756785164023002E-9</v>
      </c>
      <c r="F114" s="18">
        <f si="10" t="shared"/>
        <v>3.8777088006734648E-6</v>
      </c>
      <c r="H114" s="12">
        <v>0.125</v>
      </c>
      <c r="I114" s="17">
        <f si="9" t="shared"/>
        <v>1.11428059372581E-5</v>
      </c>
      <c r="J114" s="17">
        <f si="9" t="shared"/>
        <v>6.3346626130133657E-6</v>
      </c>
      <c r="K114" s="17">
        <f si="9" t="shared"/>
        <v>1.603202275094235E-5</v>
      </c>
      <c r="L114" s="17">
        <f si="9" t="shared"/>
        <v>1.2577013602503206E-6</v>
      </c>
      <c r="M114" s="18">
        <f si="9" t="shared"/>
        <v>1.2384540361639657E-5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N5" sqref="N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13776.451821</v>
      </c>
      <c r="C8" s="6" t="n">
        <v>1735.628947</v>
      </c>
      <c r="D8" s="6" t="n">
        <v>267634.716811</v>
      </c>
      <c r="E8" s="6" t="n">
        <v>42628.043219</v>
      </c>
      <c r="F8" s="6">
        <f>SUM(B8:E8)</f>
        <v>325774.84079799999</v>
      </c>
      <c r="H8" s="15">
        <v>0</v>
      </c>
      <c r="I8" s="14" t="n">
        <v>15097.0</v>
      </c>
      <c r="J8" s="14" t="n">
        <v>4831.0</v>
      </c>
      <c r="K8" s="14" t="n">
        <v>451994.0</v>
      </c>
      <c r="L8" s="14" t="n">
        <v>65106.0</v>
      </c>
      <c r="M8" s="14">
        <f>SUM(I8:L8)</f>
        <v>401210</v>
      </c>
      <c r="O8" s="5"/>
      <c r="P8" s="14"/>
      <c r="Q8" s="14"/>
    </row>
    <row r="9" spans="1:17" x14ac:dyDescent="0.25">
      <c r="A9" s="12">
        <v>2.0833333333333332E-2</v>
      </c>
      <c r="B9" s="6" t="n">
        <v>12549.032018298432</v>
      </c>
      <c r="C9" s="6" t="n">
        <v>2272.634727436834</v>
      </c>
      <c r="D9" s="6" t="n">
        <v>199091.1516654044</v>
      </c>
      <c r="E9" s="6" t="n">
        <v>30983.262334041585</v>
      </c>
      <c r="F9" s="6">
        <f ref="F9:F56" si="0" t="shared">SUM(B9:E9)</f>
        <v>244896.08074518127</v>
      </c>
      <c r="H9" s="12">
        <v>2.0833333333333332E-2</v>
      </c>
      <c r="I9" s="9" t="n">
        <v>14376.790086746216</v>
      </c>
      <c r="J9" s="9" t="n">
        <v>3740.2125062942505</v>
      </c>
      <c r="K9" s="9" t="n">
        <v>321240.70461273193</v>
      </c>
      <c r="L9" s="9" t="n">
        <v>45148.035323143005</v>
      </c>
      <c r="M9" s="14">
        <f ref="M9:M56" si="1" t="shared">SUM(I9:L9)</f>
        <v>306227.86120223999</v>
      </c>
      <c r="O9" s="5"/>
      <c r="P9" s="16"/>
      <c r="Q9" s="16"/>
    </row>
    <row r="10" spans="1:17" x14ac:dyDescent="0.25">
      <c r="A10" s="12">
        <v>4.1666666666666664E-2</v>
      </c>
      <c r="B10" s="6" t="n">
        <v>11563.791736278821</v>
      </c>
      <c r="C10" s="6" t="n">
        <v>2673.1992372851305</v>
      </c>
      <c r="D10" s="6" t="n">
        <v>138748.78502693714</v>
      </c>
      <c r="E10" s="6" t="n">
        <v>20687.61788004115</v>
      </c>
      <c r="F10" s="6">
        <f si="0" t="shared"/>
        <v>173673.39388054225</v>
      </c>
      <c r="H10" s="12">
        <v>4.1666666666666664E-2</v>
      </c>
      <c r="I10" s="9" t="n">
        <v>13862.813967704773</v>
      </c>
      <c r="J10" s="9" t="n">
        <v>2815.734794616699</v>
      </c>
      <c r="K10" s="9" t="n">
        <v>209491.75477981567</v>
      </c>
      <c r="L10" s="9" t="n">
        <v>28145.04553604126</v>
      </c>
      <c r="M10" s="14">
        <f si="1" t="shared"/>
        <v>222550.7064409256</v>
      </c>
      <c r="O10" s="5"/>
      <c r="P10" s="16"/>
      <c r="Q10" s="16"/>
    </row>
    <row r="11" spans="1:17" x14ac:dyDescent="0.25">
      <c r="A11" s="12">
        <v>6.25E-2</v>
      </c>
      <c r="B11" s="6" t="n">
        <v>10976.894786824107</v>
      </c>
      <c r="C11" s="6" t="n">
        <v>2881.188906575661</v>
      </c>
      <c r="D11" s="6" t="n">
        <v>91596.12587241898</v>
      </c>
      <c r="E11" s="6" t="n">
        <v>12629.275804230087</v>
      </c>
      <c r="F11" s="6">
        <f si="0" t="shared"/>
        <v>118083.48537004883</v>
      </c>
      <c r="H11" s="12">
        <v>6.25E-2</v>
      </c>
      <c r="I11" s="9" t="n">
        <v>13634.732743263245</v>
      </c>
      <c r="J11" s="9" t="n">
        <v>2167.7232837677</v>
      </c>
      <c r="K11" s="9" t="n">
        <v>127676.06200313568</v>
      </c>
      <c r="L11" s="9" t="n">
        <v>15785.71411895752</v>
      </c>
      <c r="M11" s="14">
        <f si="1" t="shared"/>
        <v>157051.36787605286</v>
      </c>
      <c r="O11" s="5"/>
      <c r="P11" s="16"/>
      <c r="Q11" s="16"/>
    </row>
    <row r="12" spans="1:17" x14ac:dyDescent="0.25">
      <c r="A12" s="12">
        <v>8.3333333333333329E-2</v>
      </c>
      <c r="B12" s="6" t="n">
        <v>10828.967053190718</v>
      </c>
      <c r="C12" s="6" t="n">
        <v>2935.0892461632097</v>
      </c>
      <c r="D12" s="6" t="n">
        <v>58308.20663648087</v>
      </c>
      <c r="E12" s="6" t="n">
        <v>7033.5128697076525</v>
      </c>
      <c r="F12" s="6">
        <f si="0" t="shared"/>
        <v>79105.775805542449</v>
      </c>
      <c r="H12" s="12">
        <v>8.3333333333333329E-2</v>
      </c>
      <c r="I12" s="9" t="n">
        <v>13630.829630851746</v>
      </c>
      <c r="J12" s="9" t="n">
        <v>1842.1723518371582</v>
      </c>
      <c r="K12" s="9" t="n">
        <v>75935.52022647858</v>
      </c>
      <c r="L12" s="9" t="n">
        <v>8082.248495101929</v>
      </c>
      <c r="M12" s="14">
        <f si="1" t="shared"/>
        <v>110691.44713592529</v>
      </c>
      <c r="O12" s="5"/>
      <c r="P12" s="16"/>
      <c r="Q12" s="16"/>
    </row>
    <row r="13" spans="1:17" x14ac:dyDescent="0.25">
      <c r="A13" s="12">
        <v>0.10416666666666667</v>
      </c>
      <c r="B13" s="6" t="n">
        <v>11067.294777277912</v>
      </c>
      <c r="C13" s="6" t="n">
        <v>2916.734165635307</v>
      </c>
      <c r="D13" s="6" t="n">
        <v>36492.826427774264</v>
      </c>
      <c r="E13" s="6" t="n">
        <v>3576.9210127234105</v>
      </c>
      <c r="F13" s="6">
        <f si="0" t="shared"/>
        <v>54053.776383410892</v>
      </c>
      <c r="H13" s="12">
        <v>0.10416666666666667</v>
      </c>
      <c r="I13" s="9" t="n">
        <v>13736.105542182922</v>
      </c>
      <c r="J13" s="9" t="n">
        <v>1865.587854385376</v>
      </c>
      <c r="K13" s="9" t="n">
        <v>46958.34139537811</v>
      </c>
      <c r="L13" s="9" t="n">
        <v>3909.0306310653687</v>
      </c>
      <c r="M13" s="14">
        <f si="1" t="shared"/>
        <v>80248.709428787231</v>
      </c>
      <c r="O13" s="5"/>
      <c r="P13" s="5"/>
      <c r="Q13" s="5"/>
    </row>
    <row r="14" spans="1:17" x14ac:dyDescent="0.25">
      <c r="A14" s="12">
        <v>0.125</v>
      </c>
      <c r="B14" s="6" t="n">
        <v>11576.182376452482</v>
      </c>
      <c r="C14" s="6" t="n">
        <v>2898.4035285113046</v>
      </c>
      <c r="D14" s="6" t="n">
        <v>22803.367659837615</v>
      </c>
      <c r="E14" s="6" t="n">
        <v>1671.8186896365764</v>
      </c>
      <c r="F14" s="6">
        <f si="0" t="shared"/>
        <v>38949.772254437972</v>
      </c>
      <c r="H14" s="12">
        <v>0.125</v>
      </c>
      <c r="I14" s="9" t="n">
        <v>13876.594709396362</v>
      </c>
      <c r="J14" s="9" t="n">
        <v>2301.2409868240356</v>
      </c>
      <c r="K14" s="9" t="n">
        <v>31637.535371780396</v>
      </c>
      <c r="L14" s="9" t="n">
        <v>1880.733118057251</v>
      </c>
      <c r="M14" s="14">
        <f si="1" t="shared"/>
        <v>61163.242345809937</v>
      </c>
    </row>
    <row r="15" spans="1:17" x14ac:dyDescent="0.25">
      <c r="A15" s="12">
        <v>0.14583333333333334</v>
      </c>
      <c r="B15" s="6" t="n">
        <v>12202.137673647136</v>
      </c>
      <c r="C15" s="6" t="n">
        <v>2957.91135954421</v>
      </c>
      <c r="D15" s="6" t="n">
        <v>14397.585924756113</v>
      </c>
      <c r="E15" s="6" t="n">
        <v>730.9025507434978</v>
      </c>
      <c r="F15" s="6">
        <f si="0" t="shared"/>
        <v>30288.537508690955</v>
      </c>
      <c r="H15" s="12">
        <v>0.14583333333333334</v>
      </c>
      <c r="I15" s="9" t="n">
        <v>14062.642419815063</v>
      </c>
      <c r="J15" s="9" t="n">
        <v>3269.434976577759</v>
      </c>
      <c r="K15" s="9" t="n">
        <v>23038.03500366211</v>
      </c>
      <c r="L15" s="9" t="n">
        <v>941.0827531814575</v>
      </c>
      <c r="M15" s="14">
        <f si="1" t="shared"/>
        <v>49510.283941268921</v>
      </c>
    </row>
    <row r="16" spans="1:17" x14ac:dyDescent="0.25">
      <c r="A16" s="12">
        <v>0.16666666666666666</v>
      </c>
      <c r="B16" s="6" t="n">
        <v>12806.22549740896</v>
      </c>
      <c r="C16" s="6" t="n">
        <v>3283.2475252091326</v>
      </c>
      <c r="D16" s="6" t="n">
        <v>9332.41843388847</v>
      </c>
      <c r="E16" s="6" t="n">
        <v>311.03373236543655</v>
      </c>
      <c r="F16" s="6">
        <f si="0" t="shared"/>
        <v>25732.925188871995</v>
      </c>
      <c r="H16" s="12">
        <v>0.16666666666666666</v>
      </c>
      <c r="I16" s="9" t="n">
        <v>14408.891015052795</v>
      </c>
      <c r="J16" s="9" t="n">
        <v>4919.078590393066</v>
      </c>
      <c r="K16" s="9" t="n">
        <v>17385.22723197937</v>
      </c>
      <c r="L16" s="9" t="n">
        <v>492.064022064209</v>
      </c>
      <c r="M16" s="14">
        <f si="1" t="shared"/>
        <v>42639.741486549377</v>
      </c>
    </row>
    <row r="17" spans="1:13" x14ac:dyDescent="0.25">
      <c r="A17" s="12">
        <v>0.1875</v>
      </c>
      <c r="B17" s="6" t="n">
        <v>13365.00321919603</v>
      </c>
      <c r="C17" s="6" t="n">
        <v>4304.047065808987</v>
      </c>
      <c r="D17" s="6" t="n">
        <v>6357.049773257279</v>
      </c>
      <c r="E17" s="6" t="n">
        <v>139.19160634718799</v>
      </c>
      <c r="F17" s="6">
        <f si="0" t="shared"/>
        <v>24165.291664609485</v>
      </c>
      <c r="H17" s="12">
        <v>0.1875</v>
      </c>
      <c r="I17" s="9" t="n">
        <v>15165.383218765259</v>
      </c>
      <c r="J17" s="9" t="n">
        <v>7372.964426040649</v>
      </c>
      <c r="K17" s="9" t="n">
        <v>13173.745038986206</v>
      </c>
      <c r="L17" s="9" t="n">
        <v>260.54538917541504</v>
      </c>
      <c r="M17" s="14">
        <f si="1" t="shared"/>
        <v>39035.64928817749</v>
      </c>
    </row>
    <row r="18" spans="1:13" x14ac:dyDescent="0.25">
      <c r="A18" s="12">
        <v>0.20833333333333334</v>
      </c>
      <c r="B18" s="6" t="n">
        <v>14083.733305574078</v>
      </c>
      <c r="C18" s="6" t="n">
        <v>6679.484314661463</v>
      </c>
      <c r="D18" s="6" t="n">
        <v>4637.037732518473</v>
      </c>
      <c r="E18" s="6" t="n">
        <v>73.35964781244373</v>
      </c>
      <c r="F18" s="6">
        <f si="0" t="shared"/>
        <v>25473.61500056646</v>
      </c>
      <c r="H18" s="12">
        <v>0.20833333333333334</v>
      </c>
      <c r="I18" s="9" t="n">
        <v>16729.22487449646</v>
      </c>
      <c r="J18" s="9" t="n">
        <v>10660.740671157837</v>
      </c>
      <c r="K18" s="9" t="n">
        <v>9941.346803665161</v>
      </c>
      <c r="L18" s="9" t="n">
        <v>134.8341007232666</v>
      </c>
      <c r="M18" s="14">
        <f si="1" t="shared"/>
        <v>37944.620217323303</v>
      </c>
    </row>
    <row r="19" spans="1:13" x14ac:dyDescent="0.25">
      <c r="A19" s="12">
        <v>0.22916666666666666</v>
      </c>
      <c r="B19" s="6" t="n">
        <v>15447.787777025422</v>
      </c>
      <c r="C19" s="6" t="n">
        <v>10945.010402584337</v>
      </c>
      <c r="D19" s="6" t="n">
        <v>3608.8902562683616</v>
      </c>
      <c r="E19" s="6" t="n">
        <v>49.21419017840099</v>
      </c>
      <c r="F19" s="6">
        <f si="0" t="shared"/>
        <v>30050.902626056522</v>
      </c>
      <c r="H19" s="12">
        <v>0.22916666666666666</v>
      </c>
      <c r="I19" s="9" t="n">
        <v>19575.710094451904</v>
      </c>
      <c r="J19" s="9" t="n">
        <v>14621.009712219238</v>
      </c>
      <c r="K19" s="9" t="n">
        <v>7501.447991371155</v>
      </c>
      <c r="L19" s="9" t="n">
        <v>66.88544082641602</v>
      </c>
      <c r="M19" s="14">
        <f si="1" t="shared"/>
        <v>39001.085962295532</v>
      </c>
    </row>
    <row r="20" spans="1:13" x14ac:dyDescent="0.25">
      <c r="A20" s="12">
        <v>0.25</v>
      </c>
      <c r="B20" s="6" t="n">
        <v>18142.385244705594</v>
      </c>
      <c r="C20" s="6" t="n">
        <v>16865.84409707077</v>
      </c>
      <c r="D20" s="6" t="n">
        <v>2922.7196648711815</v>
      </c>
      <c r="E20" s="6" t="n">
        <v>39.844393553588866</v>
      </c>
      <c r="F20" s="6">
        <f si="0" t="shared"/>
        <v>37970.793400201139</v>
      </c>
      <c r="H20" s="12">
        <v>0.25</v>
      </c>
      <c r="I20" s="9" t="n">
        <v>24094.24450302124</v>
      </c>
      <c r="J20" s="9" t="n">
        <v>18778.883242607117</v>
      </c>
      <c r="K20" s="9" t="n">
        <v>5679.048801422119</v>
      </c>
      <c r="L20" s="9" t="n">
        <v>32.027920722961426</v>
      </c>
      <c r="M20" s="14">
        <f si="1" t="shared"/>
        <v>41939.352271080017</v>
      </c>
    </row>
    <row r="21" spans="1:13" x14ac:dyDescent="0.25">
      <c r="A21" s="12">
        <v>0.27083333333333331</v>
      </c>
      <c r="B21" s="6" t="n">
        <v>22787.246255163795</v>
      </c>
      <c r="C21" s="6" t="n">
        <v>23007.544192450925</v>
      </c>
      <c r="D21" s="6" t="n">
        <v>2396.2929687395854</v>
      </c>
      <c r="E21" s="6" t="n">
        <v>33.97747196784496</v>
      </c>
      <c r="F21" s="6">
        <f si="0" t="shared"/>
        <v>48225.060888322158</v>
      </c>
      <c r="H21" s="12">
        <v>0.27083333333333331</v>
      </c>
      <c r="I21" s="9" t="n">
        <v>30369.214072227478</v>
      </c>
      <c r="J21" s="9" t="n">
        <v>22306.685935020447</v>
      </c>
      <c r="K21" s="9" t="n">
        <v>4303.46625328064</v>
      </c>
      <c r="L21" s="9" t="n">
        <v>15.558191299438477</v>
      </c>
      <c r="M21" s="14">
        <f si="1" t="shared"/>
        <v>46439.956316947937</v>
      </c>
    </row>
    <row r="22" spans="1:13" x14ac:dyDescent="0.25">
      <c r="A22" s="12">
        <v>0.29166666666666669</v>
      </c>
      <c r="B22" s="6" t="n">
        <v>29486.331385750716</v>
      </c>
      <c r="C22" s="6" t="n">
        <v>27164.53069164802</v>
      </c>
      <c r="D22" s="6" t="n">
        <v>1957.397857216279</v>
      </c>
      <c r="E22" s="6" t="n">
        <v>27.2517286023035</v>
      </c>
      <c r="F22" s="6">
        <f si="0" t="shared"/>
        <v>58635.511663217323</v>
      </c>
      <c r="H22" s="12">
        <v>0.29166666666666669</v>
      </c>
      <c r="I22" s="9" t="n">
        <v>37953.795696258545</v>
      </c>
      <c r="J22" s="9" t="n">
        <v>24219.467148780823</v>
      </c>
      <c r="K22" s="9" t="n">
        <v>3247.553854942322</v>
      </c>
      <c r="L22" s="9" t="n">
        <v>8.367594718933105</v>
      </c>
      <c r="M22" s="14">
        <f si="1" t="shared"/>
        <v>52042.886077880859</v>
      </c>
    </row>
    <row r="23" spans="1:13" x14ac:dyDescent="0.25">
      <c r="A23" s="12">
        <v>0.3125</v>
      </c>
      <c r="B23" s="6" t="n">
        <v>37366.02263675075</v>
      </c>
      <c r="C23" s="6" t="n">
        <v>27622.041673995274</v>
      </c>
      <c r="D23" s="6" t="n">
        <v>1587.8550267703722</v>
      </c>
      <c r="E23" s="6" t="n">
        <v>19.231868735464094</v>
      </c>
      <c r="F23" s="6">
        <f si="0" t="shared"/>
        <v>66595.15120625186</v>
      </c>
      <c r="H23" s="12">
        <v>0.3125</v>
      </c>
      <c r="I23" s="9" t="n">
        <v>45702.480204582214</v>
      </c>
      <c r="J23" s="9" t="n">
        <v>23804.984840393066</v>
      </c>
      <c r="K23" s="9" t="n">
        <v>2433.056908607483</v>
      </c>
      <c r="L23" s="9" t="n">
        <v>5.198644638061523</v>
      </c>
      <c r="M23" s="14">
        <f si="1" t="shared"/>
        <v>57984.899648666382</v>
      </c>
    </row>
    <row r="24" spans="1:13" x14ac:dyDescent="0.25">
      <c r="A24" s="12">
        <v>0.33333333333333331</v>
      </c>
      <c r="B24" s="6" t="n">
        <v>44495.73720047228</v>
      </c>
      <c r="C24" s="6" t="n">
        <v>24289.35194720442</v>
      </c>
      <c r="D24" s="6" t="n">
        <v>1283.7113711002703</v>
      </c>
      <c r="E24" s="6" t="n">
        <v>11.495674743774414</v>
      </c>
      <c r="F24" s="6">
        <f si="0" t="shared"/>
        <v>70080.296193520742</v>
      </c>
      <c r="H24" s="12">
        <v>0.33333333333333331</v>
      </c>
      <c r="I24" s="9" t="n">
        <v>51819.986166000366</v>
      </c>
      <c r="J24" s="9" t="n">
        <v>21036.21875858307</v>
      </c>
      <c r="K24" s="9" t="n">
        <v>1810.7180519104004</v>
      </c>
      <c r="L24" s="9" t="n">
        <v>3.4906797409057617</v>
      </c>
      <c r="M24" s="14">
        <f si="1" t="shared"/>
        <v>62987.043391227722</v>
      </c>
    </row>
    <row r="25" spans="1:13" x14ac:dyDescent="0.25">
      <c r="A25" s="12">
        <v>0.35416666666666669</v>
      </c>
      <c r="B25" s="6" t="n">
        <v>48528.02612292173</v>
      </c>
      <c r="C25" s="6" t="n">
        <v>18690.917873266342</v>
      </c>
      <c r="D25" s="6" t="n">
        <v>1035.867341985057</v>
      </c>
      <c r="E25" s="6" t="n">
        <v>5.671055905251503</v>
      </c>
      <c r="F25" s="6">
        <f si="0" t="shared"/>
        <v>68260.482394078368</v>
      </c>
      <c r="H25" s="12">
        <v>0.35416666666666669</v>
      </c>
      <c r="I25" s="9" t="n">
        <v>54330.95022678375</v>
      </c>
      <c r="J25" s="9" t="n">
        <v>16645.585112571716</v>
      </c>
      <c r="K25" s="9" t="n">
        <v>1342.7691116333008</v>
      </c>
      <c r="L25" s="9" t="n">
        <v>2.294724464416504</v>
      </c>
      <c r="M25" s="14">
        <f si="1" t="shared"/>
        <v>65313.673138618469</v>
      </c>
    </row>
    <row r="26" spans="1:13" x14ac:dyDescent="0.25">
      <c r="A26" s="12">
        <v>0.375</v>
      </c>
      <c r="B26" s="6" t="n">
        <v>47866.254397197656</v>
      </c>
      <c r="C26" s="6" t="n">
        <v>12863.757478723597</v>
      </c>
      <c r="D26" s="6" t="n">
        <v>828.5175213433934</v>
      </c>
      <c r="E26" s="6" t="n">
        <v>2.2551718167791366</v>
      </c>
      <c r="F26" s="6">
        <f si="0" t="shared"/>
        <v>61560.784569081421</v>
      </c>
      <c r="H26" s="12">
        <v>0.375</v>
      </c>
      <c r="I26" s="9" t="n">
        <v>51946.85796546936</v>
      </c>
      <c r="J26" s="9" t="n">
        <v>11777.435315132141</v>
      </c>
      <c r="K26" s="9" t="n">
        <v>996.8954439163208</v>
      </c>
      <c r="L26" s="9" t="n">
        <v>1.387141227722168</v>
      </c>
      <c r="M26" s="14">
        <f si="1" t="shared"/>
        <v>63391.215021133423</v>
      </c>
    </row>
    <row r="27" spans="1:13" x14ac:dyDescent="0.25">
      <c r="A27" s="12">
        <v>0.39583333333333331</v>
      </c>
      <c r="B27" s="6" t="n">
        <v>42576.086212522314</v>
      </c>
      <c r="C27" s="6" t="n">
        <v>8189.769598973806</v>
      </c>
      <c r="D27" s="6" t="n">
        <v>647.6966474642105</v>
      </c>
      <c r="E27" s="6" t="n">
        <v>0.7031183471574782</v>
      </c>
      <c r="F27" s="6">
        <f si="0" t="shared"/>
        <v>51414.255577307486</v>
      </c>
      <c r="H27" s="12">
        <v>0.39583333333333331</v>
      </c>
      <c r="I27" s="9" t="n">
        <v>44860.57196712494</v>
      </c>
      <c r="J27" s="9" t="n">
        <v>7462.089127540588</v>
      </c>
      <c r="K27" s="9" t="n">
        <v>745.2040634155273</v>
      </c>
      <c r="L27" s="9" t="n">
        <v>0.74676513671875</v>
      </c>
      <c r="M27" s="14">
        <f si="1" t="shared"/>
        <v>56736.695903778076</v>
      </c>
    </row>
    <row r="28" spans="1:13" x14ac:dyDescent="0.25">
      <c r="A28" s="12">
        <v>0.41666666666666669</v>
      </c>
      <c r="B28" s="6" t="n">
        <v>34317.29597423271</v>
      </c>
      <c r="C28" s="6" t="n">
        <v>5024.187478947908</v>
      </c>
      <c r="D28" s="6" t="n">
        <v>488.939134194747</v>
      </c>
      <c r="E28" s="6" t="n">
        <v>0.16531485447025296</v>
      </c>
      <c r="F28" s="6">
        <f si="0" t="shared"/>
        <v>39830.587902229832</v>
      </c>
      <c r="H28" s="12">
        <v>0.41666666666666669</v>
      </c>
      <c r="I28" s="9" t="n">
        <v>34824.20914173126</v>
      </c>
      <c r="J28" s="9" t="n">
        <v>4256.375569343567</v>
      </c>
      <c r="K28" s="9" t="n">
        <v>562.8185167312622</v>
      </c>
      <c r="L28" s="9" t="n">
        <v>0.35059261322021484</v>
      </c>
      <c r="M28" s="14">
        <f si="1" t="shared"/>
        <v>46452.797325134277</v>
      </c>
    </row>
    <row r="29" spans="1:13" x14ac:dyDescent="0.25">
      <c r="A29" s="12">
        <v>0.4375</v>
      </c>
      <c r="B29" s="6" t="n">
        <v>25365.654386378294</v>
      </c>
      <c r="C29" s="6" t="n">
        <v>3066.7540793548374</v>
      </c>
      <c r="D29" s="6" t="n">
        <v>356.73876864957623</v>
      </c>
      <c r="E29" s="6" t="n">
        <v>0.027547982358932497</v>
      </c>
      <c r="F29" s="6">
        <f si="0" t="shared"/>
        <v>28789.174782365062</v>
      </c>
      <c r="H29" s="12">
        <v>0.4375</v>
      </c>
      <c r="I29" s="9" t="n">
        <v>24330.32218360901</v>
      </c>
      <c r="J29" s="9" t="n">
        <v>2210.826400756836</v>
      </c>
      <c r="K29" s="9" t="n">
        <v>427.39724349975586</v>
      </c>
      <c r="L29" s="9" t="n">
        <v>0.14063739776611328</v>
      </c>
      <c r="M29" s="14">
        <f si="1" t="shared"/>
        <v>34782.08544254303</v>
      </c>
    </row>
    <row r="30" spans="1:13" x14ac:dyDescent="0.25">
      <c r="A30" s="12">
        <v>0.45833333333333331</v>
      </c>
      <c r="B30" s="6" t="n">
        <v>17514.02017774124</v>
      </c>
      <c r="C30" s="6" t="n">
        <v>1879.3638488803454</v>
      </c>
      <c r="D30" s="6" t="n">
        <v>257.21495530119137</v>
      </c>
      <c r="E30" s="6" t="n">
        <v>0.0028997876167297363</v>
      </c>
      <c r="F30" s="6">
        <f si="0" t="shared"/>
        <v>19650.601881710394</v>
      </c>
      <c r="H30" s="12">
        <v>0.45833333333333331</v>
      </c>
      <c r="I30" s="9" t="n">
        <v>15450.849931716919</v>
      </c>
      <c r="J30" s="9" t="n">
        <v>1068.8473682403564</v>
      </c>
      <c r="K30" s="9" t="n">
        <v>321.4336814880371</v>
      </c>
      <c r="L30" s="9" t="n">
        <v>0.04705619812011719</v>
      </c>
      <c r="M30" s="14">
        <f si="1" t="shared"/>
        <v>24020.427035331726</v>
      </c>
    </row>
    <row r="31" spans="1:13" x14ac:dyDescent="0.25">
      <c r="A31" s="12">
        <v>0.47916666666666669</v>
      </c>
      <c r="B31" s="6" t="n">
        <v>11565.085422467413</v>
      </c>
      <c r="C31" s="6" t="n">
        <v>1147.1913499268571</v>
      </c>
      <c r="D31" s="6" t="n">
        <v>190.651111777175</v>
      </c>
      <c r="E31" s="6" t="n">
        <v>1.4498938083648682E-4</v>
      </c>
      <c r="F31" s="6">
        <f si="0" t="shared"/>
        <v>12902.928029160827</v>
      </c>
      <c r="H31" s="12">
        <v>0.47916666666666669</v>
      </c>
      <c r="I31" s="9" t="n">
        <v>9125.434941291809</v>
      </c>
      <c r="J31" s="9" t="n">
        <v>500.24169158935547</v>
      </c>
      <c r="K31" s="9" t="n">
        <v>235.06805038452148</v>
      </c>
      <c r="L31" s="9" t="n">
        <v>0.012735366821289062</v>
      </c>
      <c r="M31" s="14">
        <f si="1" t="shared"/>
        <v>15590.564607620239</v>
      </c>
    </row>
    <row r="32" spans="1:13" x14ac:dyDescent="0.25">
      <c r="A32" s="12">
        <v>0.5</v>
      </c>
      <c r="B32" s="6" t="n">
        <v>7486.794984002241</v>
      </c>
      <c r="C32" s="6" t="n">
        <v>694.10446829072</v>
      </c>
      <c r="D32" s="6" t="n">
        <v>149.2779017678576</v>
      </c>
      <c r="E32" s="6" t="n">
        <v>0.0</v>
      </c>
      <c r="F32" s="6">
        <f si="0" t="shared"/>
        <v>8330.1773540608174</v>
      </c>
      <c r="H32" s="12">
        <v>0.5</v>
      </c>
      <c r="I32" s="9" t="n">
        <v>5217.570590019226</v>
      </c>
      <c r="J32" s="9" t="n">
        <v>241.07891845703125</v>
      </c>
      <c r="K32" s="9" t="n">
        <v>165.7354793548584</v>
      </c>
      <c r="L32" s="9" t="n">
        <v>0.0026721954345703125</v>
      </c>
      <c r="M32" s="14">
        <f si="1" t="shared"/>
        <v>9799.1451940536499</v>
      </c>
    </row>
    <row r="33" spans="1:13" x14ac:dyDescent="0.25">
      <c r="A33" s="12">
        <v>0.52083333333333337</v>
      </c>
      <c r="B33" s="6" t="n">
        <v>4844.65199205291</v>
      </c>
      <c r="C33" s="6" t="n">
        <v>421.4487226662311</v>
      </c>
      <c r="D33" s="6" t="n">
        <v>121.26350800360967</v>
      </c>
      <c r="E33" s="6" t="n">
        <v>0.0</v>
      </c>
      <c r="F33" s="6">
        <f si="0" t="shared"/>
        <v>5387.364222722751</v>
      </c>
      <c r="H33" s="12">
        <v>0.52083333333333337</v>
      </c>
      <c r="I33" s="9" t="n">
        <v>3040.4010763168335</v>
      </c>
      <c r="J33" s="9" t="n">
        <v>128.37817096710205</v>
      </c>
      <c r="K33" s="9" t="n">
        <v>114.20227336883545</v>
      </c>
      <c r="L33" s="9" t="n">
        <v>4.0721893310546875E-4</v>
      </c>
      <c r="M33" s="14">
        <f si="1" t="shared"/>
        <v>6180.4704761505127</v>
      </c>
    </row>
    <row r="34" spans="1:13" x14ac:dyDescent="0.25">
      <c r="A34" s="12">
        <v>0.54166666666666663</v>
      </c>
      <c r="B34" s="6" t="n">
        <v>3157.099793696747</v>
      </c>
      <c r="C34" s="6" t="n">
        <v>265.3033986020383</v>
      </c>
      <c r="D34" s="6" t="n">
        <v>97.40527149882794</v>
      </c>
      <c r="E34" s="6" t="n">
        <v>0.0</v>
      </c>
      <c r="F34" s="6">
        <f si="0" t="shared"/>
        <v>3519.8084637976131</v>
      </c>
      <c r="H34" s="12">
        <v>0.54166666666666663</v>
      </c>
      <c r="I34" s="9" t="n">
        <v>1871.6705131530762</v>
      </c>
      <c r="J34" s="9" t="n">
        <v>78.37732410430908</v>
      </c>
      <c r="K34" s="9" t="n">
        <v>80.07132720947266</v>
      </c>
      <c r="L34" s="9" t="n">
        <v>4.00543212890625E-5</v>
      </c>
      <c r="M34" s="14">
        <f si="1" t="shared"/>
        <v>4010.510986328125</v>
      </c>
    </row>
    <row r="35" spans="1:13" x14ac:dyDescent="0.25">
      <c r="A35" s="12">
        <v>0.5625</v>
      </c>
      <c r="B35" s="6" t="n">
        <v>2062.379810469911</v>
      </c>
      <c r="C35" s="6" t="n">
        <v>179.2205557181959</v>
      </c>
      <c r="D35" s="6" t="n">
        <v>74.90291296329117</v>
      </c>
      <c r="E35" s="6" t="n">
        <v>0.0</v>
      </c>
      <c r="F35" s="6">
        <f si="0" t="shared"/>
        <v>2316.5032791513981</v>
      </c>
      <c r="H35" s="12">
        <v>0.5625</v>
      </c>
      <c r="I35" s="9" t="n">
        <v>1209.17910861969</v>
      </c>
      <c r="J35" s="9" t="n">
        <v>53.754618644714355</v>
      </c>
      <c r="K35" s="9" t="n">
        <v>59.896851539611816</v>
      </c>
      <c r="L35" s="9" t="n">
        <v>1.9073486328125E-6</v>
      </c>
      <c r="M35" s="14">
        <f si="1" t="shared"/>
        <v>2673.1942987442017</v>
      </c>
    </row>
    <row r="36" spans="1:13" x14ac:dyDescent="0.25">
      <c r="A36" s="12">
        <v>0.58333333333333337</v>
      </c>
      <c r="B36" s="6" t="n">
        <v>1339.4173918286076</v>
      </c>
      <c r="C36" s="6" t="n">
        <v>129.01448893042374</v>
      </c>
      <c r="D36" s="6" t="n">
        <v>55.45084961657332</v>
      </c>
      <c r="E36" s="6" t="n">
        <v>0.0</v>
      </c>
      <c r="F36" s="6">
        <f si="0" t="shared"/>
        <v>1523.8827303756048</v>
      </c>
      <c r="H36" s="12">
        <v>0.58333333333333337</v>
      </c>
      <c r="I36" s="9" t="n">
        <v>792.1345987319946</v>
      </c>
      <c r="J36" s="9" t="n">
        <v>39.62400531768799</v>
      </c>
      <c r="K36" s="9" t="n">
        <v>48.355064392089844</v>
      </c>
      <c r="L36" s="9" t="n">
        <v>0.0</v>
      </c>
      <c r="M36" s="14">
        <f si="1" t="shared"/>
        <v>1792.8694314956665</v>
      </c>
    </row>
    <row r="37" spans="1:13" x14ac:dyDescent="0.25">
      <c r="A37" s="12">
        <v>0.60416666666666663</v>
      </c>
      <c r="B37" s="6" t="n">
        <v>861.2507746939077</v>
      </c>
      <c r="C37" s="6" t="n">
        <v>92.90731863998603</v>
      </c>
      <c r="D37" s="6" t="n">
        <v>40.64448242869853</v>
      </c>
      <c r="E37" s="6" t="n">
        <v>0.0</v>
      </c>
      <c r="F37" s="6">
        <f si="0" t="shared"/>
        <v>994.80257576259226</v>
      </c>
      <c r="H37" s="12">
        <v>0.60416666666666663</v>
      </c>
      <c r="I37" s="9" t="n">
        <v>516.0462083816528</v>
      </c>
      <c r="J37" s="9" t="n">
        <v>30.341633796691895</v>
      </c>
      <c r="K37" s="9" t="n">
        <v>40.597472190856934</v>
      </c>
      <c r="L37" s="9" t="n">
        <v>0.0</v>
      </c>
      <c r="M37" s="14">
        <f si="1" t="shared"/>
        <v>1195.6263418197632</v>
      </c>
    </row>
    <row r="38" spans="1:13" x14ac:dyDescent="0.25">
      <c r="A38" s="12">
        <v>0.625</v>
      </c>
      <c r="B38" s="6" t="n">
        <v>546.23718115141</v>
      </c>
      <c r="C38" s="6" t="n">
        <v>61.865934445107456</v>
      </c>
      <c r="D38" s="6" t="n">
        <v>29.72749298136806</v>
      </c>
      <c r="E38" s="6" t="n">
        <v>0.0</v>
      </c>
      <c r="F38" s="6">
        <f si="0" t="shared"/>
        <v>637.83060857788553</v>
      </c>
      <c r="H38" s="12">
        <v>0.625</v>
      </c>
      <c r="I38" s="9" t="n">
        <v>341.5963659286499</v>
      </c>
      <c r="J38" s="9" t="n">
        <v>23.52878761291504</v>
      </c>
      <c r="K38" s="9" t="n">
        <v>33.758511543273926</v>
      </c>
      <c r="L38" s="9" t="n">
        <v>0.0</v>
      </c>
      <c r="M38" s="14">
        <f si="1" t="shared"/>
        <v>807.04432201385498</v>
      </c>
    </row>
    <row r="39" spans="1:13" x14ac:dyDescent="0.25">
      <c r="A39" s="12">
        <v>0.64583333333333337</v>
      </c>
      <c r="B39" s="6" t="n">
        <v>336.50457537397097</v>
      </c>
      <c r="C39" s="6" t="n">
        <v>35.876323526281354</v>
      </c>
      <c r="D39" s="6" t="n">
        <v>20.89919273197937</v>
      </c>
      <c r="E39" s="6" t="n">
        <v>0.0</v>
      </c>
      <c r="F39" s="6">
        <f si="0" t="shared"/>
        <v>393.28009163223169</v>
      </c>
      <c r="H39" s="12">
        <v>0.64583333333333337</v>
      </c>
      <c r="I39" s="9" t="n">
        <v>241.40064239501953</v>
      </c>
      <c r="J39" s="9" t="n">
        <v>17.9346342086792</v>
      </c>
      <c r="K39" s="9" t="n">
        <v>26.952802658081055</v>
      </c>
      <c r="L39" s="9" t="n">
        <v>0.0</v>
      </c>
      <c r="M39" s="14">
        <f si="1" t="shared"/>
        <v>573.15602779388428</v>
      </c>
    </row>
    <row r="40" spans="1:13" x14ac:dyDescent="0.25">
      <c r="A40" s="12">
        <v>0.66666666666666663</v>
      </c>
      <c r="B40" s="6" t="n">
        <v>195.07963934143925</v>
      </c>
      <c r="C40" s="6" t="n">
        <v>17.4112318257761</v>
      </c>
      <c r="D40" s="6" t="n">
        <v>13.311857067251204</v>
      </c>
      <c r="E40" s="6" t="n">
        <v>0.0</v>
      </c>
      <c r="F40" s="6">
        <f si="0" t="shared"/>
        <v>225.80272823446654</v>
      </c>
      <c r="H40" s="12">
        <v>0.66666666666666663</v>
      </c>
      <c r="I40" s="9" t="n">
        <v>186.01879692077637</v>
      </c>
      <c r="J40" s="9" t="n">
        <v>12.965143203735352</v>
      </c>
      <c r="K40" s="9" t="n">
        <v>20.385129928588867</v>
      </c>
      <c r="L40" s="9" t="n">
        <v>0.0</v>
      </c>
      <c r="M40" s="14">
        <f si="1" t="shared"/>
        <v>435.82678318023682</v>
      </c>
    </row>
    <row r="41" spans="1:13" x14ac:dyDescent="0.25">
      <c r="A41" s="12">
        <v>0.6875</v>
      </c>
      <c r="B41" s="6" t="n">
        <v>102.29758737392712</v>
      </c>
      <c r="C41" s="6" t="n">
        <v>6.8600688957538605</v>
      </c>
      <c r="D41" s="6" t="n">
        <v>7.304684958217621</v>
      </c>
      <c r="E41" s="6" t="n">
        <v>0.0</v>
      </c>
      <c r="F41" s="6">
        <f si="0" t="shared"/>
        <v>116.46234122789859</v>
      </c>
      <c r="H41" s="12">
        <v>0.6875</v>
      </c>
      <c r="I41" s="9" t="n">
        <v>149.83415985107422</v>
      </c>
      <c r="J41" s="9" t="n">
        <v>8.589913368225098</v>
      </c>
      <c r="K41" s="9" t="n">
        <v>14.500407218933105</v>
      </c>
      <c r="L41" s="9" t="n">
        <v>0.0</v>
      </c>
      <c r="M41" s="14">
        <f si="1" t="shared"/>
        <v>343.52813243865967</v>
      </c>
    </row>
    <row r="42" spans="1:13" x14ac:dyDescent="0.25">
      <c r="A42" s="12">
        <v>0.70833333333333337</v>
      </c>
      <c r="B42" s="6" t="n">
        <v>46.741051461695676</v>
      </c>
      <c r="C42" s="6" t="n">
        <v>2.127563344283104</v>
      </c>
      <c r="D42" s="6" t="n">
        <v>3.3329957039756772</v>
      </c>
      <c r="E42" s="6" t="n">
        <v>0.0</v>
      </c>
      <c r="F42" s="6">
        <f si="0" t="shared"/>
        <v>52.201610509954456</v>
      </c>
      <c r="H42" s="12">
        <v>0.70833333333333337</v>
      </c>
      <c r="I42" s="9" t="n">
        <v>117.82236099243164</v>
      </c>
      <c r="J42" s="9" t="n">
        <v>5.080097198486328</v>
      </c>
      <c r="K42" s="9" t="n">
        <v>9.606757164001465</v>
      </c>
      <c r="L42" s="9" t="n">
        <v>0.0</v>
      </c>
      <c r="M42" s="14">
        <f si="1" t="shared"/>
        <v>265.19056510925293</v>
      </c>
    </row>
    <row r="43" spans="1:13" x14ac:dyDescent="0.25">
      <c r="A43" s="12">
        <v>0.72916666666666663</v>
      </c>
      <c r="B43" s="6" t="n">
        <v>18.016480837354663</v>
      </c>
      <c r="C43" s="6" t="n">
        <v>0.4987902210588455</v>
      </c>
      <c r="D43" s="6" t="n">
        <v>1.2299504073238374</v>
      </c>
      <c r="E43" s="6" t="n">
        <v>0.0</v>
      </c>
      <c r="F43" s="6">
        <f si="0" t="shared"/>
        <v>19.745221465737348</v>
      </c>
      <c r="H43" s="12">
        <v>0.72916666666666663</v>
      </c>
      <c r="I43" s="9" t="n">
        <v>85.79139995574951</v>
      </c>
      <c r="J43" s="9" t="n">
        <v>2.6385498046875</v>
      </c>
      <c r="K43" s="9" t="n">
        <v>5.8409576416015625</v>
      </c>
      <c r="L43" s="9" t="n">
        <v>0.0</v>
      </c>
      <c r="M43" s="14">
        <f si="1" t="shared"/>
        <v>191.4377908706665</v>
      </c>
    </row>
    <row r="44" spans="1:13" x14ac:dyDescent="0.25">
      <c r="A44" s="12">
        <v>0.75</v>
      </c>
      <c r="B44" s="6" t="n">
        <v>5.684668468481064</v>
      </c>
      <c r="C44" s="6" t="n">
        <v>0.08300542889499665</v>
      </c>
      <c r="D44" s="6" t="n">
        <v>0.35660591433048244</v>
      </c>
      <c r="E44" s="6" t="n">
        <v>0.0</v>
      </c>
      <c r="F44" s="6">
        <f si="0" t="shared"/>
        <v>6.1242798117065433</v>
      </c>
      <c r="H44" s="12">
        <v>0.75</v>
      </c>
      <c r="I44" s="9" t="n">
        <v>55.969380378723145</v>
      </c>
      <c r="J44" s="9" t="n">
        <v>1.1976423263549805</v>
      </c>
      <c r="K44" s="9" t="n">
        <v>3.201418876647949</v>
      </c>
      <c r="L44" s="9" t="n">
        <v>0.0</v>
      </c>
      <c r="M44" s="14">
        <f si="1" t="shared"/>
        <v>125.85663318634033</v>
      </c>
    </row>
    <row r="45" spans="1:13" x14ac:dyDescent="0.25">
      <c r="A45" s="12">
        <v>0.77083333333333337</v>
      </c>
      <c r="B45" s="6" t="n">
        <v>1.4202291305627823</v>
      </c>
      <c r="C45" s="6" t="n">
        <v>0.008733498859405518</v>
      </c>
      <c r="D45" s="6" t="n">
        <v>0.07813151085853576</v>
      </c>
      <c r="E45" s="6" t="n">
        <v>0.0</v>
      </c>
      <c r="F45" s="6">
        <f si="0" t="shared"/>
        <v>1.5070941402807234</v>
      </c>
      <c r="H45" s="12">
        <v>0.77083333333333337</v>
      </c>
      <c r="I45" s="9" t="n">
        <v>31.987421989440918</v>
      </c>
      <c r="J45" s="9" t="n">
        <v>0.4792757034301758</v>
      </c>
      <c r="K45" s="9" t="n">
        <v>1.5531997680664062</v>
      </c>
      <c r="L45" s="9" t="n">
        <v>0.0</v>
      </c>
      <c r="M45" s="14">
        <f si="1" t="shared"/>
        <v>74.665567398071289</v>
      </c>
    </row>
    <row r="46" spans="1:13" x14ac:dyDescent="0.25">
      <c r="A46" s="12">
        <v>0.79166666666666663</v>
      </c>
      <c r="B46" s="6" t="n">
        <v>0.26892042428588864</v>
      </c>
      <c r="C46" s="6" t="n">
        <v>4.366749429702759E-4</v>
      </c>
      <c r="D46" s="6" t="n">
        <v>0.012160620470046997</v>
      </c>
      <c r="E46" s="6" t="n">
        <v>0.0</v>
      </c>
      <c r="F46" s="6">
        <f si="0" t="shared"/>
        <v>0.28151771969890593</v>
      </c>
      <c r="H46" s="12">
        <v>0.79166666666666663</v>
      </c>
      <c r="I46" s="9" t="n">
        <v>15.709200859069824</v>
      </c>
      <c r="J46" s="9" t="n">
        <v>0.17308902740478516</v>
      </c>
      <c r="K46" s="9" t="n">
        <v>0.6553726196289062</v>
      </c>
      <c r="L46" s="9" t="n">
        <v>0.0</v>
      </c>
      <c r="M46" s="14">
        <f si="1" t="shared"/>
        <v>40.352022171020508</v>
      </c>
    </row>
    <row r="47" spans="1:13" x14ac:dyDescent="0.25">
      <c r="A47" s="12">
        <v>0.8125</v>
      </c>
      <c r="B47" s="6" t="n">
        <v>0.036096679195404054</v>
      </c>
      <c r="C47" s="6" t="n">
        <v>0.0</v>
      </c>
      <c r="D47" s="6" t="n">
        <v>0.00119846865940094</v>
      </c>
      <c r="E47" s="6" t="n">
        <v>0.0</v>
      </c>
      <c r="F47" s="6">
        <f si="0" t="shared"/>
        <v>3.7295147854804991E-2</v>
      </c>
      <c r="H47" s="12">
        <v>0.8125</v>
      </c>
      <c r="I47" s="9" t="n">
        <v>6.498631477355957</v>
      </c>
      <c r="J47" s="9" t="n">
        <v>0.057921409606933594</v>
      </c>
      <c r="K47" s="9" t="n">
        <v>0.23621559143066406</v>
      </c>
      <c r="L47" s="9" t="n">
        <v>0.0</v>
      </c>
      <c r="M47" s="14">
        <f si="1" t="shared"/>
        <v>20.570162773132324</v>
      </c>
    </row>
    <row r="48" spans="1:13" x14ac:dyDescent="0.25">
      <c r="A48" s="12">
        <v>0.83333333333333337</v>
      </c>
      <c r="B48" s="6" t="n">
        <v>0.00304463750076294</v>
      </c>
      <c r="C48" s="6" t="n">
        <v>0.0</v>
      </c>
      <c r="D48" s="6" t="n">
        <v>5.6232155799865725E-5</v>
      </c>
      <c r="E48" s="6" t="n">
        <v>0.0</v>
      </c>
      <c r="F48" s="6">
        <f si="0" t="shared"/>
        <v>3.1008696565628059E-3</v>
      </c>
      <c r="H48" s="12">
        <v>0.83333333333333337</v>
      </c>
      <c r="I48" s="9" t="n">
        <v>2.212667465209961</v>
      </c>
      <c r="J48" s="9" t="n">
        <v>0.017965316772460938</v>
      </c>
      <c r="K48" s="9" t="n">
        <v>0.07122039794921875</v>
      </c>
      <c r="L48" s="9" t="n">
        <v>0.0</v>
      </c>
      <c r="M48" s="14">
        <f si="1" t="shared"/>
        <v>10.478801727294922</v>
      </c>
    </row>
    <row r="49" spans="1:13" x14ac:dyDescent="0.25">
      <c r="A49" s="12">
        <v>0.85416666666666663</v>
      </c>
      <c r="B49" s="6" t="n">
        <v>1.2051876068115235E-4</v>
      </c>
      <c r="C49" s="6" t="n">
        <v>0.0</v>
      </c>
      <c r="D49" s="6" t="n">
        <v>0.0</v>
      </c>
      <c r="E49" s="6" t="n">
        <v>0.0</v>
      </c>
      <c r="F49" s="6">
        <f si="0" t="shared"/>
        <v>1.2051876068115235E-4</v>
      </c>
      <c r="H49" s="12">
        <v>0.85416666666666663</v>
      </c>
      <c r="I49" s="9" t="n">
        <v>0.6019926071166992</v>
      </c>
      <c r="J49" s="9" t="n">
        <v>0.0049285888671875</v>
      </c>
      <c r="K49" s="9" t="n">
        <v>0.017472267150878906</v>
      </c>
      <c r="L49" s="9" t="n">
        <v>0.0</v>
      </c>
      <c r="M49" s="14">
        <f si="1" t="shared"/>
        <v>5.5655660629272461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0</v>
      </c>
      <c r="H50" s="12">
        <v>0.875</v>
      </c>
      <c r="I50" s="9" t="n">
        <v>0.12556743621826172</v>
      </c>
      <c r="J50" s="9" t="n">
        <v>0.0011014938354492188</v>
      </c>
      <c r="K50" s="9" t="n">
        <v>0.00334930419921875</v>
      </c>
      <c r="L50" s="9" t="n">
        <v>0.0</v>
      </c>
      <c r="M50" s="14">
        <f si="1" t="shared"/>
        <v>3.0164165496826172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0.01882648468017578</v>
      </c>
      <c r="J51" s="9" t="n">
        <v>1.811981201171875E-4</v>
      </c>
      <c r="K51" s="9" t="n">
        <v>4.7016143798828125E-4</v>
      </c>
      <c r="L51" s="9" t="n">
        <v>0.0</v>
      </c>
      <c r="M51" s="14">
        <f si="1" t="shared"/>
        <v>1.5569343566894531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0.001804351806640625</v>
      </c>
      <c r="J52" s="9" t="n">
        <v>1.9073486328125E-5</v>
      </c>
      <c r="K52" s="9" t="n">
        <v>4.291534423828125E-5</v>
      </c>
      <c r="L52" s="9" t="n">
        <v>0.0</v>
      </c>
      <c r="M52" s="14">
        <f si="1" t="shared"/>
        <v>0.71689319610595703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8.296966552734375E-5</v>
      </c>
      <c r="J53" s="9" t="n">
        <v>9.5367431640625E-7</v>
      </c>
      <c r="K53" s="9" t="n">
        <v>1.9073486328125E-6</v>
      </c>
      <c r="L53" s="9" t="n">
        <v>0.0</v>
      </c>
      <c r="M53" s="14">
        <f si="1" t="shared"/>
        <v>0.28170680999755859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</v>
      </c>
      <c r="M54" s="14">
        <f si="1" t="shared"/>
        <v>9.1444015502929688E-2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</v>
      </c>
      <c r="M55" s="14">
        <f si="1" t="shared"/>
        <v>2.3125648498535156E-2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614735.56209659576</v>
      </c>
      <c r="J57" s="7">
        <f>SUM(J8:J56)</f>
        <v>215797.88156890869</v>
      </c>
      <c r="K57" s="7">
        <f>SUM(K8:K56)</f>
        <v>1160111.8978052139</v>
      </c>
      <c r="L57" s="7">
        <f>SUM(L8:L56)</f>
        <v>152862.14565849304</v>
      </c>
      <c r="M57" s="7">
        <f>SUM(M8:M56)</f>
        <v>2143507.4871292114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ref="C65:F65" si="2" t="shared">C8/C$57</f>
        <v>7.9542825600350444E-3</v>
      </c>
      <c r="D65" s="18">
        <f si="2" t="shared"/>
        <v>0.30848527331286374</v>
      </c>
      <c r="E65" s="18">
        <f si="2" t="shared"/>
        <v>0.3533058801681786</v>
      </c>
      <c r="F65" s="18">
        <f si="2" t="shared"/>
        <v>0.18534262036429072</v>
      </c>
      <c r="G65" s="18"/>
      <c r="H65" s="15">
        <v>0</v>
      </c>
      <c r="I65" s="18">
        <f ref="I65:M65" si="3" t="shared">I8/I$57</f>
        <v>1.7430258896127291E-2</v>
      </c>
      <c r="J65" s="18">
        <f si="3" t="shared"/>
        <v>2.6246782215011543E-2</v>
      </c>
      <c r="K65" s="18">
        <f si="3" t="shared"/>
        <v>0.29012890966532701</v>
      </c>
      <c r="L65" s="18">
        <f si="3" t="shared"/>
        <v>0.31563733318118109</v>
      </c>
      <c r="M65" s="18">
        <f si="3" t="shared"/>
        <v>0.18717452698863138</v>
      </c>
    </row>
    <row r="66" spans="1:13" x14ac:dyDescent="0.25">
      <c r="A66" s="12">
        <v>2.0833333333333332E-2</v>
      </c>
      <c r="B66" s="18">
        <f ref="B66:F66" si="4" t="shared">B9/B$57</f>
        <v>2.2764372900826259E-2</v>
      </c>
      <c r="C66" s="18">
        <f si="4" t="shared"/>
        <v>1.041534759432703E-2</v>
      </c>
      <c r="D66" s="18">
        <f si="4" t="shared"/>
        <v>0.22947952742262023</v>
      </c>
      <c r="E66" s="18">
        <f si="4" t="shared"/>
        <v>0.25679266376766452</v>
      </c>
      <c r="F66" s="18">
        <f si="4" t="shared"/>
        <v>0.13932838156277746</v>
      </c>
      <c r="G66" s="18"/>
      <c r="H66" s="12">
        <v>2.0833333333333332E-2</v>
      </c>
      <c r="I66" s="18">
        <f ref="I66:M66" si="5" t="shared">I9/I$57</f>
        <v>1.6730108854669159E-2</v>
      </c>
      <c r="J66" s="18">
        <f si="5" t="shared"/>
        <v>2.2826211462141362E-2</v>
      </c>
      <c r="K66" s="18">
        <f si="5" t="shared"/>
        <v>0.22007497747518395</v>
      </c>
      <c r="L66" s="18">
        <f si="5" t="shared"/>
        <v>0.23358183493870438</v>
      </c>
      <c r="M66" s="18">
        <f si="5" t="shared"/>
        <v>0.14286297717222785</v>
      </c>
    </row>
    <row r="67" spans="1:13" x14ac:dyDescent="0.25">
      <c r="A67" s="12">
        <v>4.1666666666666664E-2</v>
      </c>
      <c r="B67" s="18">
        <f ref="B67:F67" si="6" t="shared">B10/B$57</f>
        <v>2.0977113362074137E-2</v>
      </c>
      <c r="C67" s="18">
        <f si="6" t="shared"/>
        <v>1.2251110532230653E-2</v>
      </c>
      <c r="D67" s="18">
        <f si="6" t="shared"/>
        <v>0.1599267740032719</v>
      </c>
      <c r="E67" s="18">
        <f si="6" t="shared"/>
        <v>0.17146123752715733</v>
      </c>
      <c r="F67" s="18">
        <f si="6" t="shared"/>
        <v>9.8807758851268829E-2</v>
      </c>
      <c r="G67" s="18"/>
      <c r="H67" s="12">
        <v>4.1666666666666664E-2</v>
      </c>
      <c r="I67" s="18">
        <f ref="I67:M67" si="7" t="shared">I10/I$57</f>
        <v>1.6553994320138259E-2</v>
      </c>
      <c r="J67" s="18">
        <f si="7" t="shared"/>
        <v>2.0490729116285376E-2</v>
      </c>
      <c r="K67" s="18">
        <f si="7" t="shared"/>
        <v>0.15798591648027205</v>
      </c>
      <c r="L67" s="18">
        <f si="7" t="shared"/>
        <v>0.16139496146539692</v>
      </c>
      <c r="M67" s="18">
        <f si="7" t="shared"/>
        <v>0.10382548592773362</v>
      </c>
    </row>
    <row r="68" spans="1:13" x14ac:dyDescent="0.25">
      <c r="A68" s="12">
        <v>6.25E-2</v>
      </c>
      <c r="B68" s="18">
        <f ref="B68:F68" si="8" t="shared">B11/B$57</f>
        <v>1.9912462240596156E-2</v>
      </c>
      <c r="C68" s="18">
        <f si="8" t="shared"/>
        <v>1.320431461537569E-2</v>
      </c>
      <c r="D68" s="18">
        <f si="8" t="shared"/>
        <v>0.1055769455504036</v>
      </c>
      <c r="E68" s="18">
        <f si="8" t="shared"/>
        <v>0.10467281786726276</v>
      </c>
      <c r="F68" s="18">
        <f si="8" t="shared"/>
        <v>6.7181070664090403E-2</v>
      </c>
      <c r="G68" s="18"/>
      <c r="H68" s="12">
        <v>6.25E-2</v>
      </c>
      <c r="I68" s="18">
        <f ref="I68:M68" si="9" t="shared">I11/I$57</f>
        <v>1.721091221985618E-2</v>
      </c>
      <c r="J68" s="18">
        <f si="9" t="shared"/>
        <v>1.9942538714294758E-2</v>
      </c>
      <c r="K68" s="18">
        <f si="9" t="shared"/>
        <v>0.10868452878805528</v>
      </c>
      <c r="L68" s="18">
        <f si="9" t="shared"/>
        <v>0.10520220978897359</v>
      </c>
      <c r="M68" s="18">
        <f si="9" t="shared"/>
        <v>7.326840182228192E-2</v>
      </c>
    </row>
    <row r="69" spans="1:13" x14ac:dyDescent="0.25">
      <c r="A69" s="12">
        <v>8.3333333333333329E-2</v>
      </c>
      <c r="B69" s="18">
        <f ref="B69:F69" si="10" t="shared">B12/B$57</f>
        <v>1.9644116276868098E-2</v>
      </c>
      <c r="C69" s="18">
        <f si="10" t="shared"/>
        <v>1.3451336613886531E-2</v>
      </c>
      <c r="D69" s="18">
        <f si="10" t="shared"/>
        <v>6.7208108405981085E-2</v>
      </c>
      <c r="E69" s="18">
        <f si="10" t="shared"/>
        <v>5.8294523216554255E-2</v>
      </c>
      <c r="F69" s="18">
        <f si="10" t="shared"/>
        <v>4.5005537376167325E-2</v>
      </c>
      <c r="G69" s="18"/>
      <c r="H69" s="12">
        <v>8.3333333333333329E-2</v>
      </c>
      <c r="I69" s="18">
        <f ref="I69:M69" si="11" t="shared">I12/I$57</f>
        <v>1.8684969622755617E-2</v>
      </c>
      <c r="J69" s="18">
        <f si="11" t="shared"/>
        <v>2.1347385348670811E-2</v>
      </c>
      <c r="K69" s="18">
        <f si="11" t="shared"/>
        <v>7.2844141062113968E-2</v>
      </c>
      <c r="L69" s="18">
        <f si="11" t="shared"/>
        <v>6.6014097354285498E-2</v>
      </c>
      <c r="M69" s="18">
        <f si="11" t="shared"/>
        <v>5.164033613158673E-2</v>
      </c>
    </row>
    <row r="70" spans="1:13" x14ac:dyDescent="0.25">
      <c r="A70" s="12">
        <v>0.10416666666666667</v>
      </c>
      <c r="B70" s="18">
        <f ref="B70:F70" si="12" t="shared">B13/B$57</f>
        <v>2.0076450912385409E-2</v>
      </c>
      <c r="C70" s="18">
        <f si="12" t="shared"/>
        <v>1.3367216389236269E-2</v>
      </c>
      <c r="D70" s="18">
        <f si="12" t="shared"/>
        <v>4.2062926920204947E-2</v>
      </c>
      <c r="E70" s="18">
        <f si="12" t="shared"/>
        <v>2.9645912203847654E-2</v>
      </c>
      <c r="F70" s="18">
        <f si="12" t="shared"/>
        <v>3.0752738704272264E-2</v>
      </c>
      <c r="G70" s="18"/>
      <c r="H70" s="12">
        <v>0.10416666666666667</v>
      </c>
      <c r="I70" s="18">
        <f ref="I70:M70" si="13" t="shared">I13/I$57</f>
        <v>2.0663414290580582E-2</v>
      </c>
      <c r="J70" s="18">
        <f si="13" t="shared"/>
        <v>2.4476311620513194E-2</v>
      </c>
      <c r="K70" s="18">
        <f si="13" t="shared"/>
        <v>4.8266095189567426E-2</v>
      </c>
      <c r="L70" s="18">
        <f si="13" t="shared"/>
        <v>4.1018437342211896E-2</v>
      </c>
      <c r="M70" s="18">
        <f si="13" t="shared"/>
        <v>3.7438035514522003E-2</v>
      </c>
    </row>
    <row r="71" spans="1:13" x14ac:dyDescent="0.25">
      <c r="A71" s="12">
        <v>0.125</v>
      </c>
      <c r="B71" s="18">
        <f ref="B71:F71" si="14" t="shared">B14/B$57</f>
        <v>2.0999590406756297E-2</v>
      </c>
      <c r="C71" s="18">
        <f si="14" t="shared"/>
        <v>1.3283208187228687E-2</v>
      </c>
      <c r="D71" s="18">
        <f si="14" t="shared"/>
        <v>2.6283970886954829E-2</v>
      </c>
      <c r="E71" s="18">
        <f si="14" t="shared"/>
        <v>1.3856215979446918E-2</v>
      </c>
      <c r="F71" s="18">
        <f si="14" t="shared"/>
        <v>2.2159638953537633E-2</v>
      </c>
      <c r="G71" s="18"/>
      <c r="H71" s="12">
        <v>0.125</v>
      </c>
      <c r="I71" s="18">
        <f ref="I71:M71" si="15" t="shared">I14/I$57</f>
        <v>2.267512191563038E-2</v>
      </c>
      <c r="J71" s="18">
        <f si="15" t="shared"/>
        <v>2.9009845146825201E-2</v>
      </c>
      <c r="K71" s="18">
        <f si="15" t="shared"/>
        <v>3.1889144457419583E-2</v>
      </c>
      <c r="L71" s="18">
        <f si="15" t="shared"/>
        <v>2.5963259177678118E-2</v>
      </c>
      <c r="M71" s="18">
        <f si="15" t="shared"/>
        <v>2.8534186473836654E-2</v>
      </c>
    </row>
    <row r="72" spans="1:13" x14ac:dyDescent="0.25">
      <c r="A72" s="12">
        <v>0.14583333333333334</v>
      </c>
      <c r="B72" s="18">
        <f ref="B72:F72" si="16" t="shared">B15/B$57</f>
        <v>2.2135094705718058E-2</v>
      </c>
      <c r="C72" s="18">
        <f si="16" t="shared"/>
        <v>1.3555928980108245E-2</v>
      </c>
      <c r="D72" s="18">
        <f si="16" t="shared"/>
        <v>1.6595168526586615E-2</v>
      </c>
      <c r="E72" s="18">
        <f si="16" t="shared"/>
        <v>6.0578002063322511E-3</v>
      </c>
      <c r="F72" s="18">
        <f si="16" t="shared"/>
        <v>1.7232014894433653E-2</v>
      </c>
      <c r="G72" s="18"/>
      <c r="H72" s="12">
        <v>0.14583333333333334</v>
      </c>
      <c r="I72" s="18">
        <f ref="I72:M72" si="17" t="shared">I15/I$57</f>
        <v>2.4299980221296168E-2</v>
      </c>
      <c r="J72" s="18">
        <f si="17" t="shared"/>
        <v>3.4778783718513534E-2</v>
      </c>
      <c r="K72" s="18">
        <f si="17" t="shared"/>
        <v>2.1091522106623944E-2</v>
      </c>
      <c r="L72" s="18">
        <f si="17" t="shared"/>
        <v>1.6999030996758022E-2</v>
      </c>
      <c r="M72" s="18">
        <f si="17" t="shared"/>
        <v>2.3097789132324326E-2</v>
      </c>
    </row>
    <row r="73" spans="1:13" x14ac:dyDescent="0.25">
      <c r="A73" s="12">
        <v>0.16666666666666666</v>
      </c>
      <c r="B73" s="18">
        <f ref="B73:F73" si="18" t="shared">B16/B$57</f>
        <v>2.3230930660627622E-2</v>
      </c>
      <c r="C73" s="18">
        <f si="18" t="shared"/>
        <v>1.5046924963535551E-2</v>
      </c>
      <c r="D73" s="18">
        <f si="18" t="shared"/>
        <v>1.0756876706997402E-2</v>
      </c>
      <c r="E73" s="18">
        <f si="18" t="shared"/>
        <v>2.5778815605212793E-3</v>
      </c>
      <c r="F73" s="18">
        <f si="18" t="shared"/>
        <v>1.4640196807282353E-2</v>
      </c>
      <c r="G73" s="18"/>
      <c r="H73" s="12">
        <v>0.16666666666666666</v>
      </c>
      <c r="I73" s="18">
        <f ref="I73:M73" si="19" t="shared">I16/I$57</f>
        <v>2.5392938676359455E-2</v>
      </c>
      <c r="J73" s="18">
        <f si="19" t="shared"/>
        <v>4.1787253515627898E-2</v>
      </c>
      <c r="K73" s="18">
        <f si="19" t="shared"/>
        <v>1.4018782753134264E-2</v>
      </c>
      <c r="L73" s="18">
        <f si="19" t="shared"/>
        <v>1.144064541686597E-2</v>
      </c>
      <c r="M73" s="18">
        <f si="19" t="shared"/>
        <v>1.9892508770126372E-2</v>
      </c>
    </row>
    <row r="74" spans="1:13" x14ac:dyDescent="0.25">
      <c r="A74" s="12">
        <v>0.1875</v>
      </c>
      <c r="B74" s="18">
        <f ref="B74:F74" si="20" t="shared">B17/B$57</f>
        <v>2.4244572542239443E-2</v>
      </c>
      <c r="C74" s="18">
        <f si="20" t="shared"/>
        <v>1.972518755942046E-2</v>
      </c>
      <c r="D74" s="18">
        <f si="20" t="shared"/>
        <v>7.3273611889133998E-3</v>
      </c>
      <c r="E74" s="18">
        <f si="20" t="shared"/>
        <v>1.1536352428815409E-3</v>
      </c>
      <c r="F74" s="18">
        <f si="20" t="shared"/>
        <v>1.3748325278940852E-2</v>
      </c>
      <c r="G74" s="18"/>
      <c r="H74" s="12">
        <v>0.1875</v>
      </c>
      <c r="I74" s="18">
        <f ref="I74:M74" si="21" t="shared">I17/I$57</f>
        <v>2.6224230826251933E-2</v>
      </c>
      <c r="J74" s="18">
        <f si="21" t="shared"/>
        <v>5.0032436849247387E-2</v>
      </c>
      <c r="K74" s="18">
        <f si="21" t="shared"/>
        <v>9.424414835968703E-3</v>
      </c>
      <c r="L74" s="18">
        <f si="21" t="shared"/>
        <v>7.7482384058618174E-3</v>
      </c>
      <c r="M74" s="18">
        <f si="21" t="shared"/>
        <v>1.8211109372170999E-2</v>
      </c>
    </row>
    <row r="75" spans="1:13" x14ac:dyDescent="0.25">
      <c r="A75" s="12">
        <v>0.20833333333333334</v>
      </c>
      <c r="B75" s="18">
        <f ref="B75:F75" si="22" t="shared">B18/B$57</f>
        <v>2.5548373479036435E-2</v>
      </c>
      <c r="C75" s="18">
        <f si="22" t="shared"/>
        <v>3.0611672895853877E-2</v>
      </c>
      <c r="D75" s="18">
        <f si="22" t="shared"/>
        <v>5.3448142652143026E-3</v>
      </c>
      <c r="E75" s="18">
        <f si="22" t="shared"/>
        <v>6.0801277708311E-4</v>
      </c>
      <c r="F75" s="18">
        <f si="22" t="shared"/>
        <v>1.449266782784988E-2</v>
      </c>
      <c r="G75" s="18"/>
      <c r="H75" s="12">
        <v>0.20833333333333334</v>
      </c>
      <c r="I75" s="18">
        <f ref="I75:M75" si="23" t="shared">I18/I$57</f>
        <v>2.7445550420988857E-2</v>
      </c>
      <c r="J75" s="18">
        <f si="23" t="shared"/>
        <v>5.924630337869187E-2</v>
      </c>
      <c r="K75" s="18">
        <f si="23" t="shared"/>
        <v>6.461666168872603E-3</v>
      </c>
      <c r="L75" s="18">
        <f si="23" t="shared"/>
        <v>5.1770946086884496E-3</v>
      </c>
      <c r="M75" s="18">
        <f si="23" t="shared"/>
        <v>1.7702116948582407E-2</v>
      </c>
    </row>
    <row r="76" spans="1:13" x14ac:dyDescent="0.25">
      <c r="A76" s="12">
        <v>0.22916666666666666</v>
      </c>
      <c r="B76" s="18">
        <f ref="B76:F76" si="24" t="shared">B19/B$57</f>
        <v>2.8022814902078426E-2</v>
      </c>
      <c r="C76" s="18">
        <f si="24" t="shared"/>
        <v>5.0160321141889057E-2</v>
      </c>
      <c r="D76" s="18">
        <f si="24" t="shared"/>
        <v>4.1597349937499556E-3</v>
      </c>
      <c r="E76" s="18">
        <f si="24" t="shared"/>
        <v>4.078925858364086E-4</v>
      </c>
      <c r="F76" s="18">
        <f si="24" t="shared"/>
        <v>1.7096817616063294E-2</v>
      </c>
      <c r="G76" s="18"/>
      <c r="H76" s="12">
        <v>0.22916666666666666</v>
      </c>
      <c r="I76" s="18">
        <f ref="I76:M76" si="25" t="shared">I19/I$57</f>
        <v>2.9902079911845746E-2</v>
      </c>
      <c r="J76" s="18">
        <f si="25" t="shared"/>
        <v>6.8669048045180966E-2</v>
      </c>
      <c r="K76" s="18">
        <f si="25" t="shared"/>
        <v>4.5529451753982559E-3</v>
      </c>
      <c r="L76" s="18">
        <f si="25" t="shared"/>
        <v>3.3929465797922389E-3</v>
      </c>
      <c r="M76" s="18">
        <f si="25" t="shared"/>
        <v>1.8194984713829708E-2</v>
      </c>
    </row>
    <row r="77" spans="1:13" x14ac:dyDescent="0.25">
      <c r="A77" s="12">
        <v>0.25</v>
      </c>
      <c r="B77" s="18">
        <f ref="B77:F77" si="26" t="shared">B20/B$57</f>
        <v>3.2910906786970354E-2</v>
      </c>
      <c r="C77" s="18">
        <f si="26" t="shared"/>
        <v>7.7295144099483626E-2</v>
      </c>
      <c r="D77" s="18">
        <f si="26" t="shared"/>
        <v>3.3688304169872578E-3</v>
      </c>
      <c r="E77" s="18">
        <f si="26" t="shared"/>
        <v>3.3023468757166778E-4</v>
      </c>
      <c r="F77" s="18">
        <f si="26" t="shared"/>
        <v>2.1602669895764405E-2</v>
      </c>
      <c r="G77" s="18"/>
      <c r="H77" s="12">
        <v>0.25</v>
      </c>
      <c r="I77" s="18">
        <f ref="I77:M77" si="27" t="shared">I20/I$57</f>
        <v>3.4417023486236639E-2</v>
      </c>
      <c r="J77" s="18">
        <f si="27" t="shared"/>
        <v>7.6944703406331652E-2</v>
      </c>
      <c r="K77" s="18">
        <f si="27" t="shared"/>
        <v>3.3106847214377402E-3</v>
      </c>
      <c r="L77" s="18">
        <f si="27" t="shared"/>
        <v>2.2027380478658459E-3</v>
      </c>
      <c r="M77" s="18">
        <f si="27" t="shared"/>
        <v>1.9565759635973644E-2</v>
      </c>
    </row>
    <row r="78" spans="1:13" x14ac:dyDescent="0.25">
      <c r="A78" s="12">
        <v>0.27083333333333331</v>
      </c>
      <c r="B78" s="18">
        <f ref="B78:F78" si="28" t="shared">B21/B$57</f>
        <v>4.1336843381952156E-2</v>
      </c>
      <c r="C78" s="18">
        <f si="28" t="shared"/>
        <v>0.10544218442287133</v>
      </c>
      <c r="D78" s="18">
        <f si="28" t="shared"/>
        <v>2.7620523234336315E-3</v>
      </c>
      <c r="E78" s="18">
        <f si="28" t="shared"/>
        <v>2.8160900039011193E-4</v>
      </c>
      <c r="F78" s="18">
        <f si="28" t="shared"/>
        <v>2.743661582452064E-2</v>
      </c>
      <c r="G78" s="18"/>
      <c r="H78" s="12">
        <v>0.27083333333333331</v>
      </c>
      <c r="I78" s="18">
        <f ref="I78:M78" si="29" t="shared">I21/I$57</f>
        <v>4.1614719059162295E-2</v>
      </c>
      <c r="J78" s="18">
        <f si="29" t="shared"/>
        <v>8.2293862590840844E-2</v>
      </c>
      <c r="K78" s="18">
        <f si="29" t="shared"/>
        <v>2.4816348498953953E-3</v>
      </c>
      <c r="L78" s="18">
        <f si="29" t="shared"/>
        <v>1.4398154302738347E-3</v>
      </c>
      <c r="M78" s="18">
        <f si="29" t="shared"/>
        <v>2.1665404294502713E-2</v>
      </c>
    </row>
    <row r="79" spans="1:13" x14ac:dyDescent="0.25">
      <c r="A79" s="12">
        <v>0.29166666666666669</v>
      </c>
      <c r="B79" s="18">
        <f ref="B79:F79" si="30" t="shared">B22/B$57</f>
        <v>5.3489212726830056E-2</v>
      </c>
      <c r="C79" s="18">
        <f si="30" t="shared"/>
        <v>0.12449340229407486</v>
      </c>
      <c r="D79" s="18">
        <f si="30" t="shared"/>
        <v>2.2561662409133305E-3</v>
      </c>
      <c r="E79" s="18">
        <f si="30" t="shared"/>
        <v>2.2586530445408117E-4</v>
      </c>
      <c r="F79" s="18">
        <f si="30" t="shared"/>
        <v>3.3359418890178301E-2</v>
      </c>
      <c r="G79" s="18"/>
      <c r="H79" s="12">
        <v>0.29166666666666669</v>
      </c>
      <c r="I79" s="18">
        <f ref="I79:M79" si="31" t="shared">I22/I$57</f>
        <v>5.1658985019605821E-2</v>
      </c>
      <c r="J79" s="18">
        <f si="31" t="shared"/>
        <v>8.3080855209125143E-2</v>
      </c>
      <c r="K79" s="18">
        <f si="31" t="shared"/>
        <v>1.9063539259202456E-3</v>
      </c>
      <c r="L79" s="18">
        <f si="31" t="shared"/>
        <v>9.5520352625344095E-4</v>
      </c>
      <c r="M79" s="18">
        <f si="31" t="shared"/>
        <v>2.4279311544454472E-2</v>
      </c>
    </row>
    <row r="80" spans="1:13" x14ac:dyDescent="0.25">
      <c r="A80" s="12">
        <v>0.3125</v>
      </c>
      <c r="B80" s="18">
        <f ref="B80:F80" si="32" t="shared">B23/B$57</f>
        <v>6.7783241917255627E-2</v>
      </c>
      <c r="C80" s="18">
        <f si="32" t="shared"/>
        <v>0.12659014747350938</v>
      </c>
      <c r="D80" s="18">
        <f si="32" t="shared"/>
        <v>1.8302180589686876E-3</v>
      </c>
      <c r="E80" s="18">
        <f si="32" t="shared"/>
        <v>1.5939582954709722E-4</v>
      </c>
      <c r="F80" s="18">
        <f si="32" t="shared"/>
        <v>3.788788538086104E-2</v>
      </c>
      <c r="G80" s="18"/>
      <c r="H80" s="12">
        <v>0.3125</v>
      </c>
      <c r="I80" s="18">
        <f ref="I80:M80" si="33" t="shared">I23/I$57</f>
        <v>6.3771914052398307E-2</v>
      </c>
      <c r="J80" s="18">
        <f si="33" t="shared"/>
        <v>7.8577858912610279E-2</v>
      </c>
      <c r="K80" s="18">
        <f si="33" t="shared"/>
        <v>1.4890960671700279E-3</v>
      </c>
      <c r="L80" s="18">
        <f si="33" t="shared"/>
        <v>6.3837035132773196E-4</v>
      </c>
      <c r="M80" s="18">
        <f si="33" t="shared"/>
        <v>2.7051409895621714E-2</v>
      </c>
    </row>
    <row r="81" spans="1:13" x14ac:dyDescent="0.25">
      <c r="A81" s="12">
        <v>0.33333333333333331</v>
      </c>
      <c r="B81" s="18">
        <f ref="B81:F81" si="34" t="shared">B24/B$57</f>
        <v>8.0716787769106596E-2</v>
      </c>
      <c r="C81" s="18">
        <f si="34" t="shared"/>
        <v>0.11131663188848703</v>
      </c>
      <c r="D81" s="18">
        <f si="34" t="shared"/>
        <v>1.4796512869754187E-3</v>
      </c>
      <c r="E81" s="18">
        <f si="34" t="shared"/>
        <v>9.5277408409543166E-5</v>
      </c>
      <c r="F81" s="18">
        <f si="34" t="shared"/>
        <v>3.9870683999402648E-2</v>
      </c>
      <c r="G81" s="18"/>
      <c r="H81" s="12">
        <v>0.33333333333333331</v>
      </c>
      <c r="I81" s="18">
        <f ref="I81:M81" si="35" t="shared">I24/I$57</f>
        <v>7.5774143456141113E-2</v>
      </c>
      <c r="J81" s="18">
        <f si="35" t="shared"/>
        <v>6.9410414717186314E-2</v>
      </c>
      <c r="K81" s="18">
        <f si="35" t="shared"/>
        <v>1.1746779779682076E-3</v>
      </c>
      <c r="L81" s="18">
        <f si="35" t="shared"/>
        <v>4.2263156736116009E-4</v>
      </c>
      <c r="M81" s="18">
        <f si="35" t="shared"/>
        <v>2.9385035400826123E-2</v>
      </c>
    </row>
    <row r="82" spans="1:13" x14ac:dyDescent="0.25">
      <c r="A82" s="12">
        <v>0.35416666666666669</v>
      </c>
      <c r="B82" s="18">
        <f ref="B82:F82" si="36" t="shared">B25/B$57</f>
        <v>8.8031497663914604E-2</v>
      </c>
      <c r="C82" s="18">
        <f si="36" t="shared"/>
        <v>8.5659346905539807E-2</v>
      </c>
      <c r="D82" s="18">
        <f si="36" t="shared"/>
        <v>1.1939774626988759E-3</v>
      </c>
      <c r="E82" s="18">
        <f si="36" t="shared"/>
        <v>4.7002331019378922E-5</v>
      </c>
      <c r="F82" s="18">
        <f si="36" t="shared"/>
        <v>3.8835339903039834E-2</v>
      </c>
      <c r="G82" s="18"/>
      <c r="H82" s="12">
        <v>0.35416666666666669</v>
      </c>
      <c r="I82" s="18">
        <f ref="I82:M82" si="37" t="shared">I25/I$57</f>
        <v>8.4301311244241589E-2</v>
      </c>
      <c r="J82" s="18">
        <f si="37" t="shared"/>
        <v>5.731241035337848E-2</v>
      </c>
      <c r="K82" s="18">
        <f si="37" t="shared"/>
        <v>9.3181260314719849E-4</v>
      </c>
      <c r="L82" s="18">
        <f si="37" t="shared"/>
        <v>2.7315824939323319E-4</v>
      </c>
      <c r="M82" s="18">
        <f si="37" t="shared"/>
        <v>3.0470466527780939E-2</v>
      </c>
    </row>
    <row r="83" spans="1:13" x14ac:dyDescent="0.25">
      <c r="A83" s="12">
        <v>0.375</v>
      </c>
      <c r="B83" s="18">
        <f ref="B83:F83" si="38" t="shared">B26/B$57</f>
        <v>8.6831021139698303E-2</v>
      </c>
      <c r="C83" s="18">
        <f si="38" t="shared"/>
        <v>5.8953823019829758E-2</v>
      </c>
      <c r="D83" s="18">
        <f si="38" t="shared"/>
        <v>9.5497870030293586E-4</v>
      </c>
      <c r="E83" s="18">
        <f si="38" t="shared"/>
        <v>1.8691110440239305E-5</v>
      </c>
      <c r="F83" s="18">
        <f si="38" t="shared"/>
        <v>3.5023690275670892E-2</v>
      </c>
      <c r="G83" s="18"/>
      <c r="H83" s="12">
        <v>0.375</v>
      </c>
      <c r="I83" s="18">
        <f ref="I83:M83" si="39" t="shared">I26/I$57</f>
        <v>8.6100387381409862E-2</v>
      </c>
      <c r="J83" s="18">
        <f si="39" t="shared"/>
        <v>4.4369881095277224E-2</v>
      </c>
      <c r="K83" s="18">
        <f si="39" t="shared"/>
        <v>7.422134026271131E-4</v>
      </c>
      <c r="L83" s="18">
        <f si="39" t="shared"/>
        <v>1.7184138330150826E-4</v>
      </c>
      <c r="M83" s="18">
        <f si="39" t="shared"/>
        <v>2.9573591602440798E-2</v>
      </c>
    </row>
    <row r="84" spans="1:13" x14ac:dyDescent="0.25">
      <c r="A84" s="12">
        <v>0.39583333333333331</v>
      </c>
      <c r="B84" s="18">
        <f ref="B84:F84" si="40" t="shared">B27/B$57</f>
        <v>7.7234475279552683E-2</v>
      </c>
      <c r="C84" s="18">
        <f si="40" t="shared"/>
        <v>3.7533219069906733E-2</v>
      </c>
      <c r="D84" s="18">
        <f si="40" t="shared"/>
        <v>7.4655814349347657E-4</v>
      </c>
      <c r="E84" s="18">
        <f si="40" t="shared"/>
        <v>5.8275216910295544E-6</v>
      </c>
      <c r="F84" s="18">
        <f si="40" t="shared"/>
        <v>2.9251039857575215E-2</v>
      </c>
      <c r="G84" s="18"/>
      <c r="H84" s="12">
        <v>0.39583333333333331</v>
      </c>
      <c r="I84" s="18">
        <f ref="I84:M84" si="41" t="shared">I27/I$57</f>
        <v>7.9809478318828717E-2</v>
      </c>
      <c r="J84" s="18">
        <f si="41" t="shared"/>
        <v>3.2299244589336189E-2</v>
      </c>
      <c r="K84" s="18">
        <f si="41" t="shared"/>
        <v>5.9346070969109547E-4</v>
      </c>
      <c r="L84" s="18">
        <f si="41" t="shared"/>
        <v>1.0716845494293398E-4</v>
      </c>
      <c r="M84" s="18">
        <f si="41" t="shared"/>
        <v>2.6469091544795695E-2</v>
      </c>
    </row>
    <row r="85" spans="1:13" x14ac:dyDescent="0.25">
      <c r="A85" s="12">
        <v>0.41666666666666669</v>
      </c>
      <c r="B85" s="18">
        <f ref="B85:F85" si="42" t="shared">B28/B$57</f>
        <v>6.2252747571791146E-2</v>
      </c>
      <c r="C85" s="18">
        <f si="42" t="shared"/>
        <v>2.3025547546449039E-2</v>
      </c>
      <c r="D85" s="18">
        <f si="42" t="shared"/>
        <v>5.6356859918115908E-4</v>
      </c>
      <c r="E85" s="18">
        <f si="42" t="shared"/>
        <v>1.3701475778145563E-6</v>
      </c>
      <c r="F85" s="18">
        <f si="42" t="shared"/>
        <v>2.2660760156819379E-2</v>
      </c>
      <c r="G85" s="18"/>
      <c r="H85" s="12">
        <v>0.41666666666666669</v>
      </c>
      <c r="I85" s="18">
        <f ref="I85:M85" si="43" t="shared">I28/I$57</f>
        <v>6.6882884808568854E-2</v>
      </c>
      <c r="J85" s="18">
        <f si="43" t="shared"/>
        <v>2.2132939800477956E-2</v>
      </c>
      <c r="K85" s="18">
        <f si="43" t="shared"/>
        <v>4.7467923352959279E-4</v>
      </c>
      <c r="L85" s="18">
        <f si="43" t="shared"/>
        <v>6.9258411604552681E-5</v>
      </c>
      <c r="M85" s="18">
        <f si="43" t="shared"/>
        <v>2.1671394946862665E-2</v>
      </c>
    </row>
    <row r="86" spans="1:13" x14ac:dyDescent="0.25">
      <c r="A86" s="12">
        <v>0.4375</v>
      </c>
      <c r="B86" s="18">
        <f ref="B86:F86" si="44" t="shared">B29/B$57</f>
        <v>4.6014163840127881E-2</v>
      </c>
      <c r="C86" s="18">
        <f si="44" t="shared"/>
        <v>1.405474858638003E-2</v>
      </c>
      <c r="D86" s="18">
        <f si="44" t="shared"/>
        <v>4.1118976588479678E-4</v>
      </c>
      <c r="E86" s="18">
        <f si="44" t="shared"/>
        <v>2.2832068796068992E-7</v>
      </c>
      <c r="F86" s="18">
        <f si="44" t="shared"/>
        <v>1.6378984574802247E-2</v>
      </c>
      <c r="G86" s="18"/>
      <c r="H86" s="12">
        <v>0.4375</v>
      </c>
      <c r="I86" s="18">
        <f ref="I86:M86" si="45" t="shared">I29/I$57</f>
        <v>5.0849779104919196E-2</v>
      </c>
      <c r="J86" s="18">
        <f si="45" t="shared"/>
        <v>1.4271244880024063E-2</v>
      </c>
      <c r="K86" s="18">
        <f si="45" t="shared"/>
        <v>3.756624265110915E-4</v>
      </c>
      <c r="L86" s="18">
        <f si="45" t="shared"/>
        <v>4.8429511091095599E-5</v>
      </c>
      <c r="M86" s="18">
        <f si="45" t="shared"/>
        <v>1.6226715162598521E-2</v>
      </c>
    </row>
    <row r="87" spans="1:13" x14ac:dyDescent="0.25">
      <c r="A87" s="12">
        <v>0.45833333333333331</v>
      </c>
      <c r="B87" s="18">
        <f ref="B87:F87" si="46" t="shared">B30/B$57</f>
        <v>3.1771031083300837E-2</v>
      </c>
      <c r="C87" s="18">
        <f si="46" t="shared"/>
        <v>8.6130109277955409E-3</v>
      </c>
      <c r="D87" s="18">
        <f si="46" t="shared"/>
        <v>2.9647508638529072E-4</v>
      </c>
      <c r="E87" s="18">
        <f si="46" t="shared"/>
        <v>2.4033756627441042E-8</v>
      </c>
      <c r="F87" s="18">
        <f si="46" t="shared"/>
        <v>1.117978919295976E-2</v>
      </c>
      <c r="G87" s="18"/>
      <c r="H87" s="12">
        <v>0.45833333333333331</v>
      </c>
      <c r="I87" s="18">
        <f ref="I87:M87" si="47" t="shared">I30/I$57</f>
        <v>3.5478075290509413E-2</v>
      </c>
      <c r="J87" s="18">
        <f si="47" t="shared"/>
        <v>8.66508248808949E-3</v>
      </c>
      <c r="K87" s="18">
        <f si="47" t="shared"/>
        <v>2.8907375665111198E-4</v>
      </c>
      <c r="L87" s="18">
        <f si="47" t="shared"/>
        <v>3.6164156322006271E-5</v>
      </c>
      <c r="M87" s="18">
        <f si="47" t="shared"/>
        <v>1.1206131622848755E-2</v>
      </c>
    </row>
    <row r="88" spans="1:13" x14ac:dyDescent="0.25">
      <c r="A88" s="12">
        <v>0.47916666666666669</v>
      </c>
      <c r="B88" s="18">
        <f ref="B88:F88" si="48" t="shared">B31/B$57</f>
        <v>2.0979460153027478E-2</v>
      </c>
      <c r="C88" s="18">
        <f si="48" t="shared"/>
        <v>5.2575086187164515E-3</v>
      </c>
      <c r="D88" s="18">
        <f si="48" t="shared"/>
        <v>2.1975123789906578E-4</v>
      </c>
      <c r="E88" s="18">
        <f si="48" t="shared"/>
        <v>1.2016878313720522E-9</v>
      </c>
      <c r="F88" s="18">
        <f si="48" t="shared"/>
        <v>7.3408446319504815E-3</v>
      </c>
      <c r="G88" s="18"/>
      <c r="H88" s="12">
        <v>0.47916666666666669</v>
      </c>
      <c r="I88" s="18">
        <f ref="I88:M88" si="49" t="shared">I31/I$57</f>
        <v>2.320307070662379E-2</v>
      </c>
      <c r="J88" s="18">
        <f si="49" t="shared"/>
        <v>4.9849880717592323E-3</v>
      </c>
      <c r="K88" s="18">
        <f si="49" t="shared"/>
        <v>2.1287530917644783E-4</v>
      </c>
      <c r="L88" s="18">
        <f si="49" t="shared"/>
        <v>2.684019606458529E-5</v>
      </c>
      <c r="M88" s="18">
        <f si="49" t="shared"/>
        <v>7.2733893868971748E-3</v>
      </c>
    </row>
    <row r="89" spans="1:13" x14ac:dyDescent="0.25">
      <c r="A89" s="12">
        <v>0.5</v>
      </c>
      <c r="B89" s="18">
        <f ref="B89:F89" si="50" t="shared">B32/B$57</f>
        <v>1.3581301936224725E-2</v>
      </c>
      <c r="C89" s="18">
        <f si="50" t="shared"/>
        <v>3.1810388254415716E-3</v>
      </c>
      <c r="D89" s="18">
        <f si="50" t="shared"/>
        <v>1.7206300765138882E-4</v>
      </c>
      <c r="E89" s="18">
        <f si="50" t="shared"/>
        <v>0</v>
      </c>
      <c r="F89" s="18">
        <f si="50" t="shared"/>
        <v>4.7392760445188571E-3</v>
      </c>
      <c r="G89" s="18"/>
      <c r="H89" s="12">
        <v>0.5</v>
      </c>
      <c r="I89" s="18">
        <f ref="I89:M89" si="51" t="shared">I32/I$57</f>
        <v>1.468308033373055E-2</v>
      </c>
      <c r="J89" s="18">
        <f si="51" t="shared"/>
        <v>2.7634284206980541E-3</v>
      </c>
      <c r="K89" s="18">
        <f si="51" t="shared"/>
        <v>1.4980174365465538E-4</v>
      </c>
      <c r="L89" s="18">
        <f si="51" t="shared"/>
        <v>1.8348346456608466E-5</v>
      </c>
      <c r="M89" s="18">
        <f si="51" t="shared"/>
        <v>4.5715469868395911E-3</v>
      </c>
    </row>
    <row r="90" spans="1:13" x14ac:dyDescent="0.25">
      <c r="A90" s="12">
        <v>0.52083333333333337</v>
      </c>
      <c r="B90" s="18">
        <f ref="B90:F90" si="52" t="shared">B33/B$57</f>
        <v>8.7883642627582682E-3</v>
      </c>
      <c r="C90" s="18">
        <f si="52" t="shared"/>
        <v>1.9314740229744787E-3</v>
      </c>
      <c r="D90" s="18">
        <f si="52" t="shared"/>
        <v>1.3977262313015688E-4</v>
      </c>
      <c r="E90" s="18">
        <f si="52" t="shared"/>
        <v>0</v>
      </c>
      <c r="F90" s="18">
        <f si="52" t="shared"/>
        <v>3.0650255233043004E-3</v>
      </c>
      <c r="G90" s="18"/>
      <c r="H90" s="12">
        <v>0.52083333333333337</v>
      </c>
      <c r="I90" s="18">
        <f ref="I90:M90" si="53" t="shared">I33/I$57</f>
        <v>9.3212952496575154E-3</v>
      </c>
      <c r="J90" s="18">
        <f si="53" t="shared"/>
        <v>1.5223163165287679E-3</v>
      </c>
      <c r="K90" s="18">
        <f si="53" t="shared"/>
        <v>1.0356622665287647E-4</v>
      </c>
      <c r="L90" s="18">
        <f si="53" t="shared"/>
        <v>1.0975597923599549E-5</v>
      </c>
      <c r="M90" s="18">
        <f si="53" t="shared"/>
        <v>2.8833444778063196E-3</v>
      </c>
    </row>
    <row r="91" spans="1:13" x14ac:dyDescent="0.25">
      <c r="A91" s="12">
        <v>0.54166666666666663</v>
      </c>
      <c r="B91" s="18">
        <f ref="B91:F91" si="54" t="shared">B34/B$57</f>
        <v>5.72708690869843E-3</v>
      </c>
      <c r="C91" s="18">
        <f si="54" t="shared"/>
        <v>1.215869440450292E-3</v>
      </c>
      <c r="D91" s="18">
        <f si="54" t="shared"/>
        <v>1.1227277297380364E-4</v>
      </c>
      <c r="E91" s="18">
        <f si="54" t="shared"/>
        <v>0</v>
      </c>
      <c r="F91" s="18">
        <f si="54" t="shared"/>
        <v>2.0025196613177609E-3</v>
      </c>
      <c r="G91" s="18"/>
      <c r="H91" s="12">
        <v>0.54166666666666663</v>
      </c>
      <c r="I91" s="18">
        <f ref="I91:M91" si="55" t="shared">I34/I$57</f>
        <v>6.0771363809780377E-3</v>
      </c>
      <c r="J91" s="18">
        <f si="55" t="shared"/>
        <v>8.6727848758700384E-4</v>
      </c>
      <c r="K91" s="18">
        <f si="55" t="shared"/>
        <v>7.4709440996554072E-5</v>
      </c>
      <c r="L91" s="18">
        <f si="55" t="shared"/>
        <v>5.5668818216058446E-6</v>
      </c>
      <c r="M91" s="18">
        <f si="55" t="shared"/>
        <v>1.8710039551573397E-3</v>
      </c>
    </row>
    <row r="92" spans="1:13" x14ac:dyDescent="0.25">
      <c r="A92" s="12">
        <v>0.5625</v>
      </c>
      <c r="B92" s="18">
        <f ref="B92:F92" si="56" t="shared">B35/B$57</f>
        <v>3.7412274508674321E-3</v>
      </c>
      <c r="C92" s="18">
        <f si="56" t="shared"/>
        <v>8.2135697449221823E-4</v>
      </c>
      <c r="D92" s="18">
        <f si="56" t="shared"/>
        <v>8.6335755886737133E-5</v>
      </c>
      <c r="E92" s="18">
        <f si="56" t="shared"/>
        <v>0</v>
      </c>
      <c r="F92" s="18">
        <f si="56" t="shared"/>
        <v>1.3179249410073782E-3</v>
      </c>
      <c r="G92" s="18"/>
      <c r="H92" s="12">
        <v>0.5625</v>
      </c>
      <c r="I92" s="18">
        <f ref="I92:M92" si="57" t="shared">I35/I$57</f>
        <v>4.0509642988714577E-3</v>
      </c>
      <c r="J92" s="18">
        <f si="57" t="shared"/>
        <v>5.2725651051566396E-4</v>
      </c>
      <c r="K92" s="18">
        <f si="57" t="shared"/>
        <v>5.9290817860519729E-5</v>
      </c>
      <c r="L92" s="18">
        <f si="57" t="shared"/>
        <v>2.3397695968940668E-6</v>
      </c>
      <c r="M92" s="18">
        <f si="57" t="shared"/>
        <v>1.2471121816907656E-3</v>
      </c>
    </row>
    <row r="93" spans="1:13" x14ac:dyDescent="0.25">
      <c r="A93" s="12">
        <v>0.58333333333333337</v>
      </c>
      <c r="B93" s="18">
        <f ref="B93:F93" si="58" t="shared">B36/B$57</f>
        <v>2.4297489187196228E-3</v>
      </c>
      <c r="C93" s="18">
        <f si="58" t="shared"/>
        <v>5.912656049352603E-4</v>
      </c>
      <c r="D93" s="18">
        <f si="58" t="shared"/>
        <v>6.3914617293387194E-5</v>
      </c>
      <c r="E93" s="18">
        <f si="58" t="shared"/>
        <v>0</v>
      </c>
      <c r="F93" s="18">
        <f si="58" t="shared"/>
        <v>8.6698045092694742E-4</v>
      </c>
      <c r="G93" s="18"/>
      <c r="H93" s="12">
        <v>0.58333333333333337</v>
      </c>
      <c r="I93" s="18">
        <f ref="I93:M93" si="59" t="shared">I36/I$57</f>
        <v>2.6992631453659249E-3</v>
      </c>
      <c r="J93" s="18">
        <f si="59" t="shared"/>
        <v>3.4432019140385252E-4</v>
      </c>
      <c r="K93" s="18">
        <f si="59" t="shared"/>
        <v>5.0952862484537107E-5</v>
      </c>
      <c r="L93" s="18">
        <f si="59" t="shared"/>
        <v>7.9676168418215355E-7</v>
      </c>
      <c r="M93" s="18">
        <f si="59" t="shared"/>
        <v>8.3641855335753797E-4</v>
      </c>
    </row>
    <row r="94" spans="1:13" x14ac:dyDescent="0.25">
      <c r="A94" s="12">
        <v>0.60416666666666663</v>
      </c>
      <c r="B94" s="18">
        <f ref="B94:F94" si="60" t="shared">B37/B$57</f>
        <v>1.5623383355520388E-3</v>
      </c>
      <c r="C94" s="18">
        <f si="60" t="shared"/>
        <v>4.2578862586673585E-4</v>
      </c>
      <c r="D94" s="18">
        <f si="60" t="shared"/>
        <v>4.6848272974732482E-5</v>
      </c>
      <c r="E94" s="18">
        <f si="60" t="shared"/>
        <v>0</v>
      </c>
      <c r="F94" s="18">
        <f si="60" t="shared"/>
        <v>5.659716253266807E-4</v>
      </c>
      <c r="G94" s="18"/>
      <c r="H94" s="12">
        <v>0.60416666666666663</v>
      </c>
      <c r="I94" s="18">
        <f ref="I94:M94" si="61" t="shared">I37/I$57</f>
        <v>1.777745445399118E-3</v>
      </c>
      <c r="J94" s="18">
        <f si="61" t="shared"/>
        <v>2.3853180410370815E-4</v>
      </c>
      <c r="K94" s="18">
        <f si="61" t="shared"/>
        <v>4.4198890386772192E-5</v>
      </c>
      <c r="L94" s="18">
        <f si="61" t="shared"/>
        <v>2.1378450275911908E-7</v>
      </c>
      <c r="M94" s="18">
        <f si="61" t="shared"/>
        <v>5.5778967370021155E-4</v>
      </c>
    </row>
    <row r="95" spans="1:13" x14ac:dyDescent="0.25">
      <c r="A95" s="12">
        <v>0.625</v>
      </c>
      <c r="B95" s="18">
        <f ref="B95:F95" si="62" t="shared">B38/B$57</f>
        <v>9.908929123692645E-4</v>
      </c>
      <c r="C95" s="18">
        <f si="62" t="shared"/>
        <v>2.8352783829030571E-4</v>
      </c>
      <c r="D95" s="18">
        <f si="62" t="shared"/>
        <v>3.4264963479082726E-5</v>
      </c>
      <c r="E95" s="18">
        <f si="62" t="shared"/>
        <v>0</v>
      </c>
      <c r="F95" s="18">
        <f si="62" t="shared"/>
        <v>3.6288006788000348E-4</v>
      </c>
      <c r="G95" s="18"/>
      <c r="H95" s="12">
        <v>0.625</v>
      </c>
      <c r="I95" s="18">
        <f ref="I95:M95" si="63" t="shared">I38/I$57</f>
        <v>1.1836538506695019E-3</v>
      </c>
      <c r="J95" s="18">
        <f si="63" t="shared"/>
        <v>1.7233057439320081E-4</v>
      </c>
      <c r="K95" s="18">
        <f si="63" t="shared"/>
        <v>3.6388725567536321E-5</v>
      </c>
      <c r="L95" s="18">
        <f si="63" t="shared"/>
        <v>4.3440671570658249E-8</v>
      </c>
      <c r="M95" s="18">
        <f si="63" t="shared"/>
        <v>3.7650641617059395E-4</v>
      </c>
    </row>
    <row r="96" spans="1:13" x14ac:dyDescent="0.25">
      <c r="A96" s="12">
        <v>0.64583333333333337</v>
      </c>
      <c r="B96" s="18">
        <f ref="B96:F96" si="64" t="shared">B39/B$57</f>
        <v>6.1043079860481229E-4</v>
      </c>
      <c r="C96" s="18">
        <f si="64" t="shared"/>
        <v>1.644190223011271E-4</v>
      </c>
      <c r="D96" s="18">
        <f si="64" t="shared"/>
        <v>2.4089151283373001E-5</v>
      </c>
      <c r="E96" s="18">
        <f si="64" t="shared"/>
        <v>0</v>
      </c>
      <c r="F96" s="18">
        <f si="64" t="shared"/>
        <v>2.2374828744194935E-4</v>
      </c>
      <c r="G96" s="18"/>
      <c r="H96" s="12">
        <v>0.64583333333333337</v>
      </c>
      <c r="I96" s="18">
        <f ref="I96:M96" si="65" t="shared">I39/I$57</f>
        <v>8.3565157165289058E-4</v>
      </c>
      <c r="J96" s="18">
        <f si="65" t="shared"/>
        <v>1.2711353656370562E-4</v>
      </c>
      <c r="K96" s="18">
        <f si="65" t="shared"/>
        <v>2.7600352976273922E-5</v>
      </c>
      <c r="L96" s="18">
        <f si="65" t="shared"/>
        <v>6.2762193882065484E-9</v>
      </c>
      <c r="M96" s="18">
        <f si="65" t="shared"/>
        <v>2.6739166120735559E-4</v>
      </c>
    </row>
    <row r="97" spans="1:13" x14ac:dyDescent="0.25">
      <c r="A97" s="12">
        <v>0.66666666666666663</v>
      </c>
      <c r="B97" s="18">
        <f ref="B97:F97" si="66" t="shared">B40/B$57</f>
        <v>3.5388113193525602E-4</v>
      </c>
      <c r="C97" s="18">
        <f si="66" t="shared"/>
        <v>7.9794623096072367E-5</v>
      </c>
      <c r="D97" s="18">
        <f si="66" t="shared"/>
        <v>1.5343718911447227E-5</v>
      </c>
      <c r="E97" s="18">
        <f si="66" t="shared"/>
        <v>0</v>
      </c>
      <c r="F97" s="18">
        <f si="66" t="shared"/>
        <v>1.2846562746793544E-4</v>
      </c>
      <c r="G97" s="18"/>
      <c r="H97" s="12">
        <v>0.66666666666666663</v>
      </c>
      <c r="I97" s="18">
        <f ref="I97:M97" si="67" t="shared">I40/I$57</f>
        <v>6.4019305346023553E-4</v>
      </c>
      <c r="J97" s="18">
        <f si="67" t="shared"/>
        <v>9.2753029557457296E-5</v>
      </c>
      <c r="K97" s="18">
        <f si="67" t="shared"/>
        <v>1.9188969294689475E-5</v>
      </c>
      <c r="L97" s="18">
        <f si="67" t="shared"/>
        <v>5.7396837347415755E-10</v>
      </c>
      <c r="M97" s="18">
        <f si="67" t="shared"/>
        <v>2.0332412450023088E-4</v>
      </c>
    </row>
    <row r="98" spans="1:13" x14ac:dyDescent="0.25">
      <c r="A98" s="12">
        <v>0.6875</v>
      </c>
      <c r="B98" s="18">
        <f ref="B98:F98" si="68" t="shared">B41/B$57</f>
        <v>1.8557131916145154E-4</v>
      </c>
      <c r="C98" s="18">
        <f si="68" t="shared"/>
        <v>3.1439281116192284E-5</v>
      </c>
      <c r="D98" s="18">
        <f si="68" t="shared"/>
        <v>8.419639135947519E-6</v>
      </c>
      <c r="E98" s="18">
        <f si="68" t="shared"/>
        <v>0</v>
      </c>
      <c r="F98" s="18">
        <f si="68" t="shared"/>
        <v>6.625875541544095E-5</v>
      </c>
      <c r="G98" s="18"/>
      <c r="H98" s="12">
        <v>0.6875</v>
      </c>
      <c r="I98" s="18">
        <f ref="I98:M98" si="69" t="shared">I41/I$57</f>
        <v>5.1288450795863654E-4</v>
      </c>
      <c r="J98" s="18">
        <f si="69" t="shared"/>
        <v>6.4420483969847417E-5</v>
      </c>
      <c r="K98" s="18">
        <f si="69" t="shared"/>
        <v>1.2359133968165281E-5</v>
      </c>
      <c r="L98" s="18">
        <f si="69" t="shared"/>
        <v>2.4955146672789458E-11</v>
      </c>
      <c r="M98" s="18">
        <f si="69" t="shared"/>
        <v>1.6026448916152148E-4</v>
      </c>
    </row>
    <row r="99" spans="1:13" x14ac:dyDescent="0.25">
      <c r="A99" s="12">
        <v>0.70833333333333337</v>
      </c>
      <c r="B99" s="18">
        <f ref="B99:F99" si="70" t="shared">B42/B$57</f>
        <v>8.4789864564791047E-5</v>
      </c>
      <c r="C99" s="18">
        <f si="70" t="shared"/>
        <v>9.7504942136695831E-6</v>
      </c>
      <c r="D99" s="18">
        <f si="70" t="shared"/>
        <v>3.8417291409082186E-6</v>
      </c>
      <c r="E99" s="18">
        <f si="70" t="shared"/>
        <v>0</v>
      </c>
      <c r="F99" s="18">
        <f si="70" t="shared"/>
        <v>2.9698988588103566E-5</v>
      </c>
      <c r="G99" s="18"/>
      <c r="H99" s="12">
        <v>0.70833333333333337</v>
      </c>
      <c r="I99" s="18">
        <f ref="I99:M99" si="71" t="shared">I42/I$57</f>
        <v>4.0278602198903318E-4</v>
      </c>
      <c r="J99" s="18">
        <f si="71" t="shared"/>
        <v>4.1066021346655214E-5</v>
      </c>
      <c r="K99" s="18">
        <f si="71" t="shared"/>
        <v>7.517992947578126E-6</v>
      </c>
      <c r="L99" s="18">
        <f si="71" t="shared"/>
        <v>0</v>
      </c>
      <c r="M99" s="18">
        <f si="71" t="shared"/>
        <v>1.2371804936609822E-4</v>
      </c>
    </row>
    <row r="100" spans="1:13" x14ac:dyDescent="0.25">
      <c r="A100" s="12">
        <v>0.72916666666666663</v>
      </c>
      <c r="B100" s="18">
        <f ref="B100:F100" si="72" t="shared">B43/B$57</f>
        <v>3.2682511889689446E-5</v>
      </c>
      <c r="C100" s="18">
        <f si="72" t="shared"/>
        <v>2.285925435469474E-6</v>
      </c>
      <c r="D100" s="18">
        <f si="72" t="shared"/>
        <v>1.4176844920777016E-6</v>
      </c>
      <c r="E100" s="18">
        <f si="72" t="shared"/>
        <v>0</v>
      </c>
      <c r="F100" s="18">
        <f si="72" t="shared"/>
        <v>1.1233620979350561E-5</v>
      </c>
      <c r="G100" s="18"/>
      <c r="H100" s="12">
        <v>0.72916666666666663</v>
      </c>
      <c r="I100" s="18">
        <f ref="I100:M100" si="73" t="shared">I43/I$57</f>
        <v>2.9493303374450929E-4</v>
      </c>
      <c r="J100" s="18">
        <f si="73" t="shared"/>
        <v>2.3330713336410027E-5</v>
      </c>
      <c r="K100" s="18">
        <f si="73" t="shared"/>
        <v>4.3937555394750558E-6</v>
      </c>
      <c r="L100" s="18">
        <f si="73" t="shared"/>
        <v>0</v>
      </c>
      <c r="M100" s="18">
        <f si="73" t="shared"/>
        <v>8.9310530530060405E-5</v>
      </c>
    </row>
    <row r="101" spans="1:13" x14ac:dyDescent="0.25">
      <c r="A101" s="12">
        <v>0.75</v>
      </c>
      <c r="B101" s="18">
        <f ref="B101:F101" si="74" t="shared">B44/B$57</f>
        <v>1.0312182855647755E-5</v>
      </c>
      <c r="C101" s="18">
        <f si="74" t="shared"/>
        <v>3.8040886365079781E-7</v>
      </c>
      <c r="D101" s="18">
        <f si="74" t="shared"/>
        <v>4.1103663328143058E-7</v>
      </c>
      <c r="E101" s="18">
        <f si="74" t="shared"/>
        <v>0</v>
      </c>
      <c r="F101" s="18">
        <f si="74" t="shared"/>
        <v>3.4842778692343523E-6</v>
      </c>
      <c r="G101" s="18"/>
      <c r="H101" s="12">
        <v>0.75</v>
      </c>
      <c r="I101" s="18">
        <f ref="I101:M101" si="75" t="shared">I44/I$57</f>
        <v>1.9602492483818839E-4</v>
      </c>
      <c r="J101" s="18">
        <f si="75" t="shared"/>
        <v>1.1539165933292139E-5</v>
      </c>
      <c r="K101" s="18">
        <f si="75" t="shared"/>
        <v>2.4678768254455036E-6</v>
      </c>
      <c r="L101" s="18">
        <f si="75" t="shared"/>
        <v>0</v>
      </c>
      <c r="M101" s="18">
        <f si="75" t="shared"/>
        <v>5.8715275753433206E-5</v>
      </c>
    </row>
    <row r="102" spans="1:13" x14ac:dyDescent="0.25">
      <c r="A102" s="12">
        <v>0.77083333333333337</v>
      </c>
      <c r="B102" s="18">
        <f ref="B102:F102" si="76" t="shared">B45/B$57</f>
        <v>2.5763441742442269E-6</v>
      </c>
      <c r="C102" s="18">
        <f si="76" t="shared"/>
        <v>4.0025097406637844E-8</v>
      </c>
      <c r="D102" s="18">
        <f si="76" t="shared"/>
        <v>9.0057152408083076E-8</v>
      </c>
      <c r="E102" s="18">
        <f si="76" t="shared"/>
        <v>0</v>
      </c>
      <c r="F102" s="18">
        <f si="76" t="shared"/>
        <v>8.5742894206031668E-7</v>
      </c>
      <c r="G102" s="18"/>
      <c r="H102" s="12">
        <v>0.77083333333333337</v>
      </c>
      <c r="I102" s="18">
        <f ref="I102:M102" si="77" t="shared">I45/I$57</f>
        <v>1.1729551963744941E-4</v>
      </c>
      <c r="J102" s="18">
        <f si="77" t="shared"/>
        <v>4.8661864364450519E-6</v>
      </c>
      <c r="K102" s="18">
        <f si="77" t="shared"/>
        <v>1.3013636709386039E-6</v>
      </c>
      <c r="L102" s="18">
        <f si="77" t="shared"/>
        <v>0</v>
      </c>
      <c r="M102" s="18">
        <f si="77" t="shared"/>
        <v>3.4833359736975075E-5</v>
      </c>
    </row>
    <row r="103" spans="1:13" x14ac:dyDescent="0.25">
      <c r="A103" s="12">
        <v>0.79166666666666663</v>
      </c>
      <c r="B103" s="18">
        <f ref="B103:F103" si="78" t="shared">B46/B$57</f>
        <v>4.8783083907713703E-7</v>
      </c>
      <c r="C103" s="18">
        <f si="78" t="shared"/>
        <v>2.001254870331892E-9</v>
      </c>
      <c r="D103" s="18">
        <f si="78" t="shared"/>
        <v>1.4016762750572532E-8</v>
      </c>
      <c r="E103" s="18">
        <f si="78" t="shared"/>
        <v>0</v>
      </c>
      <c r="F103" s="18">
        <f si="78" t="shared"/>
        <v>1.6016347892355553E-7</v>
      </c>
      <c r="G103" s="18"/>
      <c r="H103" s="12">
        <v>0.79166666666666663</v>
      </c>
      <c r="I103" s="18">
        <f ref="I103:M103" si="79" t="shared">I46/I$57</f>
        <v>6.387083830937962E-5</v>
      </c>
      <c r="J103" s="18">
        <f si="79" t="shared"/>
        <v>1.7123262285717569E-6</v>
      </c>
      <c r="K103" s="18">
        <f si="79" t="shared"/>
        <v>6.1962135721779465E-7</v>
      </c>
      <c r="L103" s="18">
        <f si="79" t="shared"/>
        <v>0</v>
      </c>
      <c r="M103" s="18">
        <f si="79" t="shared"/>
        <v>1.8825230335474015E-5</v>
      </c>
    </row>
    <row r="104" spans="1:13" x14ac:dyDescent="0.25">
      <c r="A104" s="12">
        <v>0.8125</v>
      </c>
      <c r="B104" s="18">
        <f ref="B104:F104" si="80" t="shared">B47/B$57</f>
        <v>6.5480609539244336E-8</v>
      </c>
      <c r="C104" s="18">
        <f si="80" t="shared"/>
        <v>0</v>
      </c>
      <c r="D104" s="18">
        <f si="80" t="shared"/>
        <v>1.3813975120921417E-9</v>
      </c>
      <c r="E104" s="18">
        <f si="80" t="shared"/>
        <v>0</v>
      </c>
      <c r="F104" s="18">
        <f si="80" t="shared"/>
        <v>2.1218275829253815E-8</v>
      </c>
      <c r="G104" s="18"/>
      <c r="H104" s="12">
        <v>0.8125</v>
      </c>
      <c r="I104" s="18">
        <f ref="I104:M104" si="81" t="shared">I47/I$57</f>
        <v>3.2807737886731988E-5</v>
      </c>
      <c r="J104" s="18">
        <f si="81" t="shared"/>
        <v>4.8996272353063782E-7</v>
      </c>
      <c r="K104" s="18">
        <f si="81" t="shared"/>
        <v>2.5544662113142844E-7</v>
      </c>
      <c r="L104" s="18">
        <f si="81" t="shared"/>
        <v>0</v>
      </c>
      <c r="M104" s="18">
        <f si="81" t="shared"/>
        <v>9.596496814985162E-6</v>
      </c>
    </row>
    <row r="105" spans="1:13" x14ac:dyDescent="0.25">
      <c r="A105" s="12">
        <v>0.83333333333333337</v>
      </c>
      <c r="B105" s="18">
        <f ref="B105:F105" si="82" t="shared">B48/B$57</f>
        <v>5.5230764663078083E-9</v>
      </c>
      <c r="C105" s="18">
        <f si="82" t="shared"/>
        <v>0</v>
      </c>
      <c r="D105" s="18">
        <f si="82" t="shared"/>
        <v>6.4815178529858591E-11</v>
      </c>
      <c r="E105" s="18">
        <f si="82" t="shared"/>
        <v>0</v>
      </c>
      <c r="F105" s="18">
        <f si="82" t="shared"/>
        <v>1.7641733970237185E-9</v>
      </c>
      <c r="G105" s="18"/>
      <c r="H105" s="12">
        <v>0.83333333333333337</v>
      </c>
      <c r="I105" s="18">
        <f ref="I105:M105" si="83" t="shared">I48/I$57</f>
        <v>1.68419147594971E-5</v>
      </c>
      <c r="J105" s="18">
        <f si="83" t="shared"/>
        <v>1.1017742254681049E-7</v>
      </c>
      <c r="K105" s="18">
        <f si="83" t="shared"/>
        <v>8.7665454205410906E-8</v>
      </c>
      <c r="L105" s="18">
        <f si="83" t="shared"/>
        <v>0</v>
      </c>
      <c r="M105" s="18">
        <f si="83" t="shared"/>
        <v>4.8886238047757547E-6</v>
      </c>
    </row>
    <row r="106" spans="1:13" x14ac:dyDescent="0.25">
      <c r="A106" s="12">
        <v>0.85416666666666663</v>
      </c>
      <c r="B106" s="18">
        <f ref="B106:F106" si="84" t="shared">B49/B$57</f>
        <v>2.1862515018614121E-10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6.8566568409596974E-11</v>
      </c>
      <c r="G106" s="18"/>
      <c r="H106" s="12">
        <v>0.85416666666666663</v>
      </c>
      <c r="I106" s="18">
        <f ref="I106:M106" si="85" t="shared">I49/I$57</f>
        <v>9.0016403880594066E-6</v>
      </c>
      <c r="J106" s="18">
        <f si="85" t="shared"/>
        <v>1.8534519680771857E-8</v>
      </c>
      <c r="K106" s="18">
        <f si="85" t="shared"/>
        <v>2.4082064111208644E-8</v>
      </c>
      <c r="L106" s="18">
        <f si="85" t="shared"/>
        <v>0</v>
      </c>
      <c r="M106" s="18">
        <f si="85" t="shared"/>
        <v>2.5964761477839205E-6</v>
      </c>
    </row>
    <row r="107" spans="1:13" x14ac:dyDescent="0.25">
      <c r="A107" s="12">
        <v>0.875</v>
      </c>
      <c r="B107" s="18">
        <f ref="B107:F107" si="86" t="shared">B50/B$57</f>
        <v>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0</v>
      </c>
      <c r="G107" s="18"/>
      <c r="H107" s="12">
        <v>0.875</v>
      </c>
      <c r="I107" s="18">
        <f ref="I107:M107" si="87" t="shared">I50/I$57</f>
        <v>4.8965542993872315E-6</v>
      </c>
      <c r="J107" s="18">
        <f si="87" t="shared"/>
        <v>2.1566155470235256E-9</v>
      </c>
      <c r="K107" s="18">
        <f si="87" t="shared"/>
        <v>5.0556304585742676E-9</v>
      </c>
      <c r="L107" s="18">
        <f si="87" t="shared"/>
        <v>0</v>
      </c>
      <c r="M107" s="18">
        <f si="87" t="shared"/>
        <v>1.4072339694611884E-6</v>
      </c>
    </row>
    <row r="108" spans="1:13" x14ac:dyDescent="0.2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2.531204938041552E-6</v>
      </c>
      <c r="J108" s="18">
        <f si="89" t="shared"/>
        <v>1.5025600122704892E-10</v>
      </c>
      <c r="K108" s="18">
        <f si="89" t="shared"/>
        <v>7.5875559565269089E-10</v>
      </c>
      <c r="L108" s="18">
        <f si="89" t="shared"/>
        <v>0</v>
      </c>
      <c r="M108" s="18">
        <f si="89" t="shared"/>
        <v>7.2634892391938751E-7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1.1660433579718007E-6</v>
      </c>
      <c r="J109" s="18">
        <f si="91" t="shared"/>
        <v>4.4192941537367325E-12</v>
      </c>
      <c r="K109" s="18">
        <f si="91" t="shared"/>
        <v>7.2340728512932603E-11</v>
      </c>
      <c r="L109" s="18">
        <f si="91" t="shared"/>
        <v>0</v>
      </c>
      <c r="M109" s="18">
        <f si="91" t="shared"/>
        <v>3.3444865502480163E-7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4.5825068967789421E-7</v>
      </c>
      <c r="J110" s="18">
        <f si="93" t="shared"/>
        <v>0</v>
      </c>
      <c r="K110" s="18">
        <f si="93" t="shared"/>
        <v>3.2882149324060277E-12</v>
      </c>
      <c r="L110" s="18">
        <f si="93" t="shared"/>
        <v>0</v>
      </c>
      <c r="M110" s="18">
        <f si="93" t="shared"/>
        <v>1.3142329181917022E-7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1.4875341714582756E-7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4.2660926566391513E-8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3.7618855853504919E-8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1.0788694995186239E-8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ignoredErrors>
    <ignoredError formulaRange="1" sqref="F8:F57 M8:M57"/>
  </ignoredErrors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 zoomScaleNormal="100">
      <selection activeCell="T3" sqref="T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422.0</v>
      </c>
      <c r="N8" s="9" t="n">
        <v>77.0</v>
      </c>
      <c r="O8" s="9" t="n">
        <v>0.0</v>
      </c>
      <c r="P8" s="9" t="n">
        <v>0.0</v>
      </c>
      <c r="Q8" s="9" t="n">
        <v>34.0</v>
      </c>
      <c r="R8" s="9" t="n">
        <v>16.0</v>
      </c>
      <c r="S8" s="9" t="n">
        <v>0.0</v>
      </c>
      <c r="T8" s="9" t="n">
        <v>0.0</v>
      </c>
      <c r="U8">
        <f>SUM(M8:T8)</f>
        <v>681</v>
      </c>
      <c r="W8" s="5"/>
      <c r="X8" s="16"/>
      <c r="Y8" s="16"/>
      <c r="Z8" s="5"/>
    </row>
    <row r="9" spans="1:26" x14ac:dyDescent="0.25">
      <c r="A9" s="12">
        <v>0.125</v>
      </c>
      <c r="B9" s="6" t="n">
        <v>789.8123075165902</v>
      </c>
      <c r="C9" s="6" t="n">
        <v>64.56757175684356</v>
      </c>
      <c r="D9" s="6" t="n">
        <v>0.3858891615085602</v>
      </c>
      <c r="E9" s="6" t="n">
        <v>40.114339554417604</v>
      </c>
      <c r="F9" s="6" t="n">
        <v>34.79578884454346</v>
      </c>
      <c r="G9" s="6" t="n">
        <v>0.0</v>
      </c>
      <c r="H9" s="6" t="n">
        <v>0.003055493545532227</v>
      </c>
      <c r="I9" s="6" t="n">
        <v>0.0</v>
      </c>
      <c r="J9" s="6">
        <f ref="J9:J58" si="0" t="shared">SUM(B9:I9)</f>
        <v>929.67895232744888</v>
      </c>
      <c r="L9" s="12">
        <v>0.125</v>
      </c>
      <c r="M9" s="9" t="n">
        <v>1726.978217124939</v>
      </c>
      <c r="N9" s="9" t="n">
        <v>105.51309108734131</v>
      </c>
      <c r="O9" s="9" t="n">
        <v>0.0</v>
      </c>
      <c r="P9" s="9" t="n">
        <v>0.0</v>
      </c>
      <c r="Q9" s="9" t="n">
        <v>31.155620574951172</v>
      </c>
      <c r="R9" s="9" t="n">
        <v>11.187298774719238</v>
      </c>
      <c r="S9" s="9" t="n">
        <v>0.0</v>
      </c>
      <c r="T9" s="9" t="n">
        <v>0.0</v>
      </c>
      <c r="U9">
        <f ref="U9:U58" si="1" t="shared">SUM(M9:T9)</f>
        <v>2761.2332191467285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1979.8334195475245</v>
      </c>
      <c r="C10" s="6" t="n">
        <v>153.72635201621722</v>
      </c>
      <c r="D10" s="6" t="n">
        <v>1.4450965215320586</v>
      </c>
      <c r="E10" s="6" t="n">
        <v>87.44623872666644</v>
      </c>
      <c r="F10" s="6" t="n">
        <v>64.29618765049743</v>
      </c>
      <c r="G10" s="6" t="n">
        <v>0.0</v>
      </c>
      <c r="H10" s="6" t="n">
        <v>0.029027188682556153</v>
      </c>
      <c r="I10" s="6" t="n">
        <v>0.0</v>
      </c>
      <c r="J10" s="6">
        <f si="0" t="shared"/>
        <v>2286.7763216511198</v>
      </c>
      <c r="L10" s="12">
        <v>0.14583333333333334</v>
      </c>
      <c r="M10" s="9" t="n">
        <v>3203.162787437439</v>
      </c>
      <c r="N10" s="9" t="n">
        <v>155.48511695861816</v>
      </c>
      <c r="O10" s="9" t="n">
        <v>0.0</v>
      </c>
      <c r="P10" s="9" t="n">
        <v>0.0</v>
      </c>
      <c r="Q10" s="9" t="n">
        <v>32.64953327178955</v>
      </c>
      <c r="R10" s="9" t="n">
        <v>7.3512420654296875</v>
      </c>
      <c r="S10" s="9" t="n">
        <v>0.0</v>
      </c>
      <c r="T10" s="9" t="n">
        <v>0.0</v>
      </c>
      <c r="U10">
        <f si="1" t="shared"/>
        <v>4947.3552227020264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4048.627030882507</v>
      </c>
      <c r="C11" s="6" t="n">
        <v>295.52587078070064</v>
      </c>
      <c r="D11" s="6" t="n">
        <v>4.318924808445931</v>
      </c>
      <c r="E11" s="6" t="n">
        <v>148.14278583951375</v>
      </c>
      <c r="F11" s="6" t="n">
        <v>86.27862120456219</v>
      </c>
      <c r="G11" s="6" t="n">
        <v>0.0</v>
      </c>
      <c r="H11" s="6" t="n">
        <v>0.1741631320953369</v>
      </c>
      <c r="I11" s="6" t="n">
        <v>0.0</v>
      </c>
      <c r="J11" s="6">
        <f si="0" t="shared"/>
        <v>4583.0673966478253</v>
      </c>
      <c r="L11" s="12">
        <v>0.16666666666666666</v>
      </c>
      <c r="M11" s="9" t="n">
        <v>5232.373814582825</v>
      </c>
      <c r="N11" s="9" t="n">
        <v>258.02573585510254</v>
      </c>
      <c r="O11" s="9" t="n">
        <v>0.0</v>
      </c>
      <c r="P11" s="9" t="n">
        <v>0.0</v>
      </c>
      <c r="Q11" s="9" t="n">
        <v>43.95608329772949</v>
      </c>
      <c r="R11" s="9" t="n">
        <v>5.23225212097168</v>
      </c>
      <c r="S11" s="9" t="n">
        <v>0.0</v>
      </c>
      <c r="T11" s="9" t="n">
        <v>0.0</v>
      </c>
      <c r="U11">
        <f si="1" t="shared"/>
        <v>7599.8984785079956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7567.3155425872055</v>
      </c>
      <c r="C12" s="6" t="n">
        <v>528.3321941129141</v>
      </c>
      <c r="D12" s="6" t="n">
        <v>10.982981260622024</v>
      </c>
      <c r="E12" s="6" t="n">
        <v>228.60626036307335</v>
      </c>
      <c r="F12" s="6" t="n">
        <v>104.50088427221775</v>
      </c>
      <c r="G12" s="6" t="n">
        <v>5.27159423828125E-5</v>
      </c>
      <c r="H12" s="6" t="n">
        <v>0.7401933114051819</v>
      </c>
      <c r="I12" s="6" t="n">
        <v>0.0</v>
      </c>
      <c r="J12" s="6">
        <f si="0" t="shared"/>
        <v>8440.4781086233816</v>
      </c>
      <c r="L12" s="12">
        <v>0.1875</v>
      </c>
      <c r="M12" s="9" t="n">
        <v>8486.495332717896</v>
      </c>
      <c r="N12" s="9" t="n">
        <v>460.0185194015503</v>
      </c>
      <c r="O12" s="9" t="n">
        <v>0.0</v>
      </c>
      <c r="P12" s="9" t="n">
        <v>0.0</v>
      </c>
      <c r="Q12" s="9" t="n">
        <v>72.73409843444824</v>
      </c>
      <c r="R12" s="9" t="n">
        <v>5.338003158569336</v>
      </c>
      <c r="S12" s="9" t="n">
        <v>0.0</v>
      </c>
      <c r="T12" s="9" t="n">
        <v>0.0</v>
      </c>
      <c r="U12">
        <f si="1" t="shared"/>
        <v>11431.094120979309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13072.661156650904</v>
      </c>
      <c r="C13" s="6" t="n">
        <v>904.540900628788</v>
      </c>
      <c r="D13" s="6" t="n">
        <v>24.28065133639336</v>
      </c>
      <c r="E13" s="6" t="n">
        <v>335.47644256719013</v>
      </c>
      <c r="F13" s="6" t="n">
        <v>129.14724930430796</v>
      </c>
      <c r="G13" s="6" t="n">
        <v>0.0010543188476562501</v>
      </c>
      <c r="H13" s="6" t="n">
        <v>2.3686185964965825</v>
      </c>
      <c r="I13" s="6" t="n">
        <v>0.0</v>
      </c>
      <c r="J13" s="6">
        <f si="0" t="shared"/>
        <v>14468.476073402928</v>
      </c>
      <c r="L13" s="12">
        <v>0.20833333333333334</v>
      </c>
      <c r="M13" s="9" t="n">
        <v>13760.488293647766</v>
      </c>
      <c r="N13" s="9" t="n">
        <v>819.4699907302856</v>
      </c>
      <c r="O13" s="9" t="n">
        <v>0.0</v>
      </c>
      <c r="P13" s="9" t="n">
        <v>0.0</v>
      </c>
      <c r="Q13" s="9" t="n">
        <v>128.65758800506592</v>
      </c>
      <c r="R13" s="9" t="n">
        <v>8.125564575195312</v>
      </c>
      <c r="S13" s="9" t="n">
        <v>0.0</v>
      </c>
      <c r="T13" s="9" t="n">
        <v>0.0</v>
      </c>
      <c r="U13">
        <f si="1" t="shared"/>
        <v>17315.847674369812</v>
      </c>
    </row>
    <row r="14" spans="1:26" x14ac:dyDescent="0.25">
      <c r="A14" s="12">
        <v>0.22916666666666666</v>
      </c>
      <c r="B14" s="6" t="n">
        <v>20756.801434294986</v>
      </c>
      <c r="C14" s="6" t="n">
        <v>1477.1119471055945</v>
      </c>
      <c r="D14" s="6" t="n">
        <v>47.24426666576195</v>
      </c>
      <c r="E14" s="6" t="n">
        <v>469.26242232026095</v>
      </c>
      <c r="F14" s="6" t="n">
        <v>172.6833596256104</v>
      </c>
      <c r="G14" s="6" t="n">
        <v>0.010016029052734375</v>
      </c>
      <c r="H14" s="6" t="n">
        <v>5.921546491241456</v>
      </c>
      <c r="I14" s="6" t="n">
        <v>0.0</v>
      </c>
      <c r="J14" s="6">
        <f si="0" t="shared"/>
        <v>22929.03499253251</v>
      </c>
      <c r="L14" s="12">
        <v>0.22916666666666666</v>
      </c>
      <c r="M14" s="9" t="n">
        <v>21536.973774909973</v>
      </c>
      <c r="N14" s="9" t="n">
        <v>1383.2009029388428</v>
      </c>
      <c r="O14" s="9" t="n">
        <v>0.0</v>
      </c>
      <c r="P14" s="9" t="n">
        <v>0.0</v>
      </c>
      <c r="Q14" s="9" t="n">
        <v>220.3863878250122</v>
      </c>
      <c r="R14" s="9" t="n">
        <v>14.052946090698242</v>
      </c>
      <c r="S14" s="9" t="n">
        <v>0.0</v>
      </c>
      <c r="T14" s="9" t="n">
        <v>0.0</v>
      </c>
      <c r="U14">
        <f si="1" t="shared"/>
        <v>25801.55685710907</v>
      </c>
    </row>
    <row r="15" spans="1:26" x14ac:dyDescent="0.25">
      <c r="A15" s="12">
        <v>0.25</v>
      </c>
      <c r="B15" s="6" t="n">
        <v>30065.445522073733</v>
      </c>
      <c r="C15" s="6" t="n">
        <v>2263.507290157578</v>
      </c>
      <c r="D15" s="6" t="n">
        <v>81.48096424936008</v>
      </c>
      <c r="E15" s="6" t="n">
        <v>615.5245049522505</v>
      </c>
      <c r="F15" s="6" t="n">
        <v>242.50238794688798</v>
      </c>
      <c r="G15" s="6" t="n">
        <v>0.06009617431640624</v>
      </c>
      <c r="H15" s="6" t="n">
        <v>11.84309298248291</v>
      </c>
      <c r="I15" s="6" t="n">
        <v>0.0</v>
      </c>
      <c r="J15" s="6">
        <f si="0" t="shared"/>
        <v>33280.363858536606</v>
      </c>
      <c r="L15" s="12">
        <v>0.25</v>
      </c>
      <c r="M15" s="9" t="n">
        <v>31449.58232498169</v>
      </c>
      <c r="N15" s="9" t="n">
        <v>2150.201340675354</v>
      </c>
      <c r="O15" s="9" t="n">
        <v>0.0</v>
      </c>
      <c r="P15" s="9" t="n">
        <v>0.0</v>
      </c>
      <c r="Q15" s="9" t="n">
        <v>349.45934772491455</v>
      </c>
      <c r="R15" s="9" t="n">
        <v>23.27672290802002</v>
      </c>
      <c r="S15" s="9" t="n">
        <v>0.0</v>
      </c>
      <c r="T15" s="9" t="n">
        <v>0.0</v>
      </c>
      <c r="U15">
        <f si="1" t="shared"/>
        <v>36510.81563949585</v>
      </c>
    </row>
    <row r="16" spans="1:26" x14ac:dyDescent="0.25">
      <c r="A16" s="12">
        <v>0.27083333333333331</v>
      </c>
      <c r="B16" s="6" t="n">
        <v>39476.29805992382</v>
      </c>
      <c r="C16" s="6" t="n">
        <v>3204.2252436510607</v>
      </c>
      <c r="D16" s="6" t="n">
        <v>125.14851678781702</v>
      </c>
      <c r="E16" s="6" t="n">
        <v>745.2530533420687</v>
      </c>
      <c r="F16" s="6" t="n">
        <v>334.73288176864526</v>
      </c>
      <c r="G16" s="6" t="n">
        <v>0.25540874084472653</v>
      </c>
      <c r="H16" s="6" t="n">
        <v>19.245087695318222</v>
      </c>
      <c r="I16" s="6" t="n">
        <v>0.0</v>
      </c>
      <c r="J16" s="6">
        <f si="0" t="shared"/>
        <v>43905.158251909575</v>
      </c>
      <c r="L16" s="12">
        <v>0.27083333333333331</v>
      </c>
      <c r="M16" s="9" t="n">
        <v>41989.33083438873</v>
      </c>
      <c r="N16" s="9" t="n">
        <v>3039.3936338424683</v>
      </c>
      <c r="O16" s="9" t="n">
        <v>0.0</v>
      </c>
      <c r="P16" s="9" t="n">
        <v>0.0</v>
      </c>
      <c r="Q16" s="9" t="n">
        <v>503.8514709472656</v>
      </c>
      <c r="R16" s="9" t="n">
        <v>35.118539810180664</v>
      </c>
      <c r="S16" s="9" t="n">
        <v>0.0</v>
      </c>
      <c r="T16" s="9" t="n">
        <v>0.0</v>
      </c>
      <c r="U16">
        <f si="1" t="shared"/>
        <v>47819.050844192505</v>
      </c>
    </row>
    <row r="17" spans="1:21" x14ac:dyDescent="0.25">
      <c r="A17" s="12">
        <v>0.29166666666666669</v>
      </c>
      <c r="B17" s="6" t="n">
        <v>46773.548086404</v>
      </c>
      <c r="C17" s="6" t="n">
        <v>4148.8403612106</v>
      </c>
      <c r="D17" s="6" t="n">
        <v>171.96588727376653</v>
      </c>
      <c r="E17" s="6" t="n">
        <v>828.9130013104848</v>
      </c>
      <c r="F17" s="6" t="n">
        <v>433.3015804957132</v>
      </c>
      <c r="G17" s="6" t="n">
        <v>0.8174607453804015</v>
      </c>
      <c r="H17" s="6" t="n">
        <v>25.661266771049497</v>
      </c>
      <c r="I17" s="6" t="n">
        <v>0.0</v>
      </c>
      <c r="J17" s="6">
        <f si="0" t="shared"/>
        <v>52383.047644210994</v>
      </c>
      <c r="L17" s="12">
        <v>0.29166666666666669</v>
      </c>
      <c r="M17" s="9" t="n">
        <v>50779.694558143616</v>
      </c>
      <c r="N17" s="9" t="n">
        <v>3888.2267169952393</v>
      </c>
      <c r="O17" s="9" t="n">
        <v>0.0</v>
      </c>
      <c r="P17" s="9" t="n">
        <v>0.0</v>
      </c>
      <c r="Q17" s="9" t="n">
        <v>656.1745433807373</v>
      </c>
      <c r="R17" s="9" t="n">
        <v>47.72955513000488</v>
      </c>
      <c r="S17" s="9" t="n">
        <v>0.0</v>
      </c>
      <c r="T17" s="9" t="n">
        <v>0.0</v>
      </c>
      <c r="U17">
        <f si="1" t="shared"/>
        <v>57160.044911384583</v>
      </c>
    </row>
    <row r="18" spans="1:21" x14ac:dyDescent="0.25">
      <c r="A18" s="12">
        <v>0.3125</v>
      </c>
      <c r="B18" s="6" t="n">
        <v>49880.15561044477</v>
      </c>
      <c r="C18" s="6" t="n">
        <v>4892.570514779832</v>
      </c>
      <c r="D18" s="6" t="n">
        <v>212.64780746558193</v>
      </c>
      <c r="E18" s="6" t="n">
        <v>852.9187081344891</v>
      </c>
      <c r="F18" s="6" t="n">
        <v>515.58839021741</v>
      </c>
      <c r="G18" s="6" t="n">
        <v>2.046508011894226</v>
      </c>
      <c r="H18" s="6" t="n">
        <v>28.23774204378128</v>
      </c>
      <c r="I18" s="6" t="n">
        <v>0.0</v>
      </c>
      <c r="J18" s="6">
        <f si="0" t="shared"/>
        <v>56384.165281097761</v>
      </c>
      <c r="L18" s="12">
        <v>0.3125</v>
      </c>
      <c r="M18" s="9" t="n">
        <v>55445.107825279236</v>
      </c>
      <c r="N18" s="9" t="n">
        <v>4497.603417396545</v>
      </c>
      <c r="O18" s="9" t="n">
        <v>0.0</v>
      </c>
      <c r="P18" s="9" t="n">
        <v>0.0</v>
      </c>
      <c r="Q18" s="9" t="n">
        <v>770.4391088485718</v>
      </c>
      <c r="R18" s="9" t="n">
        <v>58.387667655944824</v>
      </c>
      <c r="S18" s="9" t="n">
        <v>0.0</v>
      </c>
      <c r="T18" s="9" t="n">
        <v>0.0</v>
      </c>
      <c r="U18">
        <f si="1" t="shared"/>
        <v>61976.521085739136</v>
      </c>
    </row>
    <row r="19" spans="1:21" x14ac:dyDescent="0.25">
      <c r="A19" s="12">
        <v>0.33333333333333331</v>
      </c>
      <c r="B19" s="6" t="n">
        <v>47856.43911078453</v>
      </c>
      <c r="C19" s="6" t="n">
        <v>5254.924860728357</v>
      </c>
      <c r="D19" s="6" t="n">
        <v>238.63692376115517</v>
      </c>
      <c r="E19" s="6" t="n">
        <v>823.8226670057411</v>
      </c>
      <c r="F19" s="6" t="n">
        <v>562.4340561363515</v>
      </c>
      <c r="G19" s="6" t="n">
        <v>4.119218874015807</v>
      </c>
      <c r="H19" s="6" t="n">
        <v>25.730257408561712</v>
      </c>
      <c r="I19" s="6" t="n">
        <v>0.0</v>
      </c>
      <c r="J19" s="6">
        <f si="0" t="shared"/>
        <v>54766.107094698717</v>
      </c>
      <c r="L19" s="12">
        <v>0.33333333333333331</v>
      </c>
      <c r="M19" s="9" t="n">
        <v>54669.935998916626</v>
      </c>
      <c r="N19" s="9" t="n">
        <v>4710.762837409973</v>
      </c>
      <c r="O19" s="9" t="n">
        <v>0.0</v>
      </c>
      <c r="P19" s="9" t="n">
        <v>0.0</v>
      </c>
      <c r="Q19" s="9" t="n">
        <v>816.267373085022</v>
      </c>
      <c r="R19" s="9" t="n">
        <v>64.49753952026367</v>
      </c>
      <c r="S19" s="9" t="n">
        <v>0.0</v>
      </c>
      <c r="T19" s="9" t="n">
        <v>0.0</v>
      </c>
      <c r="U19">
        <f si="1" t="shared"/>
        <v>60868.164213180542</v>
      </c>
    </row>
    <row r="20" spans="1:21" x14ac:dyDescent="0.25">
      <c r="A20" s="12">
        <v>0.35416666666666669</v>
      </c>
      <c r="B20" s="6" t="n">
        <v>41414.546662184</v>
      </c>
      <c r="C20" s="6" t="n">
        <v>5160.833458686754</v>
      </c>
      <c r="D20" s="6" t="n">
        <v>246.23444028806023</v>
      </c>
      <c r="E20" s="6" t="n">
        <v>759.2689014089269</v>
      </c>
      <c r="F20" s="6" t="n">
        <v>567.3624488622779</v>
      </c>
      <c r="G20" s="6" t="n">
        <v>6.849482796325684</v>
      </c>
      <c r="H20" s="6" t="n">
        <v>19.54347220255852</v>
      </c>
      <c r="I20" s="6" t="n">
        <v>0.0</v>
      </c>
      <c r="J20" s="6">
        <f si="0" t="shared"/>
        <v>48174.638866428912</v>
      </c>
      <c r="L20" s="12">
        <v>0.35416666666666669</v>
      </c>
      <c r="M20" s="9" t="n">
        <v>48826.49583244324</v>
      </c>
      <c r="N20" s="9" t="n">
        <v>4485.879225730896</v>
      </c>
      <c r="O20" s="9" t="n">
        <v>0.0</v>
      </c>
      <c r="P20" s="9" t="n">
        <v>0.0</v>
      </c>
      <c r="Q20" s="9" t="n">
        <v>783.3127279281616</v>
      </c>
      <c r="R20" s="9" t="n">
        <v>64.8201093673706</v>
      </c>
      <c r="S20" s="9" t="n">
        <v>0.0</v>
      </c>
      <c r="T20" s="9" t="n">
        <v>0.0</v>
      </c>
      <c r="U20">
        <f si="1" t="shared"/>
        <v>54263.878126144409</v>
      </c>
    </row>
    <row r="21" spans="1:21" x14ac:dyDescent="0.25">
      <c r="A21" s="12">
        <v>0.375</v>
      </c>
      <c r="B21" s="6" t="n">
        <v>32562.004105005533</v>
      </c>
      <c r="C21" s="6" t="n">
        <v>4675.885357766666</v>
      </c>
      <c r="D21" s="6" t="n">
        <v>238.71203734210778</v>
      </c>
      <c r="E21" s="6" t="n">
        <v>677.3546313582459</v>
      </c>
      <c r="F21" s="6" t="n">
        <v>539.4000732169895</v>
      </c>
      <c r="G21" s="6" t="n">
        <v>9.802517407627105</v>
      </c>
      <c r="H21" s="6" t="n">
        <v>12.798120521759035</v>
      </c>
      <c r="I21" s="6" t="n">
        <v>0.0</v>
      </c>
      <c r="J21" s="6">
        <f si="0" t="shared"/>
        <v>38715.956842618922</v>
      </c>
      <c r="L21" s="12">
        <v>0.375</v>
      </c>
      <c r="M21" s="9" t="n">
        <v>39773.303411483765</v>
      </c>
      <c r="N21" s="9" t="n">
        <v>3917.5646753311157</v>
      </c>
      <c r="O21" s="9" t="n">
        <v>0.0</v>
      </c>
      <c r="P21" s="9" t="n">
        <v>0.0</v>
      </c>
      <c r="Q21" s="9" t="n">
        <v>686.6678047180176</v>
      </c>
      <c r="R21" s="9" t="n">
        <v>60.15338897705078</v>
      </c>
      <c r="S21" s="9" t="n">
        <v>0.0</v>
      </c>
      <c r="T21" s="9" t="n">
        <v>0.0</v>
      </c>
      <c r="U21">
        <f si="1" t="shared"/>
        <v>44197.270690917969</v>
      </c>
    </row>
    <row r="22" spans="1:21" x14ac:dyDescent="0.25">
      <c r="A22" s="12">
        <v>0.39583333333333331</v>
      </c>
      <c r="B22" s="6" t="n">
        <v>23614.966918001817</v>
      </c>
      <c r="C22" s="6" t="n">
        <v>3971.2538877022157</v>
      </c>
      <c r="D22" s="6" t="n">
        <v>224.74946826981355</v>
      </c>
      <c r="E22" s="6" t="n">
        <v>593.0195919314996</v>
      </c>
      <c r="F22" s="6" t="n">
        <v>496.91281977935887</v>
      </c>
      <c r="G22" s="6" t="n">
        <v>12.992861505195618</v>
      </c>
      <c r="H22" s="6" t="n">
        <v>8.309115339431763</v>
      </c>
      <c r="I22" s="6" t="n">
        <v>0.0</v>
      </c>
      <c r="J22" s="6">
        <f si="0" t="shared"/>
        <v>28922.20466252933</v>
      </c>
      <c r="L22" s="12">
        <v>0.39583333333333331</v>
      </c>
      <c r="M22" s="9" t="n">
        <v>29960.44776535034</v>
      </c>
      <c r="N22" s="9" t="n">
        <v>3191.36420917511</v>
      </c>
      <c r="O22" s="9" t="n">
        <v>0.0</v>
      </c>
      <c r="P22" s="9" t="n">
        <v>0.0</v>
      </c>
      <c r="Q22" s="9" t="n">
        <v>559.2602005004883</v>
      </c>
      <c r="R22" s="9" t="n">
        <v>52.96097278594971</v>
      </c>
      <c r="S22" s="9" t="n">
        <v>0.0</v>
      </c>
      <c r="T22" s="9" t="n">
        <v>0.0</v>
      </c>
      <c r="U22">
        <f si="1" t="shared"/>
        <v>33339.804452896118</v>
      </c>
    </row>
    <row r="23" spans="1:21" x14ac:dyDescent="0.25">
      <c r="A23" s="12">
        <v>0.41666666666666669</v>
      </c>
      <c r="B23" s="6" t="n">
        <v>16251.065491143907</v>
      </c>
      <c r="C23" s="6" t="n">
        <v>3239.3355424101887</v>
      </c>
      <c r="D23" s="6" t="n">
        <v>213.1179492338896</v>
      </c>
      <c r="E23" s="6" t="n">
        <v>519.4365232822029</v>
      </c>
      <c r="F23" s="6" t="n">
        <v>455.8925661996956</v>
      </c>
      <c r="G23" s="6" t="n">
        <v>17.60666975373173</v>
      </c>
      <c r="H23" s="6" t="n">
        <v>7.14379348260784</v>
      </c>
      <c r="I23" s="6" t="n">
        <v>0.0</v>
      </c>
      <c r="J23" s="6">
        <f si="0" t="shared"/>
        <v>20703.598535506218</v>
      </c>
      <c r="L23" s="12">
        <v>0.41666666666666669</v>
      </c>
      <c r="M23" s="9" t="n">
        <v>21410.216898918152</v>
      </c>
      <c r="N23" s="9" t="n">
        <v>2499.541437149048</v>
      </c>
      <c r="O23" s="9" t="n">
        <v>0.0</v>
      </c>
      <c r="P23" s="9" t="n">
        <v>0.0</v>
      </c>
      <c r="Q23" s="9" t="n">
        <v>436.2266206741333</v>
      </c>
      <c r="R23" s="9" t="n">
        <v>46.167534828186035</v>
      </c>
      <c r="S23" s="9" t="n">
        <v>0.0</v>
      </c>
      <c r="T23" s="9" t="n">
        <v>0.0</v>
      </c>
      <c r="U23">
        <f si="1" t="shared"/>
        <v>23898.481796264648</v>
      </c>
    </row>
    <row r="24" spans="1:21" x14ac:dyDescent="0.25">
      <c r="A24" s="12">
        <v>0.4375</v>
      </c>
      <c r="B24" s="6" t="n">
        <v>11127.904638647206</v>
      </c>
      <c r="C24" s="6" t="n">
        <v>2614.254446995191</v>
      </c>
      <c r="D24" s="6" t="n">
        <v>206.2548119724684</v>
      </c>
      <c r="E24" s="6" t="n">
        <v>468.2568104328757</v>
      </c>
      <c r="F24" s="6" t="n">
        <v>421.6782111589804</v>
      </c>
      <c r="G24" s="6" t="n">
        <v>25.56212579155922</v>
      </c>
      <c r="H24" s="6" t="n">
        <v>8.500586243412016</v>
      </c>
      <c r="I24" s="6" t="n">
        <v>0.0</v>
      </c>
      <c r="J24" s="6">
        <f si="0" t="shared"/>
        <v>14872.411631241694</v>
      </c>
      <c r="L24" s="12">
        <v>0.4375</v>
      </c>
      <c r="M24" s="9" t="n">
        <v>15135.05757522583</v>
      </c>
      <c r="N24" s="9" t="n">
        <v>1969.9379930496216</v>
      </c>
      <c r="O24" s="9" t="n">
        <v>0.0</v>
      </c>
      <c r="P24" s="9" t="n">
        <v>0.0</v>
      </c>
      <c r="Q24" s="9" t="n">
        <v>341.3232641220093</v>
      </c>
      <c r="R24" s="9" t="n">
        <v>41.92096424102783</v>
      </c>
      <c r="S24" s="9" t="n">
        <v>0.0</v>
      </c>
      <c r="T24" s="9" t="n">
        <v>0.0</v>
      </c>
      <c r="U24">
        <f si="1" t="shared"/>
        <v>16976.215719223022</v>
      </c>
    </row>
    <row r="25" spans="1:21" x14ac:dyDescent="0.25">
      <c r="A25" s="12">
        <v>0.45833333333333331</v>
      </c>
      <c r="B25" s="6" t="n">
        <v>8083.972497407492</v>
      </c>
      <c r="C25" s="6" t="n">
        <v>2142.6546575081848</v>
      </c>
      <c r="D25" s="6" t="n">
        <v>197.96014449469948</v>
      </c>
      <c r="E25" s="6" t="n">
        <v>446.09308071757323</v>
      </c>
      <c r="F25" s="6" t="n">
        <v>391.8295339858446</v>
      </c>
      <c r="G25" s="6" t="n">
        <v>37.49816442522145</v>
      </c>
      <c r="H25" s="6" t="n">
        <v>10.528368471918105</v>
      </c>
      <c r="I25" s="6" t="n">
        <v>0.0</v>
      </c>
      <c r="J25" s="6">
        <f si="0" t="shared"/>
        <v>11310.536447010936</v>
      </c>
      <c r="L25" s="12">
        <v>0.45833333333333331</v>
      </c>
      <c r="M25" s="9" t="n">
        <v>11168.660294532776</v>
      </c>
      <c r="N25" s="9" t="n">
        <v>1643.0533046722412</v>
      </c>
      <c r="O25" s="9" t="n">
        <v>0.0</v>
      </c>
      <c r="P25" s="9" t="n">
        <v>0.0</v>
      </c>
      <c r="Q25" s="9" t="n">
        <v>282.3514623641968</v>
      </c>
      <c r="R25" s="9" t="n">
        <v>41.05832576751709</v>
      </c>
      <c r="S25" s="9" t="n">
        <v>0.0</v>
      </c>
      <c r="T25" s="9" t="n">
        <v>0.0</v>
      </c>
      <c r="U25">
        <f si="1" t="shared"/>
        <v>12590.917943000793</v>
      </c>
    </row>
    <row r="26" spans="1:21" x14ac:dyDescent="0.25">
      <c r="A26" s="12">
        <v>0.47916666666666669</v>
      </c>
      <c r="B26" s="6" t="n">
        <v>6571.871399581656</v>
      </c>
      <c r="C26" s="6" t="n">
        <v>1807.828858656852</v>
      </c>
      <c r="D26" s="6" t="n">
        <v>178.67572628975296</v>
      </c>
      <c r="E26" s="6" t="n">
        <v>449.3980747183981</v>
      </c>
      <c r="F26" s="6" t="n">
        <v>367.3214646396437</v>
      </c>
      <c r="G26" s="6" t="n">
        <v>50.78615713739395</v>
      </c>
      <c r="H26" s="6" t="n">
        <v>11.46189072455692</v>
      </c>
      <c r="I26" s="6" t="n">
        <v>0.0</v>
      </c>
      <c r="J26" s="6">
        <f si="0" t="shared"/>
        <v>9437.3435717482553</v>
      </c>
      <c r="L26" s="12">
        <v>0.47916666666666669</v>
      </c>
      <c r="M26" s="9" t="n">
        <v>8979.898732185364</v>
      </c>
      <c r="N26" s="9" t="n">
        <v>1493.84273147583</v>
      </c>
      <c r="O26" s="9" t="n">
        <v>0.0</v>
      </c>
      <c r="P26" s="9" t="n">
        <v>0.0</v>
      </c>
      <c r="Q26" s="9" t="n">
        <v>255.0385389328003</v>
      </c>
      <c r="R26" s="9" t="n">
        <v>43.398308753967285</v>
      </c>
      <c r="S26" s="9" t="n">
        <v>0.0</v>
      </c>
      <c r="T26" s="9" t="n">
        <v>0.0</v>
      </c>
      <c r="U26">
        <f si="1" t="shared"/>
        <v>10123.31879901886</v>
      </c>
    </row>
    <row r="27" spans="1:21" x14ac:dyDescent="0.25">
      <c r="A27" s="12">
        <v>0.5</v>
      </c>
      <c r="B27" s="6" t="n">
        <v>5995.8605655280435</v>
      </c>
      <c r="C27" s="6" t="n">
        <v>1573.722802960723</v>
      </c>
      <c r="D27" s="6" t="n">
        <v>144.72583450378133</v>
      </c>
      <c r="E27" s="6" t="n">
        <v>462.9473138414478</v>
      </c>
      <c r="F27" s="6" t="n">
        <v>358.8002342703295</v>
      </c>
      <c r="G27" s="6" t="n">
        <v>60.11182307715416</v>
      </c>
      <c r="H27" s="6" t="n">
        <v>10.589806549296377</v>
      </c>
      <c r="I27" s="6" t="n">
        <v>0.0</v>
      </c>
      <c r="J27" s="6">
        <f si="0" t="shared"/>
        <v>8606.7583807307765</v>
      </c>
      <c r="L27" s="12">
        <v>0.5</v>
      </c>
      <c r="M27" s="9" t="n">
        <v>7910.953808784485</v>
      </c>
      <c r="N27" s="9" t="n">
        <v>1469.2295198440552</v>
      </c>
      <c r="O27" s="9" t="n">
        <v>0.0</v>
      </c>
      <c r="P27" s="9" t="n">
        <v>0.0</v>
      </c>
      <c r="Q27" s="9" t="n">
        <v>249.91234970092773</v>
      </c>
      <c r="R27" s="9" t="n">
        <v>48.38086795806885</v>
      </c>
      <c r="S27" s="9" t="n">
        <v>0.0</v>
      </c>
      <c r="T27" s="9" t="n">
        <v>0.0</v>
      </c>
      <c r="U27">
        <f si="1" t="shared"/>
        <v>8815.2775545120239</v>
      </c>
    </row>
    <row r="28" spans="1:21" x14ac:dyDescent="0.25">
      <c r="A28" s="12">
        <v>0.52083333333333337</v>
      </c>
      <c r="B28" s="6" t="n">
        <v>5862.203815593775</v>
      </c>
      <c r="C28" s="6" t="n">
        <v>1413.3177079428863</v>
      </c>
      <c r="D28" s="6" t="n">
        <v>102.8393429930687</v>
      </c>
      <c r="E28" s="6" t="n">
        <v>466.3265800222873</v>
      </c>
      <c r="F28" s="6" t="n">
        <v>378.30621197541996</v>
      </c>
      <c r="G28" s="6" t="n">
        <v>61.15846113053989</v>
      </c>
      <c r="H28" s="6" t="n">
        <v>8.608945959363936</v>
      </c>
      <c r="I28" s="6" t="n">
        <v>0.0</v>
      </c>
      <c r="J28" s="6">
        <f si="0" t="shared"/>
        <v>8292.761065617342</v>
      </c>
      <c r="L28" s="12">
        <v>0.52083333333333337</v>
      </c>
      <c r="M28" s="9" t="n">
        <v>7426.139980316162</v>
      </c>
      <c r="N28" s="9" t="n">
        <v>1515.5199842453003</v>
      </c>
      <c r="O28" s="9" t="n">
        <v>0.0</v>
      </c>
      <c r="P28" s="9" t="n">
        <v>0.0</v>
      </c>
      <c r="Q28" s="9" t="n">
        <v>257.38525676727295</v>
      </c>
      <c r="R28" s="9" t="n">
        <v>55.460906982421875</v>
      </c>
      <c r="S28" s="9" t="n">
        <v>0.0</v>
      </c>
      <c r="T28" s="9" t="n">
        <v>0.0</v>
      </c>
      <c r="U28">
        <f si="1" t="shared"/>
        <v>8072.6237030029297</v>
      </c>
    </row>
    <row r="29" spans="1:21" x14ac:dyDescent="0.25">
      <c r="A29" s="12">
        <v>0.54166666666666663</v>
      </c>
      <c r="B29" s="6" t="n">
        <v>5816.691986597885</v>
      </c>
      <c r="C29" s="6" t="n">
        <v>1310.5613526239777</v>
      </c>
      <c r="D29" s="6" t="n">
        <v>65.51147112001132</v>
      </c>
      <c r="E29" s="6" t="n">
        <v>445.8924597130718</v>
      </c>
      <c r="F29" s="6" t="n">
        <v>423.79728359105866</v>
      </c>
      <c r="G29" s="6" t="n">
        <v>54.50667462324715</v>
      </c>
      <c r="H29" s="6" t="n">
        <v>7.168775121334075</v>
      </c>
      <c r="I29" s="6" t="n">
        <v>0.0</v>
      </c>
      <c r="J29" s="6">
        <f si="0" t="shared"/>
        <v>8124.1300033905854</v>
      </c>
      <c r="L29" s="12">
        <v>0.54166666666666663</v>
      </c>
      <c r="M29" s="9" t="n">
        <v>7167.9134159088135</v>
      </c>
      <c r="N29" s="9" t="n">
        <v>1588.5850477218628</v>
      </c>
      <c r="O29" s="9" t="n">
        <v>0.0</v>
      </c>
      <c r="P29" s="9" t="n">
        <v>0.0</v>
      </c>
      <c r="Q29" s="9" t="n">
        <v>269.72639560699463</v>
      </c>
      <c r="R29" s="9" t="n">
        <v>64.0312728881836</v>
      </c>
      <c r="S29" s="9" t="n">
        <v>0.0</v>
      </c>
      <c r="T29" s="9" t="n">
        <v>0.0</v>
      </c>
      <c r="U29">
        <f si="1" t="shared"/>
        <v>7540.7499055862427</v>
      </c>
    </row>
    <row r="30" spans="1:21" x14ac:dyDescent="0.25">
      <c r="A30" s="12">
        <v>0.5625</v>
      </c>
      <c r="B30" s="6" t="n">
        <v>5648.8411557742975</v>
      </c>
      <c r="C30" s="6" t="n">
        <v>1248.7592700877417</v>
      </c>
      <c r="D30" s="6" t="n">
        <v>42.02985634702682</v>
      </c>
      <c r="E30" s="6" t="n">
        <v>402.388874949522</v>
      </c>
      <c r="F30" s="6" t="n">
        <v>474.6231975497808</v>
      </c>
      <c r="G30" s="6" t="n">
        <v>45.99517077323341</v>
      </c>
      <c r="H30" s="6" t="n">
        <v>7.950280295205117</v>
      </c>
      <c r="I30" s="6" t="n">
        <v>0.0</v>
      </c>
      <c r="J30" s="6">
        <f si="0" t="shared"/>
        <v>7870.5878057768068</v>
      </c>
      <c r="L30" s="12">
        <v>0.5625</v>
      </c>
      <c r="M30" s="9" t="n">
        <v>6921.089225769043</v>
      </c>
      <c r="N30" s="9" t="n">
        <v>1653.5283832550049</v>
      </c>
      <c r="O30" s="9" t="n">
        <v>0.0</v>
      </c>
      <c r="P30" s="9" t="n">
        <v>0.0</v>
      </c>
      <c r="Q30" s="9" t="n">
        <v>281.02956676483154</v>
      </c>
      <c r="R30" s="9" t="n">
        <v>73.1138105392456</v>
      </c>
      <c r="S30" s="9" t="n">
        <v>0.0</v>
      </c>
      <c r="T30" s="9" t="n">
        <v>0.0</v>
      </c>
      <c r="U30">
        <f si="1" t="shared"/>
        <v>7048.7969446182251</v>
      </c>
    </row>
    <row r="31" spans="1:21" x14ac:dyDescent="0.25">
      <c r="A31" s="12">
        <v>0.58333333333333337</v>
      </c>
      <c r="B31" s="6" t="n">
        <v>5282.74243389931</v>
      </c>
      <c r="C31" s="6" t="n">
        <v>1203.9968366219643</v>
      </c>
      <c r="D31" s="6" t="n">
        <v>33.35500854565716</v>
      </c>
      <c r="E31" s="6" t="n">
        <v>347.33509237725923</v>
      </c>
      <c r="F31" s="6" t="n">
        <v>505.6254669850779</v>
      </c>
      <c r="G31" s="6" t="n">
        <v>42.854168598341936</v>
      </c>
      <c r="H31" s="6" t="n">
        <v>11.871750568639756</v>
      </c>
      <c r="I31" s="6" t="n">
        <v>0.0</v>
      </c>
      <c r="J31" s="6">
        <f si="0" t="shared"/>
        <v>7427.7807575962506</v>
      </c>
      <c r="L31" s="12">
        <v>0.58333333333333337</v>
      </c>
      <c r="M31" s="9" t="n">
        <v>6570.1091203689575</v>
      </c>
      <c r="N31" s="9" t="n">
        <v>1682.6844968795776</v>
      </c>
      <c r="O31" s="9" t="n">
        <v>0.0</v>
      </c>
      <c r="P31" s="9" t="n">
        <v>0.0</v>
      </c>
      <c r="Q31" s="9" t="n">
        <v>286.7223882675171</v>
      </c>
      <c r="R31" s="9" t="n">
        <v>81.24217319488525</v>
      </c>
      <c r="S31" s="9" t="n">
        <v>0.0</v>
      </c>
      <c r="T31" s="9" t="n">
        <v>0.0</v>
      </c>
      <c r="U31">
        <f si="1" t="shared"/>
        <v>6528.1482124328613</v>
      </c>
    </row>
    <row r="32" spans="1:21" x14ac:dyDescent="0.25">
      <c r="A32" s="12">
        <v>0.60416666666666663</v>
      </c>
      <c r="B32" s="6" t="n">
        <v>4747.681437800624</v>
      </c>
      <c r="C32" s="6" t="n">
        <v>1152.1566928360119</v>
      </c>
      <c r="D32" s="6" t="n">
        <v>33.80320170377922</v>
      </c>
      <c r="E32" s="6" t="n">
        <v>292.89327410576817</v>
      </c>
      <c r="F32" s="6" t="n">
        <v>506.33518906293205</v>
      </c>
      <c r="G32" s="6" t="n">
        <v>48.75291583684444</v>
      </c>
      <c r="H32" s="6" t="n">
        <v>18.70733691641808</v>
      </c>
      <c r="I32" s="6" t="n">
        <v>0.0</v>
      </c>
      <c r="J32" s="6">
        <f si="0" t="shared"/>
        <v>6800.3300482623772</v>
      </c>
      <c r="L32" s="12">
        <v>0.60416666666666663</v>
      </c>
      <c r="M32" s="9" t="n">
        <v>6075.838419914246</v>
      </c>
      <c r="N32" s="9" t="n">
        <v>1656.6778297424316</v>
      </c>
      <c r="O32" s="9" t="n">
        <v>0.0</v>
      </c>
      <c r="P32" s="9" t="n">
        <v>0.0</v>
      </c>
      <c r="Q32" s="9" t="n">
        <v>283.63886737823486</v>
      </c>
      <c r="R32" s="9" t="n">
        <v>86.78717422485352</v>
      </c>
      <c r="S32" s="9" t="n">
        <v>0.0</v>
      </c>
      <c r="T32" s="9" t="n">
        <v>0.0</v>
      </c>
      <c r="U32">
        <f si="1" t="shared"/>
        <v>5960.1324939727783</v>
      </c>
    </row>
    <row r="33" spans="1:21" x14ac:dyDescent="0.25">
      <c r="A33" s="12">
        <v>0.625</v>
      </c>
      <c r="B33" s="6" t="n">
        <v>4131.494294354692</v>
      </c>
      <c r="C33" s="6" t="n">
        <v>1083.2887743093004</v>
      </c>
      <c r="D33" s="6" t="n">
        <v>36.15955954679203</v>
      </c>
      <c r="E33" s="6" t="n">
        <v>245.5774762365665</v>
      </c>
      <c r="F33" s="6" t="n">
        <v>485.4256061298809</v>
      </c>
      <c r="G33" s="6" t="n">
        <v>61.67113676394271</v>
      </c>
      <c r="H33" s="6" t="n">
        <v>27.035278268436436</v>
      </c>
      <c r="I33" s="6" t="n">
        <v>0.0</v>
      </c>
      <c r="J33" s="6">
        <f si="0" t="shared"/>
        <v>6070.6521256096121</v>
      </c>
      <c r="L33" s="12">
        <v>0.625</v>
      </c>
      <c r="M33" s="9" t="n">
        <v>5462.093190193176</v>
      </c>
      <c r="N33" s="9" t="n">
        <v>1568.628604888916</v>
      </c>
      <c r="O33" s="9" t="n">
        <v>0.0</v>
      </c>
      <c r="P33" s="9" t="n">
        <v>0.0</v>
      </c>
      <c r="Q33" s="9" t="n">
        <v>270.7973527908325</v>
      </c>
      <c r="R33" s="9" t="n">
        <v>88.61629581451416</v>
      </c>
      <c r="S33" s="9" t="n">
        <v>0.0</v>
      </c>
      <c r="T33" s="9" t="n">
        <v>0.0</v>
      </c>
      <c r="U33">
        <f si="1" t="shared"/>
        <v>5356.8627233505249</v>
      </c>
    </row>
    <row r="34" spans="1:21" x14ac:dyDescent="0.25">
      <c r="A34" s="12">
        <v>0.64583333333333337</v>
      </c>
      <c r="B34" s="6" t="n">
        <v>3529.6615077359047</v>
      </c>
      <c r="C34" s="6" t="n">
        <v>1008.3334179870214</v>
      </c>
      <c r="D34" s="6" t="n">
        <v>35.68562323376656</v>
      </c>
      <c r="E34" s="6" t="n">
        <v>207.27083042702768</v>
      </c>
      <c r="F34" s="6" t="n">
        <v>457.3736015864592</v>
      </c>
      <c r="G34" s="6" t="n">
        <v>75.88874692852401</v>
      </c>
      <c r="H34" s="6" t="n">
        <v>34.468362922384266</v>
      </c>
      <c r="I34" s="6" t="n">
        <v>0.0</v>
      </c>
      <c r="J34" s="6">
        <f si="0" t="shared"/>
        <v>5348.6820908210875</v>
      </c>
      <c r="L34" s="12">
        <v>0.64583333333333337</v>
      </c>
      <c r="M34" s="9" t="n">
        <v>4796.818158149719</v>
      </c>
      <c r="N34" s="9" t="n">
        <v>1427.672700881958</v>
      </c>
      <c r="O34" s="9" t="n">
        <v>0.0</v>
      </c>
      <c r="P34" s="9" t="n">
        <v>0.0</v>
      </c>
      <c r="Q34" s="9" t="n">
        <v>249.9990930557251</v>
      </c>
      <c r="R34" s="9" t="n">
        <v>86.66371822357178</v>
      </c>
      <c r="S34" s="9" t="n">
        <v>0.0</v>
      </c>
      <c r="T34" s="9" t="n">
        <v>0.0</v>
      </c>
      <c r="U34">
        <f si="1" t="shared"/>
        <v>4754.4727268218994</v>
      </c>
    </row>
    <row r="35" spans="1:21" x14ac:dyDescent="0.25">
      <c r="A35" s="12">
        <v>0.66666666666666663</v>
      </c>
      <c r="B35" s="6" t="n">
        <v>3003.5619023699655</v>
      </c>
      <c r="C35" s="6" t="n">
        <v>948.6198405947332</v>
      </c>
      <c r="D35" s="6" t="n">
        <v>31.21875701716519</v>
      </c>
      <c r="E35" s="6" t="n">
        <v>178.2833100994835</v>
      </c>
      <c r="F35" s="6" t="n">
        <v>427.6001939741593</v>
      </c>
      <c r="G35" s="6" t="n">
        <v>86.01984005388832</v>
      </c>
      <c r="H35" s="6" t="n">
        <v>38.35080598334312</v>
      </c>
      <c r="I35" s="6" t="n">
        <v>0.0</v>
      </c>
      <c r="J35" s="6">
        <f si="0" t="shared"/>
        <v>4713.6546500927379</v>
      </c>
      <c r="L35" s="12">
        <v>0.66666666666666663</v>
      </c>
      <c r="M35" s="9" t="n">
        <v>4161.47008895874</v>
      </c>
      <c r="N35" s="9" t="n">
        <v>1256.3855686187744</v>
      </c>
      <c r="O35" s="9" t="n">
        <v>0.0</v>
      </c>
      <c r="P35" s="9" t="n">
        <v>0.0</v>
      </c>
      <c r="Q35" s="9" t="n">
        <v>225.0922679901123</v>
      </c>
      <c r="R35" s="9" t="n">
        <v>81.9314374923706</v>
      </c>
      <c r="S35" s="9" t="n">
        <v>0.0</v>
      </c>
      <c r="T35" s="9" t="n">
        <v>0.0</v>
      </c>
      <c r="U35">
        <f si="1" t="shared"/>
        <v>4199.3203439712524</v>
      </c>
    </row>
    <row r="36" spans="1:21" x14ac:dyDescent="0.25">
      <c r="A36" s="12">
        <v>0.6875</v>
      </c>
      <c r="B36" s="6" t="n">
        <v>2561.3028963057823</v>
      </c>
      <c r="C36" s="6" t="n">
        <v>915.1776051988325</v>
      </c>
      <c r="D36" s="6" t="n">
        <v>24.150703596590997</v>
      </c>
      <c r="E36" s="6" t="n">
        <v>157.644266118536</v>
      </c>
      <c r="F36" s="6" t="n">
        <v>391.3609744749346</v>
      </c>
      <c r="G36" s="6" t="n">
        <v>89.70730385451319</v>
      </c>
      <c r="H36" s="6" t="n">
        <v>36.95258725488472</v>
      </c>
      <c r="I36" s="6" t="n">
        <v>0.0</v>
      </c>
      <c r="J36" s="6">
        <f si="0" t="shared"/>
        <v>4176.2963368040746</v>
      </c>
      <c r="L36" s="12">
        <v>0.6875</v>
      </c>
      <c r="M36" s="9" t="n">
        <v>3614.5129718780518</v>
      </c>
      <c r="N36" s="9" t="n">
        <v>1080.5419883728027</v>
      </c>
      <c r="O36" s="9" t="n">
        <v>0.0</v>
      </c>
      <c r="P36" s="9" t="n">
        <v>0.0</v>
      </c>
      <c r="Q36" s="9" t="n">
        <v>199.89361095428467</v>
      </c>
      <c r="R36" s="9" t="n">
        <v>75.79732036590576</v>
      </c>
      <c r="S36" s="9" t="n">
        <v>0.0</v>
      </c>
      <c r="T36" s="9" t="n">
        <v>0.0</v>
      </c>
      <c r="U36">
        <f si="1" t="shared"/>
        <v>3724.2721462249756</v>
      </c>
    </row>
    <row r="37" spans="1:21" x14ac:dyDescent="0.25">
      <c r="A37" s="12">
        <v>0.70833333333333337</v>
      </c>
      <c r="B37" s="6" t="n">
        <v>2170.021711922364</v>
      </c>
      <c r="C37" s="6" t="n">
        <v>895.841434102992</v>
      </c>
      <c r="D37" s="6" t="n">
        <v>16.80365517355919</v>
      </c>
      <c r="E37" s="6" t="n">
        <v>141.95409751430225</v>
      </c>
      <c r="F37" s="6" t="n">
        <v>344.03451537123397</v>
      </c>
      <c r="G37" s="6" t="n">
        <v>87.41317417651844</v>
      </c>
      <c r="H37" s="6" t="n">
        <v>30.549820266342167</v>
      </c>
      <c r="I37" s="6" t="n">
        <v>0.0</v>
      </c>
      <c r="J37" s="6">
        <f si="0" t="shared"/>
        <v>3686.6184085273117</v>
      </c>
      <c r="L37" s="12">
        <v>0.70833333333333337</v>
      </c>
      <c r="M37" s="9" t="n">
        <v>3166.010075569153</v>
      </c>
      <c r="N37" s="9" t="n">
        <v>917.087760925293</v>
      </c>
      <c r="O37" s="9" t="n">
        <v>0.0</v>
      </c>
      <c r="P37" s="9" t="n">
        <v>0.0</v>
      </c>
      <c r="Q37" s="9" t="n">
        <v>176.22866344451904</v>
      </c>
      <c r="R37" s="9" t="n">
        <v>69.1142578125</v>
      </c>
      <c r="S37" s="9" t="n">
        <v>0.0</v>
      </c>
      <c r="T37" s="9" t="n">
        <v>0.0</v>
      </c>
      <c r="U37">
        <f si="1" t="shared"/>
        <v>3329.0567655563354</v>
      </c>
    </row>
    <row r="38" spans="1:21" x14ac:dyDescent="0.25">
      <c r="A38" s="12">
        <v>0.72916666666666663</v>
      </c>
      <c r="B38" s="6" t="n">
        <v>1791.2252912145832</v>
      </c>
      <c r="C38" s="6" t="n">
        <v>861.0656280479975</v>
      </c>
      <c r="D38" s="6" t="n">
        <v>11.165063672904969</v>
      </c>
      <c r="E38" s="6" t="n">
        <v>126.20855098373795</v>
      </c>
      <c r="F38" s="6" t="n">
        <v>288.88653496234315</v>
      </c>
      <c r="G38" s="6" t="n">
        <v>80.80936639401627</v>
      </c>
      <c r="H38" s="6" t="n">
        <v>21.43146988558388</v>
      </c>
      <c r="I38" s="6" t="n">
        <v>0.0</v>
      </c>
      <c r="J38" s="6">
        <f si="0" t="shared"/>
        <v>3180.7919051611666</v>
      </c>
      <c r="L38" s="12">
        <v>0.72916666666666663</v>
      </c>
      <c r="M38" s="9" t="n">
        <v>2780.278009414673</v>
      </c>
      <c r="N38" s="9" t="n">
        <v>769.3240585327148</v>
      </c>
      <c r="O38" s="9" t="n">
        <v>0.0</v>
      </c>
      <c r="P38" s="9" t="n">
        <v>0.0</v>
      </c>
      <c r="Q38" s="9" t="n">
        <v>153.6029977798462</v>
      </c>
      <c r="R38" s="9" t="n">
        <v>61.873900413513184</v>
      </c>
      <c r="S38" s="9" t="n">
        <v>0.0</v>
      </c>
      <c r="T38" s="9" t="n">
        <v>0.0</v>
      </c>
      <c r="U38">
        <f si="1" t="shared"/>
        <v>2981.2596206665039</v>
      </c>
    </row>
    <row r="39" spans="1:21" x14ac:dyDescent="0.25">
      <c r="A39" s="12">
        <v>0.75</v>
      </c>
      <c r="B39" s="6" t="n">
        <v>1412.9103628919943</v>
      </c>
      <c r="C39" s="6" t="n">
        <v>782.9693534028722</v>
      </c>
      <c r="D39" s="6" t="n">
        <v>8.18928300953865</v>
      </c>
      <c r="E39" s="6" t="n">
        <v>106.65771690755558</v>
      </c>
      <c r="F39" s="6" t="n">
        <v>234.46107096898078</v>
      </c>
      <c r="G39" s="6" t="n">
        <v>71.99821234889126</v>
      </c>
      <c r="H39" s="6" t="n">
        <v>12.593362523062705</v>
      </c>
      <c r="I39" s="6" t="n">
        <v>0.0</v>
      </c>
      <c r="J39" s="6">
        <f si="0" t="shared"/>
        <v>2629.7793620528955</v>
      </c>
      <c r="L39" s="12">
        <v>0.75</v>
      </c>
      <c r="M39" s="9" t="n">
        <v>2407.0272760391235</v>
      </c>
      <c r="N39" s="9" t="n">
        <v>632.512770652771</v>
      </c>
      <c r="O39" s="9" t="n">
        <v>0.0</v>
      </c>
      <c r="P39" s="9" t="n">
        <v>0.0</v>
      </c>
      <c r="Q39" s="9" t="n">
        <v>130.59498691558838</v>
      </c>
      <c r="R39" s="9" t="n">
        <v>53.736021995544434</v>
      </c>
      <c r="S39" s="9" t="n">
        <v>0.0</v>
      </c>
      <c r="T39" s="9" t="n">
        <v>0.0</v>
      </c>
      <c r="U39">
        <f si="1" t="shared"/>
        <v>2639.5890531539917</v>
      </c>
    </row>
    <row r="40" spans="1:21" x14ac:dyDescent="0.25">
      <c r="A40" s="12">
        <v>0.77083333333333337</v>
      </c>
      <c r="B40" s="6" t="n">
        <v>1055.5332553274277</v>
      </c>
      <c r="C40" s="6" t="n">
        <v>653.2863997701169</v>
      </c>
      <c r="D40" s="6" t="n">
        <v>7.588376580760956</v>
      </c>
      <c r="E40" s="6" t="n">
        <v>82.97658622145082</v>
      </c>
      <c r="F40" s="6" t="n">
        <v>186.79648221481605</v>
      </c>
      <c r="G40" s="6" t="n">
        <v>63.46585971846008</v>
      </c>
      <c r="H40" s="6" t="n">
        <v>6.102528517742156</v>
      </c>
      <c r="I40" s="6" t="n">
        <v>0.0</v>
      </c>
      <c r="J40" s="6">
        <f si="0" t="shared"/>
        <v>2055.7494883507743</v>
      </c>
      <c r="L40" s="12">
        <v>0.77083333333333337</v>
      </c>
      <c r="M40" s="9" t="n">
        <v>2019.5667390823364</v>
      </c>
      <c r="N40" s="9" t="n">
        <v>503.88575077056885</v>
      </c>
      <c r="O40" s="9" t="n">
        <v>0.0</v>
      </c>
      <c r="P40" s="9" t="n">
        <v>0.0</v>
      </c>
      <c r="Q40" s="9" t="n">
        <v>106.69442558288574</v>
      </c>
      <c r="R40" s="9" t="n">
        <v>44.866211891174316</v>
      </c>
      <c r="S40" s="9" t="n">
        <v>0.0</v>
      </c>
      <c r="T40" s="9" t="n">
        <v>0.0</v>
      </c>
      <c r="U40">
        <f si="1" t="shared"/>
        <v>2282.1404876708984</v>
      </c>
    </row>
    <row r="41" spans="1:21" x14ac:dyDescent="0.25">
      <c r="A41" s="12">
        <v>0.79166666666666663</v>
      </c>
      <c r="B41" s="6" t="n">
        <v>752.6237061142863</v>
      </c>
      <c r="C41" s="6" t="n">
        <v>488.9215719494915</v>
      </c>
      <c r="D41" s="6" t="n">
        <v>8.123057836115837</v>
      </c>
      <c r="E41" s="6" t="n">
        <v>58.00950075604344</v>
      </c>
      <c r="F41" s="6" t="n">
        <v>145.88239076031397</v>
      </c>
      <c r="G41" s="6" t="n">
        <v>57.12083415409564</v>
      </c>
      <c r="H41" s="6" t="n">
        <v>2.3909150799350734</v>
      </c>
      <c r="I41" s="6" t="n">
        <v>0.0</v>
      </c>
      <c r="J41" s="6">
        <f si="0" t="shared"/>
        <v>1513.0719766502818</v>
      </c>
      <c r="L41" s="12">
        <v>0.79166666666666663</v>
      </c>
      <c r="M41" s="9" t="n">
        <v>1631.7157707214355</v>
      </c>
      <c r="N41" s="9" t="n">
        <v>387.7960481643677</v>
      </c>
      <c r="O41" s="9" t="n">
        <v>0.0</v>
      </c>
      <c r="P41" s="9" t="n">
        <v>0.0</v>
      </c>
      <c r="Q41" s="9" t="n">
        <v>83.13262176513672</v>
      </c>
      <c r="R41" s="9" t="n">
        <v>36.207411766052246</v>
      </c>
      <c r="S41" s="9" t="n">
        <v>0.0</v>
      </c>
      <c r="T41" s="9" t="n">
        <v>0.0</v>
      </c>
      <c r="U41">
        <f si="1" t="shared"/>
        <v>1917.9277181625366</v>
      </c>
    </row>
    <row r="42" spans="1:21" x14ac:dyDescent="0.25">
      <c r="A42" s="12">
        <v>0.8125</v>
      </c>
      <c r="B42" s="6" t="n">
        <v>526.3845795639296</v>
      </c>
      <c r="C42" s="6" t="n">
        <v>322.55217965731816</v>
      </c>
      <c r="D42" s="6" t="n">
        <v>8.35185376235008</v>
      </c>
      <c r="E42" s="6" t="n">
        <v>35.720187277126314</v>
      </c>
      <c r="F42" s="6" t="n">
        <v>108.87786498078154</v>
      </c>
      <c r="G42" s="6" t="n">
        <v>52.63608791830825</v>
      </c>
      <c r="H42" s="6" t="n">
        <v>0.7373208129167557</v>
      </c>
      <c r="I42" s="6" t="n">
        <v>0.0</v>
      </c>
      <c r="J42" s="6">
        <f si="0" t="shared"/>
        <v>1055.2600739727307</v>
      </c>
      <c r="L42" s="12">
        <v>0.8125</v>
      </c>
      <c r="M42" s="9" t="n">
        <v>1282.0092935562134</v>
      </c>
      <c r="N42" s="9" t="n">
        <v>292.3009853363037</v>
      </c>
      <c r="O42" s="9" t="n">
        <v>0.0</v>
      </c>
      <c r="P42" s="9" t="n">
        <v>0.0</v>
      </c>
      <c r="Q42" s="9" t="n">
        <v>62.1702184677124</v>
      </c>
      <c r="R42" s="9" t="n">
        <v>28.91152858734131</v>
      </c>
      <c r="S42" s="9" t="n">
        <v>0.0</v>
      </c>
      <c r="T42" s="9" t="n">
        <v>0.0</v>
      </c>
      <c r="U42">
        <f si="1" t="shared"/>
        <v>1574.703311920166</v>
      </c>
    </row>
    <row r="43" spans="1:21" x14ac:dyDescent="0.25">
      <c r="A43" s="12">
        <v>0.83333333333333337</v>
      </c>
      <c r="B43" s="6" t="n">
        <v>376.5484139972544</v>
      </c>
      <c r="C43" s="6" t="n">
        <v>184.9827657232065</v>
      </c>
      <c r="D43" s="6" t="n">
        <v>7.454351211032865</v>
      </c>
      <c r="E43" s="6" t="n">
        <v>18.995060305104257</v>
      </c>
      <c r="F43" s="6" t="n">
        <v>74.87963671181774</v>
      </c>
      <c r="G43" s="6" t="n">
        <v>47.4482331806736</v>
      </c>
      <c r="H43" s="6" t="n">
        <v>0.17210472782039643</v>
      </c>
      <c r="I43" s="6" t="n">
        <v>0.0</v>
      </c>
      <c r="J43" s="6">
        <f si="0" t="shared"/>
        <v>710.48056585690972</v>
      </c>
      <c r="L43" s="12">
        <v>0.83333333333333337</v>
      </c>
      <c r="M43" s="9" t="n">
        <v>1001.1277484893799</v>
      </c>
      <c r="N43" s="9" t="n">
        <v>221.7479953765869</v>
      </c>
      <c r="O43" s="9" t="n">
        <v>0.0</v>
      </c>
      <c r="P43" s="9" t="n">
        <v>0.0</v>
      </c>
      <c r="Q43" s="9" t="n">
        <v>45.559823989868164</v>
      </c>
      <c r="R43" s="9" t="n">
        <v>23.511873245239258</v>
      </c>
      <c r="S43" s="9" t="n">
        <v>0.0</v>
      </c>
      <c r="T43" s="9" t="n">
        <v>0.0</v>
      </c>
      <c r="U43">
        <f si="1" t="shared"/>
        <v>1276.1380739212036</v>
      </c>
    </row>
    <row r="44" spans="1:21" x14ac:dyDescent="0.25">
      <c r="A44" s="12">
        <v>0.85416666666666663</v>
      </c>
      <c r="B44" s="6" t="n">
        <v>285.03515481059077</v>
      </c>
      <c r="C44" s="6" t="n">
        <v>91.19650516042041</v>
      </c>
      <c r="D44" s="6" t="n">
        <v>5.565439761943816</v>
      </c>
      <c r="E44" s="6" t="n">
        <v>8.53637704351139</v>
      </c>
      <c r="F44" s="6" t="n">
        <v>45.95423219138145</v>
      </c>
      <c r="G44" s="6" t="n">
        <v>39.20895974203968</v>
      </c>
      <c r="H44" s="6" t="n">
        <v>0.028560367872238163</v>
      </c>
      <c r="I44" s="6" t="n">
        <v>0.0</v>
      </c>
      <c r="J44" s="6">
        <f si="0" t="shared"/>
        <v>475.52522907775972</v>
      </c>
      <c r="L44" s="12">
        <v>0.85416666666666663</v>
      </c>
      <c r="M44" s="9" t="n">
        <v>790.9701089859009</v>
      </c>
      <c r="N44" s="9" t="n">
        <v>172.8606300354004</v>
      </c>
      <c r="O44" s="9" t="n">
        <v>0.0</v>
      </c>
      <c r="P44" s="9" t="n">
        <v>0.0</v>
      </c>
      <c r="Q44" s="9" t="n">
        <v>33.519636154174805</v>
      </c>
      <c r="R44" s="9" t="n">
        <v>19.619694709777832</v>
      </c>
      <c r="S44" s="9" t="n">
        <v>0.0</v>
      </c>
      <c r="T44" s="9" t="n">
        <v>0.0</v>
      </c>
      <c r="U44">
        <f si="1" t="shared"/>
        <v>1027.9920921325684</v>
      </c>
    </row>
    <row r="45" spans="1:21" x14ac:dyDescent="0.25">
      <c r="A45" s="12">
        <v>0.875</v>
      </c>
      <c r="B45" s="6" t="n">
        <v>227.7331962908497</v>
      </c>
      <c r="C45" s="6" t="n">
        <v>38.33655029468059</v>
      </c>
      <c r="D45" s="6" t="n">
        <v>3.42153773588848</v>
      </c>
      <c r="E45" s="6" t="n">
        <v>3.1607753134193417</v>
      </c>
      <c r="F45" s="6" t="n">
        <v>24.604896256055827</v>
      </c>
      <c r="G45" s="6" t="n">
        <v>28.193549990230565</v>
      </c>
      <c r="H45" s="6" t="n">
        <v>0.003001051273345948</v>
      </c>
      <c r="I45" s="6" t="n">
        <v>0.0</v>
      </c>
      <c r="J45" s="6">
        <f si="0" t="shared"/>
        <v>325.45350693239789</v>
      </c>
      <c r="L45" s="12">
        <v>0.875</v>
      </c>
      <c r="M45" s="9" t="n">
        <v>629.863899230957</v>
      </c>
      <c r="N45" s="9" t="n">
        <v>137.36443519592285</v>
      </c>
      <c r="O45" s="9" t="n">
        <v>0.0</v>
      </c>
      <c r="P45" s="9" t="n">
        <v>0.0</v>
      </c>
      <c r="Q45" s="9" t="n">
        <v>24.973998069763184</v>
      </c>
      <c r="R45" s="9" t="n">
        <v>16.356210708618164</v>
      </c>
      <c r="S45" s="9" t="n">
        <v>0.0</v>
      </c>
      <c r="T45" s="9" t="n">
        <v>0.0</v>
      </c>
      <c r="U45">
        <f si="1" t="shared"/>
        <v>821.3385009765625</v>
      </c>
    </row>
    <row r="46" spans="1:21" x14ac:dyDescent="0.25">
      <c r="A46" s="12">
        <v>0.89583333333333337</v>
      </c>
      <c r="B46" s="6" t="n">
        <v>184.6690675074587</v>
      </c>
      <c r="C46" s="6" t="n">
        <v>13.685877716460226</v>
      </c>
      <c r="D46" s="6" t="n">
        <v>1.7104856943721767</v>
      </c>
      <c r="E46" s="6" t="n">
        <v>0.9342148120098113</v>
      </c>
      <c r="F46" s="6" t="n">
        <v>11.320677816834447</v>
      </c>
      <c r="G46" s="6" t="n">
        <v>17.050959444208146</v>
      </c>
      <c r="H46" s="6" t="n">
        <v>1.5005256366729737E-4</v>
      </c>
      <c r="I46" s="6" t="n">
        <v>0.0</v>
      </c>
      <c r="J46" s="6">
        <f si="0" t="shared"/>
        <v>229.37143304390716</v>
      </c>
      <c r="L46" s="12">
        <v>0.89583333333333337</v>
      </c>
      <c r="M46" s="9" t="n">
        <v>493.5375232696533</v>
      </c>
      <c r="N46" s="9" t="n">
        <v>107.76065731048584</v>
      </c>
      <c r="O46" s="9" t="n">
        <v>0.0</v>
      </c>
      <c r="P46" s="9" t="n">
        <v>0.0</v>
      </c>
      <c r="Q46" s="9" t="n">
        <v>18.596524238586426</v>
      </c>
      <c r="R46" s="9" t="n">
        <v>13.057332038879395</v>
      </c>
      <c r="S46" s="9" t="n">
        <v>0.0</v>
      </c>
      <c r="T46" s="9" t="n">
        <v>0.0</v>
      </c>
      <c r="U46">
        <f si="1" t="shared"/>
        <v>644.73649024963379</v>
      </c>
    </row>
    <row r="47" spans="1:21" x14ac:dyDescent="0.25">
      <c r="A47" s="12">
        <v>0.91666666666666663</v>
      </c>
      <c r="B47" s="6" t="n">
        <v>144.8989323058605</v>
      </c>
      <c r="C47" s="6" t="n">
        <v>4.153058809093475</v>
      </c>
      <c r="D47" s="6" t="n">
        <v>0.6841828129577636</v>
      </c>
      <c r="E47" s="6" t="n">
        <v>0.2111210005874634</v>
      </c>
      <c r="F47" s="6" t="n">
        <v>4.42176616093254</v>
      </c>
      <c r="G47" s="6" t="n">
        <v>8.469155612771035</v>
      </c>
      <c r="H47" s="6" t="n">
        <v>0.0</v>
      </c>
      <c r="I47" s="6" t="n">
        <v>0.0</v>
      </c>
      <c r="J47" s="6">
        <f si="0" t="shared"/>
        <v>162.8382167022028</v>
      </c>
      <c r="L47" s="12">
        <v>0.91666666666666663</v>
      </c>
      <c r="M47" s="9" t="n">
        <v>370.80883026123047</v>
      </c>
      <c r="N47" s="9" t="n">
        <v>80.90116786956787</v>
      </c>
      <c r="O47" s="9" t="n">
        <v>0.0</v>
      </c>
      <c r="P47" s="9" t="n">
        <v>0.0</v>
      </c>
      <c r="Q47" s="9" t="n">
        <v>13.598640441894531</v>
      </c>
      <c r="R47" s="9" t="n">
        <v>9.649553298950195</v>
      </c>
      <c r="S47" s="9" t="n">
        <v>0.0</v>
      </c>
      <c r="T47" s="9" t="n">
        <v>0.0</v>
      </c>
      <c r="U47">
        <f si="1" t="shared"/>
        <v>492.43291854858398</v>
      </c>
    </row>
    <row r="48" spans="1:21" x14ac:dyDescent="0.25">
      <c r="A48" s="12">
        <v>0.9375</v>
      </c>
      <c r="B48" s="6" t="n">
        <v>106.20217268434713</v>
      </c>
      <c r="C48" s="6" t="n">
        <v>1.0757718875703812</v>
      </c>
      <c r="D48" s="6" t="n">
        <v>0.21380712904930116</v>
      </c>
      <c r="E48" s="6" t="n">
        <v>0.03416089969539642</v>
      </c>
      <c r="F48" s="6" t="n">
        <v>1.4455765977783201</v>
      </c>
      <c r="G48" s="6" t="n">
        <v>3.3800500714406967</v>
      </c>
      <c r="H48" s="6" t="n">
        <v>0.0</v>
      </c>
      <c r="I48" s="6" t="n">
        <v>0.0</v>
      </c>
      <c r="J48" s="6">
        <f si="0" t="shared"/>
        <v>112.35153926988123</v>
      </c>
      <c r="L48" s="12">
        <v>0.9375</v>
      </c>
      <c r="M48" s="9" t="n">
        <v>263.543306350708</v>
      </c>
      <c r="N48" s="9" t="n">
        <v>57.32412815093994</v>
      </c>
      <c r="O48" s="9" t="n">
        <v>0.0</v>
      </c>
      <c r="P48" s="9" t="n">
        <v>0.0</v>
      </c>
      <c r="Q48" s="9" t="n">
        <v>9.739357948303223</v>
      </c>
      <c r="R48" s="9" t="n">
        <v>6.497568130493164</v>
      </c>
      <c r="S48" s="9" t="n">
        <v>0.0</v>
      </c>
      <c r="T48" s="9" t="n">
        <v>0.0</v>
      </c>
      <c r="U48">
        <f si="1" t="shared"/>
        <v>363.76510047912598</v>
      </c>
    </row>
    <row r="49" spans="1:21" x14ac:dyDescent="0.25">
      <c r="A49" s="12">
        <v>0.95833333333333337</v>
      </c>
      <c r="B49" s="6" t="n">
        <v>71.35005581161879</v>
      </c>
      <c r="C49" s="6" t="n">
        <v>0.23742213712501528</v>
      </c>
      <c r="D49" s="6" t="n">
        <v>0.05030755977630615</v>
      </c>
      <c r="E49" s="6" t="n">
        <v>0.0035170717840194692</v>
      </c>
      <c r="F49" s="6" t="n">
        <v>0.38697863364219665</v>
      </c>
      <c r="G49" s="6" t="n">
        <v>1.055608966108322</v>
      </c>
      <c r="H49" s="6" t="n">
        <v>0.0</v>
      </c>
      <c r="I49" s="6" t="n">
        <v>0.0</v>
      </c>
      <c r="J49" s="6">
        <f si="0" t="shared"/>
        <v>73.083890180054638</v>
      </c>
      <c r="L49" s="12">
        <v>0.95833333333333337</v>
      </c>
      <c r="M49" s="9" t="n">
        <v>177.06005573272705</v>
      </c>
      <c r="N49" s="9" t="n">
        <v>38.428832054138184</v>
      </c>
      <c r="O49" s="9" t="n">
        <v>0.0</v>
      </c>
      <c r="P49" s="9" t="n">
        <v>0.0</v>
      </c>
      <c r="Q49" s="9" t="n">
        <v>6.903983116149902</v>
      </c>
      <c r="R49" s="9" t="n">
        <v>3.9928693771362305</v>
      </c>
      <c r="S49" s="9" t="n">
        <v>0.0</v>
      </c>
      <c r="T49" s="9" t="n">
        <v>0.0</v>
      </c>
      <c r="U49">
        <f si="1" t="shared"/>
        <v>258.56762504577637</v>
      </c>
    </row>
    <row r="50" spans="1:21" x14ac:dyDescent="0.25">
      <c r="A50" s="12">
        <v>0.97916666666666663</v>
      </c>
      <c r="B50" s="6" t="n">
        <v>43.65541562960719</v>
      </c>
      <c r="C50" s="6" t="n">
        <v>0.043472706049919124</v>
      </c>
      <c r="D50" s="6" t="n">
        <v>0.008384593296051025</v>
      </c>
      <c r="E50" s="6" t="n">
        <v>1.7287045764923095E-4</v>
      </c>
      <c r="F50" s="6" t="n">
        <v>0.08172920442390441</v>
      </c>
      <c r="G50" s="6" t="n">
        <v>0.2483514172554016</v>
      </c>
      <c r="H50" s="6" t="n">
        <v>0.0</v>
      </c>
      <c r="I50" s="6" t="n">
        <v>0.0</v>
      </c>
      <c r="J50" s="6">
        <f si="0" t="shared"/>
        <v>44.037526421090107</v>
      </c>
      <c r="L50" s="12">
        <v>0.97916666666666663</v>
      </c>
      <c r="M50" s="9" t="n">
        <v>112.72194194793701</v>
      </c>
      <c r="N50" s="9" t="n">
        <v>24.530797958374023</v>
      </c>
      <c r="O50" s="9" t="n">
        <v>0.0</v>
      </c>
      <c r="P50" s="9" t="n">
        <v>0.0</v>
      </c>
      <c r="Q50" s="9" t="n">
        <v>4.847855567932129</v>
      </c>
      <c r="R50" s="9" t="n">
        <v>2.2719993591308594</v>
      </c>
      <c r="S50" s="9" t="n">
        <v>0.0</v>
      </c>
      <c r="T50" s="9" t="n">
        <v>0.0</v>
      </c>
      <c r="U50">
        <f si="1" t="shared"/>
        <v>174.92425537109375</v>
      </c>
    </row>
    <row r="51" spans="1:21" x14ac:dyDescent="0.25">
      <c r="A51" s="12">
        <v>1</v>
      </c>
      <c r="B51" s="6" t="n">
        <v>24.321196834750168</v>
      </c>
      <c r="C51" s="6" t="n">
        <v>0.006143710791587829</v>
      </c>
      <c r="D51" s="6" t="n">
        <v>8.825887680053712E-4</v>
      </c>
      <c r="E51" s="6" t="n">
        <v>0.0</v>
      </c>
      <c r="F51" s="6" t="n">
        <v>0.012765011250495908</v>
      </c>
      <c r="G51" s="6" t="n">
        <v>0.04139190287590027</v>
      </c>
      <c r="H51" s="6" t="n">
        <v>0.0</v>
      </c>
      <c r="I51" s="6" t="n">
        <v>0.0</v>
      </c>
      <c r="J51" s="6">
        <f si="0" t="shared"/>
        <v>24.382380048436158</v>
      </c>
      <c r="L51" s="12">
        <v>1</v>
      </c>
      <c r="M51" s="9" t="n">
        <v>67.52900981903076</v>
      </c>
      <c r="N51" s="9" t="n">
        <v>14.836560249328613</v>
      </c>
      <c r="O51" s="9" t="n">
        <v>0.0</v>
      </c>
      <c r="P51" s="9" t="n">
        <v>0.0</v>
      </c>
      <c r="Q51" s="9" t="n">
        <v>3.281099319458008</v>
      </c>
      <c r="R51" s="9" t="n">
        <v>1.2173738479614258</v>
      </c>
      <c r="S51" s="9" t="n">
        <v>0.0</v>
      </c>
      <c r="T51" s="9" t="n">
        <v>0.0</v>
      </c>
      <c r="U51">
        <f si="1" t="shared"/>
        <v>110.33363246917725</v>
      </c>
    </row>
    <row r="52" spans="1:21" x14ac:dyDescent="0.25">
      <c r="A52" s="12">
        <v>1.0208333333333333</v>
      </c>
      <c r="B52" s="6" t="n">
        <v>12.318741635209081</v>
      </c>
      <c r="C52" s="6" t="n">
        <v>5.812814741134642E-4</v>
      </c>
      <c r="D52" s="6" t="n">
        <v>4.412943840026855E-5</v>
      </c>
      <c r="E52" s="6" t="n">
        <v>0.0</v>
      </c>
      <c r="F52" s="6" t="n">
        <v>0.0013060350036621091</v>
      </c>
      <c r="G52" s="6" t="n">
        <v>0.004357042407989502</v>
      </c>
      <c r="H52" s="6" t="n">
        <v>0.0</v>
      </c>
      <c r="I52" s="6" t="n">
        <v>0.0</v>
      </c>
      <c r="J52" s="6">
        <f si="0" t="shared"/>
        <v>12.325030123533246</v>
      </c>
      <c r="L52" s="12">
        <v>1.0208333333333333</v>
      </c>
      <c r="M52" s="9" t="n">
        <v>37.23643779754639</v>
      </c>
      <c r="N52" s="9" t="n">
        <v>8.304993629455566</v>
      </c>
      <c r="O52" s="9" t="n">
        <v>0.0</v>
      </c>
      <c r="P52" s="9" t="n">
        <v>0.0</v>
      </c>
      <c r="Q52" s="9" t="n">
        <v>2.042125701904297</v>
      </c>
      <c r="R52" s="9" t="n">
        <v>0.6158208847045898</v>
      </c>
      <c r="S52" s="9" t="n">
        <v>0.0</v>
      </c>
      <c r="T52" s="9" t="n">
        <v>0.0</v>
      </c>
      <c r="U52">
        <f si="1" t="shared"/>
        <v>63.091614723205566</v>
      </c>
    </row>
    <row r="53" spans="1:21" x14ac:dyDescent="0.25">
      <c r="A53" s="12">
        <v>4.1666666666666664E-2</v>
      </c>
      <c r="B53" s="6" t="n">
        <v>5.613810824672698</v>
      </c>
      <c r="C53" s="6" t="n">
        <v>2.6861557960510252E-5</v>
      </c>
      <c r="D53" s="6" t="n">
        <v>0.0</v>
      </c>
      <c r="E53" s="6" t="n">
        <v>0.0</v>
      </c>
      <c r="F53" s="6" t="n">
        <v>6.530175018310547E-5</v>
      </c>
      <c r="G53" s="6" t="n">
        <v>2.178521203994751E-4</v>
      </c>
      <c r="H53" s="6" t="n">
        <v>0.0</v>
      </c>
      <c r="I53" s="6" t="n">
        <v>0.0</v>
      </c>
      <c r="J53" s="6">
        <f si="0" t="shared"/>
        <v>5.6141208401012408</v>
      </c>
      <c r="L53" s="12">
        <v>4.1666666666666664E-2</v>
      </c>
      <c r="M53" s="9" t="n">
        <v>18.290579795837402</v>
      </c>
      <c r="N53" s="9" t="n">
        <v>4.151470184326172</v>
      </c>
      <c r="O53" s="9" t="n">
        <v>0.0</v>
      </c>
      <c r="P53" s="9" t="n">
        <v>0.0</v>
      </c>
      <c r="Q53" s="9" t="n">
        <v>1.1151323318481445</v>
      </c>
      <c r="R53" s="9" t="n">
        <v>0.2876710891723633</v>
      </c>
      <c r="S53" s="9" t="n">
        <v>0.0</v>
      </c>
      <c r="T53" s="9" t="n">
        <v>0.0</v>
      </c>
      <c r="U53">
        <f si="1" t="shared"/>
        <v>31.721972465515137</v>
      </c>
    </row>
    <row r="54" spans="1:21" x14ac:dyDescent="0.25">
      <c r="A54" s="12">
        <v>6.25E-2</v>
      </c>
      <c r="B54" s="6" t="n">
        <v>2.249446884160042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2.2494468841600419</v>
      </c>
      <c r="L54" s="12">
        <v>6.25E-2</v>
      </c>
      <c r="M54" s="9" t="n">
        <v>7.72309684753418</v>
      </c>
      <c r="N54" s="9" t="n">
        <v>1.7838659286499023</v>
      </c>
      <c r="O54" s="9" t="n">
        <v>0.0</v>
      </c>
      <c r="P54" s="9" t="n">
        <v>0.0</v>
      </c>
      <c r="Q54" s="9" t="n">
        <v>0.5141887664794922</v>
      </c>
      <c r="R54" s="9" t="n">
        <v>0.11914253234863281</v>
      </c>
      <c r="S54" s="9" t="n">
        <v>0.0</v>
      </c>
      <c r="T54" s="9" t="n">
        <v>0.0</v>
      </c>
      <c r="U54">
        <f si="1" t="shared"/>
        <v>13.607100486755371</v>
      </c>
    </row>
    <row r="55" spans="1:21" x14ac:dyDescent="0.25">
      <c r="A55" s="12">
        <v>8.3333333333333329E-2</v>
      </c>
      <c r="B55" s="6" t="n">
        <v>0.7659242404146194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0.76592424041461937</v>
      </c>
      <c r="L55" s="12">
        <v>8.3333333333333329E-2</v>
      </c>
      <c r="M55" s="9" t="n">
        <v>2.7064895629882812</v>
      </c>
      <c r="N55" s="9" t="n">
        <v>0.6353836059570312</v>
      </c>
      <c r="O55" s="9" t="n">
        <v>0.0</v>
      </c>
      <c r="P55" s="9" t="n">
        <v>0.0</v>
      </c>
      <c r="Q55" s="9" t="n">
        <v>0.19385528564453125</v>
      </c>
      <c r="R55" s="9" t="n">
        <v>0.041769981384277344</v>
      </c>
      <c r="S55" s="9" t="n">
        <v>0.0</v>
      </c>
      <c r="T55" s="9" t="n">
        <v>0.0</v>
      </c>
      <c r="U55">
        <f si="1" t="shared"/>
        <v>4.8308658599853516</v>
      </c>
    </row>
    <row r="56" spans="1:21" x14ac:dyDescent="0.25">
      <c r="A56" s="12">
        <v>0.10416666666666667</v>
      </c>
      <c r="B56" s="6" t="n">
        <v>0.21232097869110106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0.21232097869110106</v>
      </c>
      <c r="L56" s="12">
        <v>0.10416666666666667</v>
      </c>
      <c r="M56" s="9" t="n">
        <v>0.7586688995361328</v>
      </c>
      <c r="N56" s="9" t="n">
        <v>0.18074893951416016</v>
      </c>
      <c r="O56" s="9" t="n">
        <v>0.0</v>
      </c>
      <c r="P56" s="9" t="n">
        <v>0.0</v>
      </c>
      <c r="Q56" s="9" t="n">
        <v>0.0578155517578125</v>
      </c>
      <c r="R56" s="9" t="n">
        <v>0.011834144592285156</v>
      </c>
      <c r="S56" s="9" t="n">
        <v>0.0</v>
      </c>
      <c r="T56" s="9" t="n">
        <v>0.0</v>
      </c>
      <c r="U56">
        <f si="1" t="shared"/>
        <v>1.3720788955688477</v>
      </c>
    </row>
    <row r="57" spans="1:21" x14ac:dyDescent="0.25">
      <c r="A57" s="12">
        <v>0.125</v>
      </c>
      <c r="B57" s="6" t="n">
        <v>0.04480058361148834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4.4800583611488337E-2</v>
      </c>
      <c r="L57" s="12">
        <v>0.125</v>
      </c>
      <c r="M57" s="9" t="n">
        <v>0.16027259826660156</v>
      </c>
      <c r="N57" s="9" t="n">
        <v>0.03868389129638672</v>
      </c>
      <c r="O57" s="9" t="n">
        <v>0.0</v>
      </c>
      <c r="P57" s="9" t="n">
        <v>0.0</v>
      </c>
      <c r="Q57" s="9" t="n">
        <v>0.012873649597167969</v>
      </c>
      <c r="R57" s="9" t="n">
        <v>0.002536773681640625</v>
      </c>
      <c r="S57" s="9" t="n">
        <v>0.0</v>
      </c>
      <c r="T57" s="9" t="n">
        <v>0.0</v>
      </c>
      <c r="U57">
        <f si="1" t="shared"/>
        <v>0.29396438598632813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ignoredErrors>
    <ignoredError formulaRange="1" sqref="J9:J58 U9:U58"/>
  </ignoredError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1</v>
      </c>
      <c r="W8" s="5"/>
      <c r="X8" s="16"/>
      <c r="Y8" s="16"/>
      <c r="Z8" s="5"/>
    </row>
    <row r="9" spans="1:26" x14ac:dyDescent="0.25">
      <c r="A9" s="12">
        <v>0.125</v>
      </c>
      <c r="B9" s="6" t="n">
        <v>0.11979085822200775</v>
      </c>
      <c r="C9" s="6" t="n">
        <v>0.0099903589925766</v>
      </c>
      <c r="D9" s="6" t="n">
        <v>0.0</v>
      </c>
      <c r="E9" s="6" t="n">
        <v>0.05286177203559876</v>
      </c>
      <c r="F9" s="6" t="n">
        <v>4.583135896173477</v>
      </c>
      <c r="G9" s="6" t="n">
        <v>4.896229266722679</v>
      </c>
      <c r="H9" s="6" t="n">
        <v>27.794451800074576</v>
      </c>
      <c r="I9" s="6" t="n">
        <v>0.0</v>
      </c>
      <c r="J9" s="6">
        <f ref="J9:J58" si="0" t="shared">SUM(B9:I9)</f>
        <v>37.456459952220918</v>
      </c>
      <c r="L9" s="12">
        <v>0.125</v>
      </c>
      <c r="M9" s="9" t="n">
        <v>0.32596397399902344</v>
      </c>
      <c r="N9" s="9" t="n">
        <v>0.0</v>
      </c>
      <c r="O9" s="9" t="n">
        <v>0.0</v>
      </c>
      <c r="P9" s="9" t="n">
        <v>0.0</v>
      </c>
      <c r="Q9" s="9" t="n">
        <v>1.0114431381225586</v>
      </c>
      <c r="R9" s="9" t="n">
        <v>5.140966415405273</v>
      </c>
      <c r="S9" s="9" t="n">
        <v>27.12931728363037</v>
      </c>
      <c r="T9" s="9" t="n">
        <v>0.0</v>
      </c>
      <c r="U9">
        <f ref="U9:U58" si="1" t="shared">SUM(M9:T9)</f>
        <v>26.995247840881348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0.7315233364477156</v>
      </c>
      <c r="C10" s="6" t="n">
        <v>0.06105469639015197</v>
      </c>
      <c r="D10" s="6" t="n">
        <v>0.0</v>
      </c>
      <c r="E10" s="6" t="n">
        <v>0.31961847412776945</v>
      </c>
      <c r="F10" s="6" t="n">
        <v>14.355487580674172</v>
      </c>
      <c r="G10" s="6" t="n">
        <v>23.074451131338122</v>
      </c>
      <c r="H10" s="6" t="n">
        <v>138.75506361875725</v>
      </c>
      <c r="I10" s="6" t="n">
        <v>0.0</v>
      </c>
      <c r="J10" s="6">
        <f si="0" t="shared"/>
        <v>177.29719883773518</v>
      </c>
      <c r="L10" s="12">
        <v>0.14583333333333334</v>
      </c>
      <c r="M10" s="9" t="n">
        <v>1.4349489212036133</v>
      </c>
      <c r="N10" s="9" t="n">
        <v>0.0</v>
      </c>
      <c r="O10" s="9" t="n">
        <v>0.0</v>
      </c>
      <c r="P10" s="9" t="n">
        <v>0.0</v>
      </c>
      <c r="Q10" s="9" t="n">
        <v>4.773262023925781</v>
      </c>
      <c r="R10" s="9" t="n">
        <v>21.7485933303833</v>
      </c>
      <c r="S10" s="9" t="n">
        <v>118.17537689208984</v>
      </c>
      <c r="T10" s="9" t="n">
        <v>0.0</v>
      </c>
      <c r="U10">
        <f si="1" t="shared"/>
        <v>114.53003025054932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3.1614254804582593</v>
      </c>
      <c r="C11" s="6" t="n">
        <v>0.26671586125850677</v>
      </c>
      <c r="D11" s="6" t="n">
        <v>2.387682056427002E-5</v>
      </c>
      <c r="E11" s="6" t="n">
        <v>1.3660316811990738</v>
      </c>
      <c r="F11" s="6" t="n">
        <v>35.93886995433044</v>
      </c>
      <c r="G11" s="6" t="n">
        <v>83.11612025819302</v>
      </c>
      <c r="H11" s="6" t="n">
        <v>527.8561980450163</v>
      </c>
      <c r="I11" s="6" t="n">
        <v>0.0</v>
      </c>
      <c r="J11" s="6">
        <f si="0" t="shared"/>
        <v>651.70538515727617</v>
      </c>
      <c r="L11" s="12">
        <v>0.16666666666666666</v>
      </c>
      <c r="M11" s="9" t="n">
        <v>5.359617233276367</v>
      </c>
      <c r="N11" s="9" t="n">
        <v>0.0</v>
      </c>
      <c r="O11" s="9" t="n">
        <v>0.0</v>
      </c>
      <c r="P11" s="9" t="n">
        <v>0.0</v>
      </c>
      <c r="Q11" s="9" t="n">
        <v>18.259520530700684</v>
      </c>
      <c r="R11" s="9" t="n">
        <v>74.87665462493896</v>
      </c>
      <c r="S11" s="9" t="n">
        <v>420.592848777771</v>
      </c>
      <c r="T11" s="9" t="n">
        <v>0.0</v>
      </c>
      <c r="U11">
        <f si="1" t="shared"/>
        <v>405.86587047576904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10.356409755480765</v>
      </c>
      <c r="C12" s="6" t="n">
        <v>0.8971793568916321</v>
      </c>
      <c r="D12" s="6" t="n">
        <v>4.7753641128540046E-4</v>
      </c>
      <c r="E12" s="6" t="n">
        <v>4.420748389500618</v>
      </c>
      <c r="F12" s="6" t="n">
        <v>78.50281273324202</v>
      </c>
      <c r="G12" s="6" t="n">
        <v>240.1053010550604</v>
      </c>
      <c r="H12" s="6" t="n">
        <v>1603.8267659369842</v>
      </c>
      <c r="I12" s="6" t="n">
        <v>0.0</v>
      </c>
      <c r="J12" s="6">
        <f si="0" t="shared"/>
        <v>1938.109694763571</v>
      </c>
      <c r="L12" s="12">
        <v>0.1875</v>
      </c>
      <c r="M12" s="9" t="n">
        <v>16.795838356018066</v>
      </c>
      <c r="N12" s="9" t="n">
        <v>0.0</v>
      </c>
      <c r="O12" s="9" t="n">
        <v>0.0</v>
      </c>
      <c r="P12" s="9" t="n">
        <v>0.0</v>
      </c>
      <c r="Q12" s="9" t="n">
        <v>57.4945592880249</v>
      </c>
      <c r="R12" s="9" t="n">
        <v>215.40862941741943</v>
      </c>
      <c r="S12" s="9" t="n">
        <v>1247.6389541625977</v>
      </c>
      <c r="T12" s="9" t="n">
        <v>0.0</v>
      </c>
      <c r="U12">
        <f si="1" t="shared"/>
        <v>1207.5727586746216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26.785753417428975</v>
      </c>
      <c r="C13" s="6" t="n">
        <v>2.4361113375091556</v>
      </c>
      <c r="D13" s="6" t="n">
        <v>0.004565753467559814</v>
      </c>
      <c r="E13" s="6" t="n">
        <v>11.283647563414574</v>
      </c>
      <c r="F13" s="6" t="n">
        <v>154.44205349858095</v>
      </c>
      <c r="G13" s="6" t="n">
        <v>568.324978278886</v>
      </c>
      <c r="H13" s="6" t="n">
        <v>3978.8821412447865</v>
      </c>
      <c r="I13" s="6" t="n">
        <v>0.0</v>
      </c>
      <c r="J13" s="6">
        <f si="0" t="shared"/>
        <v>4742.1592510940736</v>
      </c>
      <c r="L13" s="12">
        <v>0.20833333333333334</v>
      </c>
      <c r="M13" s="9" t="n">
        <v>43.750576972961426</v>
      </c>
      <c r="N13" s="9" t="n">
        <v>0.0</v>
      </c>
      <c r="O13" s="9" t="n">
        <v>0.0</v>
      </c>
      <c r="P13" s="9" t="n">
        <v>0.0</v>
      </c>
      <c r="Q13" s="9" t="n">
        <v>149.72200393676758</v>
      </c>
      <c r="R13" s="9" t="n">
        <v>518.8084526062012</v>
      </c>
      <c r="S13" s="9" t="n">
        <v>3088.103536605835</v>
      </c>
      <c r="T13" s="9" t="n">
        <v>0.0</v>
      </c>
      <c r="U13">
        <f si="1" t="shared"/>
        <v>3014.45374584198</v>
      </c>
    </row>
    <row r="14" spans="1:26" x14ac:dyDescent="0.25">
      <c r="A14" s="12">
        <v>0.22916666666666666</v>
      </c>
      <c r="B14" s="6" t="n">
        <v>56.34890386347772</v>
      </c>
      <c r="C14" s="6" t="n">
        <v>5.530688941045762</v>
      </c>
      <c r="D14" s="6" t="n">
        <v>0.02780272665023804</v>
      </c>
      <c r="E14" s="6" t="n">
        <v>23.40470082449818</v>
      </c>
      <c r="F14" s="6" t="n">
        <v>278.1090075815458</v>
      </c>
      <c r="G14" s="6" t="n">
        <v>1118.6665888156788</v>
      </c>
      <c r="H14" s="6" t="n">
        <v>8184.678076950247</v>
      </c>
      <c r="I14" s="6" t="n">
        <v>0.0</v>
      </c>
      <c r="J14" s="6">
        <f si="0" t="shared"/>
        <v>9666.7657697031427</v>
      </c>
      <c r="L14" s="12">
        <v>0.22916666666666666</v>
      </c>
      <c r="M14" s="9" t="n">
        <v>95.35506916046143</v>
      </c>
      <c r="N14" s="9" t="n">
        <v>0.0</v>
      </c>
      <c r="O14" s="9" t="n">
        <v>0.0</v>
      </c>
      <c r="P14" s="9" t="n">
        <v>0.0</v>
      </c>
      <c r="Q14" s="9" t="n">
        <v>325.72760677337646</v>
      </c>
      <c r="R14" s="9" t="n">
        <v>1051.289867401123</v>
      </c>
      <c r="S14" s="9" t="n">
        <v>6416.601115226746</v>
      </c>
      <c r="T14" s="9" t="n">
        <v>0.0</v>
      </c>
      <c r="U14">
        <f si="1" t="shared"/>
        <v>6352.0966758728027</v>
      </c>
    </row>
    <row r="15" spans="1:26" x14ac:dyDescent="0.25">
      <c r="A15" s="12">
        <v>0.25</v>
      </c>
      <c r="B15" s="6" t="n">
        <v>98.8267764806757</v>
      </c>
      <c r="C15" s="6" t="n">
        <v>10.77456823352623</v>
      </c>
      <c r="D15" s="6" t="n">
        <v>0.1212231321001053</v>
      </c>
      <c r="E15" s="6" t="n">
        <v>40.45830854987335</v>
      </c>
      <c r="F15" s="6" t="n">
        <v>459.2075846135787</v>
      </c>
      <c r="G15" s="6" t="n">
        <v>1850.1968246662477</v>
      </c>
      <c r="H15" s="6" t="n">
        <v>14113.847465339473</v>
      </c>
      <c r="I15" s="6" t="n">
        <v>0.0</v>
      </c>
      <c r="J15" s="6">
        <f si="0" t="shared"/>
        <v>16573.432751015476</v>
      </c>
      <c r="L15" s="12">
        <v>0.25</v>
      </c>
      <c r="M15" s="9" t="n">
        <v>175.68040943145752</v>
      </c>
      <c r="N15" s="9" t="n">
        <v>0.0</v>
      </c>
      <c r="O15" s="9" t="n">
        <v>0.0</v>
      </c>
      <c r="P15" s="9" t="n">
        <v>0.0</v>
      </c>
      <c r="Q15" s="9" t="n">
        <v>598.4766607284546</v>
      </c>
      <c r="R15" s="9" t="n">
        <v>1803.382827758789</v>
      </c>
      <c r="S15" s="9" t="n">
        <v>11277.041304588318</v>
      </c>
      <c r="T15" s="9" t="n">
        <v>0.0</v>
      </c>
      <c r="U15">
        <f si="1" t="shared"/>
        <v>11389.818245887756</v>
      </c>
    </row>
    <row r="16" spans="1:26" x14ac:dyDescent="0.25">
      <c r="A16" s="12">
        <v>0.27083333333333331</v>
      </c>
      <c r="B16" s="6" t="n">
        <v>147.87000319426346</v>
      </c>
      <c r="C16" s="6" t="n">
        <v>18.31163975933075</v>
      </c>
      <c r="D16" s="6" t="n">
        <v>0.4034258448257446</v>
      </c>
      <c r="E16" s="6" t="n">
        <v>59.74146066783429</v>
      </c>
      <c r="F16" s="6" t="n">
        <v>690.3826730961626</v>
      </c>
      <c r="G16" s="6" t="n">
        <v>2589.7067346912245</v>
      </c>
      <c r="H16" s="6" t="n">
        <v>20563.80954286295</v>
      </c>
      <c r="I16" s="6" t="n">
        <v>0.0</v>
      </c>
      <c r="J16" s="6">
        <f si="0" t="shared"/>
        <v>24070.225480116591</v>
      </c>
      <c r="L16" s="12">
        <v>0.27083333333333331</v>
      </c>
      <c r="M16" s="9" t="n">
        <v>276.29024600982666</v>
      </c>
      <c r="N16" s="9" t="n">
        <v>0.0</v>
      </c>
      <c r="O16" s="9" t="n">
        <v>0.0</v>
      </c>
      <c r="P16" s="9" t="n">
        <v>0.0</v>
      </c>
      <c r="Q16" s="9" t="n">
        <v>937.8606510162354</v>
      </c>
      <c r="R16" s="9" t="n">
        <v>2635.0134887695312</v>
      </c>
      <c r="S16" s="9" t="n">
        <v>16886.277826309204</v>
      </c>
      <c r="T16" s="9" t="n">
        <v>0.0</v>
      </c>
      <c r="U16">
        <f si="1" t="shared"/>
        <v>17517.58922958374</v>
      </c>
    </row>
    <row r="17" spans="1:21" x14ac:dyDescent="0.25">
      <c r="A17" s="12">
        <v>0.29166666666666669</v>
      </c>
      <c r="B17" s="6" t="n">
        <v>193.11969721271512</v>
      </c>
      <c r="C17" s="6" t="n">
        <v>27.331492457302094</v>
      </c>
      <c r="D17" s="6" t="n">
        <v>1.0667339449596405</v>
      </c>
      <c r="E17" s="6" t="n">
        <v>77.41947183260537</v>
      </c>
      <c r="F17" s="6" t="n">
        <v>937.4646909536398</v>
      </c>
      <c r="G17" s="6" t="n">
        <v>3082.064766830382</v>
      </c>
      <c r="H17" s="6" t="n">
        <v>25455.37885633002</v>
      </c>
      <c r="I17" s="6" t="n">
        <v>0.0</v>
      </c>
      <c r="J17" s="6">
        <f si="0" t="shared"/>
        <v>29773.845709561621</v>
      </c>
      <c r="L17" s="12">
        <v>0.29166666666666669</v>
      </c>
      <c r="M17" s="9" t="n">
        <v>374.042049407959</v>
      </c>
      <c r="N17" s="9" t="n">
        <v>0.0</v>
      </c>
      <c r="O17" s="9" t="n">
        <v>0.0</v>
      </c>
      <c r="P17" s="9" t="n">
        <v>0.0</v>
      </c>
      <c r="Q17" s="9" t="n">
        <v>1264.0396280288696</v>
      </c>
      <c r="R17" s="9" t="n">
        <v>3298.18848323822</v>
      </c>
      <c r="S17" s="9" t="n">
        <v>21684.82452774048</v>
      </c>
      <c r="T17" s="9" t="n">
        <v>0.0</v>
      </c>
      <c r="U17">
        <f si="1" t="shared"/>
        <v>23278.96388053894</v>
      </c>
    </row>
    <row r="18" spans="1:21" x14ac:dyDescent="0.25">
      <c r="A18" s="12">
        <v>0.3125</v>
      </c>
      <c r="B18" s="6" t="n">
        <v>224.94447890248398</v>
      </c>
      <c r="C18" s="6" t="n">
        <v>35.76294205804825</v>
      </c>
      <c r="D18" s="6" t="n">
        <v>2.303033412077904</v>
      </c>
      <c r="E18" s="6" t="n">
        <v>90.80204585108757</v>
      </c>
      <c r="F18" s="6" t="n">
        <v>1145.3459576041353</v>
      </c>
      <c r="G18" s="6" t="n">
        <v>3127.77863457035</v>
      </c>
      <c r="H18" s="6" t="n">
        <v>26871.941181764523</v>
      </c>
      <c r="I18" s="6" t="n">
        <v>0.0</v>
      </c>
      <c r="J18" s="6">
        <f si="0" t="shared"/>
        <v>31498.878274162707</v>
      </c>
      <c r="L18" s="12">
        <v>0.3125</v>
      </c>
      <c r="M18" s="9" t="n">
        <v>438.9736576080322</v>
      </c>
      <c r="N18" s="9" t="n">
        <v>0.0</v>
      </c>
      <c r="O18" s="9" t="n">
        <v>0.0</v>
      </c>
      <c r="P18" s="9" t="n">
        <v>0.0</v>
      </c>
      <c r="Q18" s="9" t="n">
        <v>1475.3406057357788</v>
      </c>
      <c r="R18" s="9" t="n">
        <v>3554.1821613311768</v>
      </c>
      <c r="S18" s="9" t="n">
        <v>24014.989267349243</v>
      </c>
      <c r="T18" s="9" t="n">
        <v>0.0</v>
      </c>
      <c r="U18">
        <f si="1" t="shared"/>
        <v>26902.628015518188</v>
      </c>
    </row>
    <row r="19" spans="1:21" x14ac:dyDescent="0.25">
      <c r="A19" s="12">
        <v>0.33333333333333331</v>
      </c>
      <c r="B19" s="6" t="n">
        <v>237.56405956338125</v>
      </c>
      <c r="C19" s="6" t="n">
        <v>40.724713055776604</v>
      </c>
      <c r="D19" s="6" t="n">
        <v>4.1387794514369975</v>
      </c>
      <c r="E19" s="6" t="n">
        <v>99.67687403890228</v>
      </c>
      <c r="F19" s="6" t="n">
        <v>1261.7472488980216</v>
      </c>
      <c r="G19" s="6" t="n">
        <v>2711.2154001669655</v>
      </c>
      <c r="H19" s="6" t="n">
        <v>24247.760261893087</v>
      </c>
      <c r="I19" s="6" t="n">
        <v>0.0</v>
      </c>
      <c r="J19" s="6">
        <f si="0" t="shared"/>
        <v>28602.827337067571</v>
      </c>
      <c r="L19" s="12">
        <v>0.33333333333333331</v>
      </c>
      <c r="M19" s="9" t="n">
        <v>449.28617572784424</v>
      </c>
      <c r="N19" s="9" t="n">
        <v>0.0</v>
      </c>
      <c r="O19" s="9" t="n">
        <v>0.0</v>
      </c>
      <c r="P19" s="9" t="n">
        <v>0.0</v>
      </c>
      <c r="Q19" s="9" t="n">
        <v>1499.5195407867432</v>
      </c>
      <c r="R19" s="9" t="n">
        <v>3311.4798822402954</v>
      </c>
      <c r="S19" s="9" t="n">
        <v>23041.391100883484</v>
      </c>
      <c r="T19" s="9" t="n">
        <v>0.0</v>
      </c>
      <c r="U19">
        <f si="1" t="shared"/>
        <v>27194.552432060242</v>
      </c>
    </row>
    <row r="20" spans="1:21" x14ac:dyDescent="0.25">
      <c r="A20" s="12">
        <v>0.35416666666666669</v>
      </c>
      <c r="B20" s="6" t="n">
        <v>229.1190446513691</v>
      </c>
      <c r="C20" s="6" t="n">
        <v>39.96167579975034</v>
      </c>
      <c r="D20" s="6" t="n">
        <v>6.279034120324136</v>
      </c>
      <c r="E20" s="6" t="n">
        <v>105.86411282525826</v>
      </c>
      <c r="F20" s="6" t="n">
        <v>1263.2408667977209</v>
      </c>
      <c r="G20" s="6" t="n">
        <v>2010.9107798240043</v>
      </c>
      <c r="H20" s="6" t="n">
        <v>18725.10617717859</v>
      </c>
      <c r="I20" s="6" t="n">
        <v>0.0</v>
      </c>
      <c r="J20" s="6">
        <f si="0" t="shared"/>
        <v>22380.481691197016</v>
      </c>
      <c r="L20" s="12">
        <v>0.35416666666666669</v>
      </c>
      <c r="M20" s="9" t="n">
        <v>403.3547821044922</v>
      </c>
      <c r="N20" s="9" t="n">
        <v>0.0</v>
      </c>
      <c r="O20" s="9" t="n">
        <v>0.0</v>
      </c>
      <c r="P20" s="9" t="n">
        <v>0.0</v>
      </c>
      <c r="Q20" s="9" t="n">
        <v>1333.732741355896</v>
      </c>
      <c r="R20" s="9" t="n">
        <v>2676.9984741210938</v>
      </c>
      <c r="S20" s="9" t="n">
        <v>19224.48747730255</v>
      </c>
      <c r="T20" s="9" t="n">
        <v>0.0</v>
      </c>
      <c r="U20">
        <f si="1" t="shared"/>
        <v>24183.317061424255</v>
      </c>
    </row>
    <row r="21" spans="1:21" x14ac:dyDescent="0.25">
      <c r="A21" s="12">
        <v>0.375</v>
      </c>
      <c r="B21" s="6" t="n">
        <v>201.27101571452334</v>
      </c>
      <c r="C21" s="6" t="n">
        <v>33.43427864000321</v>
      </c>
      <c r="D21" s="6" t="n">
        <v>8.13652860219574</v>
      </c>
      <c r="E21" s="6" t="n">
        <v>111.79575994311334</v>
      </c>
      <c r="F21" s="6" t="n">
        <v>1164.19863180132</v>
      </c>
      <c r="G21" s="6" t="n">
        <v>1283.1315898436928</v>
      </c>
      <c r="H21" s="6" t="n">
        <v>12381.423084745698</v>
      </c>
      <c r="I21" s="6" t="n">
        <v>0.0</v>
      </c>
      <c r="J21" s="6">
        <f si="0" t="shared"/>
        <v>15183.390889290547</v>
      </c>
      <c r="L21" s="12">
        <v>0.375</v>
      </c>
      <c r="M21" s="9" t="n">
        <v>320.00704193115234</v>
      </c>
      <c r="N21" s="9" t="n">
        <v>0.0</v>
      </c>
      <c r="O21" s="9" t="n">
        <v>0.0</v>
      </c>
      <c r="P21" s="9" t="n">
        <v>0.0</v>
      </c>
      <c r="Q21" s="9" t="n">
        <v>1044.0740394592285</v>
      </c>
      <c r="R21" s="9" t="n">
        <v>1883.2909755706787</v>
      </c>
      <c r="S21" s="9" t="n">
        <v>13994.574209213257</v>
      </c>
      <c r="T21" s="9" t="n">
        <v>0.0</v>
      </c>
      <c r="U21">
        <f si="1" t="shared"/>
        <v>19055.688704490662</v>
      </c>
    </row>
    <row r="22" spans="1:21" x14ac:dyDescent="0.25">
      <c r="A22" s="12">
        <v>0.39583333333333331</v>
      </c>
      <c r="B22" s="6" t="n">
        <v>159.91269265674592</v>
      </c>
      <c r="C22" s="6" t="n">
        <v>23.619294928876876</v>
      </c>
      <c r="D22" s="6" t="n">
        <v>9.143075074963571</v>
      </c>
      <c r="E22" s="6" t="n">
        <v>118.84655491408729</v>
      </c>
      <c r="F22" s="6" t="n">
        <v>1005.2270701547901</v>
      </c>
      <c r="G22" s="6" t="n">
        <v>718.5639817773115</v>
      </c>
      <c r="H22" s="6" t="n">
        <v>7015.014431668005</v>
      </c>
      <c r="I22" s="6" t="n">
        <v>0.0</v>
      </c>
      <c r="J22" s="6">
        <f si="0" t="shared"/>
        <v>9050.3271011747802</v>
      </c>
      <c r="L22" s="12">
        <v>0.39583333333333331</v>
      </c>
      <c r="M22" s="9" t="n">
        <v>227.3712568283081</v>
      </c>
      <c r="N22" s="9" t="n">
        <v>0.0</v>
      </c>
      <c r="O22" s="9" t="n">
        <v>0.0</v>
      </c>
      <c r="P22" s="9" t="n">
        <v>0.0</v>
      </c>
      <c r="Q22" s="9" t="n">
        <v>726.6306037902832</v>
      </c>
      <c r="R22" s="9" t="n">
        <v>1156.76744556427</v>
      </c>
      <c r="S22" s="9" t="n">
        <v>8925.512089729309</v>
      </c>
      <c r="T22" s="9" t="n">
        <v>0.0</v>
      </c>
      <c r="U22">
        <f si="1" t="shared"/>
        <v>13464.295018196106</v>
      </c>
    </row>
    <row r="23" spans="1:21" x14ac:dyDescent="0.25">
      <c r="A23" s="12">
        <v>0.41666666666666669</v>
      </c>
      <c r="B23" s="6" t="n">
        <v>114.83373064096833</v>
      </c>
      <c r="C23" s="6" t="n">
        <v>14.098246721262932</v>
      </c>
      <c r="D23" s="6" t="n">
        <v>9.21765632490349</v>
      </c>
      <c r="E23" s="6" t="n">
        <v>125.61863466653347</v>
      </c>
      <c r="F23" s="6" t="n">
        <v>833.6171399223557</v>
      </c>
      <c r="G23" s="6" t="n">
        <v>376.2234130307618</v>
      </c>
      <c r="H23" s="6" t="n">
        <v>3421.4254163789456</v>
      </c>
      <c r="I23" s="6" t="n">
        <v>0.0</v>
      </c>
      <c r="J23" s="6">
        <f si="0" t="shared"/>
        <v>4895.0342376857316</v>
      </c>
      <c r="L23" s="12">
        <v>0.41666666666666669</v>
      </c>
      <c r="M23" s="9" t="n">
        <v>148.87688446044922</v>
      </c>
      <c r="N23" s="9" t="n">
        <v>0.0</v>
      </c>
      <c r="O23" s="9" t="n">
        <v>0.0</v>
      </c>
      <c r="P23" s="9" t="n">
        <v>0.0</v>
      </c>
      <c r="Q23" s="9" t="n">
        <v>459.76408100128174</v>
      </c>
      <c r="R23" s="9" t="n">
        <v>623.9332113265991</v>
      </c>
      <c r="S23" s="9" t="n">
        <v>5028.890839576721</v>
      </c>
      <c r="T23" s="9" t="n">
        <v>0.0</v>
      </c>
      <c r="U23">
        <f si="1" t="shared"/>
        <v>8727.2932147979736</v>
      </c>
    </row>
    <row r="24" spans="1:21" x14ac:dyDescent="0.25">
      <c r="A24" s="12">
        <v>0.4375</v>
      </c>
      <c r="B24" s="6" t="n">
        <v>76.44370467267322</v>
      </c>
      <c r="C24" s="6" t="n">
        <v>7.731420188475608</v>
      </c>
      <c r="D24" s="6" t="n">
        <v>9.066092770563127</v>
      </c>
      <c r="E24" s="6" t="n">
        <v>127.41321257831</v>
      </c>
      <c r="F24" s="6" t="n">
        <v>687.5583999538737</v>
      </c>
      <c r="G24" s="6" t="n">
        <v>212.0693345073214</v>
      </c>
      <c r="H24" s="6" t="n">
        <v>1472.098608880663</v>
      </c>
      <c r="I24" s="6" t="n">
        <v>0.0</v>
      </c>
      <c r="J24" s="6">
        <f si="0" t="shared"/>
        <v>2592.3807735518803</v>
      </c>
      <c r="L24" s="12">
        <v>0.4375</v>
      </c>
      <c r="M24" s="9" t="n">
        <v>95.3386697769165</v>
      </c>
      <c r="N24" s="9" t="n">
        <v>0.0</v>
      </c>
      <c r="O24" s="9" t="n">
        <v>0.0</v>
      </c>
      <c r="P24" s="9" t="n">
        <v>0.0</v>
      </c>
      <c r="Q24" s="9" t="n">
        <v>278.1467294692993</v>
      </c>
      <c r="R24" s="9" t="n">
        <v>299.7211027145386</v>
      </c>
      <c r="S24" s="9" t="n">
        <v>2554.4158506393433</v>
      </c>
      <c r="T24" s="9" t="n">
        <v>0.0</v>
      </c>
      <c r="U24">
        <f si="1" t="shared"/>
        <v>5413.6189203262329</v>
      </c>
    </row>
    <row r="25" spans="1:21" x14ac:dyDescent="0.25">
      <c r="A25" s="12">
        <v>0.45833333333333331</v>
      </c>
      <c r="B25" s="6" t="n">
        <v>51.483969658729556</v>
      </c>
      <c r="C25" s="6" t="n">
        <v>5.961628163629531</v>
      </c>
      <c r="D25" s="6" t="n">
        <v>9.994462477523806</v>
      </c>
      <c r="E25" s="6" t="n">
        <v>118.7177396356287</v>
      </c>
      <c r="F25" s="6" t="n">
        <v>586.2208744517498</v>
      </c>
      <c r="G25" s="6" t="n">
        <v>146.92336304258825</v>
      </c>
      <c r="H25" s="6" t="n">
        <v>622.0672187219973</v>
      </c>
      <c r="I25" s="6" t="n">
        <v>0.0</v>
      </c>
      <c r="J25" s="6">
        <f si="0" t="shared"/>
        <v>1541.3692561518469</v>
      </c>
      <c r="L25" s="12">
        <v>0.45833333333333331</v>
      </c>
      <c r="M25" s="9" t="n">
        <v>65.69006156921387</v>
      </c>
      <c r="N25" s="9" t="n">
        <v>0.0</v>
      </c>
      <c r="O25" s="9" t="n">
        <v>0.0</v>
      </c>
      <c r="P25" s="9" t="n">
        <v>0.0</v>
      </c>
      <c r="Q25" s="9" t="n">
        <v>176.87428951263428</v>
      </c>
      <c r="R25" s="9" t="n">
        <v>133.0468397140503</v>
      </c>
      <c r="S25" s="9" t="n">
        <v>1228.6001996994019</v>
      </c>
      <c r="T25" s="9" t="n">
        <v>0.0</v>
      </c>
      <c r="U25">
        <f si="1" t="shared"/>
        <v>3426.9528322219849</v>
      </c>
    </row>
    <row r="26" spans="1:21" x14ac:dyDescent="0.25">
      <c r="A26" s="12">
        <v>0.47916666666666669</v>
      </c>
      <c r="B26" s="6" t="n">
        <v>40.98094341675663</v>
      </c>
      <c r="C26" s="6" t="n">
        <v>9.20752339518547</v>
      </c>
      <c r="D26" s="6" t="n">
        <v>13.177028054374697</v>
      </c>
      <c r="E26" s="6" t="n">
        <v>97.82486402734375</v>
      </c>
      <c r="F26" s="6" t="n">
        <v>525.520466302186</v>
      </c>
      <c r="G26" s="6" t="n">
        <v>117.3436925625038</v>
      </c>
      <c r="H26" s="6" t="n">
        <v>346.9740221883106</v>
      </c>
      <c r="I26" s="6" t="n">
        <v>0.0</v>
      </c>
      <c r="J26" s="6">
        <f si="0" t="shared"/>
        <v>1151.0285399466609</v>
      </c>
      <c r="L26" s="12">
        <v>0.47916666666666669</v>
      </c>
      <c r="M26" s="9" t="n">
        <v>52.71323871612549</v>
      </c>
      <c r="N26" s="9" t="n">
        <v>0.0</v>
      </c>
      <c r="O26" s="9" t="n">
        <v>0.0</v>
      </c>
      <c r="P26" s="9" t="n">
        <v>0.0</v>
      </c>
      <c r="Q26" s="9" t="n">
        <v>131.96635341644287</v>
      </c>
      <c r="R26" s="9" t="n">
        <v>59.75054359436035</v>
      </c>
      <c r="S26" s="9" t="n">
        <v>618.0117139816284</v>
      </c>
      <c r="T26" s="9" t="n">
        <v>0.0</v>
      </c>
      <c r="U26">
        <f si="1" t="shared"/>
        <v>2354.1210908889771</v>
      </c>
    </row>
    <row r="27" spans="1:21" x14ac:dyDescent="0.25">
      <c r="A27" s="12">
        <v>0.5</v>
      </c>
      <c r="B27" s="6" t="n">
        <v>41.18426807235718</v>
      </c>
      <c r="C27" s="6" t="n">
        <v>17.01507942181301</v>
      </c>
      <c r="D27" s="6" t="n">
        <v>18.714785559544563</v>
      </c>
      <c r="E27" s="6" t="n">
        <v>69.35877427660276</v>
      </c>
      <c r="F27" s="6" t="n">
        <v>483.3003399659338</v>
      </c>
      <c r="G27" s="6" t="n">
        <v>92.27699459229851</v>
      </c>
      <c r="H27" s="6" t="n">
        <v>309.8112429400587</v>
      </c>
      <c r="I27" s="6" t="n">
        <v>0.0</v>
      </c>
      <c r="J27" s="6">
        <f si="0" t="shared"/>
        <v>1031.6614848286085</v>
      </c>
      <c r="L27" s="12">
        <v>0.5</v>
      </c>
      <c r="M27" s="9" t="n">
        <v>48.72978591918945</v>
      </c>
      <c r="N27" s="9" t="n">
        <v>0.0</v>
      </c>
      <c r="O27" s="9" t="n">
        <v>0.0</v>
      </c>
      <c r="P27" s="9" t="n">
        <v>0.0</v>
      </c>
      <c r="Q27" s="9" t="n">
        <v>118.93175888061523</v>
      </c>
      <c r="R27" s="9" t="n">
        <v>32.304511070251465</v>
      </c>
      <c r="S27" s="9" t="n">
        <v>370.0328722000122</v>
      </c>
      <c r="T27" s="9" t="n">
        <v>0.0</v>
      </c>
      <c r="U27">
        <f si="1" t="shared"/>
        <v>1781.3005905151367</v>
      </c>
    </row>
    <row r="28" spans="1:21" x14ac:dyDescent="0.25">
      <c r="A28" s="12">
        <v>0.52083333333333337</v>
      </c>
      <c r="B28" s="6" t="n">
        <v>46.13743151311493</v>
      </c>
      <c r="C28" s="6" t="n">
        <v>27.395120288166048</v>
      </c>
      <c r="D28" s="6" t="n">
        <v>25.136517891724587</v>
      </c>
      <c r="E28" s="6" t="n">
        <v>41.91326337493706</v>
      </c>
      <c r="F28" s="6" t="n">
        <v>434.76524577231504</v>
      </c>
      <c r="G28" s="6" t="n">
        <v>66.51187857340813</v>
      </c>
      <c r="H28" s="6" t="n">
        <v>338.530021434372</v>
      </c>
      <c r="I28" s="6" t="n">
        <v>0.0</v>
      </c>
      <c r="J28" s="6">
        <f si="0" t="shared"/>
        <v>980.38947884803781</v>
      </c>
      <c r="L28" s="12">
        <v>0.52083333333333337</v>
      </c>
      <c r="M28" s="9" t="n">
        <v>48.64767646789551</v>
      </c>
      <c r="N28" s="9" t="n">
        <v>0.0</v>
      </c>
      <c r="O28" s="9" t="n">
        <v>0.0</v>
      </c>
      <c r="P28" s="9" t="n">
        <v>0.0</v>
      </c>
      <c r="Q28" s="9" t="n">
        <v>120.9974775314331</v>
      </c>
      <c r="R28" s="9" t="n">
        <v>24.903968811035156</v>
      </c>
      <c r="S28" s="9" t="n">
        <v>279.4678201675415</v>
      </c>
      <c r="T28" s="9" t="n">
        <v>0.0</v>
      </c>
      <c r="U28">
        <f si="1" t="shared"/>
        <v>1439.1929168701172</v>
      </c>
    </row>
    <row r="29" spans="1:21" x14ac:dyDescent="0.25">
      <c r="A29" s="12">
        <v>0.54166666666666663</v>
      </c>
      <c r="B29" s="6" t="n">
        <v>50.87624546905709</v>
      </c>
      <c r="C29" s="6" t="n">
        <v>36.581711663325315</v>
      </c>
      <c r="D29" s="6" t="n">
        <v>29.926505576701164</v>
      </c>
      <c r="E29" s="6" t="n">
        <v>23.31096298301888</v>
      </c>
      <c r="F29" s="6" t="n">
        <v>368.84072785286804</v>
      </c>
      <c r="G29" s="6" t="n">
        <v>46.46600459417057</v>
      </c>
      <c r="H29" s="6" t="n">
        <v>356.94579246192836</v>
      </c>
      <c r="I29" s="6" t="n">
        <v>0.0</v>
      </c>
      <c r="J29" s="6">
        <f si="0" t="shared"/>
        <v>912.94795060106946</v>
      </c>
      <c r="L29" s="12">
        <v>0.54166666666666663</v>
      </c>
      <c r="M29" s="9" t="n">
        <v>50.48218059539795</v>
      </c>
      <c r="N29" s="9" t="n">
        <v>0.0</v>
      </c>
      <c r="O29" s="9" t="n">
        <v>0.0</v>
      </c>
      <c r="P29" s="9" t="n">
        <v>0.0</v>
      </c>
      <c r="Q29" s="9" t="n">
        <v>129.30844593048096</v>
      </c>
      <c r="R29" s="9" t="n">
        <v>26.825745582580566</v>
      </c>
      <c r="S29" s="9" t="n">
        <v>254.53619861602783</v>
      </c>
      <c r="T29" s="9" t="n">
        <v>0.0</v>
      </c>
      <c r="U29">
        <f si="1" t="shared"/>
        <v>1204.1777925491333</v>
      </c>
    </row>
    <row r="30" spans="1:21" x14ac:dyDescent="0.25">
      <c r="A30" s="12">
        <v>0.5625</v>
      </c>
      <c r="B30" s="6" t="n">
        <v>54.83718807673073</v>
      </c>
      <c r="C30" s="6" t="n">
        <v>40.71955846249963</v>
      </c>
      <c r="D30" s="6" t="n">
        <v>30.98503160390663</v>
      </c>
      <c r="E30" s="6" t="n">
        <v>18.197341452423096</v>
      </c>
      <c r="F30" s="6" t="n">
        <v>292.97769745439905</v>
      </c>
      <c r="G30" s="6" t="n">
        <v>38.154133599898344</v>
      </c>
      <c r="H30" s="6" t="n">
        <v>340.02062758291913</v>
      </c>
      <c r="I30" s="6" t="n">
        <v>0.0</v>
      </c>
      <c r="J30" s="6">
        <f si="0" t="shared"/>
        <v>815.89157823277651</v>
      </c>
      <c r="L30" s="12">
        <v>0.5625</v>
      </c>
      <c r="M30" s="9" t="n">
        <v>54.60453414916992</v>
      </c>
      <c r="N30" s="9" t="n">
        <v>0.0</v>
      </c>
      <c r="O30" s="9" t="n">
        <v>0.0</v>
      </c>
      <c r="P30" s="9" t="n">
        <v>0.0</v>
      </c>
      <c r="Q30" s="9" t="n">
        <v>140.5887327194214</v>
      </c>
      <c r="R30" s="9" t="n">
        <v>35.01098918914795</v>
      </c>
      <c r="S30" s="9" t="n">
        <v>263.7522802352905</v>
      </c>
      <c r="T30" s="9" t="n">
        <v>0.0</v>
      </c>
      <c r="U30">
        <f si="1" t="shared"/>
        <v>1040.4407501220703</v>
      </c>
    </row>
    <row r="31" spans="1:21" x14ac:dyDescent="0.25">
      <c r="A31" s="12">
        <v>0.58333333333333337</v>
      </c>
      <c r="B31" s="6" t="n">
        <v>64.16423390813542</v>
      </c>
      <c r="C31" s="6" t="n">
        <v>38.941429899496086</v>
      </c>
      <c r="D31" s="6" t="n">
        <v>27.996257467928885</v>
      </c>
      <c r="E31" s="6" t="n">
        <v>28.878086514878273</v>
      </c>
      <c r="F31" s="6" t="n">
        <v>224.27731022303865</v>
      </c>
      <c r="G31" s="6" t="n">
        <v>41.54800154856873</v>
      </c>
      <c r="H31" s="6" t="n">
        <v>294.83081048663234</v>
      </c>
      <c r="I31" s="6" t="n">
        <v>0.0</v>
      </c>
      <c r="J31" s="6">
        <f si="0" t="shared"/>
        <v>720.6361300486783</v>
      </c>
      <c r="L31" s="12">
        <v>0.58333333333333337</v>
      </c>
      <c r="M31" s="9" t="n">
        <v>62.776018142700195</v>
      </c>
      <c r="N31" s="9" t="n">
        <v>0.0</v>
      </c>
      <c r="O31" s="9" t="n">
        <v>0.0</v>
      </c>
      <c r="P31" s="9" t="n">
        <v>0.0</v>
      </c>
      <c r="Q31" s="9" t="n">
        <v>155.19910526275635</v>
      </c>
      <c r="R31" s="9" t="n">
        <v>49.48716735839844</v>
      </c>
      <c r="S31" s="9" t="n">
        <v>299.8409433364868</v>
      </c>
      <c r="T31" s="9" t="n">
        <v>0.0</v>
      </c>
      <c r="U31">
        <f si="1" t="shared"/>
        <v>944.76726531982422</v>
      </c>
    </row>
    <row r="32" spans="1:21" x14ac:dyDescent="0.25">
      <c r="A32" s="12">
        <v>0.60416666666666663</v>
      </c>
      <c r="B32" s="6" t="n">
        <v>90.38710448286055</v>
      </c>
      <c r="C32" s="6" t="n">
        <v>35.23592796218492</v>
      </c>
      <c r="D32" s="6" t="n">
        <v>22.520256401481628</v>
      </c>
      <c r="E32" s="6" t="n">
        <v>55.91650144149208</v>
      </c>
      <c r="F32" s="6" t="n">
        <v>176.89906429001903</v>
      </c>
      <c r="G32" s="6" t="n">
        <v>51.48545887722016</v>
      </c>
      <c r="H32" s="6" t="n">
        <v>248.0488566324053</v>
      </c>
      <c r="I32" s="6" t="n">
        <v>0.0</v>
      </c>
      <c r="J32" s="6">
        <f si="0" t="shared"/>
        <v>680.49317008766366</v>
      </c>
      <c r="L32" s="12">
        <v>0.60416666666666663</v>
      </c>
      <c r="M32" s="9" t="n">
        <v>77.31580066680908</v>
      </c>
      <c r="N32" s="9" t="n">
        <v>0.0</v>
      </c>
      <c r="O32" s="9" t="n">
        <v>0.0</v>
      </c>
      <c r="P32" s="9" t="n">
        <v>0.0</v>
      </c>
      <c r="Q32" s="9" t="n">
        <v>175.49575519561768</v>
      </c>
      <c r="R32" s="9" t="n">
        <v>70.67310428619385</v>
      </c>
      <c r="S32" s="9" t="n">
        <v>361.3625774383545</v>
      </c>
      <c r="T32" s="9" t="n">
        <v>0.0</v>
      </c>
      <c r="U32">
        <f si="1" t="shared"/>
        <v>915.73092651367188</v>
      </c>
    </row>
    <row r="33" spans="1:21" x14ac:dyDescent="0.25">
      <c r="A33" s="12">
        <v>0.625</v>
      </c>
      <c r="B33" s="6" t="n">
        <v>143.738440537344</v>
      </c>
      <c r="C33" s="6" t="n">
        <v>36.957662649641996</v>
      </c>
      <c r="D33" s="6" t="n">
        <v>16.750964800240514</v>
      </c>
      <c r="E33" s="6" t="n">
        <v>96.00816911954497</v>
      </c>
      <c r="F33" s="6" t="n">
        <v>156.06325569623564</v>
      </c>
      <c r="G33" s="6" t="n">
        <v>62.306278779062275</v>
      </c>
      <c r="H33" s="6" t="n">
        <v>230.8528078717747</v>
      </c>
      <c r="I33" s="6" t="n">
        <v>0.0</v>
      </c>
      <c r="J33" s="6">
        <f si="0" t="shared"/>
        <v>742.67757945384415</v>
      </c>
      <c r="L33" s="12">
        <v>0.625</v>
      </c>
      <c r="M33" s="9" t="n">
        <v>100.20894527435303</v>
      </c>
      <c r="N33" s="9" t="n">
        <v>0.0</v>
      </c>
      <c r="O33" s="9" t="n">
        <v>0.0</v>
      </c>
      <c r="P33" s="9" t="n">
        <v>0.0</v>
      </c>
      <c r="Q33" s="9" t="n">
        <v>203.6140899658203</v>
      </c>
      <c r="R33" s="9" t="n">
        <v>97.2194299697876</v>
      </c>
      <c r="S33" s="9" t="n">
        <v>443.07366275787354</v>
      </c>
      <c r="T33" s="9" t="n">
        <v>0.0</v>
      </c>
      <c r="U33">
        <f si="1" t="shared"/>
        <v>943.48509693145752</v>
      </c>
    </row>
    <row r="34" spans="1:21" x14ac:dyDescent="0.25">
      <c r="A34" s="12">
        <v>0.64583333333333337</v>
      </c>
      <c r="B34" s="6" t="n">
        <v>223.38275244663336</v>
      </c>
      <c r="C34" s="6" t="n">
        <v>50.334568743072516</v>
      </c>
      <c r="D34" s="6" t="n">
        <v>12.168065294394491</v>
      </c>
      <c r="E34" s="6" t="n">
        <v>139.5637571848621</v>
      </c>
      <c r="F34" s="6" t="n">
        <v>159.43431863882446</v>
      </c>
      <c r="G34" s="6" t="n">
        <v>71.78031083383084</v>
      </c>
      <c r="H34" s="6" t="n">
        <v>263.8621489185734</v>
      </c>
      <c r="I34" s="6" t="n">
        <v>0.0</v>
      </c>
      <c r="J34" s="6">
        <f si="0" t="shared"/>
        <v>920.52592206019131</v>
      </c>
      <c r="L34" s="12">
        <v>0.64583333333333337</v>
      </c>
      <c r="M34" s="9" t="n">
        <v>132.0218210220337</v>
      </c>
      <c r="N34" s="9" t="n">
        <v>0.0</v>
      </c>
      <c r="O34" s="9" t="n">
        <v>0.0</v>
      </c>
      <c r="P34" s="9" t="n">
        <v>0.0</v>
      </c>
      <c r="Q34" s="9" t="n">
        <v>238.89118671417236</v>
      </c>
      <c r="R34" s="9" t="n">
        <v>124.6464672088623</v>
      </c>
      <c r="S34" s="9" t="n">
        <v>530.8268642425537</v>
      </c>
      <c r="T34" s="9" t="n">
        <v>0.0</v>
      </c>
      <c r="U34">
        <f si="1" t="shared"/>
        <v>1008.8659915924072</v>
      </c>
    </row>
    <row r="35" spans="1:21" x14ac:dyDescent="0.25">
      <c r="A35" s="12">
        <v>0.66666666666666663</v>
      </c>
      <c r="B35" s="6" t="n">
        <v>311.7671029623728</v>
      </c>
      <c r="C35" s="6" t="n">
        <v>75.57310234951782</v>
      </c>
      <c r="D35" s="6" t="n">
        <v>9.190639199764252</v>
      </c>
      <c r="E35" s="6" t="n">
        <v>172.53740199511623</v>
      </c>
      <c r="F35" s="6" t="n">
        <v>179.71487646073152</v>
      </c>
      <c r="G35" s="6" t="n">
        <v>80.84684520797347</v>
      </c>
      <c r="H35" s="6" t="n">
        <v>346.8315293029671</v>
      </c>
      <c r="I35" s="6" t="n">
        <v>0.0</v>
      </c>
      <c r="J35" s="6">
        <f si="0" t="shared"/>
        <v>1176.4614974784431</v>
      </c>
      <c r="L35" s="12">
        <v>0.66666666666666663</v>
      </c>
      <c r="M35" s="9" t="n">
        <v>170.9139404296875</v>
      </c>
      <c r="N35" s="9" t="n">
        <v>0.0</v>
      </c>
      <c r="O35" s="9" t="n">
        <v>0.0</v>
      </c>
      <c r="P35" s="9" t="n">
        <v>0.0</v>
      </c>
      <c r="Q35" s="9" t="n">
        <v>276.3369827270508</v>
      </c>
      <c r="R35" s="9" t="n">
        <v>146.0363073348999</v>
      </c>
      <c r="S35" s="9" t="n">
        <v>602.4553909301758</v>
      </c>
      <c r="T35" s="9" t="n">
        <v>0.0</v>
      </c>
      <c r="U35">
        <f si="1" t="shared"/>
        <v>1085.2661075592041</v>
      </c>
    </row>
    <row r="36" spans="1:21" x14ac:dyDescent="0.25">
      <c r="A36" s="12">
        <v>0.6875</v>
      </c>
      <c r="B36" s="6" t="n">
        <v>380.2161325903655</v>
      </c>
      <c r="C36" s="6" t="n">
        <v>104.92095720893</v>
      </c>
      <c r="D36" s="6" t="n">
        <v>7.645416460528374</v>
      </c>
      <c r="E36" s="6" t="n">
        <v>183.1150460584545</v>
      </c>
      <c r="F36" s="6" t="n">
        <v>204.9330102128439</v>
      </c>
      <c r="G36" s="6" t="n">
        <v>89.72927559014036</v>
      </c>
      <c r="H36" s="6" t="n">
        <v>455.57996978189567</v>
      </c>
      <c r="I36" s="6" t="n">
        <v>0.0</v>
      </c>
      <c r="J36" s="6">
        <f si="0" t="shared"/>
        <v>1426.1398079031583</v>
      </c>
      <c r="L36" s="12">
        <v>0.6875</v>
      </c>
      <c r="M36" s="9" t="n">
        <v>212.1317138671875</v>
      </c>
      <c r="N36" s="9" t="n">
        <v>0.0</v>
      </c>
      <c r="O36" s="9" t="n">
        <v>0.0</v>
      </c>
      <c r="P36" s="9" t="n">
        <v>0.0</v>
      </c>
      <c r="Q36" s="9" t="n">
        <v>307.36745738983154</v>
      </c>
      <c r="R36" s="9" t="n">
        <v>154.98188018798828</v>
      </c>
      <c r="S36" s="9" t="n">
        <v>635.4897346496582</v>
      </c>
      <c r="T36" s="9" t="n">
        <v>0.0</v>
      </c>
      <c r="U36">
        <f si="1" t="shared"/>
        <v>1143.0711431503296</v>
      </c>
    </row>
    <row r="37" spans="1:21" x14ac:dyDescent="0.25">
      <c r="A37" s="12">
        <v>0.70833333333333337</v>
      </c>
      <c r="B37" s="6" t="n">
        <v>404.4964619334603</v>
      </c>
      <c r="C37" s="6" t="n">
        <v>125.92019339152716</v>
      </c>
      <c r="D37" s="6" t="n">
        <v>7.153914920644761</v>
      </c>
      <c r="E37" s="6" t="n">
        <v>168.36773206538868</v>
      </c>
      <c r="F37" s="6" t="n">
        <v>219.71096041311074</v>
      </c>
      <c r="G37" s="6" t="n">
        <v>95.03543118106843</v>
      </c>
      <c r="H37" s="6" t="n">
        <v>548.3824479272929</v>
      </c>
      <c r="I37" s="6" t="n">
        <v>0.0</v>
      </c>
      <c r="J37" s="6">
        <f si="0" t="shared"/>
        <v>1569.067141832493</v>
      </c>
      <c r="L37" s="12">
        <v>0.70833333333333337</v>
      </c>
      <c r="M37" s="9" t="n">
        <v>248.20010089874268</v>
      </c>
      <c r="N37" s="9" t="n">
        <v>0.0</v>
      </c>
      <c r="O37" s="9" t="n">
        <v>0.0</v>
      </c>
      <c r="P37" s="9" t="n">
        <v>0.0</v>
      </c>
      <c r="Q37" s="9" t="n">
        <v>322.5642948150635</v>
      </c>
      <c r="R37" s="9" t="n">
        <v>148.86065864562988</v>
      </c>
      <c r="S37" s="9" t="n">
        <v>617.2374992370605</v>
      </c>
      <c r="T37" s="9" t="n">
        <v>0.0</v>
      </c>
      <c r="U37">
        <f si="1" t="shared"/>
        <v>1156.7219343185425</v>
      </c>
    </row>
    <row r="38" spans="1:21" x14ac:dyDescent="0.25">
      <c r="A38" s="12">
        <v>0.72916666666666663</v>
      </c>
      <c r="B38" s="6" t="n">
        <v>379.02008007974626</v>
      </c>
      <c r="C38" s="6" t="n">
        <v>128.65073298980138</v>
      </c>
      <c r="D38" s="6" t="n">
        <v>7.140133709336281</v>
      </c>
      <c r="E38" s="6" t="n">
        <v>135.40873015809441</v>
      </c>
      <c r="F38" s="6" t="n">
        <v>211.4323970265856</v>
      </c>
      <c r="G38" s="6" t="n">
        <v>91.6054800963936</v>
      </c>
      <c r="H38" s="6" t="n">
        <v>583.0977579945813</v>
      </c>
      <c r="I38" s="6" t="n">
        <v>0.0</v>
      </c>
      <c r="J38" s="6">
        <f si="0" t="shared"/>
        <v>1536.3553120545389</v>
      </c>
      <c r="L38" s="12">
        <v>0.72916666666666663</v>
      </c>
      <c r="M38" s="9" t="n">
        <v>270.28954315185547</v>
      </c>
      <c r="N38" s="9" t="n">
        <v>0.0</v>
      </c>
      <c r="O38" s="9" t="n">
        <v>0.0</v>
      </c>
      <c r="P38" s="9" t="n">
        <v>0.0</v>
      </c>
      <c r="Q38" s="9" t="n">
        <v>315.1176862716675</v>
      </c>
      <c r="R38" s="9" t="n">
        <v>129.90803050994873</v>
      </c>
      <c r="S38" s="9" t="n">
        <v>550.1576900482178</v>
      </c>
      <c r="T38" s="9" t="n">
        <v>0.0</v>
      </c>
      <c r="U38">
        <f si="1" t="shared"/>
        <v>1111.606162071228</v>
      </c>
    </row>
    <row r="39" spans="1:21" x14ac:dyDescent="0.25">
      <c r="A39" s="12">
        <v>0.75</v>
      </c>
      <c r="B39" s="6" t="n">
        <v>318.19874412138176</v>
      </c>
      <c r="C39" s="6" t="n">
        <v>111.89066887449644</v>
      </c>
      <c r="D39" s="6" t="n">
        <v>6.895525265235901</v>
      </c>
      <c r="E39" s="6" t="n">
        <v>96.47674475285149</v>
      </c>
      <c r="F39" s="6" t="n">
        <v>178.09289957752134</v>
      </c>
      <c r="G39" s="6" t="n">
        <v>77.36994513271905</v>
      </c>
      <c r="H39" s="6" t="n">
        <v>539.1146736311341</v>
      </c>
      <c r="I39" s="6" t="n">
        <v>0.0</v>
      </c>
      <c r="J39" s="6">
        <f si="0" t="shared"/>
        <v>1328.0392013553401</v>
      </c>
      <c r="L39" s="12">
        <v>0.75</v>
      </c>
      <c r="M39" s="9" t="n">
        <v>271.38630867004395</v>
      </c>
      <c r="N39" s="9" t="n">
        <v>0.0</v>
      </c>
      <c r="O39" s="9" t="n">
        <v>0.0</v>
      </c>
      <c r="P39" s="9" t="n">
        <v>0.0</v>
      </c>
      <c r="Q39" s="9" t="n">
        <v>283.67220401763916</v>
      </c>
      <c r="R39" s="9" t="n">
        <v>103.52333068847656</v>
      </c>
      <c r="S39" s="9" t="n">
        <v>449.52416133880615</v>
      </c>
      <c r="T39" s="9" t="n">
        <v>0.0</v>
      </c>
      <c r="U39">
        <f si="1" t="shared"/>
        <v>1008.0579500198364</v>
      </c>
    </row>
    <row r="40" spans="1:21" x14ac:dyDescent="0.25">
      <c r="A40" s="12">
        <v>0.77083333333333337</v>
      </c>
      <c r="B40" s="6" t="n">
        <v>244.88575011313628</v>
      </c>
      <c r="C40" s="6" t="n">
        <v>83.22196733599375</v>
      </c>
      <c r="D40" s="6" t="n">
        <v>5.948046641824723</v>
      </c>
      <c r="E40" s="6" t="n">
        <v>62.18547644855309</v>
      </c>
      <c r="F40" s="6" t="n">
        <v>129.87572129917623</v>
      </c>
      <c r="G40" s="6" t="n">
        <v>55.892283927545556</v>
      </c>
      <c r="H40" s="6" t="n">
        <v>429.74976761001494</v>
      </c>
      <c r="I40" s="6" t="n">
        <v>0.0</v>
      </c>
      <c r="J40" s="6">
        <f si="0" t="shared"/>
        <v>1011.7590133762446</v>
      </c>
      <c r="L40" s="12">
        <v>0.77083333333333337</v>
      </c>
      <c r="M40" s="9" t="n">
        <v>250.38027381896973</v>
      </c>
      <c r="N40" s="9" t="n">
        <v>0.0</v>
      </c>
      <c r="O40" s="9" t="n">
        <v>0.0</v>
      </c>
      <c r="P40" s="9" t="n">
        <v>0.0</v>
      </c>
      <c r="Q40" s="9" t="n">
        <v>233.5792350769043</v>
      </c>
      <c r="R40" s="9" t="n">
        <v>75.5492115020752</v>
      </c>
      <c r="S40" s="9" t="n">
        <v>336.3677740097046</v>
      </c>
      <c r="T40" s="9" t="n">
        <v>0.0</v>
      </c>
      <c r="U40">
        <f si="1" t="shared"/>
        <v>861.57750797271729</v>
      </c>
    </row>
    <row r="41" spans="1:21" x14ac:dyDescent="0.25">
      <c r="A41" s="12">
        <v>0.79166666666666663</v>
      </c>
      <c r="B41" s="6" t="n">
        <v>176.8215933617258</v>
      </c>
      <c r="C41" s="6" t="n">
        <v>53.33602304105186</v>
      </c>
      <c r="D41" s="6" t="n">
        <v>4.375102571496964</v>
      </c>
      <c r="E41" s="6" t="n">
        <v>37.55403913362503</v>
      </c>
      <c r="F41" s="6" t="n">
        <v>81.95393850817966</v>
      </c>
      <c r="G41" s="6" t="n">
        <v>33.99494041006089</v>
      </c>
      <c r="H41" s="6" t="n">
        <v>293.99747103243254</v>
      </c>
      <c r="I41" s="6" t="n">
        <v>0.0</v>
      </c>
      <c r="J41" s="6">
        <f si="0" t="shared"/>
        <v>682.03310805857268</v>
      </c>
      <c r="L41" s="12">
        <v>0.79166666666666663</v>
      </c>
      <c r="M41" s="9" t="n">
        <v>213.8607120513916</v>
      </c>
      <c r="N41" s="9" t="n">
        <v>0.0</v>
      </c>
      <c r="O41" s="9" t="n">
        <v>0.0</v>
      </c>
      <c r="P41" s="9" t="n">
        <v>0.0</v>
      </c>
      <c r="Q41" s="9" t="n">
        <v>175.51476573944092</v>
      </c>
      <c r="R41" s="9" t="n">
        <v>50.43559265136719</v>
      </c>
      <c r="S41" s="9" t="n">
        <v>230.32232475280762</v>
      </c>
      <c r="T41" s="9" t="n">
        <v>0.0</v>
      </c>
      <c r="U41">
        <f si="1" t="shared"/>
        <v>698.31575298309326</v>
      </c>
    </row>
    <row r="42" spans="1:21" x14ac:dyDescent="0.25">
      <c r="A42" s="12">
        <v>0.8125</v>
      </c>
      <c r="B42" s="6" t="n">
        <v>121.26977035322953</v>
      </c>
      <c r="C42" s="6" t="n">
        <v>29.771843010211946</v>
      </c>
      <c r="D42" s="6" t="n">
        <v>2.6747637544727327</v>
      </c>
      <c r="E42" s="6" t="n">
        <v>22.25720568782139</v>
      </c>
      <c r="F42" s="6" t="n">
        <v>45.122302223472595</v>
      </c>
      <c r="G42" s="6" t="n">
        <v>17.183417355098726</v>
      </c>
      <c r="H42" s="6" t="n">
        <v>172.98838300173853</v>
      </c>
      <c r="I42" s="6" t="n">
        <v>0.0</v>
      </c>
      <c r="J42" s="6">
        <f si="0" t="shared"/>
        <v>411.26768538604546</v>
      </c>
      <c r="L42" s="12">
        <v>0.8125</v>
      </c>
      <c r="M42" s="9" t="n">
        <v>172.95209884643555</v>
      </c>
      <c r="N42" s="9" t="n">
        <v>0.0</v>
      </c>
      <c r="O42" s="9" t="n">
        <v>0.0</v>
      </c>
      <c r="P42" s="9" t="n">
        <v>0.0</v>
      </c>
      <c r="Q42" s="9" t="n">
        <v>121.29581356048584</v>
      </c>
      <c r="R42" s="9" t="n">
        <v>30.690237998962402</v>
      </c>
      <c r="S42" s="9" t="n">
        <v>144.73005771636963</v>
      </c>
      <c r="T42" s="9" t="n">
        <v>0.0</v>
      </c>
      <c r="U42">
        <f si="1" t="shared"/>
        <v>545.35745239257813</v>
      </c>
    </row>
    <row r="43" spans="1:21" x14ac:dyDescent="0.25">
      <c r="A43" s="12">
        <v>0.83333333333333337</v>
      </c>
      <c r="B43" s="6" t="n">
        <v>78.33656485987187</v>
      </c>
      <c r="C43" s="6" t="n">
        <v>14.660835418430327</v>
      </c>
      <c r="D43" s="6" t="n">
        <v>1.3348003911781312</v>
      </c>
      <c r="E43" s="6" t="n">
        <v>13.376618542686463</v>
      </c>
      <c r="F43" s="6" t="n">
        <v>22.00748497297096</v>
      </c>
      <c r="G43" s="6" t="n">
        <v>7.116605804032327</v>
      </c>
      <c r="H43" s="6" t="n">
        <v>89.44120470351504</v>
      </c>
      <c r="I43" s="6" t="n">
        <v>0.0</v>
      </c>
      <c r="J43" s="6">
        <f si="0" t="shared"/>
        <v>226.27411469268512</v>
      </c>
      <c r="L43" s="12">
        <v>0.83333333333333337</v>
      </c>
      <c r="M43" s="9" t="n">
        <v>136.90948390960693</v>
      </c>
      <c r="N43" s="9" t="n">
        <v>0.0</v>
      </c>
      <c r="O43" s="9" t="n">
        <v>0.0</v>
      </c>
      <c r="P43" s="9" t="n">
        <v>0.0</v>
      </c>
      <c r="Q43" s="9" t="n">
        <v>78.95468997955322</v>
      </c>
      <c r="R43" s="9" t="n">
        <v>17.010879516601562</v>
      </c>
      <c r="S43" s="9" t="n">
        <v>84.55182456970215</v>
      </c>
      <c r="T43" s="9" t="n">
        <v>0.0</v>
      </c>
      <c r="U43">
        <f si="1" t="shared"/>
        <v>419.6431188583374</v>
      </c>
    </row>
    <row r="44" spans="1:21" x14ac:dyDescent="0.25">
      <c r="A44" s="12">
        <v>0.85416666666666663</v>
      </c>
      <c r="B44" s="6" t="n">
        <v>46.378539261260045</v>
      </c>
      <c r="C44" s="6" t="n">
        <v>6.432034668069839</v>
      </c>
      <c r="D44" s="6" t="n">
        <v>0.5336792177724838</v>
      </c>
      <c r="E44" s="6" t="n">
        <v>8.05283625218296</v>
      </c>
      <c r="F44" s="6" t="n">
        <v>9.649996128993035</v>
      </c>
      <c r="G44" s="6" t="n">
        <v>2.3708707918443683</v>
      </c>
      <c r="H44" s="6" t="n">
        <v>43.51396814179897</v>
      </c>
      <c r="I44" s="6" t="n">
        <v>0.0</v>
      </c>
      <c r="J44" s="6">
        <f si="0" t="shared"/>
        <v>116.9319244619217</v>
      </c>
      <c r="L44" s="12">
        <v>0.85416666666666663</v>
      </c>
      <c r="M44" s="9" t="n">
        <v>108.70513248443604</v>
      </c>
      <c r="N44" s="9" t="n">
        <v>0.0</v>
      </c>
      <c r="O44" s="9" t="n">
        <v>0.0</v>
      </c>
      <c r="P44" s="9" t="n">
        <v>0.0</v>
      </c>
      <c r="Q44" s="9" t="n">
        <v>50.32311248779297</v>
      </c>
      <c r="R44" s="9" t="n">
        <v>8.688154220581055</v>
      </c>
      <c r="S44" s="9" t="n">
        <v>47.30347728729248</v>
      </c>
      <c r="T44" s="9" t="n">
        <v>0.0</v>
      </c>
      <c r="U44">
        <f si="1" t="shared"/>
        <v>322.92017555236816</v>
      </c>
    </row>
    <row r="45" spans="1:21" x14ac:dyDescent="0.25">
      <c r="A45" s="12">
        <v>0.875</v>
      </c>
      <c r="B45" s="6" t="n">
        <v>24.29096754879761</v>
      </c>
      <c r="C45" s="6" t="n">
        <v>2.5089614071035387</v>
      </c>
      <c r="D45" s="6" t="n">
        <v>0.16676399936199188</v>
      </c>
      <c r="E45" s="6" t="n">
        <v>4.613761337525367</v>
      </c>
      <c r="F45" s="6" t="n">
        <v>3.807934527373314</v>
      </c>
      <c r="G45" s="6" t="n">
        <v>0.6190495695877075</v>
      </c>
      <c r="H45" s="6" t="n">
        <v>22.636944096681596</v>
      </c>
      <c r="I45" s="6" t="n">
        <v>0.0</v>
      </c>
      <c r="J45" s="6">
        <f si="0" t="shared"/>
        <v>58.644382486431127</v>
      </c>
      <c r="L45" s="12">
        <v>0.875</v>
      </c>
      <c r="M45" s="9" t="n">
        <v>85.93837642669678</v>
      </c>
      <c r="N45" s="9" t="n">
        <v>0.0</v>
      </c>
      <c r="O45" s="9" t="n">
        <v>0.0</v>
      </c>
      <c r="P45" s="9" t="n">
        <v>0.0</v>
      </c>
      <c r="Q45" s="9" t="n">
        <v>32.47619342803955</v>
      </c>
      <c r="R45" s="9" t="n">
        <v>4.236239433288574</v>
      </c>
      <c r="S45" s="9" t="n">
        <v>26.43259620666504</v>
      </c>
      <c r="T45" s="9" t="n">
        <v>0.0</v>
      </c>
      <c r="U45">
        <f si="1" t="shared"/>
        <v>246.42726612091064</v>
      </c>
    </row>
    <row r="46" spans="1:21" x14ac:dyDescent="0.25">
      <c r="A46" s="12">
        <v>0.89583333333333337</v>
      </c>
      <c r="B46" s="6" t="n">
        <v>10.867956042766574</v>
      </c>
      <c r="C46" s="6" t="n">
        <v>0.8518765891990662</v>
      </c>
      <c r="D46" s="6" t="n">
        <v>0.03923858808517456</v>
      </c>
      <c r="E46" s="6" t="n">
        <v>2.3773369686460493</v>
      </c>
      <c r="F46" s="6" t="n">
        <v>1.3204031277990342</v>
      </c>
      <c r="G46" s="6" t="n">
        <v>0.12184212126731872</v>
      </c>
      <c r="H46" s="6" t="n">
        <v>13.612274747924804</v>
      </c>
      <c r="I46" s="6" t="n">
        <v>0.0</v>
      </c>
      <c r="J46" s="6">
        <f si="0" t="shared"/>
        <v>29.190928185688019</v>
      </c>
      <c r="L46" s="12">
        <v>0.89583333333333337</v>
      </c>
      <c r="M46" s="9" t="n">
        <v>65.21236896514893</v>
      </c>
      <c r="N46" s="9" t="n">
        <v>0.0</v>
      </c>
      <c r="O46" s="9" t="n">
        <v>0.0</v>
      </c>
      <c r="P46" s="9" t="n">
        <v>0.0</v>
      </c>
      <c r="Q46" s="9" t="n">
        <v>21.181081771850586</v>
      </c>
      <c r="R46" s="9" t="n">
        <v>2.100430488586426</v>
      </c>
      <c r="S46" s="9" t="n">
        <v>15.168540954589844</v>
      </c>
      <c r="T46" s="9" t="n">
        <v>0.0</v>
      </c>
      <c r="U46">
        <f si="1" t="shared"/>
        <v>180.76778697967529</v>
      </c>
    </row>
    <row r="47" spans="1:21" x14ac:dyDescent="0.25">
      <c r="A47" s="12">
        <v>0.91666666666666663</v>
      </c>
      <c r="B47" s="6" t="n">
        <v>4.017822731773377</v>
      </c>
      <c r="C47" s="6" t="n">
        <v>0.24166453988456726</v>
      </c>
      <c r="D47" s="6" t="n">
        <v>0.006539764680862426</v>
      </c>
      <c r="E47" s="6" t="n">
        <v>1.053717504603386</v>
      </c>
      <c r="F47" s="6" t="n">
        <v>0.383663019288063</v>
      </c>
      <c r="G47" s="6" t="n">
        <v>0.016970226502418514</v>
      </c>
      <c r="H47" s="6" t="n">
        <v>8.644821772483825</v>
      </c>
      <c r="I47" s="6" t="n">
        <v>0.0</v>
      </c>
      <c r="J47" s="6">
        <f si="0" t="shared"/>
        <v>14.365199559216499</v>
      </c>
      <c r="L47" s="12">
        <v>0.91666666666666663</v>
      </c>
      <c r="M47" s="9" t="n">
        <v>45.52792549133301</v>
      </c>
      <c r="N47" s="9" t="n">
        <v>0.0</v>
      </c>
      <c r="O47" s="9" t="n">
        <v>0.0</v>
      </c>
      <c r="P47" s="9" t="n">
        <v>0.0</v>
      </c>
      <c r="Q47" s="9" t="n">
        <v>13.446488380432129</v>
      </c>
      <c r="R47" s="9" t="n">
        <v>1.1289482116699219</v>
      </c>
      <c r="S47" s="9" t="n">
        <v>8.8065824508667</v>
      </c>
      <c r="T47" s="9" t="n">
        <v>0.0</v>
      </c>
      <c r="U47">
        <f si="1" t="shared"/>
        <v>122.66744804382324</v>
      </c>
    </row>
    <row r="48" spans="1:21" x14ac:dyDescent="0.25">
      <c r="A48" s="12">
        <v>0.9375</v>
      </c>
      <c r="B48" s="6" t="n">
        <v>1.1849737193393708</v>
      </c>
      <c r="C48" s="6" t="n">
        <v>0.05405911931419372</v>
      </c>
      <c r="D48" s="6" t="n">
        <v>6.883962821960449E-4</v>
      </c>
      <c r="E48" s="6" t="n">
        <v>0.387875364531517</v>
      </c>
      <c r="F48" s="6" t="n">
        <v>0.0876349344587326</v>
      </c>
      <c r="G48" s="6" t="n">
        <v>0.001487929829597473</v>
      </c>
      <c r="H48" s="6" t="n">
        <v>5.041010341298103</v>
      </c>
      <c r="I48" s="6" t="n">
        <v>0.0</v>
      </c>
      <c r="J48" s="6">
        <f si="0" t="shared"/>
        <v>6.7577298050537102</v>
      </c>
      <c r="L48" s="12">
        <v>0.9375</v>
      </c>
      <c r="M48" s="9" t="n">
        <v>28.339181900024414</v>
      </c>
      <c r="N48" s="9" t="n">
        <v>0.0</v>
      </c>
      <c r="O48" s="9" t="n">
        <v>0.0</v>
      </c>
      <c r="P48" s="9" t="n">
        <v>0.0</v>
      </c>
      <c r="Q48" s="9" t="n">
        <v>7.97036075592041</v>
      </c>
      <c r="R48" s="9" t="n">
        <v>0.6682157516479492</v>
      </c>
      <c r="S48" s="9" t="n">
        <v>4.933345794677734</v>
      </c>
      <c r="T48" s="9" t="n">
        <v>0.0</v>
      </c>
      <c r="U48">
        <f si="1" t="shared"/>
        <v>74.548559188842773</v>
      </c>
    </row>
    <row r="49" spans="1:21" x14ac:dyDescent="0.25">
      <c r="A49" s="12">
        <v>0.95833333333333337</v>
      </c>
      <c r="B49" s="6" t="n">
        <v>0.2667930706501007</v>
      </c>
      <c r="C49" s="6" t="n">
        <v>0.008809749049186705</v>
      </c>
      <c r="D49" s="6" t="n">
        <v>3.441981410980225E-5</v>
      </c>
      <c r="E49" s="6" t="n">
        <v>0.11454558976745605</v>
      </c>
      <c r="F49" s="6" t="n">
        <v>0.014490631465911867</v>
      </c>
      <c r="G49" s="6" t="n">
        <v>6.159878349304199E-5</v>
      </c>
      <c r="H49" s="6" t="n">
        <v>2.4822818893375396</v>
      </c>
      <c r="I49" s="6" t="n">
        <v>0.0</v>
      </c>
      <c r="J49" s="6">
        <f si="0" t="shared"/>
        <v>2.8870169488677977</v>
      </c>
      <c r="L49" s="12">
        <v>0.95833333333333337</v>
      </c>
      <c r="M49" s="9" t="n">
        <v>15.46953010559082</v>
      </c>
      <c r="N49" s="9" t="n">
        <v>0.0</v>
      </c>
      <c r="O49" s="9" t="n">
        <v>0.0</v>
      </c>
      <c r="P49" s="9" t="n">
        <v>0.0</v>
      </c>
      <c r="Q49" s="9" t="n">
        <v>4.322446823120117</v>
      </c>
      <c r="R49" s="9" t="n">
        <v>0.4192371368408203</v>
      </c>
      <c r="S49" s="9" t="n">
        <v>2.5455589294433594</v>
      </c>
      <c r="T49" s="9" t="n">
        <v>0.0</v>
      </c>
      <c r="U49">
        <f si="1" t="shared"/>
        <v>39.680601119995117</v>
      </c>
    </row>
    <row r="50" spans="1:21" x14ac:dyDescent="0.25">
      <c r="A50" s="12">
        <v>0.97916666666666663</v>
      </c>
      <c r="B50" s="6" t="n">
        <v>0.04294676785278321</v>
      </c>
      <c r="C50" s="6" t="n">
        <v>9.206890869140625E-4</v>
      </c>
      <c r="D50" s="6" t="n">
        <v>0.0</v>
      </c>
      <c r="E50" s="6" t="n">
        <v>0.025983614234924315</v>
      </c>
      <c r="F50" s="6" t="n">
        <v>0.0015253296279907225</v>
      </c>
      <c r="G50" s="6" t="n">
        <v>0.0</v>
      </c>
      <c r="H50" s="6" t="n">
        <v>0.9890783696107864</v>
      </c>
      <c r="I50" s="6" t="n">
        <v>0.0</v>
      </c>
      <c r="J50" s="6">
        <f si="0" t="shared"/>
        <v>1.0604547704133986</v>
      </c>
      <c r="L50" s="12">
        <v>0.97916666666666663</v>
      </c>
      <c r="M50" s="9" t="n">
        <v>7.402846336364746</v>
      </c>
      <c r="N50" s="9" t="n">
        <v>0.0</v>
      </c>
      <c r="O50" s="9" t="n">
        <v>0.0</v>
      </c>
      <c r="P50" s="9" t="n">
        <v>0.0</v>
      </c>
      <c r="Q50" s="9" t="n">
        <v>2.163959503173828</v>
      </c>
      <c r="R50" s="9" t="n">
        <v>0.2635765075683594</v>
      </c>
      <c r="S50" s="9" t="n">
        <v>1.176797866821289</v>
      </c>
      <c r="T50" s="9" t="n">
        <v>0.0</v>
      </c>
      <c r="U50">
        <f si="1" t="shared"/>
        <v>18.289376258850098</v>
      </c>
    </row>
    <row r="51" spans="1:21" x14ac:dyDescent="0.25">
      <c r="A51" s="12">
        <v>1</v>
      </c>
      <c r="B51" s="6" t="n">
        <v>0.004394776707649232</v>
      </c>
      <c r="C51" s="6" t="n">
        <v>4.603445434570312E-5</v>
      </c>
      <c r="D51" s="6" t="n">
        <v>0.0</v>
      </c>
      <c r="E51" s="6" t="n">
        <v>0.004239917717933654</v>
      </c>
      <c r="F51" s="6" t="n">
        <v>7.626648139953614E-5</v>
      </c>
      <c r="G51" s="6" t="n">
        <v>0.0</v>
      </c>
      <c r="H51" s="6" t="n">
        <v>0.30883102672004703</v>
      </c>
      <c r="I51" s="6" t="n">
        <v>0.0</v>
      </c>
      <c r="J51" s="6">
        <f si="0" t="shared"/>
        <v>0.31758802208137515</v>
      </c>
      <c r="L51" s="12">
        <v>1</v>
      </c>
      <c r="M51" s="9" t="n">
        <v>3.1710872650146484</v>
      </c>
      <c r="N51" s="9" t="n">
        <v>0.0</v>
      </c>
      <c r="O51" s="9" t="n">
        <v>0.0</v>
      </c>
      <c r="P51" s="9" t="n">
        <v>0.0</v>
      </c>
      <c r="Q51" s="9" t="n">
        <v>1.0342464447021484</v>
      </c>
      <c r="R51" s="9" t="n">
        <v>0.1572589874267578</v>
      </c>
      <c r="S51" s="9" t="n">
        <v>0.4837913513183594</v>
      </c>
      <c r="T51" s="9" t="n">
        <v>0.0</v>
      </c>
      <c r="U51">
        <f si="1" t="shared"/>
        <v>7.3202037811279297</v>
      </c>
    </row>
    <row r="52" spans="1:21" x14ac:dyDescent="0.25">
      <c r="A52" s="12">
        <v>1.0208333333333333</v>
      </c>
      <c r="B52" s="6" t="n">
        <v>2.1461390781402588E-4</v>
      </c>
      <c r="C52" s="6" t="n">
        <v>0.0</v>
      </c>
      <c r="D52" s="6" t="n">
        <v>0.0</v>
      </c>
      <c r="E52" s="6" t="n">
        <v>4.4221609115600575E-4</v>
      </c>
      <c r="F52" s="6" t="n">
        <v>0.0</v>
      </c>
      <c r="G52" s="6" t="n">
        <v>0.0</v>
      </c>
      <c r="H52" s="6" t="n">
        <v>0.07265737340927125</v>
      </c>
      <c r="I52" s="6" t="n">
        <v>0.0</v>
      </c>
      <c r="J52" s="6">
        <f si="0" t="shared"/>
        <v>7.3314203408241282E-2</v>
      </c>
      <c r="L52" s="12">
        <v>1.0208333333333333</v>
      </c>
      <c r="M52" s="9" t="n">
        <v>1.271697998046875</v>
      </c>
      <c r="N52" s="9" t="n">
        <v>0.0</v>
      </c>
      <c r="O52" s="9" t="n">
        <v>0.0</v>
      </c>
      <c r="P52" s="9" t="n">
        <v>0.0</v>
      </c>
      <c r="Q52" s="9" t="n">
        <v>0.4874134063720703</v>
      </c>
      <c r="R52" s="9" t="n">
        <v>0.0846872329711914</v>
      </c>
      <c r="S52" s="9" t="n">
        <v>0.17851924896240234</v>
      </c>
      <c r="T52" s="9" t="n">
        <v>0.0</v>
      </c>
      <c r="U52">
        <f si="1" t="shared"/>
        <v>2.6076631546020508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2.2110804557800292E-5</v>
      </c>
      <c r="F53" s="6" t="n">
        <v>0.0</v>
      </c>
      <c r="G53" s="6" t="n">
        <v>0.0</v>
      </c>
      <c r="H53" s="6" t="n">
        <v>0.01210956223487854</v>
      </c>
      <c r="I53" s="6" t="n">
        <v>0.0</v>
      </c>
      <c r="J53" s="6">
        <f si="0" t="shared"/>
        <v>1.213167303943634E-2</v>
      </c>
      <c r="L53" s="12">
        <v>4.1666666666666664E-2</v>
      </c>
      <c r="M53" s="9" t="n">
        <v>0.5001001358032227</v>
      </c>
      <c r="N53" s="9" t="n">
        <v>0.0</v>
      </c>
      <c r="O53" s="9" t="n">
        <v>0.0</v>
      </c>
      <c r="P53" s="9" t="n">
        <v>0.0</v>
      </c>
      <c r="Q53" s="9" t="n">
        <v>0.2244882583618164</v>
      </c>
      <c r="R53" s="9" t="n">
        <v>0.039361000061035156</v>
      </c>
      <c r="S53" s="9" t="n">
        <v>0.06008434295654297</v>
      </c>
      <c r="T53" s="9" t="n">
        <v>0.0</v>
      </c>
      <c r="U53">
        <f si="1" t="shared"/>
        <v>0.86787605285644531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0.0012746907615661621</v>
      </c>
      <c r="I54" s="6" t="n">
        <v>0.0</v>
      </c>
      <c r="J54" s="6">
        <f si="0" t="shared"/>
        <v>1.2746907615661621E-3</v>
      </c>
      <c r="L54" s="12">
        <v>6.25E-2</v>
      </c>
      <c r="M54" s="9" t="n">
        <v>0.19221878051757812</v>
      </c>
      <c r="N54" s="9" t="n">
        <v>0.0</v>
      </c>
      <c r="O54" s="9" t="n">
        <v>0.0</v>
      </c>
      <c r="P54" s="9" t="n">
        <v>0.0</v>
      </c>
      <c r="Q54" s="9" t="n">
        <v>0.0955190658569336</v>
      </c>
      <c r="R54" s="9" t="n">
        <v>0.015169143676757812</v>
      </c>
      <c r="S54" s="9" t="n">
        <v>0.01846027374267578</v>
      </c>
      <c r="T54" s="9" t="n">
        <v>0.0</v>
      </c>
      <c r="U54">
        <f si="1" t="shared"/>
        <v>0.28142070770263672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6.37345380783081E-5</v>
      </c>
      <c r="I55" s="6" t="n">
        <v>0.0</v>
      </c>
      <c r="J55" s="6">
        <f si="0" t="shared"/>
        <v>6.3734538078308103E-5</v>
      </c>
      <c r="L55" s="12">
        <v>8.3333333333333329E-2</v>
      </c>
      <c r="M55" s="9" t="n">
        <v>0.06755542755126953</v>
      </c>
      <c r="N55" s="9" t="n">
        <v>0.0</v>
      </c>
      <c r="O55" s="9" t="n">
        <v>0.0</v>
      </c>
      <c r="P55" s="9" t="n">
        <v>0.0</v>
      </c>
      <c r="Q55" s="9" t="n">
        <v>0.035004615783691406</v>
      </c>
      <c r="R55" s="9" t="n">
        <v>0.0046596527099609375</v>
      </c>
      <c r="S55" s="9" t="n">
        <v>0.004993438720703125</v>
      </c>
      <c r="T55" s="9" t="n">
        <v>0.0</v>
      </c>
      <c r="U55">
        <f si="1" t="shared"/>
        <v>8.7145805358886719E-2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0.019906997680664062</v>
      </c>
      <c r="N56" s="9" t="n">
        <v>0.0</v>
      </c>
      <c r="O56" s="9" t="n">
        <v>0.0</v>
      </c>
      <c r="P56" s="9" t="n">
        <v>0.0</v>
      </c>
      <c r="Q56" s="9" t="n">
        <v>0.010385513305664062</v>
      </c>
      <c r="R56" s="9" t="n">
        <v>0.0010890960693359375</v>
      </c>
      <c r="S56" s="9" t="n">
        <v>0.0011053085327148438</v>
      </c>
      <c r="T56" s="9" t="n">
        <v>0.0</v>
      </c>
      <c r="U56">
        <f si="1" t="shared"/>
        <v>2.3700714111328125E-2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0.004474639892578125</v>
      </c>
      <c r="N57" s="9" t="n">
        <v>0.0</v>
      </c>
      <c r="O57" s="9" t="n">
        <v>0.0</v>
      </c>
      <c r="P57" s="9" t="n">
        <v>0.0</v>
      </c>
      <c r="Q57" s="9" t="n">
        <v>0.0023183822631835938</v>
      </c>
      <c r="R57" s="9" t="n">
        <v>1.8024444580078125E-4</v>
      </c>
      <c r="S57" s="9" t="n">
        <v>1.8024444580078125E-4</v>
      </c>
      <c r="T57" s="9" t="n">
        <v>0.0</v>
      </c>
      <c r="U57">
        <f si="1" t="shared"/>
        <v>5.0535202026367188E-3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383.92147900000003</v>
      </c>
      <c r="C8" s="6" t="n">
        <v>0.0</v>
      </c>
      <c r="D8" s="6" t="n">
        <v>0.0</v>
      </c>
      <c r="E8" s="6" t="n">
        <v>202.575736</v>
      </c>
      <c r="F8" s="6" t="n">
        <v>187.034427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98.0</v>
      </c>
      <c r="N8" s="9" t="n">
        <v>13.0</v>
      </c>
      <c r="O8" s="9" t="n">
        <v>8.0</v>
      </c>
      <c r="P8" s="9" t="n">
        <v>22.0</v>
      </c>
      <c r="Q8" s="9" t="n">
        <v>5.0</v>
      </c>
      <c r="R8" s="9" t="n">
        <v>4.0</v>
      </c>
      <c r="S8" s="9" t="n">
        <v>28.0</v>
      </c>
      <c r="T8" s="9" t="n">
        <v>0.0</v>
      </c>
      <c r="U8">
        <f>SUM(M8:T8)</f>
        <v>3163</v>
      </c>
      <c r="W8" s="5"/>
      <c r="X8" s="16"/>
      <c r="Y8" s="16"/>
      <c r="Z8" s="5"/>
    </row>
    <row r="9" spans="1:26" x14ac:dyDescent="0.25">
      <c r="A9" s="12">
        <v>0.125</v>
      </c>
      <c r="B9" s="6" t="n">
        <v>289.3029592005148</v>
      </c>
      <c r="C9" s="6" t="n">
        <v>7.638275126374245</v>
      </c>
      <c r="D9" s="6" t="n">
        <v>16.721388810157773</v>
      </c>
      <c r="E9" s="6" t="n">
        <v>163.36073394727802</v>
      </c>
      <c r="F9" s="6" t="n">
        <v>128.3267222806053</v>
      </c>
      <c r="G9" s="6" t="n">
        <v>0.02648764746570587</v>
      </c>
      <c r="H9" s="6" t="n">
        <v>3.2788758476219177</v>
      </c>
      <c r="I9" s="6" t="n">
        <v>0.0</v>
      </c>
      <c r="J9" s="6">
        <f ref="J9:J58" si="0" t="shared">SUM(B9:I9)</f>
        <v>608.65544286001773</v>
      </c>
      <c r="L9" s="12">
        <v>0.125</v>
      </c>
      <c r="M9" s="9" t="n">
        <v>230.99279499053955</v>
      </c>
      <c r="N9" s="9" t="n">
        <v>38.263190269470215</v>
      </c>
      <c r="O9" s="9" t="n">
        <v>71.06828308105469</v>
      </c>
      <c r="P9" s="9" t="n">
        <v>93.87472534179688</v>
      </c>
      <c r="Q9" s="9" t="n">
        <v>8.466864585876465</v>
      </c>
      <c r="R9" s="9" t="n">
        <v>4.594078063964844</v>
      </c>
      <c r="S9" s="9" t="n">
        <v>43.54409217834473</v>
      </c>
      <c r="T9" s="9" t="n">
        <v>0.0</v>
      </c>
      <c r="U9">
        <f ref="U9:U58" si="1" t="shared">SUM(M9:T9)</f>
        <v>2587.0482273101807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239.5729916702204</v>
      </c>
      <c r="C10" s="6" t="n">
        <v>18.88358571152115</v>
      </c>
      <c r="D10" s="6" t="n">
        <v>48.01664275086974</v>
      </c>
      <c r="E10" s="6" t="n">
        <v>155.7490698408041</v>
      </c>
      <c r="F10" s="6" t="n">
        <v>79.66836868884944</v>
      </c>
      <c r="G10" s="6" t="n">
        <v>0.17643565241813655</v>
      </c>
      <c r="H10" s="6" t="n">
        <v>11.790691365585326</v>
      </c>
      <c r="I10" s="6" t="n">
        <v>0.0</v>
      </c>
      <c r="J10" s="6">
        <f si="0" t="shared"/>
        <v>553.85778568026831</v>
      </c>
      <c r="L10" s="12">
        <v>0.14583333333333334</v>
      </c>
      <c r="M10" s="9" t="n">
        <v>363.4789457321167</v>
      </c>
      <c r="N10" s="9" t="n">
        <v>66.74063491821289</v>
      </c>
      <c r="O10" s="9" t="n">
        <v>144.31094360351562</v>
      </c>
      <c r="P10" s="9" t="n">
        <v>174.08617496490479</v>
      </c>
      <c r="Q10" s="9" t="n">
        <v>12.464156150817871</v>
      </c>
      <c r="R10" s="9" t="n">
        <v>5.808991432189941</v>
      </c>
      <c r="S10" s="9" t="n">
        <v>59.57472610473633</v>
      </c>
      <c r="T10" s="9" t="n">
        <v>0.0</v>
      </c>
      <c r="U10">
        <f si="1" t="shared"/>
        <v>2153.8350639343262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277.69838901726536</v>
      </c>
      <c r="C11" s="6" t="n">
        <v>43.438117339682584</v>
      </c>
      <c r="D11" s="6" t="n">
        <v>111.04695495839593</v>
      </c>
      <c r="E11" s="6" t="n">
        <v>216.18179944333076</v>
      </c>
      <c r="F11" s="6" t="n">
        <v>49.11749355971431</v>
      </c>
      <c r="G11" s="6" t="n">
        <v>0.8297534842729568</v>
      </c>
      <c r="H11" s="6" t="n">
        <v>33.3326834345274</v>
      </c>
      <c r="I11" s="6" t="n">
        <v>0.0</v>
      </c>
      <c r="J11" s="6">
        <f si="0" t="shared"/>
        <v>731.64519123718924</v>
      </c>
      <c r="L11" s="12">
        <v>0.16666666666666666</v>
      </c>
      <c r="M11" s="9" t="n">
        <v>525.9502401351929</v>
      </c>
      <c r="N11" s="9" t="n">
        <v>108.85760307312012</v>
      </c>
      <c r="O11" s="9" t="n">
        <v>257.7110061645508</v>
      </c>
      <c r="P11" s="9" t="n">
        <v>293.37626552581787</v>
      </c>
      <c r="Q11" s="9" t="n">
        <v>18.747684478759766</v>
      </c>
      <c r="R11" s="9" t="n">
        <v>8.855910301208496</v>
      </c>
      <c r="S11" s="9" t="n">
        <v>82.70398330688477</v>
      </c>
      <c r="T11" s="9" t="n">
        <v>0.0</v>
      </c>
      <c r="U11">
        <f si="1" t="shared"/>
        <v>2019.8785219192505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444.4601555680237</v>
      </c>
      <c r="C12" s="6" t="n">
        <v>104.69390975946523</v>
      </c>
      <c r="D12" s="6" t="n">
        <v>224.4695102414646</v>
      </c>
      <c r="E12" s="6" t="n">
        <v>398.6281710655823</v>
      </c>
      <c r="F12" s="6" t="n">
        <v>43.70818354884815</v>
      </c>
      <c r="G12" s="6" t="n">
        <v>2.9428582110586166</v>
      </c>
      <c r="H12" s="6" t="n">
        <v>79.18235177241992</v>
      </c>
      <c r="I12" s="6" t="n">
        <v>0.0</v>
      </c>
      <c r="J12" s="6">
        <f si="0" t="shared"/>
        <v>1298.0851401668626</v>
      </c>
      <c r="L12" s="12">
        <v>0.1875</v>
      </c>
      <c r="M12" s="9" t="n">
        <v>788.0737428665161</v>
      </c>
      <c r="N12" s="9" t="n">
        <v>185.54045867919922</v>
      </c>
      <c r="O12" s="9" t="n">
        <v>471.79098892211914</v>
      </c>
      <c r="P12" s="9" t="n">
        <v>517.5974683761597</v>
      </c>
      <c r="Q12" s="9" t="n">
        <v>31.0520658493042</v>
      </c>
      <c r="R12" s="9" t="n">
        <v>15.753582000732422</v>
      </c>
      <c r="S12" s="9" t="n">
        <v>127.14114570617676</v>
      </c>
      <c r="T12" s="9" t="n">
        <v>0.0</v>
      </c>
      <c r="U12">
        <f si="1" t="shared"/>
        <v>2371.6888732910156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776.0694855065794</v>
      </c>
      <c r="C13" s="6" t="n">
        <v>244.19359191253284</v>
      </c>
      <c r="D13" s="6" t="n">
        <v>402.95825632532404</v>
      </c>
      <c r="E13" s="6" t="n">
        <v>787.099649782135</v>
      </c>
      <c r="F13" s="6" t="n">
        <v>71.7153341935606</v>
      </c>
      <c r="G13" s="6" t="n">
        <v>8.17214553490448</v>
      </c>
      <c r="H13" s="6" t="n">
        <v>161.6911448325987</v>
      </c>
      <c r="I13" s="6" t="n">
        <v>0.0</v>
      </c>
      <c r="J13" s="6">
        <f si="0" t="shared"/>
        <v>2451.899608087635</v>
      </c>
      <c r="L13" s="12">
        <v>0.20833333333333334</v>
      </c>
      <c r="M13" s="9" t="n">
        <v>1233.650255203247</v>
      </c>
      <c r="N13" s="9" t="n">
        <v>324.24885654449463</v>
      </c>
      <c r="O13" s="9" t="n">
        <v>870.9552249908447</v>
      </c>
      <c r="P13" s="9" t="n">
        <v>941.292670249939</v>
      </c>
      <c r="Q13" s="9" t="n">
        <v>54.761590003967285</v>
      </c>
      <c r="R13" s="9" t="n">
        <v>28.92882251739502</v>
      </c>
      <c r="S13" s="9" t="n">
        <v>209.9089412689209</v>
      </c>
      <c r="T13" s="9" t="n">
        <v>0.0</v>
      </c>
      <c r="U13">
        <f si="1" t="shared"/>
        <v>3421.8634490966797</v>
      </c>
    </row>
    <row r="14" spans="1:26" x14ac:dyDescent="0.25">
      <c r="A14" s="12">
        <v>0.22916666666666666</v>
      </c>
      <c r="B14" s="6" t="n">
        <v>1290.85793762061</v>
      </c>
      <c r="C14" s="6" t="n">
        <v>511.4276212695561</v>
      </c>
      <c r="D14" s="6" t="n">
        <v>651.9560600972014</v>
      </c>
      <c r="E14" s="6" t="n">
        <v>1480.823200457983</v>
      </c>
      <c r="F14" s="6" t="n">
        <v>140.8215555544634</v>
      </c>
      <c r="G14" s="6" t="n">
        <v>18.207148229255676</v>
      </c>
      <c r="H14" s="6" t="n">
        <v>287.2312958644495</v>
      </c>
      <c r="I14" s="6" t="n">
        <v>0.0</v>
      </c>
      <c r="J14" s="6">
        <f si="0" t="shared"/>
        <v>4381.3248190935192</v>
      </c>
      <c r="L14" s="12">
        <v>0.22916666666666666</v>
      </c>
      <c r="M14" s="9" t="n">
        <v>1912.3327646255493</v>
      </c>
      <c r="N14" s="9" t="n">
        <v>547.0044622421265</v>
      </c>
      <c r="O14" s="9" t="n">
        <v>1535.4828882217407</v>
      </c>
      <c r="P14" s="9" t="n">
        <v>1656.7138242721558</v>
      </c>
      <c r="Q14" s="9" t="n">
        <v>95.06154918670654</v>
      </c>
      <c r="R14" s="9" t="n">
        <v>50.26627540588379</v>
      </c>
      <c r="S14" s="9" t="n">
        <v>341.9649877548218</v>
      </c>
      <c r="T14" s="9" t="n">
        <v>0.0</v>
      </c>
      <c r="U14">
        <f si="1" t="shared"/>
        <v>5355.1976451873779</v>
      </c>
    </row>
    <row r="15" spans="1:26" x14ac:dyDescent="0.25">
      <c r="A15" s="12">
        <v>0.25</v>
      </c>
      <c r="B15" s="6" t="n">
        <v>1961.3194465155598</v>
      </c>
      <c r="C15" s="6" t="n">
        <v>931.463254938675</v>
      </c>
      <c r="D15" s="6" t="n">
        <v>970.7034098949414</v>
      </c>
      <c r="E15" s="6" t="n">
        <v>2531.2763944397398</v>
      </c>
      <c r="F15" s="6" t="n">
        <v>249.84298941670417</v>
      </c>
      <c r="G15" s="6" t="n">
        <v>33.07967346005344</v>
      </c>
      <c r="H15" s="6" t="n">
        <v>445.71843448816395</v>
      </c>
      <c r="I15" s="6" t="n">
        <v>0.0</v>
      </c>
      <c r="J15" s="6">
        <f si="0" t="shared"/>
        <v>7123.403603153838</v>
      </c>
      <c r="L15" s="12">
        <v>0.25</v>
      </c>
      <c r="M15" s="9" t="n">
        <v>2795.5775003433228</v>
      </c>
      <c r="N15" s="9" t="n">
        <v>854.7811603546143</v>
      </c>
      <c r="O15" s="9" t="n">
        <v>2498.2292280197144</v>
      </c>
      <c r="P15" s="9" t="n">
        <v>2704.1590690612793</v>
      </c>
      <c r="Q15" s="9" t="n">
        <v>153.99464511871338</v>
      </c>
      <c r="R15" s="9" t="n">
        <v>80.029616355896</v>
      </c>
      <c r="S15" s="9" t="n">
        <v>519.837121963501</v>
      </c>
      <c r="T15" s="9" t="n">
        <v>0.0</v>
      </c>
      <c r="U15">
        <f si="1" t="shared"/>
        <v>8228.665657043457</v>
      </c>
    </row>
    <row r="16" spans="1:26" x14ac:dyDescent="0.25">
      <c r="A16" s="12">
        <v>0.27083333333333331</v>
      </c>
      <c r="B16" s="6" t="n">
        <v>2687.8590034623735</v>
      </c>
      <c r="C16" s="6" t="n">
        <v>1465.0809878688758</v>
      </c>
      <c r="D16" s="6" t="n">
        <v>1365.690407642564</v>
      </c>
      <c r="E16" s="6" t="n">
        <v>3859.3320325954646</v>
      </c>
      <c r="F16" s="6" t="n">
        <v>380.3629100188999</v>
      </c>
      <c r="G16" s="6" t="n">
        <v>49.54330571473121</v>
      </c>
      <c r="H16" s="6" t="n">
        <v>603.9227393825179</v>
      </c>
      <c r="I16" s="6" t="n">
        <v>0.0</v>
      </c>
      <c r="J16" s="6">
        <f si="0" t="shared"/>
        <v>10411.791386685427</v>
      </c>
      <c r="L16" s="12">
        <v>0.27083333333333331</v>
      </c>
      <c r="M16" s="9" t="n">
        <v>3766.163845062256</v>
      </c>
      <c r="N16" s="9" t="n">
        <v>1217.5246696472168</v>
      </c>
      <c r="O16" s="9" t="n">
        <v>3705.2935457229614</v>
      </c>
      <c r="P16" s="9" t="n">
        <v>4026.0627365112305</v>
      </c>
      <c r="Q16" s="9" t="n">
        <v>228.0364179611206</v>
      </c>
      <c r="R16" s="9" t="n">
        <v>116.21898174285889</v>
      </c>
      <c r="S16" s="9" t="n">
        <v>722.825008392334</v>
      </c>
      <c r="T16" s="9" t="n">
        <v>0.0</v>
      </c>
      <c r="U16">
        <f si="1" t="shared"/>
        <v>11877.296242713928</v>
      </c>
    </row>
    <row r="17" spans="1:21" x14ac:dyDescent="0.25">
      <c r="A17" s="12">
        <v>0.29166666666666669</v>
      </c>
      <c r="B17" s="6" t="n">
        <v>3309.3772100098768</v>
      </c>
      <c r="C17" s="6" t="n">
        <v>1999.4444123637716</v>
      </c>
      <c r="D17" s="6" t="n">
        <v>1861.592317280878</v>
      </c>
      <c r="E17" s="6" t="n">
        <v>5232.3682760922575</v>
      </c>
      <c r="F17" s="6" t="n">
        <v>499.0336120462608</v>
      </c>
      <c r="G17" s="6" t="n">
        <v>61.59479801893329</v>
      </c>
      <c r="H17" s="6" t="n">
        <v>713.8435185295486</v>
      </c>
      <c r="I17" s="6" t="n">
        <v>0.0</v>
      </c>
      <c r="J17" s="6">
        <f si="0" t="shared"/>
        <v>13677.254144341528</v>
      </c>
      <c r="L17" s="12">
        <v>0.29166666666666669</v>
      </c>
      <c r="M17" s="9" t="n">
        <v>4653.312021255493</v>
      </c>
      <c r="N17" s="9" t="n">
        <v>1578.8580799102783</v>
      </c>
      <c r="O17" s="9" t="n">
        <v>5007.9669713974</v>
      </c>
      <c r="P17" s="9" t="n">
        <v>5457.728057861328</v>
      </c>
      <c r="Q17" s="9" t="n">
        <v>308.2010269165039</v>
      </c>
      <c r="R17" s="9" t="n">
        <v>154.7964382171631</v>
      </c>
      <c r="S17" s="9" t="n">
        <v>918.7992191314697</v>
      </c>
      <c r="T17" s="9" t="n">
        <v>0.0</v>
      </c>
      <c r="U17">
        <f si="1" t="shared"/>
        <v>15899.298025131226</v>
      </c>
    </row>
    <row r="18" spans="1:21" x14ac:dyDescent="0.25">
      <c r="A18" s="12">
        <v>0.3125</v>
      </c>
      <c r="B18" s="6" t="n">
        <v>3669.967209026176</v>
      </c>
      <c r="C18" s="6" t="n">
        <v>2396.380726132503</v>
      </c>
      <c r="D18" s="6" t="n">
        <v>2489.9431780658633</v>
      </c>
      <c r="E18" s="6" t="n">
        <v>6358.3152221619</v>
      </c>
      <c r="F18" s="6" t="n">
        <v>573.4103430474368</v>
      </c>
      <c r="G18" s="6" t="n">
        <v>63.89761288422774</v>
      </c>
      <c r="H18" s="6" t="n">
        <v>739.0444837627879</v>
      </c>
      <c r="I18" s="6" t="n">
        <v>0.0</v>
      </c>
      <c r="J18" s="6">
        <f si="0" t="shared"/>
        <v>16290.958775080895</v>
      </c>
      <c r="L18" s="12">
        <v>0.3125</v>
      </c>
      <c r="M18" s="9" t="n">
        <v>5299.379149436951</v>
      </c>
      <c r="N18" s="9" t="n">
        <v>1876.8202056884766</v>
      </c>
      <c r="O18" s="9" t="n">
        <v>6204.792995452881</v>
      </c>
      <c r="P18" s="9" t="n">
        <v>6776.53325176239</v>
      </c>
      <c r="Q18" s="9" t="n">
        <v>383.40940380096436</v>
      </c>
      <c r="R18" s="9" t="n">
        <v>190.9088258743286</v>
      </c>
      <c r="S18" s="9" t="n">
        <v>1077.10209274292</v>
      </c>
      <c r="T18" s="9" t="n">
        <v>0.0</v>
      </c>
      <c r="U18">
        <f si="1" t="shared"/>
        <v>19766.821326255798</v>
      </c>
    </row>
    <row r="19" spans="1:21" x14ac:dyDescent="0.25">
      <c r="A19" s="12">
        <v>0.33333333333333331</v>
      </c>
      <c r="B19" s="6" t="n">
        <v>3706.974832001442</v>
      </c>
      <c r="C19" s="6" t="n">
        <v>2573.8006591501253</v>
      </c>
      <c r="D19" s="6" t="n">
        <v>3255.0946977889953</v>
      </c>
      <c r="E19" s="6" t="n">
        <v>7047.270091612642</v>
      </c>
      <c r="F19" s="6" t="n">
        <v>590.5258426793652</v>
      </c>
      <c r="G19" s="6" t="n">
        <v>55.81399363069056</v>
      </c>
      <c r="H19" s="6" t="n">
        <v>682.1797823705826</v>
      </c>
      <c r="I19" s="6" t="n">
        <v>0.0</v>
      </c>
      <c r="J19" s="6">
        <f si="0" t="shared"/>
        <v>17911.659899233844</v>
      </c>
      <c r="L19" s="12">
        <v>0.33333333333333331</v>
      </c>
      <c r="M19" s="9" t="n">
        <v>5624.8529596328735</v>
      </c>
      <c r="N19" s="9" t="n">
        <v>2070.612316131592</v>
      </c>
      <c r="O19" s="9" t="n">
        <v>7122.633091926575</v>
      </c>
      <c r="P19" s="9" t="n">
        <v>7794.478699684143</v>
      </c>
      <c r="Q19" s="9" t="n">
        <v>445.4281015396118</v>
      </c>
      <c r="R19" s="9" t="n">
        <v>220.73269748687744</v>
      </c>
      <c r="S19" s="9" t="n">
        <v>1181.9955568313599</v>
      </c>
      <c r="T19" s="9" t="n">
        <v>0.0</v>
      </c>
      <c r="U19">
        <f si="1" t="shared"/>
        <v>23032.013599395752</v>
      </c>
    </row>
    <row r="20" spans="1:21" x14ac:dyDescent="0.25">
      <c r="A20" s="12">
        <v>0.35416666666666669</v>
      </c>
      <c r="B20" s="6" t="n">
        <v>3489.2476721098574</v>
      </c>
      <c r="C20" s="6" t="n">
        <v>2555.1154584172855</v>
      </c>
      <c r="D20" s="6" t="n">
        <v>4106.519985615614</v>
      </c>
      <c r="E20" s="6" t="n">
        <v>7308.893075547197</v>
      </c>
      <c r="F20" s="6" t="n">
        <v>563.5520600661821</v>
      </c>
      <c r="G20" s="6" t="n">
        <v>42.452603392473215</v>
      </c>
      <c r="H20" s="6" t="n">
        <v>587.6429816075592</v>
      </c>
      <c r="I20" s="6" t="n">
        <v>0.0</v>
      </c>
      <c r="J20" s="6">
        <f si="0" t="shared"/>
        <v>18653.42383675617</v>
      </c>
      <c r="L20" s="12">
        <v>0.35416666666666669</v>
      </c>
      <c r="M20" s="9" t="n">
        <v>5656.229100227356</v>
      </c>
      <c r="N20" s="9" t="n">
        <v>2156.822555541992</v>
      </c>
      <c r="O20" s="9" t="n">
        <v>7690.044235229492</v>
      </c>
      <c r="P20" s="9" t="n">
        <v>8438.339948654175</v>
      </c>
      <c r="Q20" s="9" t="n">
        <v>492.0795669555664</v>
      </c>
      <c r="R20" s="9" t="n">
        <v>242.93055248260498</v>
      </c>
      <c r="S20" s="9" t="n">
        <v>1238.3108673095703</v>
      </c>
      <c r="T20" s="9" t="n">
        <v>0.0</v>
      </c>
      <c r="U20">
        <f si="1" t="shared"/>
        <v>25506.279359817505</v>
      </c>
    </row>
    <row r="21" spans="1:21" x14ac:dyDescent="0.25">
      <c r="A21" s="12">
        <v>0.375</v>
      </c>
      <c r="B21" s="6" t="n">
        <v>3169.637885853774</v>
      </c>
      <c r="C21" s="6" t="n">
        <v>2445.119484463087</v>
      </c>
      <c r="D21" s="6" t="n">
        <v>4945.212915054022</v>
      </c>
      <c r="E21" s="6" t="n">
        <v>7301.3893278778</v>
      </c>
      <c r="F21" s="6" t="n">
        <v>522.368790460352</v>
      </c>
      <c r="G21" s="6" t="n">
        <v>31.612780012673376</v>
      </c>
      <c r="H21" s="6" t="n">
        <v>511.9558545360956</v>
      </c>
      <c r="I21" s="6" t="n">
        <v>0.0</v>
      </c>
      <c r="J21" s="6">
        <f si="0" t="shared"/>
        <v>18927.297038257806</v>
      </c>
      <c r="L21" s="12">
        <v>0.375</v>
      </c>
      <c r="M21" s="9" t="n">
        <v>5500.133973121643</v>
      </c>
      <c r="N21" s="9" t="n">
        <v>2164.083031654358</v>
      </c>
      <c r="O21" s="9" t="n">
        <v>7950.783992767334</v>
      </c>
      <c r="P21" s="9" t="n">
        <v>8759.523564338684</v>
      </c>
      <c r="Q21" s="9" t="n">
        <v>526.4591197967529</v>
      </c>
      <c r="R21" s="9" t="n">
        <v>258.62807846069336</v>
      </c>
      <c r="S21" s="9" t="n">
        <v>1265.2065286636353</v>
      </c>
      <c r="T21" s="9" t="n">
        <v>0.0</v>
      </c>
      <c r="U21">
        <f si="1" t="shared"/>
        <v>27274.965208053589</v>
      </c>
    </row>
    <row r="22" spans="1:21" x14ac:dyDescent="0.25">
      <c r="A22" s="12">
        <v>0.39583333333333331</v>
      </c>
      <c r="B22" s="6" t="n">
        <v>2892.492546136943</v>
      </c>
      <c r="C22" s="6" t="n">
        <v>2356.765549188064</v>
      </c>
      <c r="D22" s="6" t="n">
        <v>5655.434131705359</v>
      </c>
      <c r="E22" s="6" t="n">
        <v>7186.31663634456</v>
      </c>
      <c r="F22" s="6" t="n">
        <v>496.59733926904687</v>
      </c>
      <c r="G22" s="6" t="n">
        <v>29.093455085499762</v>
      </c>
      <c r="H22" s="6" t="n">
        <v>485.3526202485704</v>
      </c>
      <c r="I22" s="6" t="n">
        <v>0.0</v>
      </c>
      <c r="J22" s="6">
        <f si="0" t="shared"/>
        <v>19102.05227797804</v>
      </c>
      <c r="L22" s="12">
        <v>0.39583333333333331</v>
      </c>
      <c r="M22" s="9" t="n">
        <v>5281.05454158783</v>
      </c>
      <c r="N22" s="9" t="n">
        <v>2131.002314567566</v>
      </c>
      <c r="O22" s="9" t="n">
        <v>8009.656969070435</v>
      </c>
      <c r="P22" s="9" t="n">
        <v>8870.127415657043</v>
      </c>
      <c r="Q22" s="9" t="n">
        <v>553.2008895874023</v>
      </c>
      <c r="R22" s="9" t="n">
        <v>269.92937564849854</v>
      </c>
      <c r="S22" s="9" t="n">
        <v>1282.5526475906372</v>
      </c>
      <c r="T22" s="9" t="n">
        <v>0.0</v>
      </c>
      <c r="U22">
        <f si="1" t="shared"/>
        <v>28534.957759857178</v>
      </c>
    </row>
    <row r="23" spans="1:21" x14ac:dyDescent="0.25">
      <c r="A23" s="12">
        <v>0.41666666666666669</v>
      </c>
      <c r="B23" s="6" t="n">
        <v>2730.3180136674655</v>
      </c>
      <c r="C23" s="6" t="n">
        <v>2348.3090608308084</v>
      </c>
      <c r="D23" s="6" t="n">
        <v>6132.351787287104</v>
      </c>
      <c r="E23" s="6" t="n">
        <v>7025.2687065450355</v>
      </c>
      <c r="F23" s="6" t="n">
        <v>502.5734687272129</v>
      </c>
      <c r="G23" s="6" t="n">
        <v>35.70230481075573</v>
      </c>
      <c r="H23" s="6" t="n">
        <v>496.84018408732794</v>
      </c>
      <c r="I23" s="6" t="n">
        <v>0.0</v>
      </c>
      <c r="J23" s="6">
        <f si="0" t="shared"/>
        <v>19271.363525955709</v>
      </c>
      <c r="L23" s="12">
        <v>0.41666666666666669</v>
      </c>
      <c r="M23" s="9" t="n">
        <v>5086.505681991577</v>
      </c>
      <c r="N23" s="9" t="n">
        <v>2085.6489267349243</v>
      </c>
      <c r="O23" s="9" t="n">
        <v>7961.779143333435</v>
      </c>
      <c r="P23" s="9" t="n">
        <v>8867.09379196167</v>
      </c>
      <c r="Q23" s="9" t="n">
        <v>575.426118850708</v>
      </c>
      <c r="R23" s="9" t="n">
        <v>278.42802143096924</v>
      </c>
      <c r="S23" s="9" t="n">
        <v>1300.6289072036743</v>
      </c>
      <c r="T23" s="9" t="n">
        <v>0.0</v>
      </c>
      <c r="U23">
        <f si="1" t="shared"/>
        <v>29411.760479927063</v>
      </c>
    </row>
    <row r="24" spans="1:21" x14ac:dyDescent="0.25">
      <c r="A24" s="12">
        <v>0.4375</v>
      </c>
      <c r="B24" s="6" t="n">
        <v>2683.925000096582</v>
      </c>
      <c r="C24" s="6" t="n">
        <v>2407.3215407609414</v>
      </c>
      <c r="D24" s="6" t="n">
        <v>6300.5676072127535</v>
      </c>
      <c r="E24" s="6" t="n">
        <v>6797.945887240915</v>
      </c>
      <c r="F24" s="6" t="n">
        <v>539.8046908212242</v>
      </c>
      <c r="G24" s="6" t="n">
        <v>47.39669789324665</v>
      </c>
      <c r="H24" s="6" t="n">
        <v>512.566177737997</v>
      </c>
      <c r="I24" s="6" t="n">
        <v>0.0</v>
      </c>
      <c r="J24" s="6">
        <f si="0" t="shared"/>
        <v>19289.527601763661</v>
      </c>
      <c r="L24" s="12">
        <v>0.4375</v>
      </c>
      <c r="M24" s="9" t="n">
        <v>4954.832725524902</v>
      </c>
      <c r="N24" s="9" t="n">
        <v>2041.7026433944702</v>
      </c>
      <c r="O24" s="9" t="n">
        <v>7864.772767066956</v>
      </c>
      <c r="P24" s="9" t="n">
        <v>8809.554446220398</v>
      </c>
      <c r="Q24" s="9" t="n">
        <v>594.9697170257568</v>
      </c>
      <c r="R24" s="9" t="n">
        <v>285.1281976699829</v>
      </c>
      <c r="S24" s="9" t="n">
        <v>1320.888635635376</v>
      </c>
      <c r="T24" s="9" t="n">
        <v>0.0</v>
      </c>
      <c r="U24">
        <f si="1" t="shared"/>
        <v>29926.337126731873</v>
      </c>
    </row>
    <row r="25" spans="1:21" x14ac:dyDescent="0.25">
      <c r="A25" s="12">
        <v>0.45833333333333331</v>
      </c>
      <c r="B25" s="6" t="n">
        <v>2721.173276928971</v>
      </c>
      <c r="C25" s="6" t="n">
        <v>2478.0799651958214</v>
      </c>
      <c r="D25" s="6" t="n">
        <v>6142.072196971371</v>
      </c>
      <c r="E25" s="6" t="n">
        <v>6497.565666057861</v>
      </c>
      <c r="F25" s="6" t="n">
        <v>595.7579129914656</v>
      </c>
      <c r="G25" s="6" t="n">
        <v>58.00614922977829</v>
      </c>
      <c r="H25" s="6" t="n">
        <v>508.65967295584574</v>
      </c>
      <c r="I25" s="6" t="n">
        <v>0.0</v>
      </c>
      <c r="J25" s="6">
        <f si="0" t="shared"/>
        <v>19001.314840331113</v>
      </c>
      <c r="L25" s="12">
        <v>0.45833333333333331</v>
      </c>
      <c r="M25" s="9" t="n">
        <v>4899.91978931427</v>
      </c>
      <c r="N25" s="9" t="n">
        <v>2008.4605932235718</v>
      </c>
      <c r="O25" s="9" t="n">
        <v>7758.789477348328</v>
      </c>
      <c r="P25" s="9" t="n">
        <v>8747.642406463623</v>
      </c>
      <c r="Q25" s="9" t="n">
        <v>614.6332902908325</v>
      </c>
      <c r="R25" s="9" t="n">
        <v>291.4626274108887</v>
      </c>
      <c r="S25" s="9" t="n">
        <v>1345.1749935150146</v>
      </c>
      <c r="T25" s="9" t="n">
        <v>0.0</v>
      </c>
      <c r="U25">
        <f si="1" t="shared"/>
        <v>30105.184694290161</v>
      </c>
    </row>
    <row r="26" spans="1:21" x14ac:dyDescent="0.25">
      <c r="A26" s="12">
        <v>0.47916666666666669</v>
      </c>
      <c r="B26" s="6" t="n">
        <v>2811.356992854332</v>
      </c>
      <c r="C26" s="6" t="n">
        <v>2508.4152874782208</v>
      </c>
      <c r="D26" s="6" t="n">
        <v>5727.5405172911305</v>
      </c>
      <c r="E26" s="6" t="n">
        <v>6200.625877979644</v>
      </c>
      <c r="F26" s="6" t="n">
        <v>654.6040935564203</v>
      </c>
      <c r="G26" s="6" t="n">
        <v>63.19907762858487</v>
      </c>
      <c r="H26" s="6" t="n">
        <v>491.31161319992543</v>
      </c>
      <c r="I26" s="6" t="n">
        <v>0.0</v>
      </c>
      <c r="J26" s="6">
        <f si="0" t="shared"/>
        <v>18457.053459988259</v>
      </c>
      <c r="L26" s="12">
        <v>0.47916666666666669</v>
      </c>
      <c r="M26" s="9" t="n">
        <v>4935.225439071655</v>
      </c>
      <c r="N26" s="9" t="n">
        <v>1998.5533227920532</v>
      </c>
      <c r="O26" s="9" t="n">
        <v>7686.805606842041</v>
      </c>
      <c r="P26" s="9" t="n">
        <v>8743.422369003296</v>
      </c>
      <c r="Q26" s="9" t="n">
        <v>638.855616569519</v>
      </c>
      <c r="R26" s="9" t="n">
        <v>299.8007574081421</v>
      </c>
      <c r="S26" s="9" t="n">
        <v>1383.3107442855835</v>
      </c>
      <c r="T26" s="9" t="n">
        <v>0.0</v>
      </c>
      <c r="U26">
        <f si="1" t="shared"/>
        <v>30071.898874282837</v>
      </c>
    </row>
    <row r="27" spans="1:21" x14ac:dyDescent="0.25">
      <c r="A27" s="12">
        <v>0.5</v>
      </c>
      <c r="B27" s="6" t="n">
        <v>2937.010186918557</v>
      </c>
      <c r="C27" s="6" t="n">
        <v>2487.2274054465997</v>
      </c>
      <c r="D27" s="6" t="n">
        <v>5209.30753172646</v>
      </c>
      <c r="E27" s="6" t="n">
        <v>6055.114126686216</v>
      </c>
      <c r="F27" s="6" t="n">
        <v>705.0137732397956</v>
      </c>
      <c r="G27" s="6" t="n">
        <v>64.08223593434144</v>
      </c>
      <c r="H27" s="6" t="n">
        <v>491.1150375916596</v>
      </c>
      <c r="I27" s="6" t="n">
        <v>0.0</v>
      </c>
      <c r="J27" s="6">
        <f si="0" t="shared"/>
        <v>17948.870297543628</v>
      </c>
      <c r="L27" s="12">
        <v>0.5</v>
      </c>
      <c r="M27" s="9" t="n">
        <v>5070.858256340027</v>
      </c>
      <c r="N27" s="9" t="n">
        <v>2023.1770505905151</v>
      </c>
      <c r="O27" s="9" t="n">
        <v>7679.220351219177</v>
      </c>
      <c r="P27" s="9" t="n">
        <v>8844.564086914062</v>
      </c>
      <c r="Q27" s="9" t="n">
        <v>671.1840391159058</v>
      </c>
      <c r="R27" s="9" t="n">
        <v>312.6290512084961</v>
      </c>
      <c r="S27" s="9" t="n">
        <v>1452.25150680542</v>
      </c>
      <c r="T27" s="9" t="n">
        <v>0.0</v>
      </c>
      <c r="U27">
        <f si="1" t="shared"/>
        <v>30007.429658889771</v>
      </c>
    </row>
    <row r="28" spans="1:21" x14ac:dyDescent="0.25">
      <c r="A28" s="12">
        <v>0.52083333333333337</v>
      </c>
      <c r="B28" s="6" t="n">
        <v>3092.1025801505953</v>
      </c>
      <c r="C28" s="6" t="n">
        <v>2448.779614821736</v>
      </c>
      <c r="D28" s="6" t="n">
        <v>4755.079318980123</v>
      </c>
      <c r="E28" s="6" t="n">
        <v>6205.672427139131</v>
      </c>
      <c r="F28" s="6" t="n">
        <v>743.3582037031517</v>
      </c>
      <c r="G28" s="6" t="n">
        <v>68.61971802836038</v>
      </c>
      <c r="H28" s="6" t="n">
        <v>540.2022786948701</v>
      </c>
      <c r="I28" s="6" t="n">
        <v>0.0</v>
      </c>
      <c r="J28" s="6">
        <f si="0" t="shared"/>
        <v>17853.814141517967</v>
      </c>
      <c r="L28" s="12">
        <v>0.52083333333333337</v>
      </c>
      <c r="M28" s="9" t="n">
        <v>5295.772789955139</v>
      </c>
      <c r="N28" s="9" t="n">
        <v>2081.528251647949</v>
      </c>
      <c r="O28" s="9" t="n">
        <v>7721.803436279297</v>
      </c>
      <c r="P28" s="9" t="n">
        <v>9038.96748638153</v>
      </c>
      <c r="Q28" s="9" t="n">
        <v>711.0444831848145</v>
      </c>
      <c r="R28" s="9" t="n">
        <v>331.4023561477661</v>
      </c>
      <c r="S28" s="9" t="n">
        <v>1569.9870357513428</v>
      </c>
      <c r="T28" s="9" t="n">
        <v>0.0</v>
      </c>
      <c r="U28">
        <f si="1" t="shared"/>
        <v>30033.109777450562</v>
      </c>
    </row>
    <row r="29" spans="1:21" x14ac:dyDescent="0.25">
      <c r="A29" s="12">
        <v>0.54166666666666663</v>
      </c>
      <c r="B29" s="6" t="n">
        <v>3277.917933293753</v>
      </c>
      <c r="C29" s="6" t="n">
        <v>2442.7448630410418</v>
      </c>
      <c r="D29" s="6" t="n">
        <v>4464.533850884446</v>
      </c>
      <c r="E29" s="6" t="n">
        <v>6699.955391220979</v>
      </c>
      <c r="F29" s="6" t="n">
        <v>771.9933185949917</v>
      </c>
      <c r="G29" s="6" t="n">
        <v>89.32255235306454</v>
      </c>
      <c r="H29" s="6" t="n">
        <v>652.8878094578763</v>
      </c>
      <c r="I29" s="6" t="n">
        <v>0.0</v>
      </c>
      <c r="J29" s="6">
        <f si="0" t="shared"/>
        <v>18399.355718846149</v>
      </c>
      <c r="L29" s="12">
        <v>0.54166666666666663</v>
      </c>
      <c r="M29" s="9" t="n">
        <v>5577.021399497986</v>
      </c>
      <c r="N29" s="9" t="n">
        <v>2158.677050590515</v>
      </c>
      <c r="O29" s="9" t="n">
        <v>7753.113338470459</v>
      </c>
      <c r="P29" s="9" t="n">
        <v>9248.487544059753</v>
      </c>
      <c r="Q29" s="9" t="n">
        <v>753.7388639450073</v>
      </c>
      <c r="R29" s="9" t="n">
        <v>356.6639709472656</v>
      </c>
      <c r="S29" s="9" t="n">
        <v>1753.0296392440796</v>
      </c>
      <c r="T29" s="9" t="n">
        <v>0.0</v>
      </c>
      <c r="U29">
        <f si="1" t="shared"/>
        <v>30145.612603187561</v>
      </c>
    </row>
    <row r="30" spans="1:21" x14ac:dyDescent="0.25">
      <c r="A30" s="12">
        <v>0.5625</v>
      </c>
      <c r="B30" s="6" t="n">
        <v>3498.1144385333346</v>
      </c>
      <c r="C30" s="6" t="n">
        <v>2497.7412725213635</v>
      </c>
      <c r="D30" s="6" t="n">
        <v>4335.1286983060645</v>
      </c>
      <c r="E30" s="6" t="n">
        <v>7419.326276995452</v>
      </c>
      <c r="F30" s="6" t="n">
        <v>795.802498056882</v>
      </c>
      <c r="G30" s="6" t="n">
        <v>136.9631231051531</v>
      </c>
      <c r="H30" s="6" t="n">
        <v>824.8747260642425</v>
      </c>
      <c r="I30" s="6" t="n">
        <v>0.0</v>
      </c>
      <c r="J30" s="6">
        <f si="0" t="shared"/>
        <v>19507.951033582489</v>
      </c>
      <c r="L30" s="12">
        <v>0.5625</v>
      </c>
      <c r="M30" s="9" t="n">
        <v>5888.9345960617065</v>
      </c>
      <c r="N30" s="9" t="n">
        <v>2236.9213094711304</v>
      </c>
      <c r="O30" s="9" t="n">
        <v>7706.058841705322</v>
      </c>
      <c r="P30" s="9" t="n">
        <v>9379.296293258667</v>
      </c>
      <c r="Q30" s="9" t="n">
        <v>794.5475635528564</v>
      </c>
      <c r="R30" s="9" t="n">
        <v>389.6973400115967</v>
      </c>
      <c r="S30" s="9" t="n">
        <v>2021.4441738128662</v>
      </c>
      <c r="T30" s="9" t="n">
        <v>0.0</v>
      </c>
      <c r="U30">
        <f si="1" t="shared"/>
        <v>30259.31658744812</v>
      </c>
    </row>
    <row r="31" spans="1:21" x14ac:dyDescent="0.25">
      <c r="A31" s="12">
        <v>0.58333333333333337</v>
      </c>
      <c r="B31" s="6" t="n">
        <v>3757.9176652688952</v>
      </c>
      <c r="C31" s="6" t="n">
        <v>2608.652246606462</v>
      </c>
      <c r="D31" s="6" t="n">
        <v>4296.163274583652</v>
      </c>
      <c r="E31" s="6" t="n">
        <v>8089.07568544857</v>
      </c>
      <c r="F31" s="6" t="n">
        <v>820.0617212485781</v>
      </c>
      <c r="G31" s="6" t="n">
        <v>212.83750827417947</v>
      </c>
      <c r="H31" s="6" t="n">
        <v>1047.7290948533325</v>
      </c>
      <c r="I31" s="6" t="n">
        <v>0.0</v>
      </c>
      <c r="J31" s="6">
        <f si="0" t="shared"/>
        <v>20832.43719628367</v>
      </c>
      <c r="L31" s="12">
        <v>0.58333333333333337</v>
      </c>
      <c r="M31" s="9" t="n">
        <v>6250.696255683899</v>
      </c>
      <c r="N31" s="9" t="n">
        <v>2311.3219327926636</v>
      </c>
      <c r="O31" s="9" t="n">
        <v>7558.569513320923</v>
      </c>
      <c r="P31" s="9" t="n">
        <v>9385.834639549255</v>
      </c>
      <c r="Q31" s="9" t="n">
        <v>833.4325475692749</v>
      </c>
      <c r="R31" s="9" t="n">
        <v>434.0113048553467</v>
      </c>
      <c r="S31" s="9" t="n">
        <v>2404.0594549179077</v>
      </c>
      <c r="T31" s="9" t="n">
        <v>0.0</v>
      </c>
      <c r="U31">
        <f si="1" t="shared"/>
        <v>30304.442728042603</v>
      </c>
    </row>
    <row r="32" spans="1:21" x14ac:dyDescent="0.25">
      <c r="A32" s="12">
        <v>0.60416666666666663</v>
      </c>
      <c r="B32" s="6" t="n">
        <v>4082.349105786045</v>
      </c>
      <c r="C32" s="6" t="n">
        <v>2750.124282806298</v>
      </c>
      <c r="D32" s="6" t="n">
        <v>4270.09033268867</v>
      </c>
      <c r="E32" s="6" t="n">
        <v>8403.922368831889</v>
      </c>
      <c r="F32" s="6" t="n">
        <v>849.2761493917551</v>
      </c>
      <c r="G32" s="6" t="n">
        <v>305.26734683343216</v>
      </c>
      <c r="H32" s="6" t="n">
        <v>1321.7475188091203</v>
      </c>
      <c r="I32" s="6" t="n">
        <v>0.0</v>
      </c>
      <c r="J32" s="6">
        <f si="0" t="shared"/>
        <v>21982.777105147208</v>
      </c>
      <c r="L32" s="12">
        <v>0.60416666666666663</v>
      </c>
      <c r="M32" s="9" t="n">
        <v>6737.755045890808</v>
      </c>
      <c r="N32" s="9" t="n">
        <v>2395.552613258362</v>
      </c>
      <c r="O32" s="9" t="n">
        <v>7346.498099327087</v>
      </c>
      <c r="P32" s="9" t="n">
        <v>9291.14294719696</v>
      </c>
      <c r="Q32" s="9" t="n">
        <v>875.7062454223633</v>
      </c>
      <c r="R32" s="9" t="n">
        <v>494.33360385894775</v>
      </c>
      <c r="S32" s="9" t="n">
        <v>2930.1473484039307</v>
      </c>
      <c r="T32" s="9" t="n">
        <v>0.0</v>
      </c>
      <c r="U32">
        <f si="1" t="shared"/>
        <v>30295.782767295837</v>
      </c>
    </row>
    <row r="33" spans="1:21" x14ac:dyDescent="0.25">
      <c r="A33" s="12">
        <v>0.625</v>
      </c>
      <c r="B33" s="6" t="n">
        <v>4553.471036509947</v>
      </c>
      <c r="C33" s="6" t="n">
        <v>2894.7694129406545</v>
      </c>
      <c r="D33" s="6" t="n">
        <v>4212.806139675577</v>
      </c>
      <c r="E33" s="6" t="n">
        <v>8209.915735283486</v>
      </c>
      <c r="F33" s="6" t="n">
        <v>885.4358349101419</v>
      </c>
      <c r="G33" s="6" t="n">
        <v>395.6137912706928</v>
      </c>
      <c r="H33" s="6" t="n">
        <v>1655.4602289889317</v>
      </c>
      <c r="I33" s="6" t="n">
        <v>0.0</v>
      </c>
      <c r="J33" s="6">
        <f si="0" t="shared"/>
        <v>22807.472179579432</v>
      </c>
      <c r="L33" s="12">
        <v>0.625</v>
      </c>
      <c r="M33" s="9" t="n">
        <v>7452.995205879211</v>
      </c>
      <c r="N33" s="9" t="n">
        <v>2512.62983417511</v>
      </c>
      <c r="O33" s="9" t="n">
        <v>7127.927208900452</v>
      </c>
      <c r="P33" s="9" t="n">
        <v>9149.221933364868</v>
      </c>
      <c r="Q33" s="9" t="n">
        <v>927.4854774475098</v>
      </c>
      <c r="R33" s="9" t="n">
        <v>572.6000471115112</v>
      </c>
      <c r="S33" s="9" t="n">
        <v>3602.869791984558</v>
      </c>
      <c r="T33" s="9" t="n">
        <v>0.0</v>
      </c>
      <c r="U33">
        <f si="1" t="shared"/>
        <v>30328.554679870605</v>
      </c>
    </row>
    <row r="34" spans="1:21" x14ac:dyDescent="0.25">
      <c r="A34" s="12">
        <v>0.64583333333333337</v>
      </c>
      <c r="B34" s="6" t="n">
        <v>5327.337433142012</v>
      </c>
      <c r="C34" s="6" t="n">
        <v>3020.207176993131</v>
      </c>
      <c r="D34" s="6" t="n">
        <v>4121.04207570703</v>
      </c>
      <c r="E34" s="6" t="n">
        <v>7601.910801721867</v>
      </c>
      <c r="F34" s="6" t="n">
        <v>927.1801136814823</v>
      </c>
      <c r="G34" s="6" t="n">
        <v>471.6626627255468</v>
      </c>
      <c r="H34" s="6" t="n">
        <v>2056.6549852792004</v>
      </c>
      <c r="I34" s="6" t="n">
        <v>0.0</v>
      </c>
      <c r="J34" s="6">
        <f si="0" t="shared"/>
        <v>23525.995249250271</v>
      </c>
      <c r="L34" s="12">
        <v>0.64583333333333337</v>
      </c>
      <c r="M34" s="9" t="n">
        <v>8475.999484062195</v>
      </c>
      <c r="N34" s="9" t="n">
        <v>2677.812635421753</v>
      </c>
      <c r="O34" s="9" t="n">
        <v>6932.642335891724</v>
      </c>
      <c r="P34" s="9" t="n">
        <v>8988.37503528595</v>
      </c>
      <c r="Q34" s="9" t="n">
        <v>989.6012353897095</v>
      </c>
      <c r="R34" s="9" t="n">
        <v>663.616283416748</v>
      </c>
      <c r="S34" s="9" t="n">
        <v>4370.8691511154175</v>
      </c>
      <c r="T34" s="9" t="n">
        <v>0.0</v>
      </c>
      <c r="U34">
        <f si="1" t="shared"/>
        <v>30518.054748535156</v>
      </c>
    </row>
    <row r="35" spans="1:21" x14ac:dyDescent="0.25">
      <c r="A35" s="12">
        <v>0.66666666666666663</v>
      </c>
      <c r="B35" s="6" t="n">
        <v>6576.362568561243</v>
      </c>
      <c r="C35" s="6" t="n">
        <v>3108.712952761911</v>
      </c>
      <c r="D35" s="6" t="n">
        <v>4020.0712147473405</v>
      </c>
      <c r="E35" s="6" t="n">
        <v>6849.880951290808</v>
      </c>
      <c r="F35" s="6" t="n">
        <v>972.4424577532835</v>
      </c>
      <c r="G35" s="6" t="n">
        <v>536.5372052455625</v>
      </c>
      <c r="H35" s="6" t="n">
        <v>2525.8198469541353</v>
      </c>
      <c r="I35" s="6" t="n">
        <v>0.0</v>
      </c>
      <c r="J35" s="6">
        <f si="0" t="shared"/>
        <v>24589.827197314287</v>
      </c>
      <c r="L35" s="12">
        <v>0.66666666666666663</v>
      </c>
      <c r="M35" s="9" t="n">
        <v>9819.755878448486</v>
      </c>
      <c r="N35" s="9" t="n">
        <v>2886.4311847686768</v>
      </c>
      <c r="O35" s="9" t="n">
        <v>6740.075430870056</v>
      </c>
      <c r="P35" s="9" t="n">
        <v>8786.689992904663</v>
      </c>
      <c r="Q35" s="9" t="n">
        <v>1055.0587682724</v>
      </c>
      <c r="R35" s="9" t="n">
        <v>754.3794345855713</v>
      </c>
      <c r="S35" s="9" t="n">
        <v>5125.485713005066</v>
      </c>
      <c r="T35" s="9" t="n">
        <v>0.0</v>
      </c>
      <c r="U35">
        <f si="1" t="shared"/>
        <v>30928.619662284851</v>
      </c>
    </row>
    <row r="36" spans="1:21" x14ac:dyDescent="0.25">
      <c r="A36" s="12">
        <v>0.6875</v>
      </c>
      <c r="B36" s="6" t="n">
        <v>8351.207912136075</v>
      </c>
      <c r="C36" s="6" t="n">
        <v>3147.838005515736</v>
      </c>
      <c r="D36" s="6" t="n">
        <v>3939.560806466694</v>
      </c>
      <c r="E36" s="6" t="n">
        <v>6216.867127952064</v>
      </c>
      <c r="F36" s="6" t="n">
        <v>1021.8475553119306</v>
      </c>
      <c r="G36" s="6" t="n">
        <v>601.6768714544182</v>
      </c>
      <c r="H36" s="6" t="n">
        <v>3050.086601343834</v>
      </c>
      <c r="I36" s="6" t="n">
        <v>0.0</v>
      </c>
      <c r="J36" s="6">
        <f si="0" t="shared"/>
        <v>26329.084880180755</v>
      </c>
      <c r="L36" s="12">
        <v>0.6875</v>
      </c>
      <c r="M36" s="9" t="n">
        <v>11405.194734573364</v>
      </c>
      <c r="N36" s="9" t="n">
        <v>3113.0277910232544</v>
      </c>
      <c r="O36" s="9" t="n">
        <v>6497.77946472168</v>
      </c>
      <c r="P36" s="9" t="n">
        <v>8493.702005386353</v>
      </c>
      <c r="Q36" s="9" t="n">
        <v>1111.5279350280762</v>
      </c>
      <c r="R36" s="9" t="n">
        <v>828.256763458252</v>
      </c>
      <c r="S36" s="9" t="n">
        <v>5733.305143356323</v>
      </c>
      <c r="T36" s="9" t="n">
        <v>0.0</v>
      </c>
      <c r="U36">
        <f si="1" t="shared"/>
        <v>31522.347673416138</v>
      </c>
    </row>
    <row r="37" spans="1:21" x14ac:dyDescent="0.25">
      <c r="A37" s="12">
        <v>0.70833333333333337</v>
      </c>
      <c r="B37" s="6" t="n">
        <v>10442.109231438062</v>
      </c>
      <c r="C37" s="6" t="n">
        <v>3129.3848189592914</v>
      </c>
      <c r="D37" s="6" t="n">
        <v>3879.899615820281</v>
      </c>
      <c r="E37" s="6" t="n">
        <v>5810.635154956792</v>
      </c>
      <c r="F37" s="6" t="n">
        <v>1075.8735906323918</v>
      </c>
      <c r="G37" s="6" t="n">
        <v>667.8496073752117</v>
      </c>
      <c r="H37" s="6" t="n">
        <v>3586.0662866366047</v>
      </c>
      <c r="I37" s="6" t="n">
        <v>0.0</v>
      </c>
      <c r="J37" s="6">
        <f si="0" t="shared"/>
        <v>28591.818305818633</v>
      </c>
      <c r="L37" s="12">
        <v>0.70833333333333337</v>
      </c>
      <c r="M37" s="9" t="n">
        <v>13047.242670059204</v>
      </c>
      <c r="N37" s="9" t="n">
        <v>3317.7073802948</v>
      </c>
      <c r="O37" s="9" t="n">
        <v>6155.6251039505005</v>
      </c>
      <c r="P37" s="9" t="n">
        <v>8067.463988304138</v>
      </c>
      <c r="Q37" s="9" t="n">
        <v>1145.7688417434692</v>
      </c>
      <c r="R37" s="9" t="n">
        <v>870.9175338745117</v>
      </c>
      <c r="S37" s="9" t="n">
        <v>6082.311820030212</v>
      </c>
      <c r="T37" s="9" t="n">
        <v>0.0</v>
      </c>
      <c r="U37">
        <f si="1" t="shared"/>
        <v>32132.914093971252</v>
      </c>
    </row>
    <row r="38" spans="1:21" x14ac:dyDescent="0.25">
      <c r="A38" s="12">
        <v>0.72916666666666663</v>
      </c>
      <c r="B38" s="6" t="n">
        <v>12364.068403048625</v>
      </c>
      <c r="C38" s="6" t="n">
        <v>3041.9774203532343</v>
      </c>
      <c r="D38" s="6" t="n">
        <v>3786.590918609949</v>
      </c>
      <c r="E38" s="6" t="n">
        <v>5555.5421140952</v>
      </c>
      <c r="F38" s="6" t="n">
        <v>1125.1761512239723</v>
      </c>
      <c r="G38" s="6" t="n">
        <v>713.841083177391</v>
      </c>
      <c r="H38" s="6" t="n">
        <v>4038.0417478357585</v>
      </c>
      <c r="I38" s="6" t="n">
        <v>0.0</v>
      </c>
      <c r="J38" s="6">
        <f si="0" t="shared"/>
        <v>30625.237838344128</v>
      </c>
      <c r="L38" s="12">
        <v>0.72916666666666663</v>
      </c>
      <c r="M38" s="9" t="n">
        <v>14463.584688186646</v>
      </c>
      <c r="N38" s="9" t="n">
        <v>3453.776261329651</v>
      </c>
      <c r="O38" s="9" t="n">
        <v>5686.561857223511</v>
      </c>
      <c r="P38" s="9" t="n">
        <v>7492.061486244202</v>
      </c>
      <c r="Q38" s="9" t="n">
        <v>1146.780418395996</v>
      </c>
      <c r="R38" s="9" t="n">
        <v>874.1766443252563</v>
      </c>
      <c r="S38" s="9" t="n">
        <v>6112.257856369019</v>
      </c>
      <c r="T38" s="9" t="n">
        <v>0.0</v>
      </c>
      <c r="U38">
        <f si="1" t="shared"/>
        <v>32477.39430809021</v>
      </c>
    </row>
    <row r="39" spans="1:21" x14ac:dyDescent="0.25">
      <c r="A39" s="12">
        <v>0.75</v>
      </c>
      <c r="B39" s="6" t="n">
        <v>13529.028092129247</v>
      </c>
      <c r="C39" s="6" t="n">
        <v>2865.840451950617</v>
      </c>
      <c r="D39" s="6" t="n">
        <v>3563.2943778946787</v>
      </c>
      <c r="E39" s="6" t="n">
        <v>5272.670767998363</v>
      </c>
      <c r="F39" s="6" t="n">
        <v>1144.8337227782515</v>
      </c>
      <c r="G39" s="6" t="n">
        <v>707.7280664236373</v>
      </c>
      <c r="H39" s="6" t="n">
        <v>4266.259633831575</v>
      </c>
      <c r="I39" s="6" t="n">
        <v>0.0</v>
      </c>
      <c r="J39" s="6">
        <f si="0" t="shared"/>
        <v>31349.655113006371</v>
      </c>
      <c r="L39" s="12">
        <v>0.75</v>
      </c>
      <c r="M39" s="9" t="n">
        <v>15339.78118801117</v>
      </c>
      <c r="N39" s="9" t="n">
        <v>3477.749981880188</v>
      </c>
      <c r="O39" s="9" t="n">
        <v>5090.314570426941</v>
      </c>
      <c r="P39" s="9" t="n">
        <v>6774.7221937179565</v>
      </c>
      <c r="Q39" s="9" t="n">
        <v>1108.0050735473633</v>
      </c>
      <c r="R39" s="9" t="n">
        <v>837.1321306228638</v>
      </c>
      <c r="S39" s="9" t="n">
        <v>5822.743438720703</v>
      </c>
      <c r="T39" s="9" t="n">
        <v>0.0</v>
      </c>
      <c r="U39">
        <f si="1" t="shared"/>
        <v>32237.560665130615</v>
      </c>
    </row>
    <row r="40" spans="1:21" x14ac:dyDescent="0.25">
      <c r="A40" s="12">
        <v>0.77083333333333337</v>
      </c>
      <c r="B40" s="6" t="n">
        <v>13525.516204541815</v>
      </c>
      <c r="C40" s="6" t="n">
        <v>2583.1531530171233</v>
      </c>
      <c r="D40" s="6" t="n">
        <v>3132.239045241123</v>
      </c>
      <c r="E40" s="6" t="n">
        <v>4803.6631572638735</v>
      </c>
      <c r="F40" s="6" t="n">
        <v>1103.4508332083187</v>
      </c>
      <c r="G40" s="6" t="n">
        <v>632.3931987742309</v>
      </c>
      <c r="H40" s="6" t="n">
        <v>4149.017997540784</v>
      </c>
      <c r="I40" s="6" t="n">
        <v>0.0</v>
      </c>
      <c r="J40" s="6">
        <f si="0" t="shared"/>
        <v>29929.433589587268</v>
      </c>
      <c r="L40" s="12">
        <v>0.77083333333333337</v>
      </c>
      <c r="M40" s="9" t="n">
        <v>15449.732333183289</v>
      </c>
      <c r="N40" s="9" t="n">
        <v>3364.034656524658</v>
      </c>
      <c r="O40" s="9" t="n">
        <v>4393.359303474426</v>
      </c>
      <c r="P40" s="9" t="n">
        <v>5943.493227958679</v>
      </c>
      <c r="Q40" s="9" t="n">
        <v>1029.910943031311</v>
      </c>
      <c r="R40" s="9" t="n">
        <v>766.0510740280151</v>
      </c>
      <c r="S40" s="9" t="n">
        <v>5269.962969779968</v>
      </c>
      <c r="T40" s="9" t="n">
        <v>0.0</v>
      </c>
      <c r="U40">
        <f si="1" t="shared"/>
        <v>31201.414939880371</v>
      </c>
    </row>
    <row r="41" spans="1:21" x14ac:dyDescent="0.25">
      <c r="A41" s="12">
        <v>0.79166666666666663</v>
      </c>
      <c r="B41" s="6" t="n">
        <v>12323.623862661407</v>
      </c>
      <c r="C41" s="6" t="n">
        <v>2199.7919648469156</v>
      </c>
      <c r="D41" s="6" t="n">
        <v>2502.7205017219094</v>
      </c>
      <c r="E41" s="6" t="n">
        <v>4106.11207582018</v>
      </c>
      <c r="F41" s="6" t="n">
        <v>983.69133086703</v>
      </c>
      <c r="G41" s="6" t="n">
        <v>501.432680501153</v>
      </c>
      <c r="H41" s="6" t="n">
        <v>3664.7878535389427</v>
      </c>
      <c r="I41" s="6" t="n">
        <v>0.0</v>
      </c>
      <c r="J41" s="6">
        <f si="0" t="shared"/>
        <v>26282.160269957538</v>
      </c>
      <c r="L41" s="12">
        <v>0.79166666666666663</v>
      </c>
      <c r="M41" s="9" t="n">
        <v>14755.279110908508</v>
      </c>
      <c r="N41" s="9" t="n">
        <v>3116.726593017578</v>
      </c>
      <c r="O41" s="9" t="n">
        <v>3647.6505165100098</v>
      </c>
      <c r="P41" s="9" t="n">
        <v>5049.5672063827515</v>
      </c>
      <c r="Q41" s="9" t="n">
        <v>921.1044216156006</v>
      </c>
      <c r="R41" s="9" t="n">
        <v>672.9153280258179</v>
      </c>
      <c r="S41" s="9" t="n">
        <v>4553.60288143158</v>
      </c>
      <c r="T41" s="9" t="n">
        <v>0.0</v>
      </c>
      <c r="U41">
        <f si="1" t="shared"/>
        <v>29367.714920043945</v>
      </c>
    </row>
    <row r="42" spans="1:21" x14ac:dyDescent="0.25">
      <c r="A42" s="12">
        <v>0.8125</v>
      </c>
      <c r="B42" s="6" t="n">
        <v>10268.46455442032</v>
      </c>
      <c r="C42" s="6" t="n">
        <v>1756.9729762314873</v>
      </c>
      <c r="D42" s="6" t="n">
        <v>1786.1168556693572</v>
      </c>
      <c r="E42" s="6" t="n">
        <v>3268.055223667685</v>
      </c>
      <c r="F42" s="6" t="n">
        <v>797.7003525492115</v>
      </c>
      <c r="G42" s="6" t="n">
        <v>351.64984667367935</v>
      </c>
      <c r="H42" s="6" t="n">
        <v>2922.752556340569</v>
      </c>
      <c r="I42" s="6" t="n">
        <v>0.0</v>
      </c>
      <c r="J42" s="6">
        <f si="0" t="shared"/>
        <v>21151.712365552306</v>
      </c>
      <c r="L42" s="12">
        <v>0.8125</v>
      </c>
      <c r="M42" s="9" t="n">
        <v>13398.726773262024</v>
      </c>
      <c r="N42" s="9" t="n">
        <v>2766.4694929122925</v>
      </c>
      <c r="O42" s="9" t="n">
        <v>2917.7098894119263</v>
      </c>
      <c r="P42" s="9" t="n">
        <v>4157.968972206116</v>
      </c>
      <c r="Q42" s="9" t="n">
        <v>795.0057725906372</v>
      </c>
      <c r="R42" s="9" t="n">
        <v>571.4297275543213</v>
      </c>
      <c r="S42" s="9" t="n">
        <v>3785.9766998291016</v>
      </c>
      <c r="T42" s="9" t="n">
        <v>0.0</v>
      </c>
      <c r="U42">
        <f si="1" t="shared"/>
        <v>26907.226771354675</v>
      </c>
    </row>
    <row r="43" spans="1:21" x14ac:dyDescent="0.25">
      <c r="A43" s="12">
        <v>0.83333333333333337</v>
      </c>
      <c r="B43" s="6" t="n">
        <v>7884.569512680493</v>
      </c>
      <c r="C43" s="6" t="n">
        <v>1318.3556058152417</v>
      </c>
      <c r="D43" s="6" t="n">
        <v>1135.95920898629</v>
      </c>
      <c r="E43" s="6" t="n">
        <v>2440.424704224628</v>
      </c>
      <c r="F43" s="6" t="n">
        <v>583.8320115027561</v>
      </c>
      <c r="G43" s="6" t="n">
        <v>220.8670731940546</v>
      </c>
      <c r="H43" s="6" t="n">
        <v>2108.4813452785856</v>
      </c>
      <c r="I43" s="6" t="n">
        <v>0.0</v>
      </c>
      <c r="J43" s="6">
        <f si="0" t="shared"/>
        <v>15692.489461682049</v>
      </c>
      <c r="L43" s="12">
        <v>0.83333333333333337</v>
      </c>
      <c r="M43" s="9" t="n">
        <v>11598.436264038086</v>
      </c>
      <c r="N43" s="9" t="n">
        <v>2353.2807416915894</v>
      </c>
      <c r="O43" s="9" t="n">
        <v>2256.5417318344116</v>
      </c>
      <c r="P43" s="9" t="n">
        <v>3323.1873636245728</v>
      </c>
      <c r="Q43" s="9" t="n">
        <v>663.5787763595581</v>
      </c>
      <c r="R43" s="9" t="n">
        <v>471.81050395965576</v>
      </c>
      <c r="S43" s="9" t="n">
        <v>3052.007917404175</v>
      </c>
      <c r="T43" s="9" t="n">
        <v>0.0</v>
      </c>
      <c r="U43">
        <f si="1" t="shared"/>
        <v>24005.467293739319</v>
      </c>
    </row>
    <row r="44" spans="1:21" x14ac:dyDescent="0.25">
      <c r="A44" s="12">
        <v>0.85416666666666663</v>
      </c>
      <c r="B44" s="6" t="n">
        <v>5638.798994048069</v>
      </c>
      <c r="C44" s="6" t="n">
        <v>940.7918005762863</v>
      </c>
      <c r="D44" s="6" t="n">
        <v>660.1996538849221</v>
      </c>
      <c r="E44" s="6" t="n">
        <v>1744.6554492748166</v>
      </c>
      <c r="F44" s="6" t="n">
        <v>386.8302001953582</v>
      </c>
      <c r="G44" s="6" t="n">
        <v>129.91096040224363</v>
      </c>
      <c r="H44" s="6" t="n">
        <v>1388.4095695568076</v>
      </c>
      <c r="I44" s="6" t="n">
        <v>0.0</v>
      </c>
      <c r="J44" s="6">
        <f si="0" t="shared"/>
        <v>10889.596627938503</v>
      </c>
      <c r="L44" s="12">
        <v>0.85416666666666663</v>
      </c>
      <c r="M44" s="9" t="n">
        <v>9550.70349407196</v>
      </c>
      <c r="N44" s="9" t="n">
        <v>1911.3462295532227</v>
      </c>
      <c r="O44" s="9" t="n">
        <v>1688.7516136169434</v>
      </c>
      <c r="P44" s="9" t="n">
        <v>2571.36110496521</v>
      </c>
      <c r="Q44" s="9" t="n">
        <v>533.6730489730835</v>
      </c>
      <c r="R44" s="9" t="n">
        <v>378.254358291626</v>
      </c>
      <c r="S44" s="9" t="n">
        <v>2388.15318775177</v>
      </c>
      <c r="T44" s="9" t="n">
        <v>0.0</v>
      </c>
      <c r="U44">
        <f si="1" t="shared"/>
        <v>20746.734334945679</v>
      </c>
    </row>
    <row r="45" spans="1:21" x14ac:dyDescent="0.25">
      <c r="A45" s="12">
        <v>0.875</v>
      </c>
      <c r="B45" s="6" t="n">
        <v>3800.95696443841</v>
      </c>
      <c r="C45" s="6" t="n">
        <v>650.5653879356489</v>
      </c>
      <c r="D45" s="6" t="n">
        <v>375.8776530544462</v>
      </c>
      <c r="E45" s="6" t="n">
        <v>1223.1723618661633</v>
      </c>
      <c r="F45" s="6" t="n">
        <v>236.48081832601258</v>
      </c>
      <c r="G45" s="6" t="n">
        <v>79.06944290268612</v>
      </c>
      <c r="H45" s="6" t="n">
        <v>846.4081674756708</v>
      </c>
      <c r="I45" s="6" t="n">
        <v>0.0</v>
      </c>
      <c r="J45" s="6">
        <f si="0" t="shared"/>
        <v>7212.5307959990387</v>
      </c>
      <c r="L45" s="12">
        <v>0.875</v>
      </c>
      <c r="M45" s="9" t="n">
        <v>7414.676838874817</v>
      </c>
      <c r="N45" s="9" t="n">
        <v>1467.9096975326538</v>
      </c>
      <c r="O45" s="9" t="n">
        <v>1214.6741952896118</v>
      </c>
      <c r="P45" s="9" t="n">
        <v>1906.8194599151611</v>
      </c>
      <c r="Q45" s="9" t="n">
        <v>408.8698978424072</v>
      </c>
      <c r="R45" s="9" t="n">
        <v>291.08825397491455</v>
      </c>
      <c r="S45" s="9" t="n">
        <v>1796.1142416000366</v>
      </c>
      <c r="T45" s="9" t="n">
        <v>0.0</v>
      </c>
      <c r="U45">
        <f si="1" t="shared"/>
        <v>17161.949611663818</v>
      </c>
    </row>
    <row r="46" spans="1:21" x14ac:dyDescent="0.25">
      <c r="A46" s="12">
        <v>0.89583333333333337</v>
      </c>
      <c r="B46" s="6" t="n">
        <v>2439.2073321054377</v>
      </c>
      <c r="C46" s="6" t="n">
        <v>441.1254915808544</v>
      </c>
      <c r="D46" s="6" t="n">
        <v>230.7570283271723</v>
      </c>
      <c r="E46" s="6" t="n">
        <v>852.5299048529578</v>
      </c>
      <c r="F46" s="6" t="n">
        <v>138.84161597206398</v>
      </c>
      <c r="G46" s="6" t="n">
        <v>55.87309662366581</v>
      </c>
      <c r="H46" s="6" t="n">
        <v>484.2096249318733</v>
      </c>
      <c r="I46" s="6" t="n">
        <v>0.0</v>
      </c>
      <c r="J46" s="6">
        <f si="0" t="shared"/>
        <v>4642.5440943940248</v>
      </c>
      <c r="L46" s="12">
        <v>0.89583333333333337</v>
      </c>
      <c r="M46" s="9" t="n">
        <v>5351.364892959595</v>
      </c>
      <c r="N46" s="9" t="n">
        <v>1050.7658386230469</v>
      </c>
      <c r="O46" s="9" t="n">
        <v>827.3666572570801</v>
      </c>
      <c r="P46" s="9" t="n">
        <v>1332.7342824935913</v>
      </c>
      <c r="Q46" s="9" t="n">
        <v>293.5899953842163</v>
      </c>
      <c r="R46" s="9" t="n">
        <v>211.04469680786133</v>
      </c>
      <c r="S46" s="9" t="n">
        <v>1274.0055694580078</v>
      </c>
      <c r="T46" s="9" t="n">
        <v>0.0</v>
      </c>
      <c r="U46">
        <f si="1" t="shared"/>
        <v>13379.504373550415</v>
      </c>
    </row>
    <row r="47" spans="1:21" x14ac:dyDescent="0.25">
      <c r="A47" s="12">
        <v>0.91666666666666663</v>
      </c>
      <c r="B47" s="6" t="n">
        <v>1496.7563690227566</v>
      </c>
      <c r="C47" s="6" t="n">
        <v>290.105444670682</v>
      </c>
      <c r="D47" s="6" t="n">
        <v>157.2369916808033</v>
      </c>
      <c r="E47" s="6" t="n">
        <v>586.6668232826986</v>
      </c>
      <c r="F47" s="6" t="n">
        <v>82.39614437196634</v>
      </c>
      <c r="G47" s="6" t="n">
        <v>45.502504990881924</v>
      </c>
      <c r="H47" s="6" t="n">
        <v>260.9713893356676</v>
      </c>
      <c r="I47" s="6" t="n">
        <v>0.0</v>
      </c>
      <c r="J47" s="6">
        <f si="0" t="shared"/>
        <v>2919.6356673554565</v>
      </c>
      <c r="L47" s="12">
        <v>0.91666666666666663</v>
      </c>
      <c r="M47" s="9" t="n">
        <v>3535.893286705017</v>
      </c>
      <c r="N47" s="9" t="n">
        <v>690.285327911377</v>
      </c>
      <c r="O47" s="9" t="n">
        <v>523.9114084243774</v>
      </c>
      <c r="P47" s="9" t="n">
        <v>861.7849178314209</v>
      </c>
      <c r="Q47" s="9" t="n">
        <v>194.39000129699707</v>
      </c>
      <c r="R47" s="9" t="n">
        <v>141.3732452392578</v>
      </c>
      <c r="S47" s="9" t="n">
        <v>834.003191947937</v>
      </c>
      <c r="T47" s="9" t="n">
        <v>0.0</v>
      </c>
      <c r="U47">
        <f si="1" t="shared"/>
        <v>9699.2228946685791</v>
      </c>
    </row>
    <row r="48" spans="1:21" x14ac:dyDescent="0.25">
      <c r="A48" s="12">
        <v>0.9375</v>
      </c>
      <c r="B48" s="6" t="n">
        <v>875.2017395293141</v>
      </c>
      <c r="C48" s="6" t="n">
        <v>178.7325448903303</v>
      </c>
      <c r="D48" s="6" t="n">
        <v>110.57862167417525</v>
      </c>
      <c r="E48" s="6" t="n">
        <v>389.50365861830613</v>
      </c>
      <c r="F48" s="6" t="n">
        <v>50.65866123897456</v>
      </c>
      <c r="G48" s="6" t="n">
        <v>37.68702306488132</v>
      </c>
      <c r="H48" s="6" t="n">
        <v>130.88630960615637</v>
      </c>
      <c r="I48" s="6" t="n">
        <v>0.0</v>
      </c>
      <c r="J48" s="6">
        <f si="0" t="shared"/>
        <v>1773.248558622138</v>
      </c>
      <c r="L48" s="12">
        <v>0.9375</v>
      </c>
      <c r="M48" s="9" t="n">
        <v>2111.9258127212524</v>
      </c>
      <c r="N48" s="9" t="n">
        <v>410.8795862197876</v>
      </c>
      <c r="O48" s="9" t="n">
        <v>303.39352226257324</v>
      </c>
      <c r="P48" s="9" t="n">
        <v>507.75337314605713</v>
      </c>
      <c r="Q48" s="9" t="n">
        <v>117.2836332321167</v>
      </c>
      <c r="R48" s="9" t="n">
        <v>86.24955558776855</v>
      </c>
      <c r="S48" s="9" t="n">
        <v>494.74828147888184</v>
      </c>
      <c r="T48" s="9" t="n">
        <v>0.0</v>
      </c>
      <c r="U48">
        <f si="1" t="shared"/>
        <v>6492.4075031280518</v>
      </c>
    </row>
    <row r="49" spans="1:21" x14ac:dyDescent="0.25">
      <c r="A49" s="12">
        <v>0.95833333333333337</v>
      </c>
      <c r="B49" s="6" t="n">
        <v>482.9286727190523</v>
      </c>
      <c r="C49" s="6" t="n">
        <v>98.7372066887684</v>
      </c>
      <c r="D49" s="6" t="n">
        <v>74.17511415001582</v>
      </c>
      <c r="E49" s="6" t="n">
        <v>242.74061871287535</v>
      </c>
      <c r="F49" s="6" t="n">
        <v>31.33772799855327</v>
      </c>
      <c r="G49" s="6" t="n">
        <v>28.5464223659811</v>
      </c>
      <c r="H49" s="6" t="n">
        <v>59.438995357189185</v>
      </c>
      <c r="I49" s="6" t="n">
        <v>0.0</v>
      </c>
      <c r="J49" s="6">
        <f si="0" t="shared"/>
        <v>1017.9047579924356</v>
      </c>
      <c r="L49" s="12">
        <v>0.95833333333333337</v>
      </c>
      <c r="M49" s="9" t="n">
        <v>1132.5484638214111</v>
      </c>
      <c r="N49" s="9" t="n">
        <v>220.15443420410156</v>
      </c>
      <c r="O49" s="9" t="n">
        <v>159.1294765472412</v>
      </c>
      <c r="P49" s="9" t="n">
        <v>270.49495220184326</v>
      </c>
      <c r="Q49" s="9" t="n">
        <v>64.21799659729004</v>
      </c>
      <c r="R49" s="9" t="n">
        <v>47.689918518066406</v>
      </c>
      <c r="S49" s="9" t="n">
        <v>263.05263233184814</v>
      </c>
      <c r="T49" s="9" t="n">
        <v>0.0</v>
      </c>
      <c r="U49">
        <f si="1" t="shared"/>
        <v>4016.6799945831299</v>
      </c>
    </row>
    <row r="50" spans="1:21" x14ac:dyDescent="0.25">
      <c r="A50" s="12">
        <v>0.97916666666666663</v>
      </c>
      <c r="B50" s="6" t="n">
        <v>248.45524434399988</v>
      </c>
      <c r="C50" s="6" t="n">
        <v>46.987679583947184</v>
      </c>
      <c r="D50" s="6" t="n">
        <v>46.091611537142754</v>
      </c>
      <c r="E50" s="6" t="n">
        <v>138.57182896322917</v>
      </c>
      <c r="F50" s="6" t="n">
        <v>18.419106145412442</v>
      </c>
      <c r="G50" s="6" t="n">
        <v>18.748480950320243</v>
      </c>
      <c r="H50" s="6" t="n">
        <v>23.59363871073532</v>
      </c>
      <c r="I50" s="6" t="n">
        <v>0.0</v>
      </c>
      <c r="J50" s="6">
        <f si="0" t="shared"/>
        <v>540.86759023478703</v>
      </c>
      <c r="L50" s="12">
        <v>0.97916666666666663</v>
      </c>
      <c r="M50" s="9" t="n">
        <v>546.5519561767578</v>
      </c>
      <c r="N50" s="9" t="n">
        <v>106.53387641906738</v>
      </c>
      <c r="O50" s="9" t="n">
        <v>75.66021633148193</v>
      </c>
      <c r="P50" s="9" t="n">
        <v>130.73237228393555</v>
      </c>
      <c r="Q50" s="9" t="n">
        <v>32.10992240905762</v>
      </c>
      <c r="R50" s="9" t="n">
        <v>24.08869457244873</v>
      </c>
      <c r="S50" s="9" t="n">
        <v>125.24472236633301</v>
      </c>
      <c r="T50" s="9" t="n">
        <v>0.0</v>
      </c>
      <c r="U50">
        <f si="1" t="shared"/>
        <v>2312.0370531082153</v>
      </c>
    </row>
    <row r="51" spans="1:21" x14ac:dyDescent="0.25">
      <c r="A51" s="12">
        <v>1</v>
      </c>
      <c r="B51" s="6" t="n">
        <v>117.85584407388306</v>
      </c>
      <c r="C51" s="6" t="n">
        <v>18.623895748046877</v>
      </c>
      <c r="D51" s="6" t="n">
        <v>26.647751482318878</v>
      </c>
      <c r="E51" s="6" t="n">
        <v>70.99556511611365</v>
      </c>
      <c r="F51" s="6" t="n">
        <v>9.80482671076107</v>
      </c>
      <c r="G51" s="6" t="n">
        <v>10.399554154861448</v>
      </c>
      <c r="H51" s="6" t="n">
        <v>7.881074080512048</v>
      </c>
      <c r="I51" s="6" t="n">
        <v>0.0</v>
      </c>
      <c r="J51" s="6">
        <f si="0" t="shared"/>
        <v>262.20851136649702</v>
      </c>
      <c r="L51" s="12">
        <v>1</v>
      </c>
      <c r="M51" s="9" t="n">
        <v>240.56346607208252</v>
      </c>
      <c r="N51" s="9" t="n">
        <v>47.27034282684326</v>
      </c>
      <c r="O51" s="9" t="n">
        <v>33.05271816253662</v>
      </c>
      <c r="P51" s="9" t="n">
        <v>58.24354267120361</v>
      </c>
      <c r="Q51" s="9" t="n">
        <v>14.901376724243164</v>
      </c>
      <c r="R51" s="9" t="n">
        <v>11.34241771697998</v>
      </c>
      <c r="S51" s="9" t="n">
        <v>54.011064529418945</v>
      </c>
      <c r="T51" s="9" t="n">
        <v>0.0</v>
      </c>
      <c r="U51">
        <f si="1" t="shared"/>
        <v>1244.4643650054932</v>
      </c>
    </row>
    <row r="52" spans="1:21" x14ac:dyDescent="0.25">
      <c r="A52" s="12">
        <v>1.0208333333333333</v>
      </c>
      <c r="B52" s="6" t="n">
        <v>50.998058262743</v>
      </c>
      <c r="C52" s="6" t="n">
        <v>5.959609319897652</v>
      </c>
      <c r="D52" s="6" t="n">
        <v>14.41153812373829</v>
      </c>
      <c r="E52" s="6" t="n">
        <v>32.048845784753794</v>
      </c>
      <c r="F52" s="6" t="n">
        <v>4.588439637215615</v>
      </c>
      <c r="G52" s="6" t="n">
        <v>4.781700850603103</v>
      </c>
      <c r="H52" s="6" t="n">
        <v>2.127128759708405</v>
      </c>
      <c r="I52" s="6" t="n">
        <v>0.0</v>
      </c>
      <c r="J52" s="6">
        <f si="0" t="shared"/>
        <v>114.91532073865986</v>
      </c>
      <c r="L52" s="12">
        <v>1.0208333333333333</v>
      </c>
      <c r="M52" s="9" t="n">
        <v>98.5740385055542</v>
      </c>
      <c r="N52" s="9" t="n">
        <v>19.658427238464355</v>
      </c>
      <c r="O52" s="9" t="n">
        <v>13.552826881408691</v>
      </c>
      <c r="P52" s="9" t="n">
        <v>24.44922637939453</v>
      </c>
      <c r="Q52" s="9" t="n">
        <v>6.531060218811035</v>
      </c>
      <c r="R52" s="9" t="n">
        <v>5.085283279418945</v>
      </c>
      <c r="S52" s="9" t="n">
        <v>21.54794692993164</v>
      </c>
      <c r="T52" s="9" t="n">
        <v>0.0</v>
      </c>
      <c r="U52">
        <f si="1" t="shared"/>
        <v>622.63126564025879</v>
      </c>
    </row>
    <row r="53" spans="1:21" x14ac:dyDescent="0.25">
      <c r="A53" s="12">
        <v>4.1666666666666664E-2</v>
      </c>
      <c r="B53" s="6" t="n">
        <v>19.851108889528277</v>
      </c>
      <c r="C53" s="6" t="n">
        <v>1.4873580178012848</v>
      </c>
      <c r="D53" s="6" t="n">
        <v>7.173543417624473</v>
      </c>
      <c r="E53" s="6" t="n">
        <v>12.507598106880188</v>
      </c>
      <c r="F53" s="6" t="n">
        <v>1.8503154222803115</v>
      </c>
      <c r="G53" s="6" t="n">
        <v>1.7863615423612593</v>
      </c>
      <c r="H53" s="6" t="n">
        <v>0.44182740491485606</v>
      </c>
      <c r="I53" s="6" t="n">
        <v>0.0</v>
      </c>
      <c r="J53" s="6">
        <f si="0" t="shared"/>
        <v>45.098112801390648</v>
      </c>
      <c r="L53" s="12">
        <v>4.1666666666666664E-2</v>
      </c>
      <c r="M53" s="9" t="n">
        <v>38.053954124450684</v>
      </c>
      <c r="N53" s="9" t="n">
        <v>7.744261741638184</v>
      </c>
      <c r="O53" s="9" t="n">
        <v>5.276987075805664</v>
      </c>
      <c r="P53" s="9" t="n">
        <v>9.752294540405273</v>
      </c>
      <c r="Q53" s="9" t="n">
        <v>2.7051401138305664</v>
      </c>
      <c r="R53" s="9" t="n">
        <v>2.170699119567871</v>
      </c>
      <c r="S53" s="9" t="n">
        <v>8.087265014648438</v>
      </c>
      <c r="T53" s="9" t="n">
        <v>0.0</v>
      </c>
      <c r="U53">
        <f si="1" t="shared"/>
        <v>283.35272216796875</v>
      </c>
    </row>
    <row r="54" spans="1:21" x14ac:dyDescent="0.25">
      <c r="A54" s="12">
        <v>6.25E-2</v>
      </c>
      <c r="B54" s="6" t="n">
        <v>6.799969433940889</v>
      </c>
      <c r="C54" s="6" t="n">
        <v>0.27652959832191465</v>
      </c>
      <c r="D54" s="6" t="n">
        <v>3.1637352380752564</v>
      </c>
      <c r="E54" s="6" t="n">
        <v>4.126233371951103</v>
      </c>
      <c r="F54" s="6" t="n">
        <v>0.6298616885108947</v>
      </c>
      <c r="G54" s="6" t="n">
        <v>0.5279994139528275</v>
      </c>
      <c r="H54" s="6" t="n">
        <v>0.06590575742721559</v>
      </c>
      <c r="I54" s="6" t="n">
        <v>0.0</v>
      </c>
      <c r="J54" s="6">
        <f si="0" t="shared"/>
        <v>15.590234502180099</v>
      </c>
      <c r="L54" s="12">
        <v>6.25E-2</v>
      </c>
      <c r="M54" s="9" t="n">
        <v>13.620434761047363</v>
      </c>
      <c r="N54" s="9" t="n">
        <v>2.8320446014404297</v>
      </c>
      <c r="O54" s="9" t="n">
        <v>1.9152870178222656</v>
      </c>
      <c r="P54" s="9" t="n">
        <v>3.6103973388671875</v>
      </c>
      <c r="Q54" s="9" t="n">
        <v>1.029317855834961</v>
      </c>
      <c r="R54" s="9" t="n">
        <v>0.8529653549194336</v>
      </c>
      <c r="S54" s="9" t="n">
        <v>2.8286285400390625</v>
      </c>
      <c r="T54" s="9" t="n">
        <v>0.0</v>
      </c>
      <c r="U54">
        <f si="1" t="shared"/>
        <v>113.40927314758301</v>
      </c>
    </row>
    <row r="55" spans="1:21" x14ac:dyDescent="0.25">
      <c r="A55" s="12">
        <v>8.3333333333333329E-2</v>
      </c>
      <c r="B55" s="6" t="n">
        <v>1.983857486214638</v>
      </c>
      <c r="C55" s="6" t="n">
        <v>0.03568768950939178</v>
      </c>
      <c r="D55" s="6" t="n">
        <v>1.1798619190616608</v>
      </c>
      <c r="E55" s="6" t="n">
        <v>1.1169115824165345</v>
      </c>
      <c r="F55" s="6" t="n">
        <v>0.17581286505222318</v>
      </c>
      <c r="G55" s="6" t="n">
        <v>0.11874817286491396</v>
      </c>
      <c r="H55" s="6" t="n">
        <v>0.00625970498943329</v>
      </c>
      <c r="I55" s="6" t="n">
        <v>0.0</v>
      </c>
      <c r="J55" s="6">
        <f si="0" t="shared"/>
        <v>4.6171394201087956</v>
      </c>
      <c r="L55" s="12">
        <v>8.3333333333333329E-2</v>
      </c>
      <c r="M55" s="9" t="n">
        <v>4.317590713500977</v>
      </c>
      <c r="N55" s="9" t="n">
        <v>0.9148473739624023</v>
      </c>
      <c r="O55" s="9" t="n">
        <v>0.6170234680175781</v>
      </c>
      <c r="P55" s="9" t="n">
        <v>1.1782751083374023</v>
      </c>
      <c r="Q55" s="9" t="n">
        <v>0.34225940704345703</v>
      </c>
      <c r="R55" s="9" t="n">
        <v>0.29203128814697266</v>
      </c>
      <c r="S55" s="9" t="n">
        <v>0.8835487365722656</v>
      </c>
      <c r="T55" s="9" t="n">
        <v>0.0</v>
      </c>
      <c r="U55">
        <f si="1" t="shared"/>
        <v>38.389002799987793</v>
      </c>
    </row>
    <row r="56" spans="1:21" x14ac:dyDescent="0.25">
      <c r="A56" s="12">
        <v>0.10416666666666667</v>
      </c>
      <c r="B56" s="6" t="n">
        <v>0.4715400481977463</v>
      </c>
      <c r="C56" s="6" t="n">
        <v>0.0028133465185165396</v>
      </c>
      <c r="D56" s="6" t="n">
        <v>0.3548015793218612</v>
      </c>
      <c r="E56" s="6" t="n">
        <v>0.23763709791278842</v>
      </c>
      <c r="F56" s="6" t="n">
        <v>0.03849784439086914</v>
      </c>
      <c r="G56" s="6" t="n">
        <v>0.019084709590911866</v>
      </c>
      <c r="H56" s="6" t="n">
        <v>2.835569076538086E-4</v>
      </c>
      <c r="I56" s="6" t="n">
        <v>0.0</v>
      </c>
      <c r="J56" s="6">
        <f si="0" t="shared"/>
        <v>1.1246581828403475</v>
      </c>
      <c r="L56" s="12">
        <v>0.10416666666666667</v>
      </c>
      <c r="M56" s="9" t="n">
        <v>1.1409282684326172</v>
      </c>
      <c r="N56" s="9" t="n">
        <v>0.24542903900146484</v>
      </c>
      <c r="O56" s="9" t="n">
        <v>0.1657695770263672</v>
      </c>
      <c r="P56" s="9" t="n">
        <v>0.3187427520751953</v>
      </c>
      <c r="Q56" s="9" t="n">
        <v>0.09391975402832031</v>
      </c>
      <c r="R56" s="9" t="n">
        <v>0.08212566375732422</v>
      </c>
      <c r="S56" s="9" t="n">
        <v>0.23175907135009766</v>
      </c>
      <c r="T56" s="9" t="n">
        <v>0.0</v>
      </c>
      <c r="U56">
        <f si="1" t="shared"/>
        <v>10.534852027893066</v>
      </c>
    </row>
    <row r="57" spans="1:21" x14ac:dyDescent="0.25">
      <c r="A57" s="12">
        <v>0.125</v>
      </c>
      <c r="B57" s="6" t="n">
        <v>0.0852685391407013</v>
      </c>
      <c r="C57" s="6" t="n">
        <v>9.963145732879638E-5</v>
      </c>
      <c r="D57" s="6" t="n">
        <v>0.08036787090301513</v>
      </c>
      <c r="E57" s="6" t="n">
        <v>0.0369611861076355</v>
      </c>
      <c r="F57" s="6" t="n">
        <v>0.006134998447418212</v>
      </c>
      <c r="G57" s="6" t="n">
        <v>0.0019515349225997921</v>
      </c>
      <c r="H57" s="6" t="n">
        <v>0.0</v>
      </c>
      <c r="I57" s="6" t="n">
        <v>0.0</v>
      </c>
      <c r="J57" s="6">
        <f si="0" t="shared"/>
        <v>0.21078376097869872</v>
      </c>
      <c r="L57" s="12">
        <v>0.125</v>
      </c>
      <c r="M57" s="9" t="n">
        <v>0.232208251953125</v>
      </c>
      <c r="N57" s="9" t="n">
        <v>0.05054187774658203</v>
      </c>
      <c r="O57" s="9" t="n">
        <v>0.03428459167480469</v>
      </c>
      <c r="P57" s="9" t="n">
        <v>0.06610584259033203</v>
      </c>
      <c r="Q57" s="9" t="n">
        <v>0.01973247528076172</v>
      </c>
      <c r="R57" s="9" t="n">
        <v>0.017600059509277344</v>
      </c>
      <c r="S57" s="9" t="n">
        <v>0.047054290771484375</v>
      </c>
      <c r="T57" s="9" t="n">
        <v>0.0</v>
      </c>
      <c r="U57">
        <f si="1" t="shared"/>
        <v>2.1986627578735352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M25" sqref="M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13.0</v>
      </c>
      <c r="N8" s="9" t="n">
        <v>8.0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0.23773890065670017</v>
      </c>
      <c r="C9" s="6" t="n">
        <v>1.1283815288543701E-4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0.2378517388095856</v>
      </c>
      <c r="L9" s="12">
        <v>0.125</v>
      </c>
      <c r="M9" s="9" t="n">
        <v>12.896148681640625</v>
      </c>
      <c r="N9" s="9" t="n">
        <v>5.936407089233398</v>
      </c>
      <c r="O9" s="9" t="n">
        <v>0.0</v>
      </c>
      <c r="P9" s="9" t="n">
        <v>0.0</v>
      </c>
      <c r="Q9" s="9" t="n">
        <v>0.0833892822265625</v>
      </c>
      <c r="R9" s="9" t="n">
        <v>0.0</v>
      </c>
      <c r="S9" s="9" t="n">
        <v>0.0</v>
      </c>
      <c r="T9" s="9" t="n">
        <v>0.0</v>
      </c>
      <c r="U9">
        <f ref="U9:U58" si="1" t="shared">SUM(M9:T9)</f>
        <v>80.044353485107422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1.1058860079784394</v>
      </c>
      <c r="C10" s="6" t="n">
        <v>0.0022836246156692505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1.1081696325941086</v>
      </c>
      <c r="L10" s="12">
        <v>0.14583333333333334</v>
      </c>
      <c r="M10" s="9" t="n">
        <v>13.510331153869629</v>
      </c>
      <c r="N10" s="9" t="n">
        <v>4.318265914916992</v>
      </c>
      <c r="O10" s="9" t="n">
        <v>0.0</v>
      </c>
      <c r="P10" s="9" t="n">
        <v>0.0</v>
      </c>
      <c r="Q10" s="9" t="n">
        <v>0.1468648910522461</v>
      </c>
      <c r="R10" s="9" t="n">
        <v>9.5367431640625E-7</v>
      </c>
      <c r="S10" s="9" t="n">
        <v>0.0</v>
      </c>
      <c r="T10" s="9" t="n">
        <v>0.0</v>
      </c>
      <c r="U10">
        <f si="1" t="shared"/>
        <v>130.22623252868652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3.99530115072918</v>
      </c>
      <c r="C11" s="6" t="n">
        <v>0.022201580037117006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4.0175027307662967</v>
      </c>
      <c r="L11" s="12">
        <v>0.16666666666666666</v>
      </c>
      <c r="M11" s="9" t="n">
        <v>15.447062492370605</v>
      </c>
      <c r="N11" s="9" t="n">
        <v>3.4253883361816406</v>
      </c>
      <c r="O11" s="9" t="n">
        <v>0.0</v>
      </c>
      <c r="P11" s="9" t="n">
        <v>0.0</v>
      </c>
      <c r="Q11" s="9" t="n">
        <v>0.1786184310913086</v>
      </c>
      <c r="R11" s="9" t="n">
        <v>2.193450927734375E-5</v>
      </c>
      <c r="S11" s="9" t="n">
        <v>0.0</v>
      </c>
      <c r="T11" s="9" t="n">
        <v>0.0</v>
      </c>
      <c r="U11">
        <f si="1" t="shared"/>
        <v>185.13405513763428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11.968644234247208</v>
      </c>
      <c r="C12" s="6" t="n">
        <v>0.1384159430027008</v>
      </c>
      <c r="D12" s="6" t="n">
        <v>0.0</v>
      </c>
      <c r="E12" s="6" t="n">
        <v>0.0</v>
      </c>
      <c r="F12" s="6" t="n">
        <v>7.371677494049072E-5</v>
      </c>
      <c r="G12" s="6" t="n">
        <v>0.0</v>
      </c>
      <c r="H12" s="6" t="n">
        <v>0.0</v>
      </c>
      <c r="I12" s="6" t="n">
        <v>0.0</v>
      </c>
      <c r="J12" s="6">
        <f si="0" t="shared"/>
        <v>12.107133894024848</v>
      </c>
      <c r="L12" s="12">
        <v>0.1875</v>
      </c>
      <c r="M12" s="9" t="n">
        <v>19.52703285217285</v>
      </c>
      <c r="N12" s="9" t="n">
        <v>3.406675338745117</v>
      </c>
      <c r="O12" s="9" t="n">
        <v>0.0</v>
      </c>
      <c r="P12" s="9" t="n">
        <v>0.0</v>
      </c>
      <c r="Q12" s="9" t="n">
        <v>0.18493366241455078</v>
      </c>
      <c r="R12" s="9" t="n">
        <v>2.3937225341796875E-4</v>
      </c>
      <c r="S12" s="9" t="n">
        <v>0.0</v>
      </c>
      <c r="T12" s="9" t="n">
        <v>0.0</v>
      </c>
      <c r="U12">
        <f si="1" t="shared"/>
        <v>239.88987922668457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30.741454963002205</v>
      </c>
      <c r="C13" s="6" t="n">
        <v>0.623679691737175</v>
      </c>
      <c r="D13" s="6" t="n">
        <v>0.0</v>
      </c>
      <c r="E13" s="6" t="n">
        <v>0.0</v>
      </c>
      <c r="F13" s="6" t="n">
        <v>0.0015183858137130738</v>
      </c>
      <c r="G13" s="6" t="n">
        <v>0.0</v>
      </c>
      <c r="H13" s="6" t="n">
        <v>0.0</v>
      </c>
      <c r="I13" s="6" t="n">
        <v>0.0</v>
      </c>
      <c r="J13" s="6">
        <f si="0" t="shared"/>
        <v>31.366653040553093</v>
      </c>
      <c r="L13" s="12">
        <v>0.20833333333333334</v>
      </c>
      <c r="M13" s="9" t="n">
        <v>27.691089630126953</v>
      </c>
      <c r="N13" s="9" t="n">
        <v>4.509428024291992</v>
      </c>
      <c r="O13" s="9" t="n">
        <v>0.0</v>
      </c>
      <c r="P13" s="9" t="n">
        <v>0.0</v>
      </c>
      <c r="Q13" s="9" t="n">
        <v>0.1963329315185547</v>
      </c>
      <c r="R13" s="9" t="n">
        <v>0.0016527175903320312</v>
      </c>
      <c r="S13" s="9" t="n">
        <v>0.0</v>
      </c>
      <c r="T13" s="9" t="n">
        <v>0.0</v>
      </c>
      <c r="U13">
        <f si="1" t="shared"/>
        <v>295.27602195739746</v>
      </c>
    </row>
    <row r="14" spans="1:26" x14ac:dyDescent="0.25">
      <c r="A14" s="12">
        <v>0.22916666666666666</v>
      </c>
      <c r="B14" s="6" t="n">
        <v>69.13049179528998</v>
      </c>
      <c r="C14" s="6" t="n">
        <v>2.1714233728990555</v>
      </c>
      <c r="D14" s="6" t="n">
        <v>0.0</v>
      </c>
      <c r="E14" s="6" t="n">
        <v>0.0</v>
      </c>
      <c r="F14" s="6" t="n">
        <v>0.01488719353675842</v>
      </c>
      <c r="G14" s="6" t="n">
        <v>0.0</v>
      </c>
      <c r="H14" s="6" t="n">
        <v>0.0</v>
      </c>
      <c r="I14" s="6" t="n">
        <v>0.0</v>
      </c>
      <c r="J14" s="6">
        <f si="0" t="shared"/>
        <v>71.316802361725806</v>
      </c>
      <c r="L14" s="12">
        <v>0.22916666666666666</v>
      </c>
      <c r="M14" s="9" t="n">
        <v>44.02540874481201</v>
      </c>
      <c r="N14" s="9" t="n">
        <v>7.292926788330078</v>
      </c>
      <c r="O14" s="9" t="n">
        <v>0.0</v>
      </c>
      <c r="P14" s="9" t="n">
        <v>0.0</v>
      </c>
      <c r="Q14" s="9" t="n">
        <v>0.2642860412597656</v>
      </c>
      <c r="R14" s="9" t="n">
        <v>0.008128166198730469</v>
      </c>
      <c r="S14" s="9" t="n">
        <v>0.0</v>
      </c>
      <c r="T14" s="9" t="n">
        <v>0.0</v>
      </c>
      <c r="U14">
        <f si="1" t="shared"/>
        <v>371.14011573791504</v>
      </c>
    </row>
    <row r="15" spans="1:26" x14ac:dyDescent="0.25">
      <c r="A15" s="12">
        <v>0.25</v>
      </c>
      <c r="B15" s="6" t="n">
        <v>137.78355097609042</v>
      </c>
      <c r="C15" s="6" t="n">
        <v>6.102158799050331</v>
      </c>
      <c r="D15" s="6" t="n">
        <v>0.0</v>
      </c>
      <c r="E15" s="6" t="n">
        <v>6.37345380783081E-5</v>
      </c>
      <c r="F15" s="6" t="n">
        <v>0.0924066832637787</v>
      </c>
      <c r="G15" s="6" t="n">
        <v>0.0</v>
      </c>
      <c r="H15" s="6" t="n">
        <v>0.0</v>
      </c>
      <c r="I15" s="6" t="n">
        <v>0.0</v>
      </c>
      <c r="J15" s="6">
        <f si="0" t="shared"/>
        <v>143.97818019294263</v>
      </c>
      <c r="L15" s="12">
        <v>0.25</v>
      </c>
      <c r="M15" s="9" t="n">
        <v>75.39950180053711</v>
      </c>
      <c r="N15" s="9" t="n">
        <v>12.681595802307129</v>
      </c>
      <c r="O15" s="9" t="n">
        <v>0.0</v>
      </c>
      <c r="P15" s="9" t="n">
        <v>0.0</v>
      </c>
      <c r="Q15" s="9" t="n">
        <v>0.45929813385009766</v>
      </c>
      <c r="R15" s="9" t="n">
        <v>0.03043842315673828</v>
      </c>
      <c r="S15" s="9" t="n">
        <v>0.0</v>
      </c>
      <c r="T15" s="9" t="n">
        <v>0.0</v>
      </c>
      <c r="U15">
        <f si="1" t="shared"/>
        <v>510.66098308563232</v>
      </c>
    </row>
    <row r="16" spans="1:26" x14ac:dyDescent="0.25">
      <c r="A16" s="12">
        <v>0.27083333333333331</v>
      </c>
      <c r="B16" s="6" t="n">
        <v>245.47069182862566</v>
      </c>
      <c r="C16" s="6" t="n">
        <v>14.289978829000475</v>
      </c>
      <c r="D16" s="6" t="n">
        <v>0.0</v>
      </c>
      <c r="E16" s="6" t="n">
        <v>0.0012746907615661621</v>
      </c>
      <c r="F16" s="6" t="n">
        <v>0.40737513357639316</v>
      </c>
      <c r="G16" s="6" t="n">
        <v>0.0</v>
      </c>
      <c r="H16" s="6" t="n">
        <v>0.0</v>
      </c>
      <c r="I16" s="6" t="n">
        <v>0.0</v>
      </c>
      <c r="J16" s="6">
        <f si="0" t="shared"/>
        <v>260.16932048196412</v>
      </c>
      <c r="L16" s="12">
        <v>0.27083333333333331</v>
      </c>
      <c r="M16" s="9" t="n">
        <v>132.92455005645752</v>
      </c>
      <c r="N16" s="9" t="n">
        <v>22.150903701782227</v>
      </c>
      <c r="O16" s="9" t="n">
        <v>0.0</v>
      </c>
      <c r="P16" s="9" t="n">
        <v>0.0</v>
      </c>
      <c r="Q16" s="9" t="n">
        <v>0.9036397933959961</v>
      </c>
      <c r="R16" s="9" t="n">
        <v>0.09080791473388672</v>
      </c>
      <c r="S16" s="9" t="n">
        <v>0.0</v>
      </c>
      <c r="T16" s="9" t="n">
        <v>0.0</v>
      </c>
      <c r="U16">
        <f si="1" t="shared"/>
        <v>766.87775707244873</v>
      </c>
    </row>
    <row r="17" spans="1:21" x14ac:dyDescent="0.25">
      <c r="A17" s="12">
        <v>0.29166666666666669</v>
      </c>
      <c r="B17" s="6" t="n">
        <v>395.01018287589835</v>
      </c>
      <c r="C17" s="6" t="n">
        <v>28.645612190094</v>
      </c>
      <c r="D17" s="6" t="n">
        <v>0.0</v>
      </c>
      <c r="E17" s="6" t="n">
        <v>0.012130463956832887</v>
      </c>
      <c r="F17" s="6" t="n">
        <v>1.3563286543836595</v>
      </c>
      <c r="G17" s="6" t="n">
        <v>0.0</v>
      </c>
      <c r="H17" s="6" t="n">
        <v>0.0</v>
      </c>
      <c r="I17" s="6" t="n">
        <v>0.0</v>
      </c>
      <c r="J17" s="6">
        <f si="0" t="shared"/>
        <v>425.0242541843329</v>
      </c>
      <c r="L17" s="12">
        <v>0.29166666666666669</v>
      </c>
      <c r="M17" s="9" t="n">
        <v>238.0629711151123</v>
      </c>
      <c r="N17" s="9" t="n">
        <v>38.781676292419434</v>
      </c>
      <c r="O17" s="9" t="n">
        <v>0.0</v>
      </c>
      <c r="P17" s="9" t="n">
        <v>0.0</v>
      </c>
      <c r="Q17" s="9" t="n">
        <v>1.8743896484375</v>
      </c>
      <c r="R17" s="9" t="n">
        <v>0.22366809844970703</v>
      </c>
      <c r="S17" s="9" t="n">
        <v>0.0</v>
      </c>
      <c r="T17" s="9" t="n">
        <v>0.0</v>
      </c>
      <c r="U17">
        <f si="1" t="shared"/>
        <v>1178.1411485671997</v>
      </c>
    </row>
    <row r="18" spans="1:21" x14ac:dyDescent="0.25">
      <c r="A18" s="12">
        <v>0.3125</v>
      </c>
      <c r="B18" s="6" t="n">
        <v>585.062001321516</v>
      </c>
      <c r="C18" s="6" t="n">
        <v>50.54921691635418</v>
      </c>
      <c r="D18" s="6" t="n">
        <v>0.0</v>
      </c>
      <c r="E18" s="6" t="n">
        <v>0.07312791648101806</v>
      </c>
      <c r="F18" s="6" t="n">
        <v>3.5402182789535526</v>
      </c>
      <c r="G18" s="6" t="n">
        <v>0.0</v>
      </c>
      <c r="H18" s="6" t="n">
        <v>0.0</v>
      </c>
      <c r="I18" s="6" t="n">
        <v>0.0</v>
      </c>
      <c r="J18" s="6">
        <f si="0" t="shared"/>
        <v>639.22456443330486</v>
      </c>
      <c r="L18" s="12">
        <v>0.3125</v>
      </c>
      <c r="M18" s="9" t="n">
        <v>435.55829906463623</v>
      </c>
      <c r="N18" s="9" t="n">
        <v>69.4504861831665</v>
      </c>
      <c r="O18" s="9" t="n">
        <v>0.0</v>
      </c>
      <c r="P18" s="9" t="n">
        <v>0.0</v>
      </c>
      <c r="Q18" s="9" t="n">
        <v>3.9599313735961914</v>
      </c>
      <c r="R18" s="9" t="n">
        <v>0.46955013275146484</v>
      </c>
      <c r="S18" s="9" t="n">
        <v>0.0</v>
      </c>
      <c r="T18" s="9" t="n">
        <v>0.0</v>
      </c>
      <c r="U18">
        <f si="1" t="shared"/>
        <v>1752.2374753952026</v>
      </c>
    </row>
    <row r="19" spans="1:21" x14ac:dyDescent="0.25">
      <c r="A19" s="12">
        <v>0.33333333333333331</v>
      </c>
      <c r="B19" s="6" t="n">
        <v>825.512107882929</v>
      </c>
      <c r="C19" s="6" t="n">
        <v>81.31570321961308</v>
      </c>
      <c r="D19" s="6" t="n">
        <v>0.0</v>
      </c>
      <c r="E19" s="6" t="n">
        <v>0.31381533681392665</v>
      </c>
      <c r="F19" s="6" t="n">
        <v>7.42191459903717</v>
      </c>
      <c r="G19" s="6" t="n">
        <v>0.0</v>
      </c>
      <c r="H19" s="6" t="n">
        <v>0.0</v>
      </c>
      <c r="I19" s="6" t="n">
        <v>0.0</v>
      </c>
      <c r="J19" s="6">
        <f si="0" t="shared"/>
        <v>914.56354103839317</v>
      </c>
      <c r="L19" s="12">
        <v>0.33333333333333331</v>
      </c>
      <c r="M19" s="9" t="n">
        <v>804.534670829773</v>
      </c>
      <c r="N19" s="9" t="n">
        <v>126.52011489868164</v>
      </c>
      <c r="O19" s="9" t="n">
        <v>0.0</v>
      </c>
      <c r="P19" s="9" t="n">
        <v>0.0</v>
      </c>
      <c r="Q19" s="9" t="n">
        <v>8.14057445526123</v>
      </c>
      <c r="R19" s="9" t="n">
        <v>0.865692138671875</v>
      </c>
      <c r="S19" s="9" t="n">
        <v>0.0</v>
      </c>
      <c r="T19" s="9" t="n">
        <v>0.0</v>
      </c>
      <c r="U19">
        <f si="1" t="shared"/>
        <v>2473.333945274353</v>
      </c>
    </row>
    <row r="20" spans="1:21" x14ac:dyDescent="0.25">
      <c r="A20" s="12">
        <v>0.35416666666666669</v>
      </c>
      <c r="B20" s="6" t="n">
        <v>1167.5849734197218</v>
      </c>
      <c r="C20" s="6" t="n">
        <v>124.37660244715023</v>
      </c>
      <c r="D20" s="6" t="n">
        <v>0.0</v>
      </c>
      <c r="E20" s="6" t="n">
        <v>1.0219448815994263</v>
      </c>
      <c r="F20" s="6" t="n">
        <v>12.700882550554276</v>
      </c>
      <c r="G20" s="6" t="n">
        <v>0.0</v>
      </c>
      <c r="H20" s="6" t="n">
        <v>0.0</v>
      </c>
      <c r="I20" s="6" t="n">
        <v>0.0</v>
      </c>
      <c r="J20" s="6">
        <f si="0" t="shared"/>
        <v>1305.6844032990257</v>
      </c>
      <c r="L20" s="12">
        <v>0.35416666666666669</v>
      </c>
      <c r="M20" s="9" t="n">
        <v>1446.709448814392</v>
      </c>
      <c r="N20" s="9" t="n">
        <v>225.6342010498047</v>
      </c>
      <c r="O20" s="9" t="n">
        <v>0.0</v>
      </c>
      <c r="P20" s="9" t="n">
        <v>0.0</v>
      </c>
      <c r="Q20" s="9" t="n">
        <v>15.588027000427246</v>
      </c>
      <c r="R20" s="9" t="n">
        <v>1.440241813659668</v>
      </c>
      <c r="S20" s="9" t="n">
        <v>0.0</v>
      </c>
      <c r="T20" s="9" t="n">
        <v>0.0</v>
      </c>
      <c r="U20">
        <f si="1" t="shared"/>
        <v>3323.078516960144</v>
      </c>
    </row>
    <row r="21" spans="1:21" x14ac:dyDescent="0.25">
      <c r="A21" s="12">
        <v>0.375</v>
      </c>
      <c r="B21" s="6" t="n">
        <v>1730.7089127311933</v>
      </c>
      <c r="C21" s="6" t="n">
        <v>187.34653476571276</v>
      </c>
      <c r="D21" s="6" t="n">
        <v>0.0</v>
      </c>
      <c r="E21" s="6" t="n">
        <v>2.6314793800163265</v>
      </c>
      <c r="F21" s="6" t="n">
        <v>17.93048768736839</v>
      </c>
      <c r="G21" s="6" t="n">
        <v>0.0</v>
      </c>
      <c r="H21" s="6" t="n">
        <v>0.0</v>
      </c>
      <c r="I21" s="6" t="n">
        <v>0.0</v>
      </c>
      <c r="J21" s="6">
        <f si="0" t="shared"/>
        <v>1938.6174145642908</v>
      </c>
      <c r="L21" s="12">
        <v>0.375</v>
      </c>
      <c r="M21" s="9" t="n">
        <v>2437.9054479599</v>
      </c>
      <c r="N21" s="9" t="n">
        <v>377.8832206726074</v>
      </c>
      <c r="O21" s="9" t="n">
        <v>0.0</v>
      </c>
      <c r="P21" s="9" t="n">
        <v>0.0</v>
      </c>
      <c r="Q21" s="9" t="n">
        <v>27.105100631713867</v>
      </c>
      <c r="R21" s="9" t="n">
        <v>2.2097034454345703</v>
      </c>
      <c r="S21" s="9" t="n">
        <v>0.0</v>
      </c>
      <c r="T21" s="9" t="n">
        <v>0.0</v>
      </c>
      <c r="U21">
        <f si="1" t="shared"/>
        <v>4290.8592777252197</v>
      </c>
    </row>
    <row r="22" spans="1:21" x14ac:dyDescent="0.25">
      <c r="A22" s="12">
        <v>0.39583333333333331</v>
      </c>
      <c r="B22" s="6" t="n">
        <v>2683.0031826401914</v>
      </c>
      <c r="C22" s="6" t="n">
        <v>279.4795000075608</v>
      </c>
      <c r="D22" s="6" t="n">
        <v>0.0</v>
      </c>
      <c r="E22" s="6" t="n">
        <v>5.519166014247894</v>
      </c>
      <c r="F22" s="6" t="n">
        <v>21.01830736205673</v>
      </c>
      <c r="G22" s="6" t="n">
        <v>0.0</v>
      </c>
      <c r="H22" s="6" t="n">
        <v>0.0</v>
      </c>
      <c r="I22" s="6" t="n">
        <v>0.0</v>
      </c>
      <c r="J22" s="6">
        <f si="0" t="shared"/>
        <v>2989.0201560240566</v>
      </c>
      <c r="L22" s="12">
        <v>0.39583333333333331</v>
      </c>
      <c r="M22" s="9" t="n">
        <v>3763.063163757324</v>
      </c>
      <c r="N22" s="9" t="n">
        <v>580.116153717041</v>
      </c>
      <c r="O22" s="9" t="n">
        <v>0.0</v>
      </c>
      <c r="P22" s="9" t="n">
        <v>0.0</v>
      </c>
      <c r="Q22" s="9" t="n">
        <v>42.45633316040039</v>
      </c>
      <c r="R22" s="9" t="n">
        <v>3.172593116760254</v>
      </c>
      <c r="S22" s="9" t="n">
        <v>0.0</v>
      </c>
      <c r="T22" s="9" t="n">
        <v>0.0</v>
      </c>
      <c r="U22">
        <f si="1" t="shared"/>
        <v>5358.6471147537231</v>
      </c>
    </row>
    <row r="23" spans="1:21" x14ac:dyDescent="0.25">
      <c r="A23" s="12">
        <v>0.41666666666666669</v>
      </c>
      <c r="B23" s="6" t="n">
        <v>4135.040030207878</v>
      </c>
      <c r="C23" s="6" t="n">
        <v>402.33897424678133</v>
      </c>
      <c r="D23" s="6" t="n">
        <v>0.0</v>
      </c>
      <c r="E23" s="6" t="n">
        <v>9.652884345434188</v>
      </c>
      <c r="F23" s="6" t="n">
        <v>20.52002949927139</v>
      </c>
      <c r="G23" s="6" t="n">
        <v>0.0</v>
      </c>
      <c r="H23" s="6" t="n">
        <v>0.0</v>
      </c>
      <c r="I23" s="6" t="n">
        <v>0.0</v>
      </c>
      <c r="J23" s="6">
        <f si="0" t="shared"/>
        <v>4567.5519182993648</v>
      </c>
      <c r="L23" s="12">
        <v>0.41666666666666669</v>
      </c>
      <c r="M23" s="9" t="n">
        <v>5282.428153991699</v>
      </c>
      <c r="N23" s="9" t="n">
        <v>810.8089895248413</v>
      </c>
      <c r="O23" s="9" t="n">
        <v>0.0</v>
      </c>
      <c r="P23" s="9" t="n">
        <v>0.0</v>
      </c>
      <c r="Q23" s="9" t="n">
        <v>60.050804138183594</v>
      </c>
      <c r="R23" s="9" t="n">
        <v>4.298253059387207</v>
      </c>
      <c r="S23" s="9" t="n">
        <v>0.0</v>
      </c>
      <c r="T23" s="9" t="n">
        <v>0.0</v>
      </c>
      <c r="U23">
        <f si="1" t="shared"/>
        <v>6471.5800752639771</v>
      </c>
    </row>
    <row r="24" spans="1:21" x14ac:dyDescent="0.25">
      <c r="A24" s="12">
        <v>0.4375</v>
      </c>
      <c r="B24" s="6" t="n">
        <v>5977.519262932678</v>
      </c>
      <c r="C24" s="6" t="n">
        <v>539.9177592218189</v>
      </c>
      <c r="D24" s="6" t="n">
        <v>0.0</v>
      </c>
      <c r="E24" s="6" t="n">
        <v>14.3603891034317</v>
      </c>
      <c r="F24" s="6" t="n">
        <v>16.684793030405043</v>
      </c>
      <c r="G24" s="6" t="n">
        <v>0.0</v>
      </c>
      <c r="H24" s="6" t="n">
        <v>0.0</v>
      </c>
      <c r="I24" s="6" t="n">
        <v>0.0</v>
      </c>
      <c r="J24" s="6">
        <f si="0" t="shared"/>
        <v>6548.4822042883343</v>
      </c>
      <c r="L24" s="12">
        <v>0.4375</v>
      </c>
      <c r="M24" s="9" t="n">
        <v>6757.144882202148</v>
      </c>
      <c r="N24" s="9" t="n">
        <v>1034.946403503418</v>
      </c>
      <c r="O24" s="9" t="n">
        <v>0.0</v>
      </c>
      <c r="P24" s="9" t="n">
        <v>0.0</v>
      </c>
      <c r="Q24" s="9" t="n">
        <v>77.22258281707764</v>
      </c>
      <c r="R24" s="9" t="n">
        <v>5.514928817749023</v>
      </c>
      <c r="S24" s="9" t="n">
        <v>0.0</v>
      </c>
      <c r="T24" s="9" t="n">
        <v>0.0</v>
      </c>
      <c r="U24">
        <f si="1" t="shared"/>
        <v>7517.0087184906006</v>
      </c>
    </row>
    <row r="25" spans="1:21" x14ac:dyDescent="0.25">
      <c r="A25" s="12">
        <v>0.45833333333333331</v>
      </c>
      <c r="B25" s="6" t="n">
        <v>7798.038877708295</v>
      </c>
      <c r="C25" s="6" t="n">
        <v>659.666472188117</v>
      </c>
      <c r="D25" s="6" t="n">
        <v>0.0</v>
      </c>
      <c r="E25" s="6" t="n">
        <v>18.478797435581203</v>
      </c>
      <c r="F25" s="6" t="n">
        <v>11.26354256175041</v>
      </c>
      <c r="G25" s="6" t="n">
        <v>0.0</v>
      </c>
      <c r="H25" s="6" t="n">
        <v>0.0</v>
      </c>
      <c r="I25" s="6" t="n">
        <v>0.0</v>
      </c>
      <c r="J25" s="6">
        <f si="0" t="shared"/>
        <v>8487.4476898937428</v>
      </c>
      <c r="L25" s="12">
        <v>0.45833333333333331</v>
      </c>
      <c r="M25" s="9" t="n">
        <v>7914.722905158997</v>
      </c>
      <c r="N25" s="9" t="n">
        <v>1213.858624458313</v>
      </c>
      <c r="O25" s="9" t="n">
        <v>0.0</v>
      </c>
      <c r="P25" s="9" t="n">
        <v>0.0</v>
      </c>
      <c r="Q25" s="9" t="n">
        <v>90.9265947341919</v>
      </c>
      <c r="R25" s="9" t="n">
        <v>6.696172714233398</v>
      </c>
      <c r="S25" s="9" t="n">
        <v>0.0</v>
      </c>
      <c r="T25" s="9" t="n">
        <v>0.0</v>
      </c>
      <c r="U25">
        <f si="1" t="shared"/>
        <v>8327.6325855255127</v>
      </c>
    </row>
    <row r="26" spans="1:21" x14ac:dyDescent="0.25">
      <c r="A26" s="12">
        <v>0.47916666666666669</v>
      </c>
      <c r="B26" s="6" t="n">
        <v>9016.025972146144</v>
      </c>
      <c r="C26" s="6" t="n">
        <v>727.8716372634965</v>
      </c>
      <c r="D26" s="6" t="n">
        <v>0.0</v>
      </c>
      <c r="E26" s="6" t="n">
        <v>20.83001869125366</v>
      </c>
      <c r="F26" s="6" t="n">
        <v>6.272042607994079</v>
      </c>
      <c r="G26" s="6" t="n">
        <v>0.0</v>
      </c>
      <c r="H26" s="6" t="n">
        <v>0.0</v>
      </c>
      <c r="I26" s="6" t="n">
        <v>0.0</v>
      </c>
      <c r="J26" s="6">
        <f si="0" t="shared"/>
        <v>9770.9996707088885</v>
      </c>
      <c r="L26" s="12">
        <v>0.47916666666666669</v>
      </c>
      <c r="M26" s="9" t="n">
        <v>8520.714047431946</v>
      </c>
      <c r="N26" s="9" t="n">
        <v>1314.7575416564941</v>
      </c>
      <c r="O26" s="9" t="n">
        <v>0.0</v>
      </c>
      <c r="P26" s="9" t="n">
        <v>0.0</v>
      </c>
      <c r="Q26" s="9" t="n">
        <v>98.55111598968506</v>
      </c>
      <c r="R26" s="9" t="n">
        <v>7.657637596130371</v>
      </c>
      <c r="S26" s="9" t="n">
        <v>0.0</v>
      </c>
      <c r="T26" s="9" t="n">
        <v>0.0</v>
      </c>
      <c r="U26">
        <f si="1" t="shared"/>
        <v>8719.3823566436768</v>
      </c>
    </row>
    <row r="27" spans="1:21" x14ac:dyDescent="0.25">
      <c r="A27" s="12">
        <v>0.5</v>
      </c>
      <c r="B27" s="6" t="n">
        <v>9200.565968250208</v>
      </c>
      <c r="C27" s="6" t="n">
        <v>728.0415135465213</v>
      </c>
      <c r="D27" s="6" t="n">
        <v>0.0</v>
      </c>
      <c r="E27" s="6" t="n">
        <v>20.709708244680403</v>
      </c>
      <c r="F27" s="6" t="n">
        <v>2.8502950843276973</v>
      </c>
      <c r="G27" s="6" t="n">
        <v>0.0</v>
      </c>
      <c r="H27" s="6" t="n">
        <v>0.0</v>
      </c>
      <c r="I27" s="6" t="n">
        <v>0.0</v>
      </c>
      <c r="J27" s="6">
        <f si="0" t="shared"/>
        <v>9952.1674851257376</v>
      </c>
      <c r="L27" s="12">
        <v>0.5</v>
      </c>
      <c r="M27" s="9" t="n">
        <v>8448.387048721313</v>
      </c>
      <c r="N27" s="9" t="n">
        <v>1319.7523527145386</v>
      </c>
      <c r="O27" s="9" t="n">
        <v>0.0</v>
      </c>
      <c r="P27" s="9" t="n">
        <v>0.0</v>
      </c>
      <c r="Q27" s="9" t="n">
        <v>98.74143695831299</v>
      </c>
      <c r="R27" s="9" t="n">
        <v>8.207590103149414</v>
      </c>
      <c r="S27" s="9" t="n">
        <v>0.0</v>
      </c>
      <c r="T27" s="9" t="n">
        <v>0.0</v>
      </c>
      <c r="U27">
        <f si="1" t="shared"/>
        <v>8568.5103492736816</v>
      </c>
    </row>
    <row r="28" spans="1:21" x14ac:dyDescent="0.25">
      <c r="A28" s="12">
        <v>0.52083333333333337</v>
      </c>
      <c r="B28" s="6" t="n">
        <v>8333.309145042418</v>
      </c>
      <c r="C28" s="6" t="n">
        <v>667.5583601231357</v>
      </c>
      <c r="D28" s="6" t="n">
        <v>0.0</v>
      </c>
      <c r="E28" s="6" t="n">
        <v>18.15263954699707</v>
      </c>
      <c r="F28" s="6" t="n">
        <v>1.0401138568468091</v>
      </c>
      <c r="G28" s="6" t="n">
        <v>0.0</v>
      </c>
      <c r="H28" s="6" t="n">
        <v>0.0</v>
      </c>
      <c r="I28" s="6" t="n">
        <v>0.0</v>
      </c>
      <c r="J28" s="6">
        <f si="0" t="shared"/>
        <v>9020.0602585693978</v>
      </c>
      <c r="L28" s="12">
        <v>0.52083333333333337</v>
      </c>
      <c r="M28" s="9" t="n">
        <v>7738.7372188568115</v>
      </c>
      <c r="N28" s="9" t="n">
        <v>1234.3204946517944</v>
      </c>
      <c r="O28" s="9" t="n">
        <v>0.0</v>
      </c>
      <c r="P28" s="9" t="n">
        <v>0.0</v>
      </c>
      <c r="Q28" s="9" t="n">
        <v>92.06348419189453</v>
      </c>
      <c r="R28" s="9" t="n">
        <v>8.266663551330566</v>
      </c>
      <c r="S28" s="9" t="n">
        <v>0.0</v>
      </c>
      <c r="T28" s="9" t="n">
        <v>0.0</v>
      </c>
      <c r="U28">
        <f si="1" t="shared"/>
        <v>7897.6320915222168</v>
      </c>
    </row>
    <row r="29" spans="1:21" x14ac:dyDescent="0.25">
      <c r="A29" s="12">
        <v>0.54166666666666663</v>
      </c>
      <c r="B29" s="6" t="n">
        <v>6795.535871101039</v>
      </c>
      <c r="C29" s="6" t="n">
        <v>569.8922710272856</v>
      </c>
      <c r="D29" s="6" t="n">
        <v>0.0</v>
      </c>
      <c r="E29" s="6" t="n">
        <v>13.922690552062988</v>
      </c>
      <c r="F29" s="6" t="n">
        <v>0.2974608991384506</v>
      </c>
      <c r="G29" s="6" t="n">
        <v>0.0</v>
      </c>
      <c r="H29" s="6" t="n">
        <v>0.0</v>
      </c>
      <c r="I29" s="6" t="n">
        <v>0.0</v>
      </c>
      <c r="J29" s="6">
        <f si="0" t="shared"/>
        <v>7379.6482935795257</v>
      </c>
      <c r="L29" s="12">
        <v>0.54166666666666663</v>
      </c>
      <c r="M29" s="9" t="n">
        <v>6605.099953651428</v>
      </c>
      <c r="N29" s="9" t="n">
        <v>1088.408374786377</v>
      </c>
      <c r="O29" s="9" t="n">
        <v>0.0</v>
      </c>
      <c r="P29" s="9" t="n">
        <v>0.0</v>
      </c>
      <c r="Q29" s="9" t="n">
        <v>80.9622049331665</v>
      </c>
      <c r="R29" s="9" t="n">
        <v>7.964263916015625</v>
      </c>
      <c r="S29" s="9" t="n">
        <v>0.0</v>
      </c>
      <c r="T29" s="9" t="n">
        <v>0.0</v>
      </c>
      <c r="U29">
        <f si="1" t="shared"/>
        <v>6898.137261390686</v>
      </c>
    </row>
    <row r="30" spans="1:21" x14ac:dyDescent="0.25">
      <c r="A30" s="12">
        <v>0.5625</v>
      </c>
      <c r="B30" s="6" t="n">
        <v>5106.319993371695</v>
      </c>
      <c r="C30" s="6" t="n">
        <v>461.2808643445711</v>
      </c>
      <c r="D30" s="6" t="n">
        <v>0.0</v>
      </c>
      <c r="E30" s="6" t="n">
        <v>9.222954220436097</v>
      </c>
      <c r="F30" s="6" t="n">
        <v>0.06422354622840881</v>
      </c>
      <c r="G30" s="6" t="n">
        <v>0.0</v>
      </c>
      <c r="H30" s="6" t="n">
        <v>0.0</v>
      </c>
      <c r="I30" s="6" t="n">
        <v>0.0</v>
      </c>
      <c r="J30" s="6">
        <f si="0" t="shared"/>
        <v>5576.8880354829307</v>
      </c>
      <c r="L30" s="12">
        <v>0.5625</v>
      </c>
      <c r="M30" s="9" t="n">
        <v>5342.06711101532</v>
      </c>
      <c r="N30" s="9" t="n">
        <v>923.2305574417114</v>
      </c>
      <c r="O30" s="9" t="n">
        <v>0.0</v>
      </c>
      <c r="P30" s="9" t="n">
        <v>0.0</v>
      </c>
      <c r="Q30" s="9" t="n">
        <v>68.61748790740967</v>
      </c>
      <c r="R30" s="9" t="n">
        <v>7.5769548416137695</v>
      </c>
      <c r="S30" s="9" t="n">
        <v>0.0</v>
      </c>
      <c r="T30" s="9" t="n">
        <v>0.0</v>
      </c>
      <c r="U30">
        <f si="1" t="shared"/>
        <v>5840.4523963928223</v>
      </c>
    </row>
    <row r="31" spans="1:21" x14ac:dyDescent="0.25">
      <c r="A31" s="12">
        <v>0.58333333333333337</v>
      </c>
      <c r="B31" s="6" t="n">
        <v>3645.094429184526</v>
      </c>
      <c r="C31" s="6" t="n">
        <v>360.6159011000318</v>
      </c>
      <c r="D31" s="6" t="n">
        <v>0.0</v>
      </c>
      <c r="E31" s="6" t="n">
        <v>5.18941378373623</v>
      </c>
      <c r="F31" s="6" t="n">
        <v>0.009843895330429077</v>
      </c>
      <c r="G31" s="6" t="n">
        <v>0.0</v>
      </c>
      <c r="H31" s="6" t="n">
        <v>0.0</v>
      </c>
      <c r="I31" s="6" t="n">
        <v>0.0</v>
      </c>
      <c r="J31" s="6">
        <f si="0" t="shared"/>
        <v>4010.9095879636243</v>
      </c>
      <c r="L31" s="12">
        <v>0.58333333333333337</v>
      </c>
      <c r="M31" s="9" t="n">
        <v>4183.670603752136</v>
      </c>
      <c r="N31" s="9" t="n">
        <v>770.0514402389526</v>
      </c>
      <c r="O31" s="9" t="n">
        <v>0.0</v>
      </c>
      <c r="P31" s="9" t="n">
        <v>0.0</v>
      </c>
      <c r="Q31" s="9" t="n">
        <v>57.29693603515625</v>
      </c>
      <c r="R31" s="9" t="n">
        <v>7.317023277282715</v>
      </c>
      <c r="S31" s="9" t="n">
        <v>0.0</v>
      </c>
      <c r="T31" s="9" t="n">
        <v>0.0</v>
      </c>
      <c r="U31">
        <f si="1" t="shared"/>
        <v>4924.2988634109497</v>
      </c>
    </row>
    <row r="32" spans="1:21" x14ac:dyDescent="0.25">
      <c r="A32" s="12">
        <v>0.60416666666666663</v>
      </c>
      <c r="B32" s="6" t="n">
        <v>2548.679444048149</v>
      </c>
      <c r="C32" s="6" t="n">
        <v>275.61431689183996</v>
      </c>
      <c r="D32" s="6" t="n">
        <v>0.0</v>
      </c>
      <c r="E32" s="6" t="n">
        <v>2.4319522724876403</v>
      </c>
      <c r="F32" s="6" t="n">
        <v>9.547230730056765E-4</v>
      </c>
      <c r="G32" s="6" t="n">
        <v>0.0</v>
      </c>
      <c r="H32" s="6" t="n">
        <v>0.0</v>
      </c>
      <c r="I32" s="6" t="n">
        <v>0.0</v>
      </c>
      <c r="J32" s="6">
        <f si="0" t="shared"/>
        <v>2826.7266679355494</v>
      </c>
      <c r="L32" s="12">
        <v>0.60416666666666663</v>
      </c>
      <c r="M32" s="9" t="n">
        <v>3219.9933738708496</v>
      </c>
      <c r="N32" s="9" t="n">
        <v>638.0354442596436</v>
      </c>
      <c r="O32" s="9" t="n">
        <v>0.0</v>
      </c>
      <c r="P32" s="9" t="n">
        <v>0.0</v>
      </c>
      <c r="Q32" s="9" t="n">
        <v>47.524596214294434</v>
      </c>
      <c r="R32" s="9" t="n">
        <v>7.163418769836426</v>
      </c>
      <c r="S32" s="9" t="n">
        <v>0.0</v>
      </c>
      <c r="T32" s="9" t="n">
        <v>0.0</v>
      </c>
      <c r="U32">
        <f si="1" t="shared"/>
        <v>4190.6299238204956</v>
      </c>
    </row>
    <row r="33" spans="1:21" x14ac:dyDescent="0.25">
      <c r="A33" s="12">
        <v>0.625</v>
      </c>
      <c r="B33" s="6" t="n">
        <v>1779.428829489275</v>
      </c>
      <c r="C33" s="6" t="n">
        <v>205.14438897977638</v>
      </c>
      <c r="D33" s="6" t="n">
        <v>0.0</v>
      </c>
      <c r="E33" s="6" t="n">
        <v>0.927472245862961</v>
      </c>
      <c r="F33" s="6" t="n">
        <v>4.405031490325928E-5</v>
      </c>
      <c r="G33" s="6" t="n">
        <v>0.0</v>
      </c>
      <c r="H33" s="6" t="n">
        <v>0.0</v>
      </c>
      <c r="I33" s="6" t="n">
        <v>0.0</v>
      </c>
      <c r="J33" s="6">
        <f si="0" t="shared"/>
        <v>1985.500734765229</v>
      </c>
      <c r="L33" s="12">
        <v>0.625</v>
      </c>
      <c r="M33" s="9" t="n">
        <v>2427.973879814148</v>
      </c>
      <c r="N33" s="9" t="n">
        <v>520.3937644958496</v>
      </c>
      <c r="O33" s="9" t="n">
        <v>0.0</v>
      </c>
      <c r="P33" s="9" t="n">
        <v>0.0</v>
      </c>
      <c r="Q33" s="9" t="n">
        <v>38.69875240325928</v>
      </c>
      <c r="R33" s="9" t="n">
        <v>6.907865524291992</v>
      </c>
      <c r="S33" s="9" t="n">
        <v>0.0</v>
      </c>
      <c r="T33" s="9" t="n">
        <v>0.0</v>
      </c>
      <c r="U33">
        <f si="1" t="shared"/>
        <v>3562.3852453231812</v>
      </c>
    </row>
    <row r="34" spans="1:21" x14ac:dyDescent="0.25">
      <c r="A34" s="12">
        <v>0.64583333333333337</v>
      </c>
      <c r="B34" s="6" t="n">
        <v>1243.1832174065416</v>
      </c>
      <c r="C34" s="6" t="n">
        <v>145.36736118210507</v>
      </c>
      <c r="D34" s="6" t="n">
        <v>0.0</v>
      </c>
      <c r="E34" s="6" t="n">
        <v>0.2795069790267944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1388.8300855676734</v>
      </c>
      <c r="L34" s="12">
        <v>0.64583333333333337</v>
      </c>
      <c r="M34" s="9" t="n">
        <v>1761.572943687439</v>
      </c>
      <c r="N34" s="9" t="n">
        <v>410.0226230621338</v>
      </c>
      <c r="O34" s="9" t="n">
        <v>0.0</v>
      </c>
      <c r="P34" s="9" t="n">
        <v>0.0</v>
      </c>
      <c r="Q34" s="9" t="n">
        <v>30.3687744140625</v>
      </c>
      <c r="R34" s="9" t="n">
        <v>6.369837760925293</v>
      </c>
      <c r="S34" s="9" t="n">
        <v>0.0</v>
      </c>
      <c r="T34" s="9" t="n">
        <v>0.0</v>
      </c>
      <c r="U34">
        <f si="1" t="shared"/>
        <v>2958.7749137878418</v>
      </c>
    </row>
    <row r="35" spans="1:21" x14ac:dyDescent="0.25">
      <c r="A35" s="12">
        <v>0.66666666666666663</v>
      </c>
      <c r="B35" s="6" t="n">
        <v>863.0672767464762</v>
      </c>
      <c r="C35" s="6" t="n">
        <v>94.88677652893733</v>
      </c>
      <c r="D35" s="6" t="n">
        <v>0.0</v>
      </c>
      <c r="E35" s="6" t="n">
        <v>0.06389490294170377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958.01794817835525</v>
      </c>
      <c r="L35" s="12">
        <v>0.66666666666666663</v>
      </c>
      <c r="M35" s="9" t="n">
        <v>1209.4459285736084</v>
      </c>
      <c r="N35" s="9" t="n">
        <v>308.9309787750244</v>
      </c>
      <c r="O35" s="9" t="n">
        <v>0.0</v>
      </c>
      <c r="P35" s="9" t="n">
        <v>0.0</v>
      </c>
      <c r="Q35" s="9" t="n">
        <v>22.88949966430664</v>
      </c>
      <c r="R35" s="9" t="n">
        <v>5.567178726196289</v>
      </c>
      <c r="S35" s="9" t="n">
        <v>0.0</v>
      </c>
      <c r="T35" s="9" t="n">
        <v>0.0</v>
      </c>
      <c r="U35">
        <f si="1" t="shared"/>
        <v>2372.6196966171265</v>
      </c>
    </row>
    <row r="36" spans="1:21" x14ac:dyDescent="0.25">
      <c r="A36" s="12">
        <v>0.6875</v>
      </c>
      <c r="B36" s="6" t="n">
        <v>594.7995158631019</v>
      </c>
      <c r="C36" s="6" t="n">
        <v>55.23664032830906</v>
      </c>
      <c r="D36" s="6" t="n">
        <v>0.0</v>
      </c>
      <c r="E36" s="6" t="n">
        <v>0.010394674644470213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650.04655086605533</v>
      </c>
      <c r="L36" s="12">
        <v>0.6875</v>
      </c>
      <c r="M36" s="9" t="n">
        <v>787.8139095306396</v>
      </c>
      <c r="N36" s="9" t="n">
        <v>225.39232063293457</v>
      </c>
      <c r="O36" s="9" t="n">
        <v>0.0</v>
      </c>
      <c r="P36" s="9" t="n">
        <v>0.0</v>
      </c>
      <c r="Q36" s="9" t="n">
        <v>17.037975311279297</v>
      </c>
      <c r="R36" s="9" t="n">
        <v>4.690512657165527</v>
      </c>
      <c r="S36" s="9" t="n">
        <v>0.0</v>
      </c>
      <c r="T36" s="9" t="n">
        <v>0.0</v>
      </c>
      <c r="U36">
        <f si="1" t="shared"/>
        <v>1857.8146104812622</v>
      </c>
    </row>
    <row r="37" spans="1:21" x14ac:dyDescent="0.25">
      <c r="A37" s="12">
        <v>0.70833333333333337</v>
      </c>
      <c r="B37" s="6" t="n">
        <v>412.6947276813888</v>
      </c>
      <c r="C37" s="6" t="n">
        <v>27.90973928873253</v>
      </c>
      <c r="D37" s="6" t="n">
        <v>0.0</v>
      </c>
      <c r="E37" s="6" t="n">
        <v>0.001071074375152588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440.60553804449648</v>
      </c>
      <c r="L37" s="12">
        <v>0.70833333333333337</v>
      </c>
      <c r="M37" s="9" t="n">
        <v>504.22847175598145</v>
      </c>
      <c r="N37" s="9" t="n">
        <v>165.26097202301025</v>
      </c>
      <c r="O37" s="9" t="n">
        <v>0.0</v>
      </c>
      <c r="P37" s="9" t="n">
        <v>0.0</v>
      </c>
      <c r="Q37" s="9" t="n">
        <v>13.227889060974121</v>
      </c>
      <c r="R37" s="9" t="n">
        <v>3.9327545166015625</v>
      </c>
      <c r="S37" s="9" t="n">
        <v>0.0</v>
      </c>
      <c r="T37" s="9" t="n">
        <v>0.0</v>
      </c>
      <c r="U37">
        <f si="1" t="shared"/>
        <v>1465.0498313903809</v>
      </c>
    </row>
    <row r="38" spans="1:21" x14ac:dyDescent="0.25">
      <c r="A38" s="12">
        <v>0.72916666666666663</v>
      </c>
      <c r="B38" s="6" t="n">
        <v>294.6731667700624</v>
      </c>
      <c r="C38" s="6" t="n">
        <v>11.958116690588</v>
      </c>
      <c r="D38" s="6" t="n">
        <v>0.0</v>
      </c>
      <c r="E38" s="6" t="n">
        <v>5.250863265991211E-5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306.63133596928304</v>
      </c>
      <c r="L38" s="12">
        <v>0.72916666666666663</v>
      </c>
      <c r="M38" s="9" t="n">
        <v>337.62126445770264</v>
      </c>
      <c r="N38" s="9" t="n">
        <v>126.78271007537842</v>
      </c>
      <c r="O38" s="9" t="n">
        <v>0.0</v>
      </c>
      <c r="P38" s="9" t="n">
        <v>0.0</v>
      </c>
      <c r="Q38" s="9" t="n">
        <v>11.124671936035156</v>
      </c>
      <c r="R38" s="9" t="n">
        <v>3.3514223098754883</v>
      </c>
      <c r="S38" s="9" t="n">
        <v>0.0</v>
      </c>
      <c r="T38" s="9" t="n">
        <v>0.0</v>
      </c>
      <c r="U38">
        <f si="1" t="shared"/>
        <v>1196.4120979309082</v>
      </c>
    </row>
    <row r="39" spans="1:21" x14ac:dyDescent="0.25">
      <c r="A39" s="12">
        <v>0.75</v>
      </c>
      <c r="B39" s="6" t="n">
        <v>217.74620311691854</v>
      </c>
      <c r="C39" s="6" t="n">
        <v>4.243172596247674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221.9893757131662</v>
      </c>
      <c r="L39" s="12">
        <v>0.75</v>
      </c>
      <c r="M39" s="9" t="n">
        <v>247.139554977417</v>
      </c>
      <c r="N39" s="9" t="n">
        <v>102.32627582550049</v>
      </c>
      <c r="O39" s="9" t="n">
        <v>0.0</v>
      </c>
      <c r="P39" s="9" t="n">
        <v>0.0</v>
      </c>
      <c r="Q39" s="9" t="n">
        <v>9.89311408996582</v>
      </c>
      <c r="R39" s="9" t="n">
        <v>2.878483772277832</v>
      </c>
      <c r="S39" s="9" t="n">
        <v>0.0</v>
      </c>
      <c r="T39" s="9" t="n">
        <v>0.0</v>
      </c>
      <c r="U39">
        <f si="1" t="shared"/>
        <v>1011.9043464660645</v>
      </c>
    </row>
    <row r="40" spans="1:21" x14ac:dyDescent="0.25">
      <c r="A40" s="12">
        <v>0.77083333333333337</v>
      </c>
      <c r="B40" s="6" t="n">
        <v>161.96313319814965</v>
      </c>
      <c r="C40" s="6" t="n">
        <v>1.2113299408397675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163.17446313898941</v>
      </c>
      <c r="L40" s="12">
        <v>0.77083333333333337</v>
      </c>
      <c r="M40" s="9" t="n">
        <v>193.5771360397339</v>
      </c>
      <c r="N40" s="9" t="n">
        <v>83.86782169342041</v>
      </c>
      <c r="O40" s="9" t="n">
        <v>0.0</v>
      </c>
      <c r="P40" s="9" t="n">
        <v>0.0</v>
      </c>
      <c r="Q40" s="9" t="n">
        <v>8.747809410095215</v>
      </c>
      <c r="R40" s="9" t="n">
        <v>2.431290626525879</v>
      </c>
      <c r="S40" s="9" t="n">
        <v>0.0</v>
      </c>
      <c r="T40" s="9" t="n">
        <v>0.0</v>
      </c>
      <c r="U40">
        <f si="1" t="shared"/>
        <v>867.31684494018555</v>
      </c>
    </row>
    <row r="41" spans="1:21" x14ac:dyDescent="0.25">
      <c r="A41" s="12">
        <v>0.79166666666666663</v>
      </c>
      <c r="B41" s="6" t="n">
        <v>115.55305362494659</v>
      </c>
      <c r="C41" s="6" t="n">
        <v>0.26705523107528684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115.82010885602187</v>
      </c>
      <c r="L41" s="12">
        <v>0.79166666666666663</v>
      </c>
      <c r="M41" s="9" t="n">
        <v>153.67953395843506</v>
      </c>
      <c r="N41" s="9" t="n">
        <v>67.16627025604248</v>
      </c>
      <c r="O41" s="9" t="n">
        <v>0.0</v>
      </c>
      <c r="P41" s="9" t="n">
        <v>0.0</v>
      </c>
      <c r="Q41" s="9" t="n">
        <v>7.342746734619141</v>
      </c>
      <c r="R41" s="9" t="n">
        <v>1.995656967163086</v>
      </c>
      <c r="S41" s="9" t="n">
        <v>0.0</v>
      </c>
      <c r="T41" s="9" t="n">
        <v>0.0</v>
      </c>
      <c r="U41">
        <f si="1" t="shared"/>
        <v>743.05043792724609</v>
      </c>
    </row>
    <row r="42" spans="1:21" x14ac:dyDescent="0.25">
      <c r="A42" s="12">
        <v>0.8125</v>
      </c>
      <c r="B42" s="6" t="n">
        <v>75.68493826189327</v>
      </c>
      <c r="C42" s="6" t="n">
        <v>0.042618467438697814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75.727556729331965</v>
      </c>
      <c r="L42" s="12">
        <v>0.8125</v>
      </c>
      <c r="M42" s="9" t="n">
        <v>120.31827163696289</v>
      </c>
      <c r="N42" s="9" t="n">
        <v>52.07862091064453</v>
      </c>
      <c r="O42" s="9" t="n">
        <v>0.0</v>
      </c>
      <c r="P42" s="9" t="n">
        <v>0.0</v>
      </c>
      <c r="Q42" s="9" t="n">
        <v>5.7709503173828125</v>
      </c>
      <c r="R42" s="9" t="n">
        <v>1.6138572692871094</v>
      </c>
      <c r="S42" s="9" t="n">
        <v>0.0</v>
      </c>
      <c r="T42" s="9" t="n">
        <v>0.0</v>
      </c>
      <c r="U42">
        <f si="1" t="shared"/>
        <v>642.74555683135986</v>
      </c>
    </row>
    <row r="43" spans="1:21" x14ac:dyDescent="0.25">
      <c r="A43" s="12">
        <v>0.83333333333333337</v>
      </c>
      <c r="B43" s="6" t="n">
        <v>44.43460412724018</v>
      </c>
      <c r="C43" s="6" t="n">
        <v>0.004374182096481324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44.438978309336662</v>
      </c>
      <c r="L43" s="12">
        <v>0.83333333333333337</v>
      </c>
      <c r="M43" s="9" t="n">
        <v>94.03974056243896</v>
      </c>
      <c r="N43" s="9" t="n">
        <v>40.06251811981201</v>
      </c>
      <c r="O43" s="9" t="n">
        <v>0.0</v>
      </c>
      <c r="P43" s="9" t="n">
        <v>0.0</v>
      </c>
      <c r="Q43" s="9" t="n">
        <v>4.288926124572754</v>
      </c>
      <c r="R43" s="9" t="n">
        <v>1.319666862487793</v>
      </c>
      <c r="S43" s="9" t="n">
        <v>0.0</v>
      </c>
      <c r="T43" s="9" t="n">
        <v>0.0</v>
      </c>
      <c r="U43">
        <f si="1" t="shared"/>
        <v>571.60866260528564</v>
      </c>
    </row>
    <row r="44" spans="1:21" x14ac:dyDescent="0.25">
      <c r="A44" s="12">
        <v>0.85416666666666663</v>
      </c>
      <c r="B44" s="6" t="n">
        <v>23.650368382703782</v>
      </c>
      <c r="C44" s="6" t="n">
        <v>2.1640527439117433E-4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23.650584787978172</v>
      </c>
      <c r="L44" s="12">
        <v>0.85416666666666663</v>
      </c>
      <c r="M44" s="9" t="n">
        <v>75.12745380401611</v>
      </c>
      <c r="N44" s="9" t="n">
        <v>31.650114059448242</v>
      </c>
      <c r="O44" s="9" t="n">
        <v>0.0</v>
      </c>
      <c r="P44" s="9" t="n">
        <v>0.0</v>
      </c>
      <c r="Q44" s="9" t="n">
        <v>3.0589513778686523</v>
      </c>
      <c r="R44" s="9" t="n">
        <v>1.0989265441894531</v>
      </c>
      <c r="S44" s="9" t="n">
        <v>0.0</v>
      </c>
      <c r="T44" s="9" t="n">
        <v>0.0</v>
      </c>
      <c r="U44">
        <f si="1" t="shared"/>
        <v>519.3269567489624</v>
      </c>
    </row>
    <row r="45" spans="1:21" x14ac:dyDescent="0.25">
      <c r="A45" s="12">
        <v>0.875</v>
      </c>
      <c r="B45" s="6" t="n">
        <v>12.382706525850297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12.382706525850297</v>
      </c>
      <c r="L45" s="12">
        <v>0.875</v>
      </c>
      <c r="M45" s="9" t="n">
        <v>61.142701148986816</v>
      </c>
      <c r="N45" s="9" t="n">
        <v>25.79503059387207</v>
      </c>
      <c r="O45" s="9" t="n">
        <v>0.0</v>
      </c>
      <c r="P45" s="9" t="n">
        <v>0.0</v>
      </c>
      <c r="Q45" s="9" t="n">
        <v>2.092850685119629</v>
      </c>
      <c r="R45" s="9" t="n">
        <v>0.9056158065795898</v>
      </c>
      <c r="S45" s="9" t="n">
        <v>0.0</v>
      </c>
      <c r="T45" s="9" t="n">
        <v>0.0</v>
      </c>
      <c r="U45">
        <f si="1" t="shared"/>
        <v>463.17292404174805</v>
      </c>
    </row>
    <row r="46" spans="1:21" x14ac:dyDescent="0.25">
      <c r="A46" s="12">
        <v>0.89583333333333337</v>
      </c>
      <c r="B46" s="6" t="n">
        <v>7.489209984874726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7.4892099848747256</v>
      </c>
      <c r="L46" s="12">
        <v>0.89583333333333337</v>
      </c>
      <c r="M46" s="9" t="n">
        <v>48.87330150604248</v>
      </c>
      <c r="N46" s="9" t="n">
        <v>20.899781227111816</v>
      </c>
      <c r="O46" s="9" t="n">
        <v>0.0</v>
      </c>
      <c r="P46" s="9" t="n">
        <v>0.0</v>
      </c>
      <c r="Q46" s="9" t="n">
        <v>1.3424253463745117</v>
      </c>
      <c r="R46" s="9" t="n">
        <v>0.7040672302246094</v>
      </c>
      <c r="S46" s="9" t="n">
        <v>0.0</v>
      </c>
      <c r="T46" s="9" t="n">
        <v>0.0</v>
      </c>
      <c r="U46">
        <f si="1" t="shared"/>
        <v>385.65874862670898</v>
      </c>
    </row>
    <row r="47" spans="1:21" x14ac:dyDescent="0.25">
      <c r="A47" s="12">
        <v>0.91666666666666663</v>
      </c>
      <c r="B47" s="6" t="n">
        <v>5.57802946044159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5.5780294604415896</v>
      </c>
      <c r="L47" s="12">
        <v>0.91666666666666663</v>
      </c>
      <c r="M47" s="9" t="n">
        <v>36.7949743270874</v>
      </c>
      <c r="N47" s="9" t="n">
        <v>16.04971218109131</v>
      </c>
      <c r="O47" s="9" t="n">
        <v>0.0</v>
      </c>
      <c r="P47" s="9" t="n">
        <v>0.0</v>
      </c>
      <c r="Q47" s="9" t="n">
        <v>0.7792205810546875</v>
      </c>
      <c r="R47" s="9" t="n">
        <v>0.4941520690917969</v>
      </c>
      <c r="S47" s="9" t="n">
        <v>0.0</v>
      </c>
      <c r="T47" s="9" t="n">
        <v>0.0</v>
      </c>
      <c r="U47">
        <f si="1" t="shared"/>
        <v>288.25366497039795</v>
      </c>
    </row>
    <row r="48" spans="1:21" x14ac:dyDescent="0.25">
      <c r="A48" s="12">
        <v>0.9375</v>
      </c>
      <c r="B48" s="6" t="n">
        <v>4.414969352923393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4.4149693529233929</v>
      </c>
      <c r="L48" s="12">
        <v>0.9375</v>
      </c>
      <c r="M48" s="9" t="n">
        <v>25.47213077545166</v>
      </c>
      <c r="N48" s="9" t="n">
        <v>11.333610534667969</v>
      </c>
      <c r="O48" s="9" t="n">
        <v>0.0</v>
      </c>
      <c r="P48" s="9" t="n">
        <v>0.0</v>
      </c>
      <c r="Q48" s="9" t="n">
        <v>0.3952655792236328</v>
      </c>
      <c r="R48" s="9" t="n">
        <v>0.30297088623046875</v>
      </c>
      <c r="S48" s="9" t="n">
        <v>0.0</v>
      </c>
      <c r="T48" s="9" t="n">
        <v>0.0</v>
      </c>
      <c r="U48">
        <f si="1" t="shared"/>
        <v>188.82060241699219</v>
      </c>
    </row>
    <row r="49" spans="1:21" x14ac:dyDescent="0.25">
      <c r="A49" s="12">
        <v>0.95833333333333337</v>
      </c>
      <c r="B49" s="6" t="n">
        <v>3.1789717867984773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3.1789717867984773</v>
      </c>
      <c r="L49" s="12">
        <v>0.95833333333333337</v>
      </c>
      <c r="M49" s="9" t="n">
        <v>16.19429302215576</v>
      </c>
      <c r="N49" s="9" t="n">
        <v>7.303691864013672</v>
      </c>
      <c r="O49" s="9" t="n">
        <v>0.0</v>
      </c>
      <c r="P49" s="9" t="n">
        <v>0.0</v>
      </c>
      <c r="Q49" s="9" t="n">
        <v>0.17004966735839844</v>
      </c>
      <c r="R49" s="9" t="n">
        <v>0.1582651138305664</v>
      </c>
      <c r="S49" s="9" t="n">
        <v>0.0</v>
      </c>
      <c r="T49" s="9" t="n">
        <v>0.0</v>
      </c>
      <c r="U49">
        <f si="1" t="shared"/>
        <v>107.17146015167236</v>
      </c>
    </row>
    <row r="50" spans="1:21" x14ac:dyDescent="0.25">
      <c r="A50" s="12">
        <v>0.97916666666666663</v>
      </c>
      <c r="B50" s="6" t="n">
        <v>1.935217821537018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1.9352178215370179</v>
      </c>
      <c r="L50" s="12">
        <v>0.97916666666666663</v>
      </c>
      <c r="M50" s="9" t="n">
        <v>9.60414981842041</v>
      </c>
      <c r="N50" s="9" t="n">
        <v>4.330164909362793</v>
      </c>
      <c r="O50" s="9" t="n">
        <v>0.0</v>
      </c>
      <c r="P50" s="9" t="n">
        <v>0.0</v>
      </c>
      <c r="Q50" s="9" t="n">
        <v>0.06036090850830078</v>
      </c>
      <c r="R50" s="9" t="n">
        <v>0.06889533996582031</v>
      </c>
      <c r="S50" s="9" t="n">
        <v>0.0</v>
      </c>
      <c r="T50" s="9" t="n">
        <v>0.0</v>
      </c>
      <c r="U50">
        <f si="1" t="shared"/>
        <v>52.714303016662598</v>
      </c>
    </row>
    <row r="51" spans="1:21" x14ac:dyDescent="0.25">
      <c r="A51" s="12">
        <v>1</v>
      </c>
      <c r="B51" s="6" t="n">
        <v>0.9651064297132492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0.96510642971324923</v>
      </c>
      <c r="L51" s="12">
        <v>1</v>
      </c>
      <c r="M51" s="9" t="n">
        <v>5.4071149826049805</v>
      </c>
      <c r="N51" s="9" t="n">
        <v>2.3882007598876953</v>
      </c>
      <c r="O51" s="9" t="n">
        <v>0.0</v>
      </c>
      <c r="P51" s="9" t="n">
        <v>0.0</v>
      </c>
      <c r="Q51" s="9" t="n">
        <v>0.017144203186035156</v>
      </c>
      <c r="R51" s="9" t="n">
        <v>0.024408340454101562</v>
      </c>
      <c r="S51" s="9" t="n">
        <v>0.0</v>
      </c>
      <c r="T51" s="9" t="n">
        <v>0.0</v>
      </c>
      <c r="U51">
        <f si="1" t="shared"/>
        <v>22.795332908630371</v>
      </c>
    </row>
    <row r="52" spans="1:21" x14ac:dyDescent="0.25">
      <c r="A52" s="12">
        <v>1.0208333333333333</v>
      </c>
      <c r="B52" s="6" t="n">
        <v>0.38584500418663026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0.38584500418663026</v>
      </c>
      <c r="L52" s="12">
        <v>1.0208333333333333</v>
      </c>
      <c r="M52" s="9" t="n">
        <v>2.8868560791015625</v>
      </c>
      <c r="N52" s="9" t="n">
        <v>1.2237663269042969</v>
      </c>
      <c r="O52" s="9" t="n">
        <v>0.0</v>
      </c>
      <c r="P52" s="9" t="n">
        <v>0.0</v>
      </c>
      <c r="Q52" s="9" t="n">
        <v>0.0037393569946289062</v>
      </c>
      <c r="R52" s="9" t="n">
        <v>0.0068340301513671875</v>
      </c>
      <c r="S52" s="9" t="n">
        <v>0.0</v>
      </c>
      <c r="T52" s="9" t="n">
        <v>0.0</v>
      </c>
      <c r="U52">
        <f si="1" t="shared"/>
        <v>8.9389925003051758</v>
      </c>
    </row>
    <row r="53" spans="1:21" x14ac:dyDescent="0.25">
      <c r="A53" s="12">
        <v>4.1666666666666664E-2</v>
      </c>
      <c r="B53" s="6" t="n">
        <v>0.12056878718376161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0.12056878718376161</v>
      </c>
      <c r="L53" s="12">
        <v>4.1666666666666664E-2</v>
      </c>
      <c r="M53" s="9" t="n">
        <v>1.420304298400879</v>
      </c>
      <c r="N53" s="9" t="n">
        <v>0.5699729919433594</v>
      </c>
      <c r="O53" s="9" t="n">
        <v>0.0</v>
      </c>
      <c r="P53" s="9" t="n">
        <v>0.0</v>
      </c>
      <c r="Q53" s="9" t="n">
        <v>5.8746337890625E-4</v>
      </c>
      <c r="R53" s="9" t="n">
        <v>0.0014514923095703125</v>
      </c>
      <c r="S53" s="9" t="n">
        <v>0.0</v>
      </c>
      <c r="T53" s="9" t="n">
        <v>0.0</v>
      </c>
      <c r="U53">
        <f si="1" t="shared"/>
        <v>3.29736328125</v>
      </c>
    </row>
    <row r="54" spans="1:21" x14ac:dyDescent="0.25">
      <c r="A54" s="12">
        <v>6.25E-2</v>
      </c>
      <c r="B54" s="6" t="n">
        <v>0.028369126396179202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2.8369126396179202E-2</v>
      </c>
      <c r="L54" s="12">
        <v>6.25E-2</v>
      </c>
      <c r="M54" s="9" t="n">
        <v>0.6153707504272461</v>
      </c>
      <c r="N54" s="9" t="n">
        <v>0.23238182067871094</v>
      </c>
      <c r="O54" s="9" t="n">
        <v>0.0</v>
      </c>
      <c r="P54" s="9" t="n">
        <v>0.0</v>
      </c>
      <c r="Q54" s="9" t="n">
        <v>5.91278076171875E-5</v>
      </c>
      <c r="R54" s="9" t="n">
        <v>2.193450927734375E-4</v>
      </c>
      <c r="S54" s="9" t="n">
        <v>0.0</v>
      </c>
      <c r="T54" s="9" t="n">
        <v>0.0</v>
      </c>
      <c r="U54">
        <f si="1" t="shared"/>
        <v>1.1555156707763672</v>
      </c>
    </row>
    <row r="55" spans="1:21" x14ac:dyDescent="0.25">
      <c r="A55" s="12">
        <v>8.3333333333333329E-2</v>
      </c>
      <c r="B55" s="6" t="n">
        <v>0.004728187732696534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4.7281877326965337E-3</v>
      </c>
      <c r="L55" s="12">
        <v>8.3333333333333329E-2</v>
      </c>
      <c r="M55" s="9" t="n">
        <v>0.2239551544189453</v>
      </c>
      <c r="N55" s="9" t="n">
        <v>0.07943344116210938</v>
      </c>
      <c r="O55" s="9" t="n">
        <v>0.0</v>
      </c>
      <c r="P55" s="9" t="n">
        <v>0.0</v>
      </c>
      <c r="Q55" s="9" t="n">
        <v>2.86102294921875E-6</v>
      </c>
      <c r="R55" s="9" t="n">
        <v>2.09808349609375E-5</v>
      </c>
      <c r="S55" s="9" t="n">
        <v>0.0</v>
      </c>
      <c r="T55" s="9" t="n">
        <v>0.0</v>
      </c>
      <c r="U55">
        <f si="1" t="shared"/>
        <v>0.36959552764892578</v>
      </c>
    </row>
    <row r="56" spans="1:21" x14ac:dyDescent="0.25">
      <c r="A56" s="12">
        <v>0.10416666666666667</v>
      </c>
      <c r="B56" s="6" t="n">
        <v>4.97703971862793E-4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4.9770397186279299E-4</v>
      </c>
      <c r="L56" s="12">
        <v>0.10416666666666667</v>
      </c>
      <c r="M56" s="9" t="n">
        <v>0.0654287338256836</v>
      </c>
      <c r="N56" s="9" t="n">
        <v>0.02177143096923828</v>
      </c>
      <c r="O56" s="9" t="n">
        <v>0.0</v>
      </c>
      <c r="P56" s="9" t="n">
        <v>0.0</v>
      </c>
      <c r="Q56" s="9" t="n">
        <v>0.0</v>
      </c>
      <c r="R56" s="9" t="n">
        <v>9.5367431640625E-7</v>
      </c>
      <c r="S56" s="9" t="n">
        <v>0.0</v>
      </c>
      <c r="T56" s="9" t="n">
        <v>0.0</v>
      </c>
      <c r="U56">
        <f si="1" t="shared"/>
        <v>0.10036849975585938</v>
      </c>
    </row>
    <row r="57" spans="1:21" x14ac:dyDescent="0.25">
      <c r="A57" s="12">
        <v>0.125</v>
      </c>
      <c r="B57" s="6" t="n">
        <v>2.4885198593139647E-5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2.4885198593139647E-5</v>
      </c>
      <c r="L57" s="12">
        <v>0.125</v>
      </c>
      <c r="M57" s="9" t="n">
        <v>0.014379501342773438</v>
      </c>
      <c r="N57" s="9" t="n">
        <v>0.004488945007324219</v>
      </c>
      <c r="O57" s="9" t="n">
        <v>0.0</v>
      </c>
      <c r="P57" s="9" t="n">
        <v>0.0</v>
      </c>
      <c r="Q57" s="9" t="n">
        <v>0.0</v>
      </c>
      <c r="R57" s="9" t="n">
        <v>0.0</v>
      </c>
      <c r="S57" s="9" t="n">
        <v>0.0</v>
      </c>
      <c r="T57" s="9" t="n">
        <v>0.0</v>
      </c>
      <c r="U57">
        <f si="1" t="shared"/>
        <v>2.1093368530273438E-2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B1"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4040.3457430000003</v>
      </c>
      <c r="C8" s="6" t="n">
        <v>830.993592</v>
      </c>
      <c r="D8" s="6" t="n">
        <v>34.524483</v>
      </c>
      <c r="E8" s="6" t="n">
        <v>154.138983</v>
      </c>
      <c r="F8" s="6" t="n">
        <v>320.526543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4546.0</v>
      </c>
      <c r="N8" s="9" t="n">
        <v>396.0</v>
      </c>
      <c r="O8" s="9" t="n">
        <v>0.0</v>
      </c>
      <c r="P8" s="9" t="n">
        <v>0.0</v>
      </c>
      <c r="Q8" s="9" t="n">
        <v>231.0</v>
      </c>
      <c r="R8" s="9" t="n">
        <v>78.0</v>
      </c>
      <c r="S8" s="9" t="n">
        <v>0.0</v>
      </c>
      <c r="T8" s="9" t="n">
        <v>0.0</v>
      </c>
      <c r="U8">
        <f>SUM(M8:T8)</f>
        <v>7774</v>
      </c>
      <c r="W8" s="5"/>
      <c r="X8" s="16"/>
      <c r="Y8" s="16"/>
      <c r="Z8" s="5"/>
    </row>
    <row r="9" spans="1:26" x14ac:dyDescent="0.25">
      <c r="A9" s="12">
        <v>0.125</v>
      </c>
      <c r="B9" s="6" t="n">
        <v>2682.7974916492626</v>
      </c>
      <c r="C9" s="6" t="n">
        <v>551.5159099970904</v>
      </c>
      <c r="D9" s="6" t="n">
        <v>22.911927442588805</v>
      </c>
      <c r="E9" s="6" t="n">
        <v>102.29034679349517</v>
      </c>
      <c r="F9" s="6" t="n">
        <v>212.70904561231612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3572.2247214947529</v>
      </c>
      <c r="L9" s="12">
        <v>0.125</v>
      </c>
      <c r="M9" s="9" t="n">
        <v>3040.382251739502</v>
      </c>
      <c r="N9" s="9" t="n">
        <v>266.616117477417</v>
      </c>
      <c r="O9" s="9" t="n">
        <v>0.0</v>
      </c>
      <c r="P9" s="9" t="n">
        <v>0.0</v>
      </c>
      <c r="Q9" s="9" t="n">
        <v>153.6533603668213</v>
      </c>
      <c r="R9" s="9" t="n">
        <v>51.763906478881836</v>
      </c>
      <c r="S9" s="9" t="n">
        <v>0.0</v>
      </c>
      <c r="T9" s="9" t="n">
        <v>0.0</v>
      </c>
      <c r="U9">
        <f ref="U9:U58" si="1" t="shared">SUM(M9:T9)</f>
        <v>5187.9834299087524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1553.2094084005435</v>
      </c>
      <c r="C10" s="6" t="n">
        <v>318.7749770769234</v>
      </c>
      <c r="D10" s="6" t="n">
        <v>13.239846328697205</v>
      </c>
      <c r="E10" s="6" t="n">
        <v>59.084015671072</v>
      </c>
      <c r="F10" s="6" t="n">
        <v>122.86113112257958</v>
      </c>
      <c r="G10" s="6" t="n">
        <v>0.0</v>
      </c>
      <c r="H10" s="6" t="n">
        <v>0.0</v>
      </c>
      <c r="I10" s="6" t="n">
        <v>0.0</v>
      </c>
      <c r="J10" s="6">
        <f si="0" t="shared"/>
        <v>2067.1693785998154</v>
      </c>
      <c r="L10" s="12">
        <v>0.14583333333333334</v>
      </c>
      <c r="M10" s="9" t="n">
        <v>1792.881329536438</v>
      </c>
      <c r="N10" s="9" t="n">
        <v>160.51914882659912</v>
      </c>
      <c r="O10" s="9" t="n">
        <v>0.0</v>
      </c>
      <c r="P10" s="9" t="n">
        <v>0.0</v>
      </c>
      <c r="Q10" s="9" t="n">
        <v>89.2534532546997</v>
      </c>
      <c r="R10" s="9" t="n">
        <v>29.903931617736816</v>
      </c>
      <c r="S10" s="9" t="n">
        <v>0.0</v>
      </c>
      <c r="T10" s="9" t="n">
        <v>0.0</v>
      </c>
      <c r="U10">
        <f si="1" t="shared"/>
        <v>3042.5130977630615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775.2942334473696</v>
      </c>
      <c r="C11" s="6" t="n">
        <v>158.22492801596547</v>
      </c>
      <c r="D11" s="6" t="n">
        <v>6.571193997516632</v>
      </c>
      <c r="E11" s="6" t="n">
        <v>29.17959762283325</v>
      </c>
      <c r="F11" s="6" t="n">
        <v>60.65872878353119</v>
      </c>
      <c r="G11" s="6" t="n">
        <v>0.0</v>
      </c>
      <c r="H11" s="6" t="n">
        <v>0.0</v>
      </c>
      <c r="I11" s="6" t="n">
        <v>0.0</v>
      </c>
      <c r="J11" s="6">
        <f si="0" t="shared"/>
        <v>1029.9286818672163</v>
      </c>
      <c r="L11" s="12">
        <v>0.16666666666666666</v>
      </c>
      <c r="M11" s="9" t="n">
        <v>944.1506185531616</v>
      </c>
      <c r="N11" s="9" t="n">
        <v>90.85811996459961</v>
      </c>
      <c r="O11" s="9" t="n">
        <v>0.0</v>
      </c>
      <c r="P11" s="9" t="n">
        <v>0.0</v>
      </c>
      <c r="Q11" s="9" t="n">
        <v>44.81389904022217</v>
      </c>
      <c r="R11" s="9" t="n">
        <v>14.780885696411133</v>
      </c>
      <c r="S11" s="9" t="n">
        <v>0.0</v>
      </c>
      <c r="T11" s="9" t="n">
        <v>0.0</v>
      </c>
      <c r="U11">
        <f si="1" t="shared"/>
        <v>1577.0303611755371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339.0608599279242</v>
      </c>
      <c r="C12" s="6" t="n">
        <v>68.1894372198353</v>
      </c>
      <c r="D12" s="6" t="n">
        <v>2.86469732301712</v>
      </c>
      <c r="E12" s="6" t="n">
        <v>12.135695977005003</v>
      </c>
      <c r="F12" s="6" t="n">
        <v>25.114566004992483</v>
      </c>
      <c r="G12" s="6" t="n">
        <v>0.0</v>
      </c>
      <c r="H12" s="6" t="n">
        <v>0.0</v>
      </c>
      <c r="I12" s="6" t="n">
        <v>0.0</v>
      </c>
      <c r="J12" s="6">
        <f si="0" t="shared"/>
        <v>447.36525645277413</v>
      </c>
      <c r="L12" s="12">
        <v>0.1875</v>
      </c>
      <c r="M12" s="9" t="n">
        <v>483.7918996810913</v>
      </c>
      <c r="N12" s="9" t="n">
        <v>57.75435829162598</v>
      </c>
      <c r="O12" s="9" t="n">
        <v>0.0</v>
      </c>
      <c r="P12" s="9" t="n">
        <v>0.0</v>
      </c>
      <c r="Q12" s="9" t="n">
        <v>19.705573081970215</v>
      </c>
      <c r="R12" s="9" t="n">
        <v>6.164679527282715</v>
      </c>
      <c r="S12" s="9" t="n">
        <v>0.0</v>
      </c>
      <c r="T12" s="9" t="n">
        <v>0.0</v>
      </c>
      <c r="U12">
        <f si="1" t="shared"/>
        <v>772.19089126586914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151.15958992840865</v>
      </c>
      <c r="C13" s="6" t="n">
        <v>30.50048450038338</v>
      </c>
      <c r="D13" s="6" t="n">
        <v>1.429956255036354</v>
      </c>
      <c r="E13" s="6" t="n">
        <v>4.373144762734412</v>
      </c>
      <c r="F13" s="6" t="n">
        <v>8.528534174869536</v>
      </c>
      <c r="G13" s="6" t="n">
        <v>0.0</v>
      </c>
      <c r="H13" s="6" t="n">
        <v>0.0</v>
      </c>
      <c r="I13" s="6" t="n">
        <v>0.0</v>
      </c>
      <c r="J13" s="6">
        <f si="0" t="shared"/>
        <v>195.99170962143234</v>
      </c>
      <c r="L13" s="12">
        <v>0.20833333333333334</v>
      </c>
      <c r="M13" s="9" t="n">
        <v>306.3215856552124</v>
      </c>
      <c r="N13" s="9" t="n">
        <v>53.05919551849365</v>
      </c>
      <c r="O13" s="9" t="n">
        <v>0.0</v>
      </c>
      <c r="P13" s="9" t="n">
        <v>0.0</v>
      </c>
      <c r="Q13" s="9" t="n">
        <v>8.454244613647461</v>
      </c>
      <c r="R13" s="9" t="n">
        <v>2.1922645568847656</v>
      </c>
      <c r="S13" s="9" t="n">
        <v>0.0</v>
      </c>
      <c r="T13" s="9" t="n">
        <v>0.0</v>
      </c>
      <c r="U13">
        <f si="1" t="shared"/>
        <v>445.11774349212646</v>
      </c>
    </row>
    <row r="14" spans="1:26" x14ac:dyDescent="0.25">
      <c r="A14" s="12">
        <v>0.22916666666666666</v>
      </c>
      <c r="B14" s="6" t="n">
        <v>108.68509380391978</v>
      </c>
      <c r="C14" s="6" t="n">
        <v>26.085446502529145</v>
      </c>
      <c r="D14" s="6" t="n">
        <v>1.5347334587583543</v>
      </c>
      <c r="E14" s="6" t="n">
        <v>2.125876023143768</v>
      </c>
      <c r="F14" s="6" t="n">
        <v>2.319870171560287</v>
      </c>
      <c r="G14" s="6" t="n">
        <v>0.0</v>
      </c>
      <c r="H14" s="6" t="n">
        <v>0.0</v>
      </c>
      <c r="I14" s="6" t="n">
        <v>0.0</v>
      </c>
      <c r="J14" s="6">
        <f si="0" t="shared"/>
        <v>140.75101995991136</v>
      </c>
      <c r="L14" s="12">
        <v>0.22916666666666666</v>
      </c>
      <c r="M14" s="9" t="n">
        <v>293.9429540634155</v>
      </c>
      <c r="N14" s="9" t="n">
        <v>67.31921482086182</v>
      </c>
      <c r="O14" s="9" t="n">
        <v>0.0</v>
      </c>
      <c r="P14" s="9" t="n">
        <v>0.0</v>
      </c>
      <c r="Q14" s="9" t="n">
        <v>4.8948211669921875</v>
      </c>
      <c r="R14" s="9" t="n">
        <v>0.7785625457763672</v>
      </c>
      <c r="S14" s="9" t="n">
        <v>0.0</v>
      </c>
      <c r="T14" s="9" t="n">
        <v>0.0</v>
      </c>
      <c r="U14">
        <f si="1" t="shared"/>
        <v>390.33454513549805</v>
      </c>
    </row>
    <row r="15" spans="1:26" x14ac:dyDescent="0.25">
      <c r="A15" s="12">
        <v>0.25</v>
      </c>
      <c r="B15" s="6" t="n">
        <v>143.02697244222352</v>
      </c>
      <c r="C15" s="6" t="n">
        <v>44.438550015787115</v>
      </c>
      <c r="D15" s="6" t="n">
        <v>2.6677732878236773</v>
      </c>
      <c r="E15" s="6" t="n">
        <v>3.4081058076295854</v>
      </c>
      <c r="F15" s="6" t="n">
        <v>0.5572808963451386</v>
      </c>
      <c r="G15" s="6" t="n">
        <v>0.0</v>
      </c>
      <c r="H15" s="6" t="n">
        <v>0.0</v>
      </c>
      <c r="I15" s="6" t="n">
        <v>0.0</v>
      </c>
      <c r="J15" s="6">
        <f si="0" t="shared"/>
        <v>194.09868244980905</v>
      </c>
      <c r="L15" s="12">
        <v>0.25</v>
      </c>
      <c r="M15" s="9" t="n">
        <v>366.81460094451904</v>
      </c>
      <c r="N15" s="9" t="n">
        <v>94.04287815093994</v>
      </c>
      <c r="O15" s="9" t="n">
        <v>0.0</v>
      </c>
      <c r="P15" s="9" t="n">
        <v>0.0</v>
      </c>
      <c r="Q15" s="9" t="n">
        <v>4.713034629821777</v>
      </c>
      <c r="R15" s="9" t="n">
        <v>0.4657115936279297</v>
      </c>
      <c r="S15" s="9" t="n">
        <v>0.0</v>
      </c>
      <c r="T15" s="9" t="n">
        <v>0.0</v>
      </c>
      <c r="U15">
        <f si="1" t="shared"/>
        <v>465.72567558288574</v>
      </c>
    </row>
    <row r="16" spans="1:26" x14ac:dyDescent="0.25">
      <c r="A16" s="12">
        <v>0.27083333333333331</v>
      </c>
      <c r="B16" s="6" t="n">
        <v>224.12874365913294</v>
      </c>
      <c r="C16" s="6" t="n">
        <v>84.24252840266608</v>
      </c>
      <c r="D16" s="6" t="n">
        <v>4.446201525798798</v>
      </c>
      <c r="E16" s="6" t="n">
        <v>8.61596564261818</v>
      </c>
      <c r="F16" s="6" t="n">
        <v>0.4273929138793945</v>
      </c>
      <c r="G16" s="6" t="n">
        <v>5.27159423828125E-5</v>
      </c>
      <c r="H16" s="6" t="n">
        <v>0.0</v>
      </c>
      <c r="I16" s="6" t="n">
        <v>0.0</v>
      </c>
      <c r="J16" s="6">
        <f si="0" t="shared"/>
        <v>321.86088486003774</v>
      </c>
      <c r="L16" s="12">
        <v>0.27083333333333331</v>
      </c>
      <c r="M16" s="9" t="n">
        <v>490.1145782470703</v>
      </c>
      <c r="N16" s="9" t="n">
        <v>130.61406230926514</v>
      </c>
      <c r="O16" s="9" t="n">
        <v>0.0</v>
      </c>
      <c r="P16" s="9" t="n">
        <v>0.0</v>
      </c>
      <c r="Q16" s="9" t="n">
        <v>5.815133094787598</v>
      </c>
      <c r="R16" s="9" t="n">
        <v>0.5292749404907227</v>
      </c>
      <c r="S16" s="9" t="n">
        <v>0.0</v>
      </c>
      <c r="T16" s="9" t="n">
        <v>0.0</v>
      </c>
      <c r="U16">
        <f si="1" t="shared"/>
        <v>605.86179637908936</v>
      </c>
    </row>
    <row r="17" spans="1:21" x14ac:dyDescent="0.25">
      <c r="A17" s="12">
        <v>0.29166666666666669</v>
      </c>
      <c r="B17" s="6" t="n">
        <v>346.29649836231135</v>
      </c>
      <c r="C17" s="6" t="n">
        <v>148.13730130364513</v>
      </c>
      <c r="D17" s="6" t="n">
        <v>6.5454129501009</v>
      </c>
      <c r="E17" s="6" t="n">
        <v>20.304483438540462</v>
      </c>
      <c r="F17" s="6" t="n">
        <v>1.2356710308494567</v>
      </c>
      <c r="G17" s="6" t="n">
        <v>0.0010543188476562501</v>
      </c>
      <c r="H17" s="6" t="n">
        <v>0.0</v>
      </c>
      <c r="I17" s="6" t="n">
        <v>0.0</v>
      </c>
      <c r="J17" s="6">
        <f si="0" t="shared"/>
        <v>522.52042140429489</v>
      </c>
      <c r="L17" s="12">
        <v>0.29166666666666669</v>
      </c>
      <c r="M17" s="9" t="n">
        <v>661.6958227157593</v>
      </c>
      <c r="N17" s="9" t="n">
        <v>177.93191623687744</v>
      </c>
      <c r="O17" s="9" t="n">
        <v>0.0</v>
      </c>
      <c r="P17" s="9" t="n">
        <v>0.0</v>
      </c>
      <c r="Q17" s="9" t="n">
        <v>7.6292219161987305</v>
      </c>
      <c r="R17" s="9" t="n">
        <v>0.7290010452270508</v>
      </c>
      <c r="S17" s="9" t="n">
        <v>0.0</v>
      </c>
      <c r="T17" s="9" t="n">
        <v>0.0</v>
      </c>
      <c r="U17">
        <f si="1" t="shared"/>
        <v>802.11859226226807</v>
      </c>
    </row>
    <row r="18" spans="1:21" x14ac:dyDescent="0.25">
      <c r="A18" s="12">
        <v>0.3125</v>
      </c>
      <c r="B18" s="6" t="n">
        <v>516.126840378151</v>
      </c>
      <c r="C18" s="6" t="n">
        <v>235.94147819028564</v>
      </c>
      <c r="D18" s="6" t="n">
        <v>8.932494844985962</v>
      </c>
      <c r="E18" s="6" t="n">
        <v>42.28017769699287</v>
      </c>
      <c r="F18" s="6" t="n">
        <v>3.410981523824691</v>
      </c>
      <c r="G18" s="6" t="n">
        <v>0.010016029052734375</v>
      </c>
      <c r="H18" s="6" t="n">
        <v>6.159878349304199E-5</v>
      </c>
      <c r="I18" s="6" t="n">
        <v>0.0</v>
      </c>
      <c r="J18" s="6">
        <f si="0" t="shared"/>
        <v>806.70205026207634</v>
      </c>
      <c r="L18" s="12">
        <v>0.3125</v>
      </c>
      <c r="M18" s="9" t="n">
        <v>903.2042055130005</v>
      </c>
      <c r="N18" s="9" t="n">
        <v>240.48159313201904</v>
      </c>
      <c r="O18" s="9" t="n">
        <v>0.0</v>
      </c>
      <c r="P18" s="9" t="n">
        <v>0.0</v>
      </c>
      <c r="Q18" s="9" t="n">
        <v>10.410560607910156</v>
      </c>
      <c r="R18" s="9" t="n">
        <v>1.0660028457641602</v>
      </c>
      <c r="S18" s="9" t="n">
        <v>0.0</v>
      </c>
      <c r="T18" s="9" t="n">
        <v>0.0</v>
      </c>
      <c r="U18">
        <f si="1" t="shared"/>
        <v>1086.0771512985229</v>
      </c>
    </row>
    <row r="19" spans="1:21" x14ac:dyDescent="0.25">
      <c r="A19" s="12">
        <v>0.33333333333333331</v>
      </c>
      <c r="B19" s="6" t="n">
        <v>749.7096110636845</v>
      </c>
      <c r="C19" s="6" t="n">
        <v>341.6379383721179</v>
      </c>
      <c r="D19" s="6" t="n">
        <v>12.24838620069027</v>
      </c>
      <c r="E19" s="6" t="n">
        <v>77.59952857508277</v>
      </c>
      <c r="F19" s="6" t="n">
        <v>7.859116835249901</v>
      </c>
      <c r="G19" s="6" t="n">
        <v>0.06009617431640624</v>
      </c>
      <c r="H19" s="6" t="n">
        <v>0.0012319756698608397</v>
      </c>
      <c r="I19" s="6" t="n">
        <v>0.0</v>
      </c>
      <c r="J19" s="6">
        <f si="0" t="shared"/>
        <v>1189.1159091968118</v>
      </c>
      <c r="L19" s="12">
        <v>0.33333333333333331</v>
      </c>
      <c r="M19" s="9" t="n">
        <v>1257.7412223815918</v>
      </c>
      <c r="N19" s="9" t="n">
        <v>326.4371919631958</v>
      </c>
      <c r="O19" s="9" t="n">
        <v>0.0</v>
      </c>
      <c r="P19" s="9" t="n">
        <v>0.0</v>
      </c>
      <c r="Q19" s="9" t="n">
        <v>14.86414623260498</v>
      </c>
      <c r="R19" s="9" t="n">
        <v>1.645705223083496</v>
      </c>
      <c r="S19" s="9" t="n">
        <v>0.0</v>
      </c>
      <c r="T19" s="9" t="n">
        <v>0.0</v>
      </c>
      <c r="U19">
        <f si="1" t="shared"/>
        <v>1522.0029945373535</v>
      </c>
    </row>
    <row r="20" spans="1:21" x14ac:dyDescent="0.25">
      <c r="A20" s="12">
        <v>0.35416666666666669</v>
      </c>
      <c r="B20" s="6" t="n">
        <v>1076.7601576644174</v>
      </c>
      <c r="C20" s="6" t="n">
        <v>458.9496758132314</v>
      </c>
      <c r="D20" s="6" t="n">
        <v>17.960514801508904</v>
      </c>
      <c r="E20" s="6" t="n">
        <v>125.78252851015282</v>
      </c>
      <c r="F20" s="6" t="n">
        <v>15.453633258947374</v>
      </c>
      <c r="G20" s="6" t="n">
        <v>0.2555615155220031</v>
      </c>
      <c r="H20" s="6" t="n">
        <v>0.011703768863677978</v>
      </c>
      <c r="I20" s="6" t="n">
        <v>0.0</v>
      </c>
      <c r="J20" s="6">
        <f si="0" t="shared"/>
        <v>1695.1737753326436</v>
      </c>
      <c r="L20" s="12">
        <v>0.35416666666666669</v>
      </c>
      <c r="M20" s="9" t="n">
        <v>1780.5688066482544</v>
      </c>
      <c r="N20" s="9" t="n">
        <v>445.3883476257324</v>
      </c>
      <c r="O20" s="9" t="n">
        <v>0.0</v>
      </c>
      <c r="P20" s="9" t="n">
        <v>0.0</v>
      </c>
      <c r="Q20" s="9" t="n">
        <v>21.871176719665527</v>
      </c>
      <c r="R20" s="9" t="n">
        <v>2.5936546325683594</v>
      </c>
      <c r="S20" s="9" t="n">
        <v>0.0</v>
      </c>
      <c r="T20" s="9" t="n">
        <v>0.0</v>
      </c>
      <c r="U20">
        <f si="1" t="shared"/>
        <v>2191.8184108734131</v>
      </c>
    </row>
    <row r="21" spans="1:21" x14ac:dyDescent="0.25">
      <c r="A21" s="12">
        <v>0.375</v>
      </c>
      <c r="B21" s="6" t="n">
        <v>1542.0240040566453</v>
      </c>
      <c r="C21" s="6" t="n">
        <v>592.6051155068169</v>
      </c>
      <c r="D21" s="6" t="n">
        <v>28.141876700063705</v>
      </c>
      <c r="E21" s="6" t="n">
        <v>181.2461004546614</v>
      </c>
      <c r="F21" s="6" t="n">
        <v>26.729324391440393</v>
      </c>
      <c r="G21" s="6" t="n">
        <v>0.820363464248657</v>
      </c>
      <c r="H21" s="6" t="n">
        <v>0.07022261318206786</v>
      </c>
      <c r="I21" s="6" t="n">
        <v>0.0</v>
      </c>
      <c r="J21" s="6">
        <f si="0" t="shared"/>
        <v>2371.6370071870583</v>
      </c>
      <c r="L21" s="12">
        <v>0.375</v>
      </c>
      <c r="M21" s="9" t="n">
        <v>2511.298059463501</v>
      </c>
      <c r="N21" s="9" t="n">
        <v>601.8794441223145</v>
      </c>
      <c r="O21" s="9" t="n">
        <v>0.0</v>
      </c>
      <c r="P21" s="9" t="n">
        <v>0.0</v>
      </c>
      <c r="Q21" s="9" t="n">
        <v>32.0717077255249</v>
      </c>
      <c r="R21" s="9" t="n">
        <v>3.97403621673584</v>
      </c>
      <c r="S21" s="9" t="n">
        <v>0.0</v>
      </c>
      <c r="T21" s="9" t="n">
        <v>0.0</v>
      </c>
      <c r="U21">
        <f si="1" t="shared"/>
        <v>3158.3944473266602</v>
      </c>
    </row>
    <row r="22" spans="1:21" x14ac:dyDescent="0.25">
      <c r="A22" s="12">
        <v>0.39583333333333331</v>
      </c>
      <c r="B22" s="6" t="n">
        <v>2188.4610153242147</v>
      </c>
      <c r="C22" s="6" t="n">
        <v>761.4062193732673</v>
      </c>
      <c r="D22" s="6" t="n">
        <v>44.975021861164095</v>
      </c>
      <c r="E22" s="6" t="n">
        <v>235.28457519134142</v>
      </c>
      <c r="F22" s="6" t="n">
        <v>42.21100854857541</v>
      </c>
      <c r="G22" s="6" t="n">
        <v>2.072297115440368</v>
      </c>
      <c r="H22" s="6" t="n">
        <v>0.2984461060237884</v>
      </c>
      <c r="I22" s="6" t="n">
        <v>0.0</v>
      </c>
      <c r="J22" s="6">
        <f si="0" t="shared"/>
        <v>3274.7085835200269</v>
      </c>
      <c r="L22" s="12">
        <v>0.39583333333333331</v>
      </c>
      <c r="M22" s="9" t="n">
        <v>3439.1346158981323</v>
      </c>
      <c r="N22" s="9" t="n">
        <v>787.7204999923706</v>
      </c>
      <c r="O22" s="9" t="n">
        <v>0.0</v>
      </c>
      <c r="P22" s="9" t="n">
        <v>0.0</v>
      </c>
      <c r="Q22" s="9" t="n">
        <v>45.39958381652832</v>
      </c>
      <c r="R22" s="9" t="n">
        <v>5.726842880249023</v>
      </c>
      <c r="S22" s="9" t="n">
        <v>0.0</v>
      </c>
      <c r="T22" s="9" t="n">
        <v>0.0</v>
      </c>
      <c r="U22">
        <f si="1" t="shared"/>
        <v>4419.6562929153442</v>
      </c>
    </row>
    <row r="23" spans="1:21" x14ac:dyDescent="0.25">
      <c r="A23" s="12">
        <v>0.41666666666666669</v>
      </c>
      <c r="B23" s="6" t="n">
        <v>3017.4111466307822</v>
      </c>
      <c r="C23" s="6" t="n">
        <v>981.738341340435</v>
      </c>
      <c r="D23" s="6" t="n">
        <v>69.99029038691044</v>
      </c>
      <c r="E23" s="6" t="n">
        <v>281.2575790540085</v>
      </c>
      <c r="F23" s="6" t="n">
        <v>63.32310655020332</v>
      </c>
      <c r="G23" s="6" t="n">
        <v>4.260702985610962</v>
      </c>
      <c r="H23" s="6" t="n">
        <v>0.9550275392761228</v>
      </c>
      <c r="I23" s="6" t="n">
        <v>0.0</v>
      </c>
      <c r="J23" s="6">
        <f si="0" t="shared"/>
        <v>4418.9361944872262</v>
      </c>
      <c r="L23" s="12">
        <v>0.41666666666666669</v>
      </c>
      <c r="M23" s="9" t="n">
        <v>4494.622151374817</v>
      </c>
      <c r="N23" s="9" t="n">
        <v>980.8282518386841</v>
      </c>
      <c r="O23" s="9" t="n">
        <v>0.0</v>
      </c>
      <c r="P23" s="9" t="n">
        <v>0.0</v>
      </c>
      <c r="Q23" s="9" t="n">
        <v>61.00648307800293</v>
      </c>
      <c r="R23" s="9" t="n">
        <v>7.687173843383789</v>
      </c>
      <c r="S23" s="9" t="n">
        <v>0.0</v>
      </c>
      <c r="T23" s="9" t="n">
        <v>0.0</v>
      </c>
      <c r="U23">
        <f si="1" t="shared"/>
        <v>5891.8208627700806</v>
      </c>
    </row>
    <row r="24" spans="1:21" x14ac:dyDescent="0.25">
      <c r="A24" s="12">
        <v>0.4375</v>
      </c>
      <c r="B24" s="6" t="n">
        <v>3953.3671285768214</v>
      </c>
      <c r="C24" s="6" t="n">
        <v>1242.491819802101</v>
      </c>
      <c r="D24" s="6" t="n">
        <v>103.0771616806841</v>
      </c>
      <c r="E24" s="6" t="n">
        <v>319.21836210690117</v>
      </c>
      <c r="F24" s="6" t="n">
        <v>92.58907717593192</v>
      </c>
      <c r="G24" s="6" t="n">
        <v>7.380820573368073</v>
      </c>
      <c r="H24" s="6" t="n">
        <v>2.3875688481903072</v>
      </c>
      <c r="I24" s="6" t="n">
        <v>0.0</v>
      </c>
      <c r="J24" s="6">
        <f si="0" t="shared"/>
        <v>5720.5119387639979</v>
      </c>
      <c r="L24" s="12">
        <v>0.4375</v>
      </c>
      <c r="M24" s="9" t="n">
        <v>5589.123953819275</v>
      </c>
      <c r="N24" s="9" t="n">
        <v>1155.4429111480713</v>
      </c>
      <c r="O24" s="9" t="n">
        <v>0.0</v>
      </c>
      <c r="P24" s="9" t="n">
        <v>0.0</v>
      </c>
      <c r="Q24" s="9" t="n">
        <v>77.85997676849365</v>
      </c>
      <c r="R24" s="9" t="n">
        <v>9.71867561340332</v>
      </c>
      <c r="S24" s="9" t="n">
        <v>0.0</v>
      </c>
      <c r="T24" s="9" t="n">
        <v>0.0</v>
      </c>
      <c r="U24">
        <f si="1" t="shared"/>
        <v>7448.5244092941284</v>
      </c>
    </row>
    <row r="25" spans="1:21" x14ac:dyDescent="0.25">
      <c r="A25" s="12">
        <v>0.45833333333333331</v>
      </c>
      <c r="B25" s="6" t="n">
        <v>4861.467319070107</v>
      </c>
      <c r="C25" s="6" t="n">
        <v>1500.9093352677933</v>
      </c>
      <c r="D25" s="6" t="n">
        <v>141.69266978684237</v>
      </c>
      <c r="E25" s="6" t="n">
        <v>356.0505004161072</v>
      </c>
      <c r="F25" s="6" t="n">
        <v>131.747300967</v>
      </c>
      <c r="G25" s="6" t="n">
        <v>11.222788279113772</v>
      </c>
      <c r="H25" s="6" t="n">
        <v>4.7751376963806145</v>
      </c>
      <c r="I25" s="6" t="n">
        <v>0.0</v>
      </c>
      <c r="J25" s="6">
        <f si="0" t="shared"/>
        <v>7007.8650514833444</v>
      </c>
      <c r="L25" s="12">
        <v>0.45833333333333331</v>
      </c>
      <c r="M25" s="9" t="n">
        <v>6680.0339641571045</v>
      </c>
      <c r="N25" s="9" t="n">
        <v>1298.0189447402954</v>
      </c>
      <c r="O25" s="9" t="n">
        <v>0.0</v>
      </c>
      <c r="P25" s="9" t="n">
        <v>0.0</v>
      </c>
      <c r="Q25" s="9" t="n">
        <v>95.69058513641357</v>
      </c>
      <c r="R25" s="9" t="n">
        <v>11.884390830993652</v>
      </c>
      <c r="S25" s="9" t="n">
        <v>0.0</v>
      </c>
      <c r="T25" s="9" t="n">
        <v>0.0</v>
      </c>
      <c r="U25">
        <f si="1" t="shared"/>
        <v>8994.3581953048706</v>
      </c>
    </row>
    <row r="26" spans="1:21" x14ac:dyDescent="0.25">
      <c r="A26" s="12">
        <v>0.47916666666666669</v>
      </c>
      <c r="B26" s="6" t="n">
        <v>5635.801557008235</v>
      </c>
      <c r="C26" s="6" t="n">
        <v>1714.1377871497389</v>
      </c>
      <c r="D26" s="6" t="n">
        <v>180.70821568782145</v>
      </c>
      <c r="E26" s="6" t="n">
        <v>400.6180371240024</v>
      </c>
      <c r="F26" s="6" t="n">
        <v>178.94332798221302</v>
      </c>
      <c r="G26" s="6" t="n">
        <v>15.661133142120363</v>
      </c>
      <c r="H26" s="6" t="n">
        <v>7.759751531295775</v>
      </c>
      <c r="I26" s="6" t="n">
        <v>0.0</v>
      </c>
      <c r="J26" s="6">
        <f si="0" t="shared"/>
        <v>8133.6298096254268</v>
      </c>
      <c r="L26" s="12">
        <v>0.47916666666666669</v>
      </c>
      <c r="M26" s="9" t="n">
        <v>7814.677411079407</v>
      </c>
      <c r="N26" s="9" t="n">
        <v>1416.550666809082</v>
      </c>
      <c r="O26" s="9" t="n">
        <v>0.0</v>
      </c>
      <c r="P26" s="9" t="n">
        <v>0.0</v>
      </c>
      <c r="Q26" s="9" t="n">
        <v>115.64470386505127</v>
      </c>
      <c r="R26" s="9" t="n">
        <v>14.508462905883789</v>
      </c>
      <c r="S26" s="9" t="n">
        <v>0.0</v>
      </c>
      <c r="T26" s="9" t="n">
        <v>0.0</v>
      </c>
      <c r="U26">
        <f si="1" t="shared"/>
        <v>10519.249822616577</v>
      </c>
    </row>
    <row r="27" spans="1:21" x14ac:dyDescent="0.25">
      <c r="A27" s="12">
        <v>0.5</v>
      </c>
      <c r="B27" s="6" t="n">
        <v>6316.309124777486</v>
      </c>
      <c r="C27" s="6" t="n">
        <v>1882.253136349033</v>
      </c>
      <c r="D27" s="6" t="n">
        <v>212.86414744262603</v>
      </c>
      <c r="E27" s="6" t="n">
        <v>456.9249191117029</v>
      </c>
      <c r="F27" s="6" t="n">
        <v>228.65719305813786</v>
      </c>
      <c r="G27" s="6" t="n">
        <v>20.69744525669098</v>
      </c>
      <c r="H27" s="6" t="n">
        <v>10.349224358767508</v>
      </c>
      <c r="I27" s="6" t="n">
        <v>0.0</v>
      </c>
      <c r="J27" s="6">
        <f si="0" t="shared"/>
        <v>9128.0551903544438</v>
      </c>
      <c r="L27" s="12">
        <v>0.5</v>
      </c>
      <c r="M27" s="9" t="n">
        <v>9134.149879455566</v>
      </c>
      <c r="N27" s="9" t="n">
        <v>1537.520016670227</v>
      </c>
      <c r="O27" s="9" t="n">
        <v>0.0</v>
      </c>
      <c r="P27" s="9" t="n">
        <v>0.0</v>
      </c>
      <c r="Q27" s="9" t="n">
        <v>140.47702884674072</v>
      </c>
      <c r="R27" s="9" t="n">
        <v>18.0748348236084</v>
      </c>
      <c r="S27" s="9" t="n">
        <v>0.0</v>
      </c>
      <c r="T27" s="9" t="n">
        <v>0.0</v>
      </c>
      <c r="U27">
        <f si="1" t="shared"/>
        <v>12105.984685897827</v>
      </c>
    </row>
    <row r="28" spans="1:21" x14ac:dyDescent="0.25">
      <c r="A28" s="12">
        <v>0.52083333333333337</v>
      </c>
      <c r="B28" s="6" t="n">
        <v>7164.912226831066</v>
      </c>
      <c r="C28" s="6" t="n">
        <v>2060.090598273386</v>
      </c>
      <c r="D28" s="6" t="n">
        <v>229.98949682394223</v>
      </c>
      <c r="E28" s="6" t="n">
        <v>519.6950809647217</v>
      </c>
      <c r="F28" s="6" t="n">
        <v>275.7724100476837</v>
      </c>
      <c r="G28" s="6" t="n">
        <v>25.88930519031525</v>
      </c>
      <c r="H28" s="6" t="n">
        <v>11.410515826335905</v>
      </c>
      <c r="I28" s="6" t="n">
        <v>0.0</v>
      </c>
      <c r="J28" s="6">
        <f si="0" t="shared"/>
        <v>10287.759633957452</v>
      </c>
      <c r="L28" s="12">
        <v>0.52083333333333337</v>
      </c>
      <c r="M28" s="9" t="n">
        <v>10865.341139793396</v>
      </c>
      <c r="N28" s="9" t="n">
        <v>1696.694592475891</v>
      </c>
      <c r="O28" s="9" t="n">
        <v>0.0</v>
      </c>
      <c r="P28" s="9" t="n">
        <v>0.0</v>
      </c>
      <c r="Q28" s="9" t="n">
        <v>174.72007846832275</v>
      </c>
      <c r="R28" s="9" t="n">
        <v>23.089762687683105</v>
      </c>
      <c r="S28" s="9" t="n">
        <v>0.0</v>
      </c>
      <c r="T28" s="9" t="n">
        <v>0.0</v>
      </c>
      <c r="U28">
        <f si="1" t="shared"/>
        <v>13916.368394851685</v>
      </c>
    </row>
    <row r="29" spans="1:21" x14ac:dyDescent="0.25">
      <c r="A29" s="12">
        <v>0.54166666666666663</v>
      </c>
      <c r="B29" s="6" t="n">
        <v>8657.214262124293</v>
      </c>
      <c r="C29" s="6" t="n">
        <v>2321.760783835145</v>
      </c>
      <c r="D29" s="6" t="n">
        <v>225.76457983184054</v>
      </c>
      <c r="E29" s="6" t="n">
        <v>576.3737187793045</v>
      </c>
      <c r="F29" s="6" t="n">
        <v>319.49091079813286</v>
      </c>
      <c r="G29" s="6" t="n">
        <v>29.78126705116272</v>
      </c>
      <c r="H29" s="6" t="n">
        <v>10.527360856409071</v>
      </c>
      <c r="I29" s="6" t="n">
        <v>0.0</v>
      </c>
      <c r="J29" s="6">
        <f si="0" t="shared"/>
        <v>12140.912883276289</v>
      </c>
      <c r="L29" s="12">
        <v>0.54166666666666663</v>
      </c>
      <c r="M29" s="9" t="n">
        <v>13325.982503890991</v>
      </c>
      <c r="N29" s="9" t="n">
        <v>1932.3434076309204</v>
      </c>
      <c r="O29" s="9" t="n">
        <v>0.0</v>
      </c>
      <c r="P29" s="9" t="n">
        <v>0.0</v>
      </c>
      <c r="Q29" s="9" t="n">
        <v>224.86993026733398</v>
      </c>
      <c r="R29" s="9" t="n">
        <v>30.057379722595215</v>
      </c>
      <c r="S29" s="9" t="n">
        <v>0.0</v>
      </c>
      <c r="T29" s="9" t="n">
        <v>0.0</v>
      </c>
      <c r="U29">
        <f si="1" t="shared"/>
        <v>16192.775488853455</v>
      </c>
    </row>
    <row r="30" spans="1:21" x14ac:dyDescent="0.25">
      <c r="A30" s="12">
        <v>0.5625</v>
      </c>
      <c r="B30" s="6" t="n">
        <v>11379.189028948702</v>
      </c>
      <c r="C30" s="6" t="n">
        <v>2704.8192985378246</v>
      </c>
      <c r="D30" s="6" t="n">
        <v>199.6764658842974</v>
      </c>
      <c r="E30" s="6" t="n">
        <v>616.1887369155387</v>
      </c>
      <c r="F30" s="6" t="n">
        <v>361.88993632475854</v>
      </c>
      <c r="G30" s="6" t="n">
        <v>30.47746261528015</v>
      </c>
      <c r="H30" s="6" t="n">
        <v>8.5421883609581</v>
      </c>
      <c r="I30" s="6" t="n">
        <v>0.0</v>
      </c>
      <c r="J30" s="6">
        <f si="0" t="shared"/>
        <v>15300.783117587358</v>
      </c>
      <c r="L30" s="12">
        <v>0.5625</v>
      </c>
      <c r="M30" s="9" t="n">
        <v>16903.95094203949</v>
      </c>
      <c r="N30" s="9" t="n">
        <v>2279.3303003311157</v>
      </c>
      <c r="O30" s="9" t="n">
        <v>0.0</v>
      </c>
      <c r="P30" s="9" t="n">
        <v>0.0</v>
      </c>
      <c r="Q30" s="9" t="n">
        <v>298.4065742492676</v>
      </c>
      <c r="R30" s="9" t="n">
        <v>39.50667190551758</v>
      </c>
      <c r="S30" s="9" t="n">
        <v>0.0</v>
      </c>
      <c r="T30" s="9" t="n">
        <v>0.0</v>
      </c>
      <c r="U30">
        <f si="1" t="shared"/>
        <v>19262.175565719604</v>
      </c>
    </row>
    <row r="31" spans="1:21" x14ac:dyDescent="0.25">
      <c r="A31" s="12">
        <v>0.58333333333333337</v>
      </c>
      <c r="B31" s="6" t="n">
        <v>15827.692985357986</v>
      </c>
      <c r="C31" s="6" t="n">
        <v>3176.9886738798855</v>
      </c>
      <c r="D31" s="6" t="n">
        <v>159.26612548991872</v>
      </c>
      <c r="E31" s="6" t="n">
        <v>640.2224136264476</v>
      </c>
      <c r="F31" s="6" t="n">
        <v>402.8731169263583</v>
      </c>
      <c r="G31" s="6" t="n">
        <v>27.362197607438087</v>
      </c>
      <c r="H31" s="6" t="n">
        <v>7.323940537848472</v>
      </c>
      <c r="I31" s="6" t="n">
        <v>0.0</v>
      </c>
      <c r="J31" s="6">
        <f si="0" t="shared"/>
        <v>20241.729453425884</v>
      </c>
      <c r="L31" s="12">
        <v>0.58333333333333337</v>
      </c>
      <c r="M31" s="9" t="n">
        <v>21930.711208343506</v>
      </c>
      <c r="N31" s="9" t="n">
        <v>2754.919877052307</v>
      </c>
      <c r="O31" s="9" t="n">
        <v>0.0</v>
      </c>
      <c r="P31" s="9" t="n">
        <v>0.0</v>
      </c>
      <c r="Q31" s="9" t="n">
        <v>400.2710123062134</v>
      </c>
      <c r="R31" s="9" t="n">
        <v>51.84967613220215</v>
      </c>
      <c r="S31" s="9" t="n">
        <v>0.0</v>
      </c>
      <c r="T31" s="9" t="n">
        <v>0.0</v>
      </c>
      <c r="U31">
        <f si="1" t="shared"/>
        <v>23478.551106452942</v>
      </c>
    </row>
    <row r="32" spans="1:21" x14ac:dyDescent="0.25">
      <c r="A32" s="12">
        <v>0.60416666666666663</v>
      </c>
      <c r="B32" s="6" t="n">
        <v>22131.675512887257</v>
      </c>
      <c r="C32" s="6" t="n">
        <v>3648.335707373408</v>
      </c>
      <c r="D32" s="6" t="n">
        <v>117.75028891013717</v>
      </c>
      <c r="E32" s="6" t="n">
        <v>662.5382945044822</v>
      </c>
      <c r="F32" s="6" t="n">
        <v>438.7986309210311</v>
      </c>
      <c r="G32" s="6" t="n">
        <v>22.335306533107758</v>
      </c>
      <c r="H32" s="6" t="n">
        <v>8.885905356678963</v>
      </c>
      <c r="I32" s="6" t="n">
        <v>0.0</v>
      </c>
      <c r="J32" s="6">
        <f si="0" t="shared"/>
        <v>27030.319646486103</v>
      </c>
      <c r="L32" s="12">
        <v>0.60416666666666663</v>
      </c>
      <c r="M32" s="9" t="n">
        <v>28432.788856506348</v>
      </c>
      <c r="N32" s="9" t="n">
        <v>3335.721709251404</v>
      </c>
      <c r="O32" s="9" t="n">
        <v>0.0</v>
      </c>
      <c r="P32" s="9" t="n">
        <v>0.0</v>
      </c>
      <c r="Q32" s="9" t="n">
        <v>527.5105209350586</v>
      </c>
      <c r="R32" s="9" t="n">
        <v>67.01751518249512</v>
      </c>
      <c r="S32" s="9" t="n">
        <v>0.0</v>
      </c>
      <c r="T32" s="9" t="n">
        <v>0.0</v>
      </c>
      <c r="U32">
        <f si="1" t="shared"/>
        <v>29055.225595474243</v>
      </c>
    </row>
    <row r="33" spans="1:21" x14ac:dyDescent="0.25">
      <c r="A33" s="12">
        <v>0.625</v>
      </c>
      <c r="B33" s="6" t="n">
        <v>29777.33138281338</v>
      </c>
      <c r="C33" s="6" t="n">
        <v>4018.516131667264</v>
      </c>
      <c r="D33" s="6" t="n">
        <v>87.8568141721592</v>
      </c>
      <c r="E33" s="6" t="n">
        <v>698.7988263655157</v>
      </c>
      <c r="F33" s="6" t="n">
        <v>467.17017112853625</v>
      </c>
      <c r="G33" s="6" t="n">
        <v>19.018437018589978</v>
      </c>
      <c r="H33" s="6" t="n">
        <v>14.243603148311616</v>
      </c>
      <c r="I33" s="6" t="n">
        <v>0.0</v>
      </c>
      <c r="J33" s="6">
        <f si="0" t="shared"/>
        <v>35082.935366313752</v>
      </c>
      <c r="L33" s="12">
        <v>0.625</v>
      </c>
      <c r="M33" s="9" t="n">
        <v>35877.879444122314</v>
      </c>
      <c r="N33" s="9" t="n">
        <v>3942.1726808547974</v>
      </c>
      <c r="O33" s="9" t="n">
        <v>0.0</v>
      </c>
      <c r="P33" s="9" t="n">
        <v>0.0</v>
      </c>
      <c r="Q33" s="9" t="n">
        <v>665.5363245010376</v>
      </c>
      <c r="R33" s="9" t="n">
        <v>84.10985088348389</v>
      </c>
      <c r="S33" s="9" t="n">
        <v>0.0</v>
      </c>
      <c r="T33" s="9" t="n">
        <v>0.0</v>
      </c>
      <c r="U33">
        <f si="1" t="shared"/>
        <v>35819.10102558136</v>
      </c>
    </row>
    <row r="34" spans="1:21" x14ac:dyDescent="0.25">
      <c r="A34" s="12">
        <v>0.64583333333333337</v>
      </c>
      <c r="B34" s="6" t="n">
        <v>37505.61916142492</v>
      </c>
      <c r="C34" s="6" t="n">
        <v>4224.516645314436</v>
      </c>
      <c r="D34" s="6" t="n">
        <v>75.90528904462624</v>
      </c>
      <c r="E34" s="6" t="n">
        <v>751.5603663336734</v>
      </c>
      <c r="F34" s="6" t="n">
        <v>490.5425464931317</v>
      </c>
      <c r="G34" s="6" t="n">
        <v>20.317820899435997</v>
      </c>
      <c r="H34" s="6" t="n">
        <v>22.464502456531523</v>
      </c>
      <c r="I34" s="6" t="n">
        <v>0.0</v>
      </c>
      <c r="J34" s="6">
        <f si="0" t="shared"/>
        <v>43090.926331966752</v>
      </c>
      <c r="L34" s="12">
        <v>0.64583333333333337</v>
      </c>
      <c r="M34" s="9" t="n">
        <v>43100.10203266144</v>
      </c>
      <c r="N34" s="9" t="n">
        <v>4449.935695648193</v>
      </c>
      <c r="O34" s="9" t="n">
        <v>0.0</v>
      </c>
      <c r="P34" s="9" t="n">
        <v>0.0</v>
      </c>
      <c r="Q34" s="9" t="n">
        <v>789.6146459579468</v>
      </c>
      <c r="R34" s="9" t="n">
        <v>101.29339122772217</v>
      </c>
      <c r="S34" s="9" t="n">
        <v>0.0</v>
      </c>
      <c r="T34" s="9" t="n">
        <v>0.0</v>
      </c>
      <c r="U34">
        <f si="1" t="shared"/>
        <v>43003.506907463074</v>
      </c>
    </row>
    <row r="35" spans="1:21" x14ac:dyDescent="0.25">
      <c r="A35" s="12">
        <v>0.66666666666666663</v>
      </c>
      <c r="B35" s="6" t="n">
        <v>43555.82722132363</v>
      </c>
      <c r="C35" s="6" t="n">
        <v>4254.058035640403</v>
      </c>
      <c r="D35" s="6" t="n">
        <v>79.47349229056071</v>
      </c>
      <c r="E35" s="6" t="n">
        <v>805.9147728741332</v>
      </c>
      <c r="F35" s="6" t="n">
        <v>512.9077338996697</v>
      </c>
      <c r="G35" s="6" t="n">
        <v>26.384503309291837</v>
      </c>
      <c r="H35" s="6" t="n">
        <v>30.643541784410477</v>
      </c>
      <c r="I35" s="6" t="n">
        <v>0.0</v>
      </c>
      <c r="J35" s="6">
        <f si="0" t="shared"/>
        <v>49265.2093011221</v>
      </c>
      <c r="L35" s="12">
        <v>0.66666666666666663</v>
      </c>
      <c r="M35" s="9" t="n">
        <v>48521.81423473358</v>
      </c>
      <c r="N35" s="9" t="n">
        <v>4729.279662132263</v>
      </c>
      <c r="O35" s="9" t="n">
        <v>0.0</v>
      </c>
      <c r="P35" s="9" t="n">
        <v>0.0</v>
      </c>
      <c r="Q35" s="9" t="n">
        <v>872.0905847549438</v>
      </c>
      <c r="R35" s="9" t="n">
        <v>115.96477794647217</v>
      </c>
      <c r="S35" s="9" t="n">
        <v>0.0</v>
      </c>
      <c r="T35" s="9" t="n">
        <v>0.0</v>
      </c>
      <c r="U35">
        <f si="1" t="shared"/>
        <v>49237.830369949341</v>
      </c>
    </row>
    <row r="36" spans="1:21" x14ac:dyDescent="0.25">
      <c r="A36" s="12">
        <v>0.6875</v>
      </c>
      <c r="B36" s="6" t="n">
        <v>46271.75053267961</v>
      </c>
      <c r="C36" s="6" t="n">
        <v>4120.218171272591</v>
      </c>
      <c r="D36" s="6" t="n">
        <v>89.41138760030077</v>
      </c>
      <c r="E36" s="6" t="n">
        <v>838.5800596257917</v>
      </c>
      <c r="F36" s="6" t="n">
        <v>532.4367765798808</v>
      </c>
      <c r="G36" s="6" t="n">
        <v>34.80251141071128</v>
      </c>
      <c r="H36" s="6" t="n">
        <v>35.45522873081684</v>
      </c>
      <c r="I36" s="6" t="n">
        <v>0.0</v>
      </c>
      <c r="J36" s="6">
        <f si="0" t="shared"/>
        <v>51922.654667899697</v>
      </c>
      <c r="L36" s="12">
        <v>0.6875</v>
      </c>
      <c r="M36" s="9" t="n">
        <v>50647.266100883484</v>
      </c>
      <c r="N36" s="9" t="n">
        <v>4692.846964836121</v>
      </c>
      <c r="O36" s="9" t="n">
        <v>0.0</v>
      </c>
      <c r="P36" s="9" t="n">
        <v>0.0</v>
      </c>
      <c r="Q36" s="9" t="n">
        <v>892.2248773574829</v>
      </c>
      <c r="R36" s="9" t="n">
        <v>125.18527030944824</v>
      </c>
      <c r="S36" s="9" t="n">
        <v>0.0</v>
      </c>
      <c r="T36" s="9" t="n">
        <v>0.0</v>
      </c>
      <c r="U36">
        <f si="1" t="shared"/>
        <v>52864.181865692139</v>
      </c>
    </row>
    <row r="37" spans="1:21" x14ac:dyDescent="0.25">
      <c r="A37" s="12">
        <v>0.70833333333333337</v>
      </c>
      <c r="B37" s="6" t="n">
        <v>44817.993660025524</v>
      </c>
      <c r="C37" s="6" t="n">
        <v>3832.124314479723</v>
      </c>
      <c r="D37" s="6" t="n">
        <v>95.0443257902851</v>
      </c>
      <c r="E37" s="6" t="n">
        <v>830.3193636590006</v>
      </c>
      <c r="F37" s="6" t="n">
        <v>541.1424139670429</v>
      </c>
      <c r="G37" s="6" t="n">
        <v>42.981515860337254</v>
      </c>
      <c r="H37" s="6" t="n">
        <v>35.63981113565445</v>
      </c>
      <c r="I37" s="6" t="n">
        <v>0.0</v>
      </c>
      <c r="J37" s="6">
        <f si="0" t="shared"/>
        <v>50195.245404917572</v>
      </c>
      <c r="L37" s="12">
        <v>0.70833333333333337</v>
      </c>
      <c r="M37" s="9" t="n">
        <v>48662.0188293457</v>
      </c>
      <c r="N37" s="9" t="n">
        <v>4328.761795043945</v>
      </c>
      <c r="O37" s="9" t="n">
        <v>0.0</v>
      </c>
      <c r="P37" s="9" t="n">
        <v>0.0</v>
      </c>
      <c r="Q37" s="9" t="n">
        <v>844.190318107605</v>
      </c>
      <c r="R37" s="9" t="n">
        <v>126.54166221618652</v>
      </c>
      <c r="S37" s="9" t="n">
        <v>0.0</v>
      </c>
      <c r="T37" s="9" t="n">
        <v>0.0</v>
      </c>
      <c r="U37">
        <f si="1" t="shared"/>
        <v>52567.208449363708</v>
      </c>
    </row>
    <row r="38" spans="1:21" x14ac:dyDescent="0.25">
      <c r="A38" s="12">
        <v>0.72916666666666663</v>
      </c>
      <c r="B38" s="6" t="n">
        <v>39586.16847523682</v>
      </c>
      <c r="C38" s="6" t="n">
        <v>3399.387956777937</v>
      </c>
      <c r="D38" s="6" t="n">
        <v>89.87713896522425</v>
      </c>
      <c r="E38" s="6" t="n">
        <v>771.8927610704852</v>
      </c>
      <c r="F38" s="6" t="n">
        <v>534.2161172803793</v>
      </c>
      <c r="G38" s="6" t="n">
        <v>50.65488294934748</v>
      </c>
      <c r="H38" s="6" t="n">
        <v>33.260271078573226</v>
      </c>
      <c r="I38" s="6" t="n">
        <v>0.0</v>
      </c>
      <c r="J38" s="6">
        <f si="0" t="shared"/>
        <v>44465.457603358765</v>
      </c>
      <c r="L38" s="12">
        <v>0.72916666666666663</v>
      </c>
      <c r="M38" s="9" t="n">
        <v>42860.23591041565</v>
      </c>
      <c r="N38" s="9" t="n">
        <v>3706.49250125885</v>
      </c>
      <c r="O38" s="9" t="n">
        <v>0.0</v>
      </c>
      <c r="P38" s="9" t="n">
        <v>0.0</v>
      </c>
      <c r="Q38" s="9" t="n">
        <v>739.7332029342651</v>
      </c>
      <c r="R38" s="9" t="n">
        <v>119.33273410797119</v>
      </c>
      <c r="S38" s="9" t="n">
        <v>0.0</v>
      </c>
      <c r="T38" s="9" t="n">
        <v>0.0</v>
      </c>
      <c r="U38">
        <f si="1" t="shared"/>
        <v>48048.051452636719</v>
      </c>
    </row>
    <row r="39" spans="1:21" x14ac:dyDescent="0.25">
      <c r="A39" s="12">
        <v>0.75</v>
      </c>
      <c r="B39" s="6" t="n">
        <v>32010.926233403476</v>
      </c>
      <c r="C39" s="6" t="n">
        <v>2863.317301232801</v>
      </c>
      <c r="D39" s="6" t="n">
        <v>74.33157197149944</v>
      </c>
      <c r="E39" s="6" t="n">
        <v>664.7450030507528</v>
      </c>
      <c r="F39" s="6" t="n">
        <v>518.4901015505371</v>
      </c>
      <c r="G39" s="6" t="n">
        <v>60.00715689011859</v>
      </c>
      <c r="H39" s="6" t="n">
        <v>32.06547580023766</v>
      </c>
      <c r="I39" s="6" t="n">
        <v>0.0</v>
      </c>
      <c r="J39" s="6">
        <f si="0" t="shared"/>
        <v>36223.882843899424</v>
      </c>
      <c r="L39" s="12">
        <v>0.75</v>
      </c>
      <c r="M39" s="9" t="n">
        <v>34617.51629447937</v>
      </c>
      <c r="N39" s="9" t="n">
        <v>2953.8966722488403</v>
      </c>
      <c r="O39" s="9" t="n">
        <v>0.0</v>
      </c>
      <c r="P39" s="9" t="n">
        <v>0.0</v>
      </c>
      <c r="Q39" s="9" t="n">
        <v>604.0984373092651</v>
      </c>
      <c r="R39" s="9" t="n">
        <v>105.35002613067627</v>
      </c>
      <c r="S39" s="9" t="n">
        <v>0.0</v>
      </c>
      <c r="T39" s="9" t="n">
        <v>0.0</v>
      </c>
      <c r="U39">
        <f si="1" t="shared"/>
        <v>40301.126302719116</v>
      </c>
    </row>
    <row r="40" spans="1:21" x14ac:dyDescent="0.25">
      <c r="A40" s="12">
        <v>0.77083333333333337</v>
      </c>
      <c r="B40" s="6" t="n">
        <v>23907.27984244183</v>
      </c>
      <c r="C40" s="6" t="n">
        <v>2308.9088636798056</v>
      </c>
      <c r="D40" s="6" t="n">
        <v>53.966060301675796</v>
      </c>
      <c r="E40" s="6" t="n">
        <v>521.9696824212009</v>
      </c>
      <c r="F40" s="6" t="n">
        <v>508.82151260080525</v>
      </c>
      <c r="G40" s="6" t="n">
        <v>73.13044703651046</v>
      </c>
      <c r="H40" s="6" t="n">
        <v>34.053082139596945</v>
      </c>
      <c r="I40" s="6" t="n">
        <v>0.0</v>
      </c>
      <c r="J40" s="6">
        <f si="0" t="shared"/>
        <v>27408.129490621421</v>
      </c>
      <c r="L40" s="12">
        <v>0.77083333333333337</v>
      </c>
      <c r="M40" s="9" t="n">
        <v>25841.840505599976</v>
      </c>
      <c r="N40" s="9" t="n">
        <v>2213.208709716797</v>
      </c>
      <c r="O40" s="9" t="n">
        <v>0.0</v>
      </c>
      <c r="P40" s="9" t="n">
        <v>0.0</v>
      </c>
      <c r="Q40" s="9" t="n">
        <v>466.6865243911743</v>
      </c>
      <c r="R40" s="9" t="n">
        <v>88.4046630859375</v>
      </c>
      <c r="S40" s="9" t="n">
        <v>0.0</v>
      </c>
      <c r="T40" s="9" t="n">
        <v>0.0</v>
      </c>
      <c r="U40">
        <f si="1" t="shared"/>
        <v>31223.74200630188</v>
      </c>
    </row>
    <row r="41" spans="1:21" x14ac:dyDescent="0.25">
      <c r="A41" s="12">
        <v>0.79166666666666663</v>
      </c>
      <c r="B41" s="6" t="n">
        <v>16752.876453098354</v>
      </c>
      <c r="C41" s="6" t="n">
        <v>1830.760743979351</v>
      </c>
      <c r="D41" s="6" t="n">
        <v>35.34680088511658</v>
      </c>
      <c r="E41" s="6" t="n">
        <v>368.08348352499877</v>
      </c>
      <c r="F41" s="6" t="n">
        <v>515.4254446539621</v>
      </c>
      <c r="G41" s="6" t="n">
        <v>89.24594877627754</v>
      </c>
      <c r="H41" s="6" t="n">
        <v>37.47487619468689</v>
      </c>
      <c r="I41" s="6" t="n">
        <v>0.0</v>
      </c>
      <c r="J41" s="6">
        <f si="0" t="shared"/>
        <v>19629.213751112748</v>
      </c>
      <c r="L41" s="12">
        <v>0.79166666666666663</v>
      </c>
      <c r="M41" s="9" t="n">
        <v>18189.83678150177</v>
      </c>
      <c r="N41" s="9" t="n">
        <v>1593.977626800537</v>
      </c>
      <c r="O41" s="9" t="n">
        <v>0.0</v>
      </c>
      <c r="P41" s="9" t="n">
        <v>0.0</v>
      </c>
      <c r="Q41" s="9" t="n">
        <v>350.7774324417114</v>
      </c>
      <c r="R41" s="9" t="n">
        <v>72.63241863250732</v>
      </c>
      <c r="S41" s="9" t="n">
        <v>0.0</v>
      </c>
      <c r="T41" s="9" t="n">
        <v>0.0</v>
      </c>
      <c r="U41">
        <f si="1" t="shared"/>
        <v>22761.452894210815</v>
      </c>
    </row>
    <row r="42" spans="1:21" x14ac:dyDescent="0.25">
      <c r="A42" s="12">
        <v>0.8125</v>
      </c>
      <c r="B42" s="6" t="n">
        <v>11303.136446579916</v>
      </c>
      <c r="C42" s="6" t="n">
        <v>1480.7932796855002</v>
      </c>
      <c r="D42" s="6" t="n">
        <v>23.219031783332827</v>
      </c>
      <c r="E42" s="6" t="n">
        <v>232.08327714148427</v>
      </c>
      <c r="F42" s="6" t="n">
        <v>535.7540364847879</v>
      </c>
      <c r="G42" s="6" t="n">
        <v>104.3335223374996</v>
      </c>
      <c r="H42" s="6" t="n">
        <v>38.34804489757538</v>
      </c>
      <c r="I42" s="6" t="n">
        <v>0.0</v>
      </c>
      <c r="J42" s="6">
        <f si="0" t="shared"/>
        <v>13717.667638910096</v>
      </c>
      <c r="L42" s="12">
        <v>0.8125</v>
      </c>
      <c r="M42" s="9" t="n">
        <v>12516.46605873108</v>
      </c>
      <c r="N42" s="9" t="n">
        <v>1145.024881362915</v>
      </c>
      <c r="O42" s="9" t="n">
        <v>0.0</v>
      </c>
      <c r="P42" s="9" t="n">
        <v>0.0</v>
      </c>
      <c r="Q42" s="9" t="n">
        <v>267.3514738082886</v>
      </c>
      <c r="R42" s="9" t="n">
        <v>60.688693046569824</v>
      </c>
      <c r="S42" s="9" t="n">
        <v>0.0</v>
      </c>
      <c r="T42" s="9" t="n">
        <v>0.0</v>
      </c>
      <c r="U42">
        <f si="1" t="shared"/>
        <v>16143.928812980652</v>
      </c>
    </row>
    <row r="43" spans="1:21" x14ac:dyDescent="0.25">
      <c r="A43" s="12">
        <v>0.83333333333333337</v>
      </c>
      <c r="B43" s="6" t="n">
        <v>7626.655038170969</v>
      </c>
      <c r="C43" s="6" t="n">
        <v>1247.2383865144443</v>
      </c>
      <c r="D43" s="6" t="n">
        <v>20.297345136105537</v>
      </c>
      <c r="E43" s="6" t="n">
        <v>135.48362149714947</v>
      </c>
      <c r="F43" s="6" t="n">
        <v>557.7047211797019</v>
      </c>
      <c r="G43" s="6" t="n">
        <v>113.36111094065664</v>
      </c>
      <c r="H43" s="6" t="n">
        <v>34.01913101548672</v>
      </c>
      <c r="I43" s="6" t="n">
        <v>0.0</v>
      </c>
      <c r="J43" s="6">
        <f si="0" t="shared"/>
        <v>9734.7593544545125</v>
      </c>
      <c r="L43" s="12">
        <v>0.83333333333333337</v>
      </c>
      <c r="M43" s="9" t="n">
        <v>8831.411043167114</v>
      </c>
      <c r="N43" s="9" t="n">
        <v>856.8560962677002</v>
      </c>
      <c r="O43" s="9" t="n">
        <v>0.0</v>
      </c>
      <c r="P43" s="9" t="n">
        <v>0.0</v>
      </c>
      <c r="Q43" s="9" t="n">
        <v>215.37671375274658</v>
      </c>
      <c r="R43" s="9" t="n">
        <v>53.06001567840576</v>
      </c>
      <c r="S43" s="9" t="n">
        <v>0.0</v>
      </c>
      <c r="T43" s="9" t="n">
        <v>0.0</v>
      </c>
      <c r="U43">
        <f si="1" t="shared"/>
        <v>11649.237758636475</v>
      </c>
    </row>
    <row r="44" spans="1:21" x14ac:dyDescent="0.25">
      <c r="A44" s="12">
        <v>0.85416666666666663</v>
      </c>
      <c r="B44" s="6" t="n">
        <v>5384.519710811525</v>
      </c>
      <c r="C44" s="6" t="n">
        <v>1079.687815094712</v>
      </c>
      <c r="D44" s="6" t="n">
        <v>27.890694204299923</v>
      </c>
      <c r="E44" s="6" t="n">
        <v>84.32280070962238</v>
      </c>
      <c r="F44" s="6" t="n">
        <v>567.6826035033998</v>
      </c>
      <c r="G44" s="6" t="n">
        <v>113.12782180047225</v>
      </c>
      <c r="H44" s="6" t="n">
        <v>25.320011210432053</v>
      </c>
      <c r="I44" s="6" t="n">
        <v>0.0</v>
      </c>
      <c r="J44" s="6">
        <f si="0" t="shared"/>
        <v>7282.5514573344635</v>
      </c>
      <c r="L44" s="12">
        <v>0.85416666666666663</v>
      </c>
      <c r="M44" s="9" t="n">
        <v>6648.7362813949585</v>
      </c>
      <c r="N44" s="9" t="n">
        <v>686.759822845459</v>
      </c>
      <c r="O44" s="9" t="n">
        <v>0.0</v>
      </c>
      <c r="P44" s="9" t="n">
        <v>0.0</v>
      </c>
      <c r="Q44" s="9" t="n">
        <v>186.83132553100586</v>
      </c>
      <c r="R44" s="9" t="n">
        <v>48.73532199859619</v>
      </c>
      <c r="S44" s="9" t="n">
        <v>0.0</v>
      </c>
      <c r="T44" s="9" t="n">
        <v>0.0</v>
      </c>
      <c r="U44">
        <f si="1" t="shared"/>
        <v>8887.7037200927734</v>
      </c>
    </row>
    <row r="45" spans="1:21" x14ac:dyDescent="0.25">
      <c r="A45" s="12">
        <v>0.875</v>
      </c>
      <c r="B45" s="6" t="n">
        <v>4122.918615173801</v>
      </c>
      <c r="C45" s="6" t="n">
        <v>930.579945281619</v>
      </c>
      <c r="D45" s="6" t="n">
        <v>45.170561886214244</v>
      </c>
      <c r="E45" s="6" t="n">
        <v>70.28115615505124</v>
      </c>
      <c r="F45" s="6" t="n">
        <v>555.4922545443601</v>
      </c>
      <c r="G45" s="6" t="n">
        <v>103.74690833716772</v>
      </c>
      <c r="H45" s="6" t="n">
        <v>15.547713990869521</v>
      </c>
      <c r="I45" s="6" t="n">
        <v>0.0</v>
      </c>
      <c r="J45" s="6">
        <f si="0" t="shared"/>
        <v>5843.7371553690846</v>
      </c>
      <c r="L45" s="12">
        <v>0.875</v>
      </c>
      <c r="M45" s="9" t="n">
        <v>5397.082682609558</v>
      </c>
      <c r="N45" s="9" t="n">
        <v>587.1490831375122</v>
      </c>
      <c r="O45" s="9" t="n">
        <v>0.0</v>
      </c>
      <c r="P45" s="9" t="n">
        <v>0.0</v>
      </c>
      <c r="Q45" s="9" t="n">
        <v>172.39699459075928</v>
      </c>
      <c r="R45" s="9" t="n">
        <v>46.38383769989014</v>
      </c>
      <c r="S45" s="9" t="n">
        <v>0.0</v>
      </c>
      <c r="T45" s="9" t="n">
        <v>0.0</v>
      </c>
      <c r="U45">
        <f si="1" t="shared"/>
        <v>7259.4734706878662</v>
      </c>
    </row>
    <row r="46" spans="1:21" x14ac:dyDescent="0.25">
      <c r="A46" s="12">
        <v>0.89583333333333337</v>
      </c>
      <c r="B46" s="6" t="n">
        <v>3445.1392088009734</v>
      </c>
      <c r="C46" s="6" t="n">
        <v>778.0114334455338</v>
      </c>
      <c r="D46" s="6" t="n">
        <v>67.37879337551975</v>
      </c>
      <c r="E46" s="6" t="n">
        <v>77.37674624116039</v>
      </c>
      <c r="F46" s="6" t="n">
        <v>516.193275813426</v>
      </c>
      <c r="G46" s="6" t="n">
        <v>88.14707927406883</v>
      </c>
      <c r="H46" s="6" t="n">
        <v>7.769692793540954</v>
      </c>
      <c r="I46" s="6" t="n">
        <v>0.0</v>
      </c>
      <c r="J46" s="6">
        <f si="0" t="shared"/>
        <v>4980.0162297442239</v>
      </c>
      <c r="L46" s="12">
        <v>0.89583333333333337</v>
      </c>
      <c r="M46" s="9" t="n">
        <v>4643.38457775116</v>
      </c>
      <c r="N46" s="9" t="n">
        <v>521.7167253494263</v>
      </c>
      <c r="O46" s="9" t="n">
        <v>0.0</v>
      </c>
      <c r="P46" s="9" t="n">
        <v>0.0</v>
      </c>
      <c r="Q46" s="9" t="n">
        <v>164.56578731536865</v>
      </c>
      <c r="R46" s="9" t="n">
        <v>44.990455627441406</v>
      </c>
      <c r="S46" s="9" t="n">
        <v>0.0</v>
      </c>
      <c r="T46" s="9" t="n">
        <v>0.0</v>
      </c>
      <c r="U46">
        <f si="1" t="shared"/>
        <v>6258.1898784637451</v>
      </c>
    </row>
    <row r="47" spans="1:21" x14ac:dyDescent="0.25">
      <c r="A47" s="12">
        <v>0.91666666666666663</v>
      </c>
      <c r="B47" s="6" t="n">
        <v>3053.004978531318</v>
      </c>
      <c r="C47" s="6" t="n">
        <v>622.5248448763724</v>
      </c>
      <c r="D47" s="6" t="n">
        <v>85.8133838376198</v>
      </c>
      <c r="E47" s="6" t="n">
        <v>88.7173848351736</v>
      </c>
      <c r="F47" s="6" t="n">
        <v>451.7948748044787</v>
      </c>
      <c r="G47" s="6" t="n">
        <v>70.23471539407635</v>
      </c>
      <c r="H47" s="6" t="n">
        <v>3.1075556794309613</v>
      </c>
      <c r="I47" s="6" t="n">
        <v>0.0</v>
      </c>
      <c r="J47" s="6">
        <f si="0" t="shared"/>
        <v>4375.1977379584705</v>
      </c>
      <c r="L47" s="12">
        <v>0.91666666666666663</v>
      </c>
      <c r="M47" s="9" t="n">
        <v>4110.957349777222</v>
      </c>
      <c r="N47" s="9" t="n">
        <v>467.2886447906494</v>
      </c>
      <c r="O47" s="9" t="n">
        <v>0.0</v>
      </c>
      <c r="P47" s="9" t="n">
        <v>0.0</v>
      </c>
      <c r="Q47" s="9" t="n">
        <v>157.70655345916748</v>
      </c>
      <c r="R47" s="9" t="n">
        <v>43.68093490600586</v>
      </c>
      <c r="S47" s="9" t="n">
        <v>0.0</v>
      </c>
      <c r="T47" s="9" t="n">
        <v>0.0</v>
      </c>
      <c r="U47">
        <f si="1" t="shared"/>
        <v>5538.7471008300781</v>
      </c>
    </row>
    <row r="48" spans="1:21" x14ac:dyDescent="0.25">
      <c r="A48" s="12">
        <v>0.9375</v>
      </c>
      <c r="B48" s="6" t="n">
        <v>2728.4483978896606</v>
      </c>
      <c r="C48" s="6" t="n">
        <v>473.40216184233475</v>
      </c>
      <c r="D48" s="6" t="n">
        <v>91.67644682116128</v>
      </c>
      <c r="E48" s="6" t="n">
        <v>91.65683697721482</v>
      </c>
      <c r="F48" s="6" t="n">
        <v>371.2000821722479</v>
      </c>
      <c r="G48" s="6" t="n">
        <v>53.034740493068696</v>
      </c>
      <c r="H48" s="6" t="n">
        <v>0.9710995280313491</v>
      </c>
      <c r="I48" s="6" t="n">
        <v>0.0</v>
      </c>
      <c r="J48" s="6">
        <f si="0" t="shared"/>
        <v>3810.3897657237194</v>
      </c>
      <c r="L48" s="12">
        <v>0.9375</v>
      </c>
      <c r="M48" s="9" t="n">
        <v>3618.286979675293</v>
      </c>
      <c r="N48" s="9" t="n">
        <v>409.5179252624512</v>
      </c>
      <c r="O48" s="9" t="n">
        <v>0.0</v>
      </c>
      <c r="P48" s="9" t="n">
        <v>0.0</v>
      </c>
      <c r="Q48" s="9" t="n">
        <v>147.12589168548584</v>
      </c>
      <c r="R48" s="9" t="n">
        <v>41.372403144836426</v>
      </c>
      <c r="S48" s="9" t="n">
        <v>0.0</v>
      </c>
      <c r="T48" s="9" t="n">
        <v>0.0</v>
      </c>
      <c r="U48">
        <f si="1" t="shared"/>
        <v>4868.652684211731</v>
      </c>
    </row>
    <row r="49" spans="1:21" x14ac:dyDescent="0.25">
      <c r="A49" s="12">
        <v>0.95833333333333337</v>
      </c>
      <c r="B49" s="6" t="n">
        <v>2330.443094316265</v>
      </c>
      <c r="C49" s="6" t="n">
        <v>339.333855369627</v>
      </c>
      <c r="D49" s="6" t="n">
        <v>81.68818405462932</v>
      </c>
      <c r="E49" s="6" t="n">
        <v>81.33995204582595</v>
      </c>
      <c r="F49" s="6" t="n">
        <v>286.20167827069093</v>
      </c>
      <c r="G49" s="6" t="n">
        <v>37.97055905024815</v>
      </c>
      <c r="H49" s="6" t="n">
        <v>0.2284940065956116</v>
      </c>
      <c r="I49" s="6" t="n">
        <v>0.0</v>
      </c>
      <c r="J49" s="6">
        <f si="0" t="shared"/>
        <v>3157.2058171138824</v>
      </c>
      <c r="L49" s="12">
        <v>0.95833333333333337</v>
      </c>
      <c r="M49" s="9" t="n">
        <v>3050.6427211761475</v>
      </c>
      <c r="N49" s="9" t="n">
        <v>340.7582817077637</v>
      </c>
      <c r="O49" s="9" t="n">
        <v>0.0</v>
      </c>
      <c r="P49" s="9" t="n">
        <v>0.0</v>
      </c>
      <c r="Q49" s="9" t="n">
        <v>129.38457584381104</v>
      </c>
      <c r="R49" s="9" t="n">
        <v>36.98449897766113</v>
      </c>
      <c r="S49" s="9" t="n">
        <v>0.0</v>
      </c>
      <c r="T49" s="9" t="n">
        <v>0.0</v>
      </c>
      <c r="U49">
        <f si="1" t="shared"/>
        <v>4100.6334848403931</v>
      </c>
    </row>
    <row r="50" spans="1:21" x14ac:dyDescent="0.25">
      <c r="A50" s="12">
        <v>0.97916666666666663</v>
      </c>
      <c r="B50" s="6" t="n">
        <v>1818.3863163427363</v>
      </c>
      <c r="C50" s="6" t="n">
        <v>226.2049471979217</v>
      </c>
      <c r="D50" s="6" t="n">
        <v>60.40823201835727</v>
      </c>
      <c r="E50" s="6" t="n">
        <v>61.06974619599628</v>
      </c>
      <c r="F50" s="6" t="n">
        <v>206.4320765394831</v>
      </c>
      <c r="G50" s="6" t="n">
        <v>25.396580525828362</v>
      </c>
      <c r="H50" s="6" t="n">
        <v>0.03808233443260193</v>
      </c>
      <c r="I50" s="6" t="n">
        <v>0.0</v>
      </c>
      <c r="J50" s="6">
        <f si="0" t="shared"/>
        <v>2397.9359811547561</v>
      </c>
      <c r="L50" s="12">
        <v>0.97916666666666663</v>
      </c>
      <c r="M50" s="9" t="n">
        <v>2377.731677055359</v>
      </c>
      <c r="N50" s="9" t="n">
        <v>261.3696632385254</v>
      </c>
      <c r="O50" s="9" t="n">
        <v>0.0</v>
      </c>
      <c r="P50" s="9" t="n">
        <v>0.0</v>
      </c>
      <c r="Q50" s="9" t="n">
        <v>103.9868106842041</v>
      </c>
      <c r="R50" s="9" t="n">
        <v>30.178739547729492</v>
      </c>
      <c r="S50" s="9" t="n">
        <v>0.0</v>
      </c>
      <c r="T50" s="9" t="n">
        <v>0.0</v>
      </c>
      <c r="U50">
        <f si="1" t="shared"/>
        <v>3195.967248916626</v>
      </c>
    </row>
    <row r="51" spans="1:21" x14ac:dyDescent="0.25">
      <c r="A51" s="12">
        <v>1</v>
      </c>
      <c r="B51" s="6" t="n">
        <v>1253.3462937030783</v>
      </c>
      <c r="C51" s="6" t="n">
        <v>137.61930765194603</v>
      </c>
      <c r="D51" s="6" t="n">
        <v>36.80567314211845</v>
      </c>
      <c r="E51" s="6" t="n">
        <v>38.51827308019543</v>
      </c>
      <c r="F51" s="6" t="n">
        <v>137.6451662567206</v>
      </c>
      <c r="G51" s="6" t="n">
        <v>15.440890959648133</v>
      </c>
      <c r="H51" s="6" t="n">
        <v>0.004008666782379151</v>
      </c>
      <c r="I51" s="6" t="n">
        <v>0.0</v>
      </c>
      <c r="J51" s="6">
        <f si="0" t="shared"/>
        <v>1619.3796134604893</v>
      </c>
      <c r="L51" s="12">
        <v>1</v>
      </c>
      <c r="M51" s="9" t="n">
        <v>1661.8636980056763</v>
      </c>
      <c r="N51" s="9" t="n">
        <v>179.86834239959717</v>
      </c>
      <c r="O51" s="9" t="n">
        <v>0.0</v>
      </c>
      <c r="P51" s="9" t="n">
        <v>0.0</v>
      </c>
      <c r="Q51" s="9" t="n">
        <v>74.33996486663818</v>
      </c>
      <c r="R51" s="9" t="n">
        <v>21.844919204711914</v>
      </c>
      <c r="S51" s="9" t="n">
        <v>0.0</v>
      </c>
      <c r="T51" s="9" t="n">
        <v>0.0</v>
      </c>
      <c r="U51">
        <f si="1" t="shared"/>
        <v>2236.0490283966064</v>
      </c>
    </row>
    <row r="52" spans="1:21" x14ac:dyDescent="0.25">
      <c r="A52" s="12">
        <v>1.0208333333333333</v>
      </c>
      <c r="B52" s="6" t="n">
        <v>744.583860762908</v>
      </c>
      <c r="C52" s="6" t="n">
        <v>74.71009902600287</v>
      </c>
      <c r="D52" s="6" t="n">
        <v>18.274543740262985</v>
      </c>
      <c r="E52" s="6" t="n">
        <v>20.299243180124286</v>
      </c>
      <c r="F52" s="6" t="n">
        <v>83.01927463368894</v>
      </c>
      <c r="G52" s="6" t="n">
        <v>8.262397620683672</v>
      </c>
      <c r="H52" s="6" t="n">
        <v>2.0043333911895752E-4</v>
      </c>
      <c r="I52" s="6" t="n">
        <v>0.0</v>
      </c>
      <c r="J52" s="6">
        <f si="0" t="shared"/>
        <v>949.14961939700993</v>
      </c>
      <c r="L52" s="12">
        <v>1.0208333333333333</v>
      </c>
      <c r="M52" s="9" t="n">
        <v>1015.8418207168579</v>
      </c>
      <c r="N52" s="9" t="n">
        <v>108.45210838317871</v>
      </c>
      <c r="O52" s="9" t="n">
        <v>0.0</v>
      </c>
      <c r="P52" s="9" t="n">
        <v>0.0</v>
      </c>
      <c r="Q52" s="9" t="n">
        <v>46.20689678192139</v>
      </c>
      <c r="R52" s="9" t="n">
        <v>13.706262588500977</v>
      </c>
      <c r="S52" s="9" t="n">
        <v>0.0</v>
      </c>
      <c r="T52" s="9" t="n">
        <v>0.0</v>
      </c>
      <c r="U52">
        <f si="1" t="shared"/>
        <v>1369.3499803543091</v>
      </c>
    </row>
    <row r="53" spans="1:21" x14ac:dyDescent="0.25">
      <c r="A53" s="12">
        <v>4.1666666666666664E-2</v>
      </c>
      <c r="B53" s="6" t="n">
        <v>373.8062334131012</v>
      </c>
      <c r="C53" s="6" t="n">
        <v>35.31043933399581</v>
      </c>
      <c r="D53" s="6" t="n">
        <v>7.274602204261781</v>
      </c>
      <c r="E53" s="6" t="n">
        <v>8.89101023329258</v>
      </c>
      <c r="F53" s="6" t="n">
        <v>44.04797356747532</v>
      </c>
      <c r="G53" s="6" t="n">
        <v>3.7684461897325514</v>
      </c>
      <c r="H53" s="6" t="n">
        <v>0.0</v>
      </c>
      <c r="I53" s="6" t="n">
        <v>0.0</v>
      </c>
      <c r="J53" s="6">
        <f si="0" t="shared"/>
        <v>473.0987049418593</v>
      </c>
      <c r="L53" s="12">
        <v>4.1666666666666664E-2</v>
      </c>
      <c r="M53" s="9" t="n">
        <v>531.4753036499023</v>
      </c>
      <c r="N53" s="9" t="n">
        <v>56.078511238098145</v>
      </c>
      <c r="O53" s="9" t="n">
        <v>0.0</v>
      </c>
      <c r="P53" s="9" t="n">
        <v>0.0</v>
      </c>
      <c r="Q53" s="9" t="n">
        <v>24.472651481628418</v>
      </c>
      <c r="R53" s="9" t="n">
        <v>7.307713508605957</v>
      </c>
      <c r="S53" s="9" t="n">
        <v>0.0</v>
      </c>
      <c r="T53" s="9" t="n">
        <v>0.0</v>
      </c>
      <c r="U53">
        <f si="1" t="shared"/>
        <v>718.10448169708252</v>
      </c>
    </row>
    <row r="54" spans="1:21" x14ac:dyDescent="0.25">
      <c r="A54" s="12">
        <v>6.25E-2</v>
      </c>
      <c r="B54" s="6" t="n">
        <v>155.6456603471918</v>
      </c>
      <c r="C54" s="6" t="n">
        <v>14.152574338542935</v>
      </c>
      <c r="D54" s="6" t="n">
        <v>2.2659766696977615</v>
      </c>
      <c r="E54" s="6" t="n">
        <v>3.2182028616571428</v>
      </c>
      <c r="F54" s="6" t="n">
        <v>19.95216296634674</v>
      </c>
      <c r="G54" s="6" t="n">
        <v>1.4196798588819504</v>
      </c>
      <c r="H54" s="6" t="n">
        <v>0.0</v>
      </c>
      <c r="I54" s="6" t="n">
        <v>0.0</v>
      </c>
      <c r="J54" s="6">
        <f si="0" t="shared"/>
        <v>196.65425704231833</v>
      </c>
      <c r="L54" s="12">
        <v>6.25E-2</v>
      </c>
      <c r="M54" s="9" t="n">
        <v>233.06997203826904</v>
      </c>
      <c r="N54" s="9" t="n">
        <v>24.34616756439209</v>
      </c>
      <c r="O54" s="9" t="n">
        <v>0.0</v>
      </c>
      <c r="P54" s="9" t="n">
        <v>0.0</v>
      </c>
      <c r="Q54" s="9" t="n">
        <v>10.82694149017334</v>
      </c>
      <c r="R54" s="9" t="n">
        <v>3.2470932006835938</v>
      </c>
      <c r="S54" s="9" t="n">
        <v>0.0</v>
      </c>
      <c r="T54" s="9" t="n">
        <v>0.0</v>
      </c>
      <c r="U54">
        <f si="1" t="shared"/>
        <v>315.72165679931641</v>
      </c>
    </row>
    <row r="55" spans="1:21" x14ac:dyDescent="0.25">
      <c r="A55" s="12">
        <v>8.3333333333333329E-2</v>
      </c>
      <c r="B55" s="6" t="n">
        <v>52.623244569283486</v>
      </c>
      <c r="C55" s="6" t="n">
        <v>4.673133921858787</v>
      </c>
      <c r="D55" s="6" t="n">
        <v>0.5320807243919373</v>
      </c>
      <c r="E55" s="6" t="n">
        <v>0.9562272321796417</v>
      </c>
      <c r="F55" s="6" t="n">
        <v>7.479555080173492</v>
      </c>
      <c r="G55" s="6" t="n">
        <v>0.42688342025661463</v>
      </c>
      <c r="H55" s="6" t="n">
        <v>0.0</v>
      </c>
      <c r="I55" s="6" t="n">
        <v>0.0</v>
      </c>
      <c r="J55" s="6">
        <f si="0" t="shared"/>
        <v>66.691124948143965</v>
      </c>
      <c r="L55" s="12">
        <v>8.3333333333333329E-2</v>
      </c>
      <c r="M55" s="9" t="n">
        <v>83.70434761047363</v>
      </c>
      <c r="N55" s="9" t="n">
        <v>8.667641639709473</v>
      </c>
      <c r="O55" s="9" t="n">
        <v>0.0</v>
      </c>
      <c r="P55" s="9" t="n">
        <v>0.0</v>
      </c>
      <c r="Q55" s="9" t="n">
        <v>3.912334442138672</v>
      </c>
      <c r="R55" s="9" t="n">
        <v>1.1762313842773438</v>
      </c>
      <c r="S55" s="9" t="n">
        <v>0.0</v>
      </c>
      <c r="T55" s="9" t="n">
        <v>0.0</v>
      </c>
      <c r="U55">
        <f si="1" t="shared"/>
        <v>113.68387794494629</v>
      </c>
    </row>
    <row r="56" spans="1:21" x14ac:dyDescent="0.25">
      <c r="A56" s="12">
        <v>0.10416666666666667</v>
      </c>
      <c r="B56" s="6" t="n">
        <v>14.053019712368966</v>
      </c>
      <c r="C56" s="6" t="n">
        <v>1.2281447883062362</v>
      </c>
      <c r="D56" s="6" t="n">
        <v>0.08857715204238892</v>
      </c>
      <c r="E56" s="6" t="n">
        <v>0.23083683035850522</v>
      </c>
      <c r="F56" s="6" t="n">
        <v>2.2409118690643313</v>
      </c>
      <c r="G56" s="6" t="n">
        <v>0.09807561176300048</v>
      </c>
      <c r="H56" s="6" t="n">
        <v>0.0</v>
      </c>
      <c r="I56" s="6" t="n">
        <v>0.0</v>
      </c>
      <c r="J56" s="6">
        <f si="0" t="shared"/>
        <v>17.93956596390343</v>
      </c>
      <c r="L56" s="12">
        <v>0.10416666666666667</v>
      </c>
      <c r="M56" s="9" t="n">
        <v>23.906529426574707</v>
      </c>
      <c r="N56" s="9" t="n">
        <v>2.4565582275390625</v>
      </c>
      <c r="O56" s="9" t="n">
        <v>0.0</v>
      </c>
      <c r="P56" s="9" t="n">
        <v>0.0</v>
      </c>
      <c r="Q56" s="9" t="n">
        <v>1.1220130920410156</v>
      </c>
      <c r="R56" s="9" t="n">
        <v>0.3376302719116211</v>
      </c>
      <c r="S56" s="9" t="n">
        <v>0.0</v>
      </c>
      <c r="T56" s="9" t="n">
        <v>0.0</v>
      </c>
      <c r="U56">
        <f si="1" t="shared"/>
        <v>32.551657676696777</v>
      </c>
    </row>
    <row r="57" spans="1:21" x14ac:dyDescent="0.25">
      <c r="A57" s="12">
        <v>0.125</v>
      </c>
      <c r="B57" s="6" t="n">
        <v>2.8124181403236386</v>
      </c>
      <c r="C57" s="6" t="n">
        <v>0.24246661379146575</v>
      </c>
      <c r="D57" s="6" t="n">
        <v>0.009319265537261963</v>
      </c>
      <c r="E57" s="6" t="n">
        <v>0.043715666983604434</v>
      </c>
      <c r="F57" s="6" t="n">
        <v>0.5048252032003402</v>
      </c>
      <c r="G57" s="6" t="n">
        <v>0.01604294101142883</v>
      </c>
      <c r="H57" s="6" t="n">
        <v>0.0</v>
      </c>
      <c r="I57" s="6" t="n">
        <v>0.0</v>
      </c>
      <c r="J57" s="6">
        <f si="0" t="shared"/>
        <v>3.6287878308477404</v>
      </c>
      <c r="L57" s="12">
        <v>0.125</v>
      </c>
      <c r="M57" s="9" t="n">
        <v>5.133847236633301</v>
      </c>
      <c r="N57" s="9" t="n">
        <v>0.5240077972412109</v>
      </c>
      <c r="O57" s="9" t="n">
        <v>0.0</v>
      </c>
      <c r="P57" s="9" t="n">
        <v>0.0</v>
      </c>
      <c r="Q57" s="9" t="n">
        <v>0.2415761947631836</v>
      </c>
      <c r="R57" s="9" t="n">
        <v>0.07266616821289062</v>
      </c>
      <c r="S57" s="9" t="n">
        <v>0.0</v>
      </c>
      <c r="T57" s="9" t="n">
        <v>0.0</v>
      </c>
      <c r="U57">
        <f si="1" t="shared"/>
        <v>7.0068979263305664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K4" sqref="K4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4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0.009944324538230898</v>
      </c>
      <c r="D9" s="6" t="n">
        <v>0.0</v>
      </c>
      <c r="E9" s="6" t="n">
        <v>0.0</v>
      </c>
      <c r="F9" s="6" t="n">
        <v>7.548887157440186E-5</v>
      </c>
      <c r="G9" s="6" t="n">
        <v>2.3931151390075683E-4</v>
      </c>
      <c r="H9" s="6" t="n">
        <v>5.140714645385742E-5</v>
      </c>
      <c r="I9" s="6" t="n">
        <v>0.0</v>
      </c>
      <c r="J9" s="6">
        <f ref="J9:J58" si="0" t="shared">SUM(B9:I9)</f>
        <v>1.0310532070159913E-2</v>
      </c>
      <c r="L9" s="12">
        <v>0.125</v>
      </c>
      <c r="M9" s="9" t="n">
        <v>0.056847572326660156</v>
      </c>
      <c r="N9" s="9" t="n">
        <v>0.0</v>
      </c>
      <c r="O9" s="9" t="n">
        <v>0.0</v>
      </c>
      <c r="P9" s="9" t="n">
        <v>0.0</v>
      </c>
      <c r="Q9" s="9" t="n">
        <v>0.005394935607910156</v>
      </c>
      <c r="R9" s="9" t="n">
        <v>0.02019214630126953</v>
      </c>
      <c r="S9" s="9" t="n">
        <v>1.387284278869629</v>
      </c>
      <c r="T9" s="9" t="n">
        <v>0.0</v>
      </c>
      <c r="U9">
        <f ref="U9:U58" si="1" t="shared">SUM(M9:T9)</f>
        <v>3.6094150543212891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0.0599816400718689</v>
      </c>
      <c r="D10" s="6" t="n">
        <v>0.0</v>
      </c>
      <c r="E10" s="6" t="n">
        <v>0.0</v>
      </c>
      <c r="F10" s="6" t="n">
        <v>0.0016927643661499027</v>
      </c>
      <c r="G10" s="6" t="n">
        <v>0.004935185635566712</v>
      </c>
      <c r="H10" s="6" t="n">
        <v>0.0010281429290771482</v>
      </c>
      <c r="I10" s="6" t="n">
        <v>0.0</v>
      </c>
      <c r="J10" s="6">
        <f si="0" t="shared"/>
        <v>6.7637733002662667E-2</v>
      </c>
      <c r="L10" s="12">
        <v>0.14583333333333334</v>
      </c>
      <c r="M10" s="9" t="n">
        <v>0.09128093719482422</v>
      </c>
      <c r="N10" s="9" t="n">
        <v>0.0</v>
      </c>
      <c r="O10" s="9" t="n">
        <v>0.0</v>
      </c>
      <c r="P10" s="9" t="n">
        <v>0.0</v>
      </c>
      <c r="Q10" s="9" t="n">
        <v>0.03289222717285156</v>
      </c>
      <c r="R10" s="9" t="n">
        <v>0.12444210052490234</v>
      </c>
      <c r="S10" s="9" t="n">
        <v>2.338550567626953</v>
      </c>
      <c r="T10" s="9" t="n">
        <v>0.0</v>
      </c>
      <c r="U10">
        <f si="1" t="shared"/>
        <v>3.54547119140625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0.25492197030544284</v>
      </c>
      <c r="D11" s="6" t="n">
        <v>0.0</v>
      </c>
      <c r="E11" s="6" t="n">
        <v>0.0</v>
      </c>
      <c r="F11" s="6" t="n">
        <v>0.01809167205142975</v>
      </c>
      <c r="G11" s="6" t="n">
        <v>0.048448294792175293</v>
      </c>
      <c r="H11" s="6" t="n">
        <v>0.009849957345962524</v>
      </c>
      <c r="I11" s="6" t="n">
        <v>0.0</v>
      </c>
      <c r="J11" s="6">
        <f si="0" t="shared"/>
        <v>0.33131189449501036</v>
      </c>
      <c r="L11" s="12">
        <v>0.16666666666666666</v>
      </c>
      <c r="M11" s="9" t="n">
        <v>0.10627937316894531</v>
      </c>
      <c r="N11" s="9" t="n">
        <v>0.0</v>
      </c>
      <c r="O11" s="9" t="n">
        <v>0.0</v>
      </c>
      <c r="P11" s="9" t="n">
        <v>0.0</v>
      </c>
      <c r="Q11" s="9" t="n">
        <v>0.14657211303710938</v>
      </c>
      <c r="R11" s="9" t="n">
        <v>0.5515279769897461</v>
      </c>
      <c r="S11" s="9" t="n">
        <v>3.2234697341918945</v>
      </c>
      <c r="T11" s="9" t="n">
        <v>0.0</v>
      </c>
      <c r="U11">
        <f si="1" t="shared"/>
        <v>5.2719392776489258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0.8157503049774171</v>
      </c>
      <c r="D12" s="6" t="n">
        <v>0.0</v>
      </c>
      <c r="E12" s="6" t="n">
        <v>0.0</v>
      </c>
      <c r="F12" s="6" t="n">
        <v>0.12278365158176423</v>
      </c>
      <c r="G12" s="6" t="n">
        <v>0.301116643781662</v>
      </c>
      <c r="H12" s="6" t="n">
        <v>0.06030107280445098</v>
      </c>
      <c r="I12" s="6" t="n">
        <v>0.0</v>
      </c>
      <c r="J12" s="6">
        <f si="0" t="shared"/>
        <v>1.2999516731452943</v>
      </c>
      <c r="L12" s="12">
        <v>0.1875</v>
      </c>
      <c r="M12" s="9" t="n">
        <v>0.14070606231689453</v>
      </c>
      <c r="N12" s="9" t="n">
        <v>0.0</v>
      </c>
      <c r="O12" s="9" t="n">
        <v>0.0</v>
      </c>
      <c r="P12" s="9" t="n">
        <v>0.0</v>
      </c>
      <c r="Q12" s="9" t="n">
        <v>0.5060157775878906</v>
      </c>
      <c r="R12" s="9" t="n">
        <v>1.8700246810913086</v>
      </c>
      <c r="S12" s="9" t="n">
        <v>5.687625885009766</v>
      </c>
      <c r="T12" s="9" t="n">
        <v>0.0</v>
      </c>
      <c r="U12">
        <f si="1" t="shared"/>
        <v>12.609511375427246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2.0393757624435427</v>
      </c>
      <c r="D13" s="6" t="n">
        <v>0.0</v>
      </c>
      <c r="E13" s="6" t="n">
        <v>0.0</v>
      </c>
      <c r="F13" s="6" t="n">
        <v>0.5950838238058092</v>
      </c>
      <c r="G13" s="6" t="n">
        <v>1.3292733924579618</v>
      </c>
      <c r="H13" s="6" t="n">
        <v>0.2664995027360916</v>
      </c>
      <c r="I13" s="6" t="n">
        <v>0.0</v>
      </c>
      <c r="J13" s="6">
        <f si="0" t="shared"/>
        <v>4.2302324814434051</v>
      </c>
      <c r="L13" s="12">
        <v>0.20833333333333334</v>
      </c>
      <c r="M13" s="9" t="n">
        <v>0.26279449462890625</v>
      </c>
      <c r="N13" s="9" t="n">
        <v>0.0</v>
      </c>
      <c r="O13" s="9" t="n">
        <v>0.0</v>
      </c>
      <c r="P13" s="9" t="n">
        <v>0.0</v>
      </c>
      <c r="Q13" s="9" t="n">
        <v>1.4007368087768555</v>
      </c>
      <c r="R13" s="9" t="n">
        <v>5.026899337768555</v>
      </c>
      <c r="S13" s="9" t="n">
        <v>12.522049903869629</v>
      </c>
      <c r="T13" s="9" t="n">
        <v>0.0</v>
      </c>
      <c r="U13">
        <f si="1" t="shared"/>
        <v>32.35130500793457</v>
      </c>
    </row>
    <row r="14" spans="1:26" x14ac:dyDescent="0.25">
      <c r="A14" s="12">
        <v>0.22916666666666666</v>
      </c>
      <c r="B14" s="6" t="n">
        <v>4.04650821685791E-5</v>
      </c>
      <c r="C14" s="6" t="n">
        <v>4.078751524887085</v>
      </c>
      <c r="D14" s="6" t="n">
        <v>2.915756034851074E-5</v>
      </c>
      <c r="E14" s="6" t="n">
        <v>8.420389938354491E-5</v>
      </c>
      <c r="F14" s="6" t="n">
        <v>2.1975898885965353</v>
      </c>
      <c r="G14" s="6" t="n">
        <v>4.432126786086082</v>
      </c>
      <c r="H14" s="6" t="n">
        <v>0.9166551616973876</v>
      </c>
      <c r="I14" s="6" t="n">
        <v>0.0</v>
      </c>
      <c r="J14" s="6">
        <f si="0" t="shared"/>
        <v>11.625277187808992</v>
      </c>
      <c r="L14" s="12">
        <v>0.22916666666666666</v>
      </c>
      <c r="M14" s="9" t="n">
        <v>0.5501642227172852</v>
      </c>
      <c r="N14" s="9" t="n">
        <v>0.0</v>
      </c>
      <c r="O14" s="9" t="n">
        <v>0.0</v>
      </c>
      <c r="P14" s="9" t="n">
        <v>0.0</v>
      </c>
      <c r="Q14" s="9" t="n">
        <v>3.188326835632324</v>
      </c>
      <c r="R14" s="9" t="n">
        <v>10.978854179382324</v>
      </c>
      <c r="S14" s="9" t="n">
        <v>26.612196922302246</v>
      </c>
      <c r="T14" s="9" t="n">
        <v>0.0</v>
      </c>
      <c r="U14">
        <f si="1" t="shared"/>
        <v>72.69827938079834</v>
      </c>
    </row>
    <row r="15" spans="1:26" x14ac:dyDescent="0.25">
      <c r="A15" s="12">
        <v>0.25</v>
      </c>
      <c r="B15" s="6" t="n">
        <v>8.491594438552858E-4</v>
      </c>
      <c r="C15" s="6" t="n">
        <v>6.627971227941513</v>
      </c>
      <c r="D15" s="6" t="n">
        <v>5.831512069702148E-4</v>
      </c>
      <c r="E15" s="6" t="n">
        <v>0.001684077987670898</v>
      </c>
      <c r="F15" s="6" t="n">
        <v>6.449867726181985</v>
      </c>
      <c r="G15" s="6" t="n">
        <v>11.588326644449232</v>
      </c>
      <c r="H15" s="6" t="n">
        <v>2.6065334604368204</v>
      </c>
      <c r="I15" s="6" t="n">
        <v>0.0</v>
      </c>
      <c r="J15" s="6">
        <f si="0" t="shared"/>
        <v>27.27581544764805</v>
      </c>
      <c r="L15" s="12">
        <v>0.25</v>
      </c>
      <c r="M15" s="9" t="n">
        <v>1.0565357208251953</v>
      </c>
      <c r="N15" s="9" t="n">
        <v>0.0</v>
      </c>
      <c r="O15" s="9" t="n">
        <v>0.0</v>
      </c>
      <c r="P15" s="9" t="n">
        <v>0.0</v>
      </c>
      <c r="Q15" s="9" t="n">
        <v>6.091870307922363</v>
      </c>
      <c r="R15" s="9" t="n">
        <v>19.831436157226562</v>
      </c>
      <c r="S15" s="9" t="n">
        <v>48.930580139160156</v>
      </c>
      <c r="T15" s="9" t="n">
        <v>0.0</v>
      </c>
      <c r="U15">
        <f si="1" t="shared"/>
        <v>138.77703285217285</v>
      </c>
    </row>
    <row r="16" spans="1:26" x14ac:dyDescent="0.25">
      <c r="A16" s="12">
        <v>0.27083333333333331</v>
      </c>
      <c r="B16" s="6" t="n">
        <v>0.008485521621704104</v>
      </c>
      <c r="C16" s="6" t="n">
        <v>8.837294970588685</v>
      </c>
      <c r="D16" s="6" t="n">
        <v>0.005539936466217041</v>
      </c>
      <c r="E16" s="6" t="n">
        <v>0.016154004042625424</v>
      </c>
      <c r="F16" s="6" t="n">
        <v>15.520880649299624</v>
      </c>
      <c r="G16" s="6" t="n">
        <v>24.35747621833706</v>
      </c>
      <c r="H16" s="6" t="n">
        <v>6.47263677919197</v>
      </c>
      <c r="I16" s="6" t="n">
        <v>0.0</v>
      </c>
      <c r="J16" s="6">
        <f si="0" t="shared"/>
        <v>55.21846807954789</v>
      </c>
      <c r="L16" s="12">
        <v>0.27083333333333331</v>
      </c>
      <c r="M16" s="9" t="n">
        <v>1.7745656967163086</v>
      </c>
      <c r="N16" s="9" t="n">
        <v>0.0</v>
      </c>
      <c r="O16" s="9" t="n">
        <v>0.0</v>
      </c>
      <c r="P16" s="9" t="n">
        <v>0.0</v>
      </c>
      <c r="Q16" s="9" t="n">
        <v>9.969223976135254</v>
      </c>
      <c r="R16" s="9" t="n">
        <v>30.044940948486328</v>
      </c>
      <c r="S16" s="9" t="n">
        <v>76.72418212890625</v>
      </c>
      <c r="T16" s="9" t="n">
        <v>0.0</v>
      </c>
      <c r="U16">
        <f si="1" t="shared"/>
        <v>228.16771221160889</v>
      </c>
    </row>
    <row r="17" spans="1:21" x14ac:dyDescent="0.25">
      <c r="A17" s="12">
        <v>0.29166666666666669</v>
      </c>
      <c r="B17" s="6" t="n">
        <v>0.05372452319335938</v>
      </c>
      <c r="C17" s="6" t="n">
        <v>9.721024467647553</v>
      </c>
      <c r="D17" s="6" t="n">
        <v>0.033239618797302244</v>
      </c>
      <c r="E17" s="6" t="n">
        <v>0.09909770849227903</v>
      </c>
      <c r="F17" s="6" t="n">
        <v>31.437917690500264</v>
      </c>
      <c r="G17" s="6" t="n">
        <v>41.90499567560386</v>
      </c>
      <c r="H17" s="6" t="n">
        <v>14.671807509055137</v>
      </c>
      <c r="I17" s="6" t="n">
        <v>0.0</v>
      </c>
      <c r="J17" s="6">
        <f si="0" t="shared"/>
        <v>97.921807193289752</v>
      </c>
      <c r="L17" s="12">
        <v>0.29166666666666669</v>
      </c>
      <c r="M17" s="9" t="n">
        <v>2.627926826477051</v>
      </c>
      <c r="N17" s="9" t="n">
        <v>0.0</v>
      </c>
      <c r="O17" s="9" t="n">
        <v>0.0</v>
      </c>
      <c r="P17" s="9" t="n">
        <v>0.0</v>
      </c>
      <c r="Q17" s="9" t="n">
        <v>14.317131996154785</v>
      </c>
      <c r="R17" s="9" t="n">
        <v>38.668396949768066</v>
      </c>
      <c r="S17" s="9" t="n">
        <v>104.10123538970947</v>
      </c>
      <c r="T17" s="9" t="n">
        <v>0.0</v>
      </c>
      <c r="U17">
        <f si="1" t="shared"/>
        <v>332.77829360961914</v>
      </c>
    </row>
    <row r="18" spans="1:21" x14ac:dyDescent="0.25">
      <c r="A18" s="12">
        <v>0.3125</v>
      </c>
      <c r="B18" s="6" t="n">
        <v>0.24246701641178134</v>
      </c>
      <c r="C18" s="6" t="n">
        <v>8.837294970588685</v>
      </c>
      <c r="D18" s="6" t="n">
        <v>0.14129225670909884</v>
      </c>
      <c r="E18" s="6" t="n">
        <v>0.4374678928661345</v>
      </c>
      <c r="F18" s="6" t="n">
        <v>55.0026797028904</v>
      </c>
      <c r="G18" s="6" t="n">
        <v>59.955939030799854</v>
      </c>
      <c r="H18" s="6" t="n">
        <v>31.049548283956522</v>
      </c>
      <c r="I18" s="6" t="n">
        <v>0.0</v>
      </c>
      <c r="J18" s="6">
        <f si="0" t="shared"/>
        <v>155.66668915422247</v>
      </c>
      <c r="L18" s="12">
        <v>0.3125</v>
      </c>
      <c r="M18" s="9" t="n">
        <v>3.5247602462768555</v>
      </c>
      <c r="N18" s="9" t="n">
        <v>0.0</v>
      </c>
      <c r="O18" s="9" t="n">
        <v>0.0</v>
      </c>
      <c r="P18" s="9" t="n">
        <v>0.0</v>
      </c>
      <c r="Q18" s="9" t="n">
        <v>18.665637016296387</v>
      </c>
      <c r="R18" s="9" t="n">
        <v>42.92803478240967</v>
      </c>
      <c r="S18" s="9" t="n">
        <v>126.02524662017822</v>
      </c>
      <c r="T18" s="9" t="n">
        <v>0.0</v>
      </c>
      <c r="U18">
        <f si="1" t="shared"/>
        <v>450.57729625701904</v>
      </c>
    </row>
    <row r="19" spans="1:21" x14ac:dyDescent="0.25">
      <c r="A19" s="12">
        <v>0.33333333333333331</v>
      </c>
      <c r="B19" s="6" t="n">
        <v>0.8355784667472839</v>
      </c>
      <c r="C19" s="6" t="n">
        <v>6.627971227941513</v>
      </c>
      <c r="D19" s="6" t="n">
        <v>0.45253635205459597</v>
      </c>
      <c r="E19" s="6" t="n">
        <v>1.482497258159637</v>
      </c>
      <c r="F19" s="6" t="n">
        <v>85.61321601035024</v>
      </c>
      <c r="G19" s="6" t="n">
        <v>72.85167831410598</v>
      </c>
      <c r="H19" s="6" t="n">
        <v>61.364686590107915</v>
      </c>
      <c r="I19" s="6" t="n">
        <v>0.0</v>
      </c>
      <c r="J19" s="6">
        <f si="0" t="shared"/>
        <v>229.22816421946715</v>
      </c>
      <c r="L19" s="12">
        <v>0.33333333333333331</v>
      </c>
      <c r="M19" s="9" t="n">
        <v>4.448473930358887</v>
      </c>
      <c r="N19" s="9" t="n">
        <v>0.0</v>
      </c>
      <c r="O19" s="9" t="n">
        <v>0.0</v>
      </c>
      <c r="P19" s="9" t="n">
        <v>0.0</v>
      </c>
      <c r="Q19" s="9" t="n">
        <v>23.114373207092285</v>
      </c>
      <c r="R19" s="9" t="n">
        <v>42.13928985595703</v>
      </c>
      <c r="S19" s="9" t="n">
        <v>143.33871459960938</v>
      </c>
      <c r="T19" s="9" t="n">
        <v>0.0</v>
      </c>
      <c r="U19">
        <f si="1" t="shared"/>
        <v>600.53685855865479</v>
      </c>
    </row>
    <row r="20" spans="1:21" x14ac:dyDescent="0.25">
      <c r="A20" s="12">
        <v>0.35416666666666669</v>
      </c>
      <c r="B20" s="6" t="n">
        <v>2.3163014571828837</v>
      </c>
      <c r="C20" s="6" t="n">
        <v>4.0787515248870845</v>
      </c>
      <c r="D20" s="6" t="n">
        <v>1.1346836350154876</v>
      </c>
      <c r="E20" s="6" t="n">
        <v>4.016032013956069</v>
      </c>
      <c r="F20" s="6" t="n">
        <v>122.96573206362248</v>
      </c>
      <c r="G20" s="6" t="n">
        <v>78.26630264679432</v>
      </c>
      <c r="H20" s="6" t="n">
        <v>112.40213565419958</v>
      </c>
      <c r="I20" s="6" t="n">
        <v>0.0</v>
      </c>
      <c r="J20" s="6">
        <f si="0" t="shared"/>
        <v>325.17993899565789</v>
      </c>
      <c r="L20" s="12">
        <v>0.35416666666666669</v>
      </c>
      <c r="M20" s="9" t="n">
        <v>5.497852325439453</v>
      </c>
      <c r="N20" s="9" t="n">
        <v>0.0</v>
      </c>
      <c r="O20" s="9" t="n">
        <v>0.0</v>
      </c>
      <c r="P20" s="9" t="n">
        <v>0.0</v>
      </c>
      <c r="Q20" s="9" t="n">
        <v>28.46412754058838</v>
      </c>
      <c r="R20" s="9" t="n">
        <v>38.33901023864746</v>
      </c>
      <c r="S20" s="9" t="n">
        <v>164.44930267333984</v>
      </c>
      <c r="T20" s="9" t="n">
        <v>0.0</v>
      </c>
      <c r="U20">
        <f si="1" t="shared"/>
        <v>825.78097820281982</v>
      </c>
    </row>
    <row r="21" spans="1:21" x14ac:dyDescent="0.25">
      <c r="A21" s="12">
        <v>0.375</v>
      </c>
      <c r="B21" s="6" t="n">
        <v>5.423937946043014</v>
      </c>
      <c r="C21" s="6" t="n">
        <v>2.039421796897888</v>
      </c>
      <c r="D21" s="6" t="n">
        <v>2.28751365365982</v>
      </c>
      <c r="E21" s="6" t="n">
        <v>8.935463606044767</v>
      </c>
      <c r="F21" s="6" t="n">
        <v>169.89993634207346</v>
      </c>
      <c r="G21" s="6" t="n">
        <v>80.59573039393426</v>
      </c>
      <c r="H21" s="6" t="n">
        <v>190.4823344848356</v>
      </c>
      <c r="I21" s="6" t="n">
        <v>0.0</v>
      </c>
      <c r="J21" s="6">
        <f si="0" t="shared"/>
        <v>459.66433822348881</v>
      </c>
      <c r="L21" s="12">
        <v>0.375</v>
      </c>
      <c r="M21" s="9" t="n">
        <v>6.821779251098633</v>
      </c>
      <c r="N21" s="9" t="n">
        <v>0.0</v>
      </c>
      <c r="O21" s="9" t="n">
        <v>0.0</v>
      </c>
      <c r="P21" s="9" t="n">
        <v>0.0</v>
      </c>
      <c r="Q21" s="9" t="n">
        <v>35.716607093811035</v>
      </c>
      <c r="R21" s="9" t="n">
        <v>35.167531967163086</v>
      </c>
      <c r="S21" s="9" t="n">
        <v>202.25482082366943</v>
      </c>
      <c r="T21" s="9" t="n">
        <v>0.0</v>
      </c>
      <c r="U21">
        <f si="1" t="shared"/>
        <v>1175.9102163314819</v>
      </c>
    </row>
    <row r="22" spans="1:21" x14ac:dyDescent="0.25">
      <c r="A22" s="12">
        <v>0.39583333333333331</v>
      </c>
      <c r="B22" s="6" t="n">
        <v>11.263734213573455</v>
      </c>
      <c r="C22" s="6" t="n">
        <v>0.8168881182088852</v>
      </c>
      <c r="D22" s="6" t="n">
        <v>3.7886610727357857</v>
      </c>
      <c r="E22" s="6" t="n">
        <v>16.632549599199294</v>
      </c>
      <c r="F22" s="6" t="n">
        <v>233.6635997951317</v>
      </c>
      <c r="G22" s="6" t="n">
        <v>89.08544049479677</v>
      </c>
      <c r="H22" s="6" t="n">
        <v>300.447091096219</v>
      </c>
      <c r="I22" s="6" t="n">
        <v>0.0</v>
      </c>
      <c r="J22" s="6">
        <f si="0" t="shared"/>
        <v>655.69796438986486</v>
      </c>
      <c r="L22" s="12">
        <v>0.39583333333333331</v>
      </c>
      <c r="M22" s="9" t="n">
        <v>8.549355506896973</v>
      </c>
      <c r="N22" s="9" t="n">
        <v>0.0</v>
      </c>
      <c r="O22" s="9" t="n">
        <v>0.0</v>
      </c>
      <c r="P22" s="9" t="n">
        <v>0.0</v>
      </c>
      <c r="Q22" s="9" t="n">
        <v>45.58102321624756</v>
      </c>
      <c r="R22" s="9" t="n">
        <v>36.378716468811035</v>
      </c>
      <c r="S22" s="9" t="n">
        <v>271.6446866989136</v>
      </c>
      <c r="T22" s="9" t="n">
        <v>0.0</v>
      </c>
      <c r="U22">
        <f si="1" t="shared"/>
        <v>1680.1230516433716</v>
      </c>
    </row>
    <row r="23" spans="1:21" x14ac:dyDescent="0.25">
      <c r="A23" s="12">
        <v>0.41666666666666669</v>
      </c>
      <c r="B23" s="6" t="n">
        <v>21.57655145060348</v>
      </c>
      <c r="C23" s="6" t="n">
        <v>0.2680109995222092</v>
      </c>
      <c r="D23" s="6" t="n">
        <v>5.267533528456687</v>
      </c>
      <c r="E23" s="6" t="n">
        <v>26.223702328180313</v>
      </c>
      <c r="F23" s="6" t="n">
        <v>322.80177615082647</v>
      </c>
      <c r="G23" s="6" t="n">
        <v>111.51206183328534</v>
      </c>
      <c r="H23" s="6" t="n">
        <v>444.82758342916964</v>
      </c>
      <c r="I23" s="6" t="n">
        <v>0.0</v>
      </c>
      <c r="J23" s="6">
        <f si="0" t="shared"/>
        <v>932.4772197200441</v>
      </c>
      <c r="L23" s="12">
        <v>0.41666666666666669</v>
      </c>
      <c r="M23" s="9" t="n">
        <v>10.935486793518066</v>
      </c>
      <c r="N23" s="9" t="n">
        <v>0.0</v>
      </c>
      <c r="O23" s="9" t="n">
        <v>0.0</v>
      </c>
      <c r="P23" s="9" t="n">
        <v>0.0</v>
      </c>
      <c r="Q23" s="9" t="n">
        <v>59.15331268310547</v>
      </c>
      <c r="R23" s="9" t="n">
        <v>46.07196807861328</v>
      </c>
      <c r="S23" s="9" t="n">
        <v>397.32422161102295</v>
      </c>
      <c r="T23" s="9" t="n">
        <v>0.0</v>
      </c>
      <c r="U23">
        <f si="1" t="shared"/>
        <v>2339.2178421020508</v>
      </c>
    </row>
    <row r="24" spans="1:21" x14ac:dyDescent="0.25">
      <c r="A24" s="12">
        <v>0.4375</v>
      </c>
      <c r="B24" s="6" t="n">
        <v>38.72072637720775</v>
      </c>
      <c r="C24" s="6" t="n">
        <v>0.1537145054912567</v>
      </c>
      <c r="D24" s="6" t="n">
        <v>6.313369110668181</v>
      </c>
      <c r="E24" s="6" t="n">
        <v>35.31416232672978</v>
      </c>
      <c r="F24" s="6" t="n">
        <v>439.9889736099949</v>
      </c>
      <c r="G24" s="6" t="n">
        <v>149.2483785523186</v>
      </c>
      <c r="H24" s="6" t="n">
        <v>625.4836666894473</v>
      </c>
      <c r="I24" s="6" t="n">
        <v>0.0</v>
      </c>
      <c r="J24" s="6">
        <f si="0" t="shared"/>
        <v>1295.2229911718578</v>
      </c>
      <c r="L24" s="12">
        <v>0.4375</v>
      </c>
      <c r="M24" s="9" t="n">
        <v>14.814348220825195</v>
      </c>
      <c r="N24" s="9" t="n">
        <v>0.0</v>
      </c>
      <c r="O24" s="9" t="n">
        <v>0.0</v>
      </c>
      <c r="P24" s="9" t="n">
        <v>0.0</v>
      </c>
      <c r="Q24" s="9" t="n">
        <v>80.18029403686523</v>
      </c>
      <c r="R24" s="9" t="n">
        <v>71.5304126739502</v>
      </c>
      <c r="S24" s="9" t="n">
        <v>636.6321058273315</v>
      </c>
      <c r="T24" s="9" t="n">
        <v>0.0</v>
      </c>
      <c r="U24">
        <f si="1" t="shared"/>
        <v>3154.261812210083</v>
      </c>
    </row>
    <row r="25" spans="1:21" x14ac:dyDescent="0.25">
      <c r="A25" s="12">
        <v>0.45833333333333331</v>
      </c>
      <c r="B25" s="6" t="n">
        <v>64.45790531699275</v>
      </c>
      <c r="C25" s="6" t="n">
        <v>0.48055539610862724</v>
      </c>
      <c r="D25" s="6" t="n">
        <v>6.75649356183052</v>
      </c>
      <c r="E25" s="6" t="n">
        <v>40.92021729748154</v>
      </c>
      <c r="F25" s="6" t="n">
        <v>575.6954873957853</v>
      </c>
      <c r="G25" s="6" t="n">
        <v>200.00133624816422</v>
      </c>
      <c r="H25" s="6" t="n">
        <v>863.563473509243</v>
      </c>
      <c r="I25" s="6" t="n">
        <v>0.0</v>
      </c>
      <c r="J25" s="6">
        <f si="0" t="shared"/>
        <v>1751.875468725606</v>
      </c>
      <c r="L25" s="12">
        <v>0.45833333333333331</v>
      </c>
      <c r="M25" s="9" t="n">
        <v>22.110218048095703</v>
      </c>
      <c r="N25" s="9" t="n">
        <v>0.0</v>
      </c>
      <c r="O25" s="9" t="n">
        <v>0.0</v>
      </c>
      <c r="P25" s="9" t="n">
        <v>0.0</v>
      </c>
      <c r="Q25" s="9" t="n">
        <v>117.47895908355713</v>
      </c>
      <c r="R25" s="9" t="n">
        <v>127.22299003601074</v>
      </c>
      <c r="S25" s="9" t="n">
        <v>1106.4242906570435</v>
      </c>
      <c r="T25" s="9" t="n">
        <v>0.0</v>
      </c>
      <c r="U25">
        <f si="1" t="shared"/>
        <v>4173.9129409790039</v>
      </c>
    </row>
    <row r="26" spans="1:21" x14ac:dyDescent="0.25">
      <c r="A26" s="12">
        <v>0.47916666666666669</v>
      </c>
      <c r="B26" s="6" t="n">
        <v>97.61312510389898</v>
      </c>
      <c r="C26" s="6" t="n">
        <v>1.766736970015526</v>
      </c>
      <c r="D26" s="6" t="n">
        <v>6.730457621292112</v>
      </c>
      <c r="E26" s="6" t="n">
        <v>41.380262979006766</v>
      </c>
      <c r="F26" s="6" t="n">
        <v>709.0115190751619</v>
      </c>
      <c r="G26" s="6" t="n">
        <v>269.77959069989873</v>
      </c>
      <c r="H26" s="6" t="n">
        <v>1263.469083648197</v>
      </c>
      <c r="I26" s="6" t="n">
        <v>0.0</v>
      </c>
      <c r="J26" s="6">
        <f si="0" t="shared"/>
        <v>2389.7507760974713</v>
      </c>
      <c r="L26" s="12">
        <v>0.47916666666666669</v>
      </c>
      <c r="M26" s="9" t="n">
        <v>35.964956283569336</v>
      </c>
      <c r="N26" s="9" t="n">
        <v>0.0</v>
      </c>
      <c r="O26" s="9" t="n">
        <v>0.0</v>
      </c>
      <c r="P26" s="9" t="n">
        <v>0.0</v>
      </c>
      <c r="Q26" s="9" t="n">
        <v>184.85329627990723</v>
      </c>
      <c r="R26" s="9" t="n">
        <v>236.9092082977295</v>
      </c>
      <c r="S26" s="9" t="n">
        <v>1989.0699129104614</v>
      </c>
      <c r="T26" s="9" t="n">
        <v>0.0</v>
      </c>
      <c r="U26">
        <f si="1" t="shared"/>
        <v>5514.0242176055908</v>
      </c>
    </row>
    <row r="27" spans="1:21" x14ac:dyDescent="0.25">
      <c r="A27" s="12">
        <v>0.5</v>
      </c>
      <c r="B27" s="6" t="n">
        <v>132.74988529086588</v>
      </c>
      <c r="C27" s="6" t="n">
        <v>5.150793170311927</v>
      </c>
      <c r="D27" s="6" t="n">
        <v>6.484540734667777</v>
      </c>
      <c r="E27" s="6" t="n">
        <v>38.09244982939148</v>
      </c>
      <c r="F27" s="6" t="n">
        <v>817.1930851512823</v>
      </c>
      <c r="G27" s="6" t="n">
        <v>387.6026796996784</v>
      </c>
      <c r="H27" s="6" t="n">
        <v>2112.4675278306645</v>
      </c>
      <c r="I27" s="6" t="n">
        <v>0.0</v>
      </c>
      <c r="J27" s="6">
        <f si="0" t="shared"/>
        <v>3499.7409617068624</v>
      </c>
      <c r="L27" s="12">
        <v>0.5</v>
      </c>
      <c r="M27" s="9" t="n">
        <v>60.315677642822266</v>
      </c>
      <c r="N27" s="9" t="n">
        <v>0.0</v>
      </c>
      <c r="O27" s="9" t="n">
        <v>0.0</v>
      </c>
      <c r="P27" s="9" t="n">
        <v>0.0</v>
      </c>
      <c r="Q27" s="9" t="n">
        <v>297.0603189468384</v>
      </c>
      <c r="R27" s="9" t="n">
        <v>431.43733501434326</v>
      </c>
      <c r="S27" s="9" t="n">
        <v>3498.9003705978394</v>
      </c>
      <c r="T27" s="9" t="n">
        <v>0.0</v>
      </c>
      <c r="U27">
        <f si="1" t="shared"/>
        <v>7316.5426435470581</v>
      </c>
    </row>
    <row r="28" spans="1:21" x14ac:dyDescent="0.25">
      <c r="A28" s="12">
        <v>0.52083333333333337</v>
      </c>
      <c r="B28" s="6" t="n">
        <v>162.1412862600784</v>
      </c>
      <c r="C28" s="6" t="n">
        <v>11.987410817279816</v>
      </c>
      <c r="D28" s="6" t="n">
        <v>6.246800331306457</v>
      </c>
      <c r="E28" s="6" t="n">
        <v>35.6868082312336</v>
      </c>
      <c r="F28" s="6" t="n">
        <v>887.8346933345031</v>
      </c>
      <c r="G28" s="6" t="n">
        <v>607.9154754969043</v>
      </c>
      <c r="H28" s="6" t="n">
        <v>3916.368790748243</v>
      </c>
      <c r="I28" s="6" t="n">
        <v>0.0</v>
      </c>
      <c r="J28" s="6">
        <f si="0" t="shared"/>
        <v>5628.1812652195485</v>
      </c>
      <c r="L28" s="12">
        <v>0.52083333333333337</v>
      </c>
      <c r="M28" s="9" t="n">
        <v>99.14926719665527</v>
      </c>
      <c r="N28" s="9" t="n">
        <v>0.0</v>
      </c>
      <c r="O28" s="9" t="n">
        <v>0.0</v>
      </c>
      <c r="P28" s="9" t="n">
        <v>0.0</v>
      </c>
      <c r="Q28" s="9" t="n">
        <v>463.39384746551514</v>
      </c>
      <c r="R28" s="9" t="n">
        <v>741.677695274353</v>
      </c>
      <c r="S28" s="9" t="n">
        <v>5814.2459144592285</v>
      </c>
      <c r="T28" s="9" t="n">
        <v>0.0</v>
      </c>
      <c r="U28">
        <f si="1" t="shared"/>
        <v>9662.0235080718994</v>
      </c>
    </row>
    <row r="29" spans="1:21" x14ac:dyDescent="0.25">
      <c r="A29" s="12">
        <v>0.54166666666666663</v>
      </c>
      <c r="B29" s="6" t="n">
        <v>180.15706035082144</v>
      </c>
      <c r="C29" s="6" t="n">
        <v>22.660188250827787</v>
      </c>
      <c r="D29" s="6" t="n">
        <v>6.335359299995423</v>
      </c>
      <c r="E29" s="6" t="n">
        <v>40.11461098357391</v>
      </c>
      <c r="F29" s="6" t="n">
        <v>924.3206707420386</v>
      </c>
      <c r="G29" s="6" t="n">
        <v>984.2791455555</v>
      </c>
      <c r="H29" s="6" t="n">
        <v>7208.372699813027</v>
      </c>
      <c r="I29" s="6" t="n">
        <v>0.0</v>
      </c>
      <c r="J29" s="6">
        <f si="0" t="shared"/>
        <v>9366.2397349957828</v>
      </c>
      <c r="L29" s="12">
        <v>0.54166666666666663</v>
      </c>
      <c r="M29" s="9" t="n">
        <v>155.36261558532715</v>
      </c>
      <c r="N29" s="9" t="n">
        <v>0.0</v>
      </c>
      <c r="O29" s="9" t="n">
        <v>0.0</v>
      </c>
      <c r="P29" s="9" t="n">
        <v>0.0</v>
      </c>
      <c r="Q29" s="9" t="n">
        <v>681.7574644088745</v>
      </c>
      <c r="R29" s="9" t="n">
        <v>1185.5431928634644</v>
      </c>
      <c r="S29" s="9" t="n">
        <v>8987.093061447144</v>
      </c>
      <c r="T29" s="9" t="n">
        <v>0.0</v>
      </c>
      <c r="U29">
        <f si="1" t="shared"/>
        <v>12480.82735824585</v>
      </c>
    </row>
    <row r="30" spans="1:21" x14ac:dyDescent="0.25">
      <c r="A30" s="12">
        <v>0.5625</v>
      </c>
      <c r="B30" s="6" t="n">
        <v>186.47050722730535</v>
      </c>
      <c r="C30" s="6" t="n">
        <v>35.26451256762505</v>
      </c>
      <c r="D30" s="6" t="n">
        <v>7.318372342901229</v>
      </c>
      <c r="E30" s="6" t="n">
        <v>55.57524256283855</v>
      </c>
      <c r="F30" s="6" t="n">
        <v>939.9107891202544</v>
      </c>
      <c r="G30" s="6" t="n">
        <v>1515.500584033304</v>
      </c>
      <c r="H30" s="6" t="n">
        <v>12085.955039775596</v>
      </c>
      <c r="I30" s="6" t="n">
        <v>0.0</v>
      </c>
      <c r="J30" s="6">
        <f si="0" t="shared"/>
        <v>14825.995047629825</v>
      </c>
      <c r="L30" s="12">
        <v>0.5625</v>
      </c>
      <c r="M30" s="9" t="n">
        <v>228.40254306793213</v>
      </c>
      <c r="N30" s="9" t="n">
        <v>0.0</v>
      </c>
      <c r="O30" s="9" t="n">
        <v>0.0</v>
      </c>
      <c r="P30" s="9" t="n">
        <v>0.0</v>
      </c>
      <c r="Q30" s="9" t="n">
        <v>933.9932098388672</v>
      </c>
      <c r="R30" s="9" t="n">
        <v>1746.5006523132324</v>
      </c>
      <c r="S30" s="9" t="n">
        <v>12824.81418132782</v>
      </c>
      <c r="T30" s="9" t="n">
        <v>0.0</v>
      </c>
      <c r="U30">
        <f si="1" t="shared"/>
        <v>15494.007552146912</v>
      </c>
    </row>
    <row r="31" spans="1:21" x14ac:dyDescent="0.25">
      <c r="A31" s="12">
        <v>0.58333333333333337</v>
      </c>
      <c r="B31" s="6" t="n">
        <v>186.02126940645212</v>
      </c>
      <c r="C31" s="6" t="n">
        <v>45.75826645055581</v>
      </c>
      <c r="D31" s="6" t="n">
        <v>9.919088051839827</v>
      </c>
      <c r="E31" s="6" t="n">
        <v>82.42141860173224</v>
      </c>
      <c r="F31" s="6" t="n">
        <v>944.8802586280765</v>
      </c>
      <c r="G31" s="6" t="n">
        <v>2099.9528202286965</v>
      </c>
      <c r="H31" s="6" t="n">
        <v>17748.633111128096</v>
      </c>
      <c r="I31" s="6" t="n">
        <v>0.0</v>
      </c>
      <c r="J31" s="6">
        <f si="0" t="shared"/>
        <v>21117.586232495451</v>
      </c>
      <c r="L31" s="12">
        <v>0.58333333333333337</v>
      </c>
      <c r="M31" s="9" t="n">
        <v>310.63931369781494</v>
      </c>
      <c r="N31" s="9" t="n">
        <v>0.0</v>
      </c>
      <c r="O31" s="9" t="n">
        <v>0.0</v>
      </c>
      <c r="P31" s="9" t="n">
        <v>0.0</v>
      </c>
      <c r="Q31" s="9" t="n">
        <v>1182.3628520965576</v>
      </c>
      <c r="R31" s="9" t="n">
        <v>2348.521593093872</v>
      </c>
      <c r="S31" s="9" t="n">
        <v>16765.494585990906</v>
      </c>
      <c r="T31" s="9" t="n">
        <v>0.0</v>
      </c>
      <c r="U31">
        <f si="1" t="shared"/>
        <v>18200.875831604004</v>
      </c>
    </row>
    <row r="32" spans="1:21" x14ac:dyDescent="0.25">
      <c r="A32" s="12">
        <v>0.60416666666666663</v>
      </c>
      <c r="B32" s="6" t="n">
        <v>186.9771702498989</v>
      </c>
      <c r="C32" s="6" t="n">
        <v>50.41263532768251</v>
      </c>
      <c r="D32" s="6" t="n">
        <v>14.630275098972321</v>
      </c>
      <c r="E32" s="6" t="n">
        <v>118.02489699014758</v>
      </c>
      <c r="F32" s="6" t="n">
        <v>937.2688827051372</v>
      </c>
      <c r="G32" s="6" t="n">
        <v>2551.9302818835595</v>
      </c>
      <c r="H32" s="6" t="n">
        <v>22532.751367481047</v>
      </c>
      <c r="I32" s="6" t="n">
        <v>0.0</v>
      </c>
      <c r="J32" s="6">
        <f si="0" t="shared"/>
        <v>26391.995509736444</v>
      </c>
      <c r="L32" s="12">
        <v>0.60416666666666663</v>
      </c>
      <c r="M32" s="9" t="n">
        <v>385.549427986145</v>
      </c>
      <c r="N32" s="9" t="n">
        <v>0.0</v>
      </c>
      <c r="O32" s="9" t="n">
        <v>0.0</v>
      </c>
      <c r="P32" s="9" t="n">
        <v>0.0</v>
      </c>
      <c r="Q32" s="9" t="n">
        <v>1371.9973621368408</v>
      </c>
      <c r="R32" s="9" t="n">
        <v>2851.2744007110596</v>
      </c>
      <c r="S32" s="9" t="n">
        <v>19877.2035779953</v>
      </c>
      <c r="T32" s="9" t="n">
        <v>0.0</v>
      </c>
      <c r="U32">
        <f si="1" t="shared"/>
        <v>19961.243248939514</v>
      </c>
    </row>
    <row r="33" spans="1:21" x14ac:dyDescent="0.25">
      <c r="A33" s="12">
        <v>0.625</v>
      </c>
      <c r="B33" s="6" t="n">
        <v>198.2537257764959</v>
      </c>
      <c r="C33" s="6" t="n">
        <v>48.86240774470997</v>
      </c>
      <c r="D33" s="6" t="n">
        <v>21.198769950580598</v>
      </c>
      <c r="E33" s="6" t="n">
        <v>159.78319795261</v>
      </c>
      <c r="F33" s="6" t="n">
        <v>905.2277957535314</v>
      </c>
      <c r="G33" s="6" t="n">
        <v>2695.966932873571</v>
      </c>
      <c r="H33" s="6" t="n">
        <v>24676.52982309911</v>
      </c>
      <c r="I33" s="6" t="n">
        <v>0.0</v>
      </c>
      <c r="J33" s="6">
        <f si="0" t="shared"/>
        <v>28705.822653150608</v>
      </c>
      <c r="L33" s="12">
        <v>0.625</v>
      </c>
      <c r="M33" s="9" t="n">
        <v>432.3668441772461</v>
      </c>
      <c r="N33" s="9" t="n">
        <v>0.0</v>
      </c>
      <c r="O33" s="9" t="n">
        <v>0.0</v>
      </c>
      <c r="P33" s="9" t="n">
        <v>0.0</v>
      </c>
      <c r="Q33" s="9" t="n">
        <v>1447.5869369506836</v>
      </c>
      <c r="R33" s="9" t="n">
        <v>3094.1861991882324</v>
      </c>
      <c r="S33" s="9" t="n">
        <v>21150.910594940186</v>
      </c>
      <c r="T33" s="9" t="n">
        <v>0.0</v>
      </c>
      <c r="U33">
        <f si="1" t="shared"/>
        <v>20225.341813087463</v>
      </c>
    </row>
    <row r="34" spans="1:21" x14ac:dyDescent="0.25">
      <c r="A34" s="12">
        <v>0.64583333333333337</v>
      </c>
      <c r="B34" s="6" t="n">
        <v>226.18494994874</v>
      </c>
      <c r="C34" s="6" t="n">
        <v>44.66420084973336</v>
      </c>
      <c r="D34" s="6" t="n">
        <v>28.212026410860062</v>
      </c>
      <c r="E34" s="6" t="n">
        <v>205.92600143551064</v>
      </c>
      <c r="F34" s="6" t="n">
        <v>838.5949267984895</v>
      </c>
      <c r="G34" s="6" t="n">
        <v>2478.302899020158</v>
      </c>
      <c r="H34" s="6" t="n">
        <v>23374.232988108146</v>
      </c>
      <c r="I34" s="6" t="n">
        <v>0.0</v>
      </c>
      <c r="J34" s="6">
        <f si="0" t="shared"/>
        <v>27196.117992571639</v>
      </c>
      <c r="L34" s="12">
        <v>0.64583333333333337</v>
      </c>
      <c r="M34" s="9" t="n">
        <v>437.1015853881836</v>
      </c>
      <c r="N34" s="9" t="n">
        <v>0.0</v>
      </c>
      <c r="O34" s="9" t="n">
        <v>0.0</v>
      </c>
      <c r="P34" s="9" t="n">
        <v>0.0</v>
      </c>
      <c r="Q34" s="9" t="n">
        <v>1382.116810798645</v>
      </c>
      <c r="R34" s="9" t="n">
        <v>2981.354911804199</v>
      </c>
      <c r="S34" s="9" t="n">
        <v>20036.296891212463</v>
      </c>
      <c r="T34" s="9" t="n">
        <v>0.0</v>
      </c>
      <c r="U34">
        <f si="1" t="shared"/>
        <v>18838.447617530823</v>
      </c>
    </row>
    <row r="35" spans="1:21" x14ac:dyDescent="0.25">
      <c r="A35" s="12">
        <v>0.66666666666666663</v>
      </c>
      <c r="B35" s="6" t="n">
        <v>270.0731285642776</v>
      </c>
      <c r="C35" s="6" t="n">
        <v>42.51726149828911</v>
      </c>
      <c r="D35" s="6" t="n">
        <v>33.230931715650556</v>
      </c>
      <c r="E35" s="6" t="n">
        <v>251.34574386490246</v>
      </c>
      <c r="F35" s="6" t="n">
        <v>738.7152914590882</v>
      </c>
      <c r="G35" s="6" t="n">
        <v>2001.6620944891959</v>
      </c>
      <c r="H35" s="6" t="n">
        <v>19277.488484176756</v>
      </c>
      <c r="I35" s="6" t="n">
        <v>0.0</v>
      </c>
      <c r="J35" s="6">
        <f si="0" t="shared"/>
        <v>22615.032935768162</v>
      </c>
      <c r="L35" s="12">
        <v>0.66666666666666663</v>
      </c>
      <c r="M35" s="9" t="n">
        <v>401.9076919555664</v>
      </c>
      <c r="N35" s="9" t="n">
        <v>0.0</v>
      </c>
      <c r="O35" s="9" t="n">
        <v>0.0</v>
      </c>
      <c r="P35" s="9" t="n">
        <v>0.0</v>
      </c>
      <c r="Q35" s="9" t="n">
        <v>1197.2429466247559</v>
      </c>
      <c r="R35" s="9" t="n">
        <v>2546.7984886169434</v>
      </c>
      <c r="S35" s="9" t="n">
        <v>16838.43209552765</v>
      </c>
      <c r="T35" s="9" t="n">
        <v>0.0</v>
      </c>
      <c r="U35">
        <f si="1" t="shared"/>
        <v>16185.756406784058</v>
      </c>
    </row>
    <row r="36" spans="1:21" x14ac:dyDescent="0.25">
      <c r="A36" s="12">
        <v>0.6875</v>
      </c>
      <c r="B36" s="6" t="n">
        <v>319.2487291669159</v>
      </c>
      <c r="C36" s="6" t="n">
        <v>45.0393812939949</v>
      </c>
      <c r="D36" s="6" t="n">
        <v>33.88091572790527</v>
      </c>
      <c r="E36" s="6" t="n">
        <v>283.324079077959</v>
      </c>
      <c r="F36" s="6" t="n">
        <v>618.248454125083</v>
      </c>
      <c r="G36" s="6" t="n">
        <v>1452.3833403073882</v>
      </c>
      <c r="H36" s="6" t="n">
        <v>14019.536573557634</v>
      </c>
      <c r="I36" s="6" t="n">
        <v>0.0</v>
      </c>
      <c r="J36" s="6">
        <f si="0" t="shared"/>
        <v>16771.661473256881</v>
      </c>
      <c r="L36" s="12">
        <v>0.6875</v>
      </c>
      <c r="M36" s="9" t="n">
        <v>343.97331523895264</v>
      </c>
      <c r="N36" s="9" t="n">
        <v>0.0</v>
      </c>
      <c r="O36" s="9" t="n">
        <v>0.0</v>
      </c>
      <c r="P36" s="9" t="n">
        <v>0.0</v>
      </c>
      <c r="Q36" s="9" t="n">
        <v>954.2658576965332</v>
      </c>
      <c r="R36" s="9" t="n">
        <v>1939.3086462020874</v>
      </c>
      <c r="S36" s="9" t="n">
        <v>12592.06517982483</v>
      </c>
      <c r="T36" s="9" t="n">
        <v>0.0</v>
      </c>
      <c r="U36">
        <f si="1" t="shared"/>
        <v>13001.708567619324</v>
      </c>
    </row>
    <row r="37" spans="1:21" x14ac:dyDescent="0.25">
      <c r="A37" s="12">
        <v>0.70833333333333337</v>
      </c>
      <c r="B37" s="6" t="n">
        <v>355.83620591605006</v>
      </c>
      <c r="C37" s="6" t="n">
        <v>52.39812441347599</v>
      </c>
      <c r="D37" s="6" t="n">
        <v>29.452044509849546</v>
      </c>
      <c r="E37" s="6" t="n">
        <v>285.6818296074247</v>
      </c>
      <c r="F37" s="6" t="n">
        <v>493.7284815195312</v>
      </c>
      <c r="G37" s="6" t="n">
        <v>986.4173305682755</v>
      </c>
      <c r="H37" s="6" t="n">
        <v>9199.899666420211</v>
      </c>
      <c r="I37" s="6" t="n">
        <v>0.0</v>
      </c>
      <c r="J37" s="6">
        <f si="0" t="shared"/>
        <v>11403.413682954819</v>
      </c>
      <c r="L37" s="12">
        <v>0.70833333333333337</v>
      </c>
      <c r="M37" s="9" t="n">
        <v>284.59589862823486</v>
      </c>
      <c r="N37" s="9" t="n">
        <v>0.0</v>
      </c>
      <c r="O37" s="9" t="n">
        <v>0.0</v>
      </c>
      <c r="P37" s="9" t="n">
        <v>0.0</v>
      </c>
      <c r="Q37" s="9" t="n">
        <v>719.9234638214111</v>
      </c>
      <c r="R37" s="9" t="n">
        <v>1335.296597480774</v>
      </c>
      <c r="S37" s="9" t="n">
        <v>8477.084978103638</v>
      </c>
      <c r="T37" s="9" t="n">
        <v>0.0</v>
      </c>
      <c r="U37">
        <f si="1" t="shared"/>
        <v>9970.0206279754639</v>
      </c>
    </row>
    <row r="38" spans="1:21" x14ac:dyDescent="0.25">
      <c r="A38" s="12">
        <v>0.72916666666666663</v>
      </c>
      <c r="B38" s="6" t="n">
        <v>364.01700521690856</v>
      </c>
      <c r="C38" s="6" t="n">
        <v>64.32646830475139</v>
      </c>
      <c r="D38" s="6" t="n">
        <v>21.636370442752835</v>
      </c>
      <c r="E38" s="6" t="n">
        <v>251.12995676947972</v>
      </c>
      <c r="F38" s="6" t="n">
        <v>379.7384417263727</v>
      </c>
      <c r="G38" s="6" t="n">
        <v>665.4582214358311</v>
      </c>
      <c r="H38" s="6" t="n">
        <v>5654.928294653535</v>
      </c>
      <c r="I38" s="6" t="n">
        <v>0.0</v>
      </c>
      <c r="J38" s="6">
        <f si="0" t="shared"/>
        <v>7401.2347585496318</v>
      </c>
      <c r="L38" s="12">
        <v>0.72916666666666663</v>
      </c>
      <c r="M38" s="9" t="n">
        <v>238.24320125579834</v>
      </c>
      <c r="N38" s="9" t="n">
        <v>0.0</v>
      </c>
      <c r="O38" s="9" t="n">
        <v>0.0</v>
      </c>
      <c r="P38" s="9" t="n">
        <v>0.0</v>
      </c>
      <c r="Q38" s="9" t="n">
        <v>534.8290920257568</v>
      </c>
      <c r="R38" s="9" t="n">
        <v>852.166166305542</v>
      </c>
      <c r="S38" s="9" t="n">
        <v>5252.180711746216</v>
      </c>
      <c r="T38" s="9" t="n">
        <v>0.0</v>
      </c>
      <c r="U38">
        <f si="1" t="shared"/>
        <v>7444.2272891998291</v>
      </c>
    </row>
    <row r="39" spans="1:21" x14ac:dyDescent="0.25">
      <c r="A39" s="12">
        <v>0.75</v>
      </c>
      <c r="B39" s="6" t="n">
        <v>340.0593199554911</v>
      </c>
      <c r="C39" s="6" t="n">
        <v>80.97813648059845</v>
      </c>
      <c r="D39" s="6" t="n">
        <v>13.5415812426939</v>
      </c>
      <c r="E39" s="6" t="n">
        <v>189.82627511390208</v>
      </c>
      <c r="F39" s="6" t="n">
        <v>288.5092419451866</v>
      </c>
      <c r="G39" s="6" t="n">
        <v>470.50159761150456</v>
      </c>
      <c r="H39" s="6" t="n">
        <v>3418.4357789709384</v>
      </c>
      <c r="I39" s="6" t="n">
        <v>0.0</v>
      </c>
      <c r="J39" s="6">
        <f si="0" t="shared"/>
        <v>4801.8519313203151</v>
      </c>
      <c r="L39" s="12">
        <v>0.75</v>
      </c>
      <c r="M39" s="9" t="n">
        <v>209.4600944519043</v>
      </c>
      <c r="N39" s="9" t="n">
        <v>0.0</v>
      </c>
      <c r="O39" s="9" t="n">
        <v>0.0</v>
      </c>
      <c r="P39" s="9" t="n">
        <v>0.0</v>
      </c>
      <c r="Q39" s="9" t="n">
        <v>406.3515377044678</v>
      </c>
      <c r="R39" s="9" t="n">
        <v>521.9199590682983</v>
      </c>
      <c r="S39" s="9" t="n">
        <v>3094.327519416809</v>
      </c>
      <c r="T39" s="9" t="n">
        <v>0.0</v>
      </c>
      <c r="U39">
        <f si="1" t="shared"/>
        <v>5466.0464963912964</v>
      </c>
    </row>
    <row r="40" spans="1:21" x14ac:dyDescent="0.25">
      <c r="A40" s="12">
        <v>0.77083333333333337</v>
      </c>
      <c r="B40" s="6" t="n">
        <v>294.86917748449525</v>
      </c>
      <c r="C40" s="6" t="n">
        <v>100.883384201746</v>
      </c>
      <c r="D40" s="6" t="n">
        <v>7.782334697284698</v>
      </c>
      <c r="E40" s="6" t="n">
        <v>124.08462413600063</v>
      </c>
      <c r="F40" s="6" t="n">
        <v>230.59610281918242</v>
      </c>
      <c r="G40" s="6" t="n">
        <v>352.0057100569391</v>
      </c>
      <c r="H40" s="6" t="n">
        <v>2124.2807219249316</v>
      </c>
      <c r="I40" s="6" t="n">
        <v>0.0</v>
      </c>
      <c r="J40" s="6">
        <f si="0" t="shared"/>
        <v>3234.5020553205795</v>
      </c>
      <c r="L40" s="12">
        <v>0.77083333333333337</v>
      </c>
      <c r="M40" s="9" t="n">
        <v>196.26817321777344</v>
      </c>
      <c r="N40" s="9" t="n">
        <v>0.0</v>
      </c>
      <c r="O40" s="9" t="n">
        <v>0.0</v>
      </c>
      <c r="P40" s="9" t="n">
        <v>0.0</v>
      </c>
      <c r="Q40" s="9" t="n">
        <v>322.0887098312378</v>
      </c>
      <c r="R40" s="9" t="n">
        <v>319.9533386230469</v>
      </c>
      <c r="S40" s="9" t="n">
        <v>1804.6346492767334</v>
      </c>
      <c r="T40" s="9" t="n">
        <v>0.0</v>
      </c>
      <c r="U40">
        <f si="1" t="shared"/>
        <v>3952.9743738174438</v>
      </c>
    </row>
    <row r="41" spans="1:21" x14ac:dyDescent="0.25">
      <c r="A41" s="12">
        <v>0.79166666666666663</v>
      </c>
      <c r="B41" s="6" t="n">
        <v>246.71826143264008</v>
      </c>
      <c r="C41" s="6" t="n">
        <v>118.65406986484336</v>
      </c>
      <c r="D41" s="6" t="n">
        <v>5.235951036973953</v>
      </c>
      <c r="E41" s="6" t="n">
        <v>73.75427196223546</v>
      </c>
      <c r="F41" s="6" t="n">
        <v>211.39692636233332</v>
      </c>
      <c r="G41" s="6" t="n">
        <v>268.6209895303716</v>
      </c>
      <c r="H41" s="6" t="n">
        <v>1388.8740806470432</v>
      </c>
      <c r="I41" s="6" t="n">
        <v>0.0</v>
      </c>
      <c r="J41" s="6">
        <f si="0" t="shared"/>
        <v>2313.254550836441</v>
      </c>
      <c r="L41" s="12">
        <v>0.79166666666666663</v>
      </c>
      <c r="M41" s="9" t="n">
        <v>194.02241325378418</v>
      </c>
      <c r="N41" s="9" t="n">
        <v>0.0</v>
      </c>
      <c r="O41" s="9" t="n">
        <v>0.0</v>
      </c>
      <c r="P41" s="9" t="n">
        <v>0.0</v>
      </c>
      <c r="Q41" s="9" t="n">
        <v>265.8338499069214</v>
      </c>
      <c r="R41" s="9" t="n">
        <v>205.32615661621094</v>
      </c>
      <c r="S41" s="9" t="n">
        <v>1087.1513376235962</v>
      </c>
      <c r="T41" s="9" t="n">
        <v>0.0</v>
      </c>
      <c r="U41">
        <f si="1" t="shared"/>
        <v>2832.2464952468872</v>
      </c>
    </row>
    <row r="42" spans="1:21" x14ac:dyDescent="0.25">
      <c r="A42" s="12">
        <v>0.8125</v>
      </c>
      <c r="B42" s="6" t="n">
        <v>210.34688466563608</v>
      </c>
      <c r="C42" s="6" t="n">
        <v>126.27943407155513</v>
      </c>
      <c r="D42" s="6" t="n">
        <v>5.136567200393676</v>
      </c>
      <c r="E42" s="6" t="n">
        <v>45.71215962153912</v>
      </c>
      <c r="F42" s="6" t="n">
        <v>224.97804915404893</v>
      </c>
      <c r="G42" s="6" t="n">
        <v>199.60438941398812</v>
      </c>
      <c r="H42" s="6" t="n">
        <v>958.0221333034382</v>
      </c>
      <c r="I42" s="6" t="n">
        <v>0.0</v>
      </c>
      <c r="J42" s="6">
        <f si="0" t="shared"/>
        <v>1770.0796174305992</v>
      </c>
      <c r="L42" s="12">
        <v>0.8125</v>
      </c>
      <c r="M42" s="9" t="n">
        <v>197.048171043396</v>
      </c>
      <c r="N42" s="9" t="n">
        <v>0.0</v>
      </c>
      <c r="O42" s="9" t="n">
        <v>0.0</v>
      </c>
      <c r="P42" s="9" t="n">
        <v>0.0</v>
      </c>
      <c r="Q42" s="9" t="n">
        <v>225.11471843719482</v>
      </c>
      <c r="R42" s="9" t="n">
        <v>143.06820964813232</v>
      </c>
      <c r="S42" s="9" t="n">
        <v>701.8231506347656</v>
      </c>
      <c r="T42" s="9" t="n">
        <v>0.0</v>
      </c>
      <c r="U42">
        <f si="1" t="shared"/>
        <v>2051.7884826660156</v>
      </c>
    </row>
    <row r="43" spans="1:21" x14ac:dyDescent="0.25">
      <c r="A43" s="12">
        <v>0.83333333333333337</v>
      </c>
      <c r="B43" s="6" t="n">
        <v>190.3111350487623</v>
      </c>
      <c r="C43" s="6" t="n">
        <v>118.10884298576545</v>
      </c>
      <c r="D43" s="6" t="n">
        <v>5.969391653853416</v>
      </c>
      <c r="E43" s="6" t="n">
        <v>34.69115838458157</v>
      </c>
      <c r="F43" s="6" t="n">
        <v>252.59358979898076</v>
      </c>
      <c r="G43" s="6" t="n">
        <v>140.3671670217819</v>
      </c>
      <c r="H43" s="6" t="n">
        <v>688.6304062973434</v>
      </c>
      <c r="I43" s="6" t="n">
        <v>0.0</v>
      </c>
      <c r="J43" s="6">
        <f si="0" t="shared"/>
        <v>1430.6716911910689</v>
      </c>
      <c r="L43" s="12">
        <v>0.83333333333333337</v>
      </c>
      <c r="M43" s="9" t="n">
        <v>199.86888980865479</v>
      </c>
      <c r="N43" s="9" t="n">
        <v>0.0</v>
      </c>
      <c r="O43" s="9" t="n">
        <v>0.0</v>
      </c>
      <c r="P43" s="9" t="n">
        <v>0.0</v>
      </c>
      <c r="Q43" s="9" t="n">
        <v>192.00107860565186</v>
      </c>
      <c r="R43" s="9" t="n">
        <v>109.0349988937378</v>
      </c>
      <c r="S43" s="9" t="n">
        <v>492.8129653930664</v>
      </c>
      <c r="T43" s="9" t="n">
        <v>0.0</v>
      </c>
      <c r="U43">
        <f si="1" t="shared"/>
        <v>1547.296480178833</v>
      </c>
    </row>
    <row r="44" spans="1:21" x14ac:dyDescent="0.25">
      <c r="A44" s="12">
        <v>0.85416666666666663</v>
      </c>
      <c r="B44" s="6" t="n">
        <v>181.066711240757</v>
      </c>
      <c r="C44" s="6" t="n">
        <v>95.27402124612806</v>
      </c>
      <c r="D44" s="6" t="n">
        <v>6.3906332106170645</v>
      </c>
      <c r="E44" s="6" t="n">
        <v>31.230404886350634</v>
      </c>
      <c r="F44" s="6" t="n">
        <v>270.78134024934104</v>
      </c>
      <c r="G44" s="6" t="n">
        <v>93.0603106532364</v>
      </c>
      <c r="H44" s="6" t="n">
        <v>500.5659890654517</v>
      </c>
      <c r="I44" s="6" t="n">
        <v>0.0</v>
      </c>
      <c r="J44" s="6">
        <f si="0" t="shared"/>
        <v>1178.3694105518819</v>
      </c>
      <c r="L44" s="12">
        <v>0.85416666666666663</v>
      </c>
      <c r="M44" s="9" t="n">
        <v>199.48850059509277</v>
      </c>
      <c r="N44" s="9" t="n">
        <v>0.0</v>
      </c>
      <c r="O44" s="9" t="n">
        <v>0.0</v>
      </c>
      <c r="P44" s="9" t="n">
        <v>0.0</v>
      </c>
      <c r="Q44" s="9" t="n">
        <v>162.46349334716797</v>
      </c>
      <c r="R44" s="9" t="n">
        <v>88.64652442932129</v>
      </c>
      <c r="S44" s="9" t="n">
        <v>370.34267807006836</v>
      </c>
      <c r="T44" s="9" t="n">
        <v>0.0</v>
      </c>
      <c r="U44">
        <f si="1" t="shared"/>
        <v>1239.0153493881226</v>
      </c>
    </row>
    <row r="45" spans="1:21" x14ac:dyDescent="0.25">
      <c r="A45" s="12">
        <v>0.875</v>
      </c>
      <c r="B45" s="6" t="n">
        <v>171.71944093584347</v>
      </c>
      <c r="C45" s="6" t="n">
        <v>65.37363692866325</v>
      </c>
      <c r="D45" s="6" t="n">
        <v>5.784453665771484</v>
      </c>
      <c r="E45" s="6" t="n">
        <v>28.573980663366317</v>
      </c>
      <c r="F45" s="6" t="n">
        <v>264.30161700944615</v>
      </c>
      <c r="G45" s="6" t="n">
        <v>59.1094066266346</v>
      </c>
      <c r="H45" s="6" t="n">
        <v>352.58593493377407</v>
      </c>
      <c r="I45" s="6" t="n">
        <v>0.0</v>
      </c>
      <c r="J45" s="6">
        <f si="0" t="shared"/>
        <v>947.44847076349936</v>
      </c>
      <c r="L45" s="12">
        <v>0.875</v>
      </c>
      <c r="M45" s="9" t="n">
        <v>196.91858577728271</v>
      </c>
      <c r="N45" s="9" t="n">
        <v>0.0</v>
      </c>
      <c r="O45" s="9" t="n">
        <v>0.0</v>
      </c>
      <c r="P45" s="9" t="n">
        <v>0.0</v>
      </c>
      <c r="Q45" s="9" t="n">
        <v>135.89035415649414</v>
      </c>
      <c r="R45" s="9" t="n">
        <v>74.97833919525146</v>
      </c>
      <c r="S45" s="9" t="n">
        <v>290.1530237197876</v>
      </c>
      <c r="T45" s="9" t="n">
        <v>0.0</v>
      </c>
      <c r="U45">
        <f si="1" t="shared"/>
        <v>1054.3959436416626</v>
      </c>
    </row>
    <row r="46" spans="1:21" x14ac:dyDescent="0.25">
      <c r="A46" s="12">
        <v>0.89583333333333337</v>
      </c>
      <c r="B46" s="6" t="n">
        <v>152.73156106247234</v>
      </c>
      <c r="C46" s="6" t="n">
        <v>37.661841340728756</v>
      </c>
      <c r="D46" s="6" t="n">
        <v>4.336029067806244</v>
      </c>
      <c r="E46" s="6" t="n">
        <v>24.53610474684429</v>
      </c>
      <c r="F46" s="6" t="n">
        <v>233.03869517740347</v>
      </c>
      <c r="G46" s="6" t="n">
        <v>36.656469934649465</v>
      </c>
      <c r="H46" s="6" t="n">
        <v>230.96760557145598</v>
      </c>
      <c r="I46" s="6" t="n">
        <v>0.0</v>
      </c>
      <c r="J46" s="6">
        <f si="0" t="shared"/>
        <v>719.92830690136054</v>
      </c>
      <c r="L46" s="12">
        <v>0.89583333333333337</v>
      </c>
      <c r="M46" s="9" t="n">
        <v>195.35347938537598</v>
      </c>
      <c r="N46" s="9" t="n">
        <v>0.0</v>
      </c>
      <c r="O46" s="9" t="n">
        <v>0.0</v>
      </c>
      <c r="P46" s="9" t="n">
        <v>0.0</v>
      </c>
      <c r="Q46" s="9" t="n">
        <v>113.63780117034912</v>
      </c>
      <c r="R46" s="9" t="n">
        <v>65.985764503479</v>
      </c>
      <c r="S46" s="9" t="n">
        <v>235.33834075927734</v>
      </c>
      <c r="T46" s="9" t="n">
        <v>0.0</v>
      </c>
      <c r="U46">
        <f si="1" t="shared"/>
        <v>941.6898193359375</v>
      </c>
    </row>
    <row r="47" spans="1:21" x14ac:dyDescent="0.25">
      <c r="A47" s="12">
        <v>0.91666666666666663</v>
      </c>
      <c r="B47" s="6" t="n">
        <v>121.60295213253498</v>
      </c>
      <c r="C47" s="6" t="n">
        <v>17.944646618959425</v>
      </c>
      <c r="D47" s="6" t="n">
        <v>2.66822398979187</v>
      </c>
      <c r="E47" s="6" t="n">
        <v>19.677297808265685</v>
      </c>
      <c r="F47" s="6" t="n">
        <v>187.58392833751012</v>
      </c>
      <c r="G47" s="6" t="n">
        <v>22.119163385850907</v>
      </c>
      <c r="H47" s="6" t="n">
        <v>136.3303540884476</v>
      </c>
      <c r="I47" s="6" t="n">
        <v>0.0</v>
      </c>
      <c r="J47" s="6">
        <f si="0" t="shared"/>
        <v>507.92656636136064</v>
      </c>
      <c r="L47" s="12">
        <v>0.91666666666666663</v>
      </c>
      <c r="M47" s="9" t="n">
        <v>195.68027305603027</v>
      </c>
      <c r="N47" s="9" t="n">
        <v>0.0</v>
      </c>
      <c r="O47" s="9" t="n">
        <v>0.0</v>
      </c>
      <c r="P47" s="9" t="n">
        <v>0.0</v>
      </c>
      <c r="Q47" s="9" t="n">
        <v>96.53691005706787</v>
      </c>
      <c r="R47" s="9" t="n">
        <v>60.906206130981445</v>
      </c>
      <c r="S47" s="9" t="n">
        <v>199.3582468032837</v>
      </c>
      <c r="T47" s="9" t="n">
        <v>0.0</v>
      </c>
      <c r="U47">
        <f si="1" t="shared"/>
        <v>863.76417446136475</v>
      </c>
    </row>
    <row r="48" spans="1:21" x14ac:dyDescent="0.25">
      <c r="A48" s="12">
        <v>0.9375</v>
      </c>
      <c r="B48" s="6" t="n">
        <v>83.97863363731193</v>
      </c>
      <c r="C48" s="6" t="n">
        <v>6.935436654575348</v>
      </c>
      <c r="D48" s="6" t="n">
        <v>1.334111994895935</v>
      </c>
      <c r="E48" s="6" t="n">
        <v>14.973070950954437</v>
      </c>
      <c r="F48" s="6" t="n">
        <v>139.53559665481185</v>
      </c>
      <c r="G48" s="6" t="n">
        <v>12.548881047956467</v>
      </c>
      <c r="H48" s="6" t="n">
        <v>70.80147296950341</v>
      </c>
      <c r="I48" s="6" t="n">
        <v>0.0</v>
      </c>
      <c r="J48" s="6">
        <f si="0" t="shared"/>
        <v>330.10720391000939</v>
      </c>
      <c r="L48" s="12">
        <v>0.9375</v>
      </c>
      <c r="M48" s="9" t="n">
        <v>193.5440559387207</v>
      </c>
      <c r="N48" s="9" t="n">
        <v>0.0</v>
      </c>
      <c r="O48" s="9" t="n">
        <v>0.0</v>
      </c>
      <c r="P48" s="9" t="n">
        <v>0.0</v>
      </c>
      <c r="Q48" s="9" t="n">
        <v>83.186936378479</v>
      </c>
      <c r="R48" s="9" t="n">
        <v>57.74884605407715</v>
      </c>
      <c r="S48" s="9" t="n">
        <v>174.95983982086182</v>
      </c>
      <c r="T48" s="9" t="n">
        <v>0.0</v>
      </c>
      <c r="U48">
        <f si="1" t="shared"/>
        <v>787.9681339263916</v>
      </c>
    </row>
    <row r="49" spans="1:21" x14ac:dyDescent="0.25">
      <c r="A49" s="12">
        <v>0.95833333333333337</v>
      </c>
      <c r="B49" s="6" t="n">
        <v>49.18456551562023</v>
      </c>
      <c r="C49" s="6" t="n">
        <v>2.116878738427162</v>
      </c>
      <c r="D49" s="6" t="n">
        <v>0.533644797958374</v>
      </c>
      <c r="E49" s="6" t="n">
        <v>10.830969145212173</v>
      </c>
      <c r="F49" s="6" t="n">
        <v>95.91259086007594</v>
      </c>
      <c r="G49" s="6" t="n">
        <v>6.376341037640572</v>
      </c>
      <c r="H49" s="6" t="n">
        <v>31.679422286804204</v>
      </c>
      <c r="I49" s="6" t="n">
        <v>0.0</v>
      </c>
      <c r="J49" s="6">
        <f si="0" t="shared"/>
        <v>196.63441238173866</v>
      </c>
      <c r="L49" s="12">
        <v>0.95833333333333337</v>
      </c>
      <c r="M49" s="9" t="n">
        <v>181.49867820739746</v>
      </c>
      <c r="N49" s="9" t="n">
        <v>0.0</v>
      </c>
      <c r="O49" s="9" t="n">
        <v>0.0</v>
      </c>
      <c r="P49" s="9" t="n">
        <v>0.0</v>
      </c>
      <c r="Q49" s="9" t="n">
        <v>70.5749979019165</v>
      </c>
      <c r="R49" s="9" t="n">
        <v>53.38310146331787</v>
      </c>
      <c r="S49" s="9" t="n">
        <v>152.57705211639404</v>
      </c>
      <c r="T49" s="9" t="n">
        <v>0.0</v>
      </c>
      <c r="U49">
        <f si="1" t="shared"/>
        <v>687.53197860717773</v>
      </c>
    </row>
    <row r="50" spans="1:21" x14ac:dyDescent="0.25">
      <c r="A50" s="12">
        <v>0.97916666666666663</v>
      </c>
      <c r="B50" s="6" t="n">
        <v>23.9724819713068</v>
      </c>
      <c r="C50" s="6" t="n">
        <v>0.49059450365066526</v>
      </c>
      <c r="D50" s="6" t="n">
        <v>0.16676399936199188</v>
      </c>
      <c r="E50" s="6" t="n">
        <v>7.292965217962264</v>
      </c>
      <c r="F50" s="6" t="n">
        <v>59.85234838698482</v>
      </c>
      <c r="G50" s="6" t="n">
        <v>2.774046813673973</v>
      </c>
      <c r="H50" s="6" t="n">
        <v>11.94211618744755</v>
      </c>
      <c r="I50" s="6" t="n">
        <v>0.0</v>
      </c>
      <c r="J50" s="6">
        <f si="0" t="shared"/>
        <v>106.49131708038807</v>
      </c>
      <c r="L50" s="12">
        <v>0.97916666666666663</v>
      </c>
      <c r="M50" s="9" t="n">
        <v>154.98153400421143</v>
      </c>
      <c r="N50" s="9" t="n">
        <v>0.0</v>
      </c>
      <c r="O50" s="9" t="n">
        <v>0.0</v>
      </c>
      <c r="P50" s="9" t="n">
        <v>0.0</v>
      </c>
      <c r="Q50" s="9" t="n">
        <v>56.36899375915527</v>
      </c>
      <c r="R50" s="9" t="n">
        <v>45.52644062042236</v>
      </c>
      <c r="S50" s="9" t="n">
        <v>125.10726165771484</v>
      </c>
      <c r="T50" s="9" t="n">
        <v>0.0</v>
      </c>
      <c r="U50">
        <f si="1" t="shared"/>
        <v>552.59886741638184</v>
      </c>
    </row>
    <row r="51" spans="1:21" x14ac:dyDescent="0.25">
      <c r="A51" s="12">
        <v>1</v>
      </c>
      <c r="B51" s="6" t="n">
        <v>9.537110061491012</v>
      </c>
      <c r="C51" s="6" t="n">
        <v>0.08105792621040343</v>
      </c>
      <c r="D51" s="6" t="n">
        <v>0.03923858808517456</v>
      </c>
      <c r="E51" s="6" t="n">
        <v>4.422527944326401</v>
      </c>
      <c r="F51" s="6" t="n">
        <v>32.90528121381951</v>
      </c>
      <c r="G51" s="6" t="n">
        <v>0.994924685084343</v>
      </c>
      <c r="H51" s="6" t="n">
        <v>3.6924545245342255</v>
      </c>
      <c r="I51" s="6" t="n">
        <v>0.0</v>
      </c>
      <c r="J51" s="6">
        <f si="0" t="shared"/>
        <v>51.672594943551069</v>
      </c>
      <c r="L51" s="12">
        <v>1</v>
      </c>
      <c r="M51" s="9" t="n">
        <v>116.79438018798828</v>
      </c>
      <c r="N51" s="9" t="n">
        <v>0.0</v>
      </c>
      <c r="O51" s="9" t="n">
        <v>0.0</v>
      </c>
      <c r="P51" s="9" t="n">
        <v>0.0</v>
      </c>
      <c r="Q51" s="9" t="n">
        <v>40.666314125061035</v>
      </c>
      <c r="R51" s="9" t="n">
        <v>34.39485168457031</v>
      </c>
      <c r="S51" s="9" t="n">
        <v>92.11969661712646</v>
      </c>
      <c r="T51" s="9" t="n">
        <v>0.0</v>
      </c>
      <c r="U51">
        <f si="1" t="shared"/>
        <v>396.59013748168945</v>
      </c>
    </row>
    <row r="52" spans="1:21" x14ac:dyDescent="0.25">
      <c r="A52" s="12">
        <v>1.0208333333333333</v>
      </c>
      <c r="B52" s="6" t="n">
        <v>3.0256732149095535</v>
      </c>
      <c r="C52" s="6" t="n">
        <v>0.008500481357574462</v>
      </c>
      <c r="D52" s="6" t="n">
        <v>0.006539764680862426</v>
      </c>
      <c r="E52" s="6" t="n">
        <v>2.3380296350898746</v>
      </c>
      <c r="F52" s="6" t="n">
        <v>15.407748820970536</v>
      </c>
      <c r="G52" s="6" t="n">
        <v>0.28368817340374</v>
      </c>
      <c r="H52" s="6" t="n">
        <v>0.9047087380437852</v>
      </c>
      <c r="I52" s="6" t="n">
        <v>0.0</v>
      </c>
      <c r="J52" s="6">
        <f si="0" t="shared"/>
        <v>21.974888828455924</v>
      </c>
      <c r="L52" s="12">
        <v>1.0208333333333333</v>
      </c>
      <c r="M52" s="9" t="n">
        <v>75.90758609771729</v>
      </c>
      <c r="N52" s="9" t="n">
        <v>0.0</v>
      </c>
      <c r="O52" s="9" t="n">
        <v>0.0</v>
      </c>
      <c r="P52" s="9" t="n">
        <v>0.0</v>
      </c>
      <c r="Q52" s="9" t="n">
        <v>25.672884941101074</v>
      </c>
      <c r="R52" s="9" t="n">
        <v>22.4069242477417</v>
      </c>
      <c r="S52" s="9" t="n">
        <v>58.98901557922363</v>
      </c>
      <c r="T52" s="9" t="n">
        <v>0.0</v>
      </c>
      <c r="U52">
        <f si="1" t="shared"/>
        <v>247.93622970581055</v>
      </c>
    </row>
    <row r="53" spans="1:21" x14ac:dyDescent="0.25">
      <c r="A53" s="12">
        <v>4.1666666666666664E-2</v>
      </c>
      <c r="B53" s="6" t="n">
        <v>0.7418175034790039</v>
      </c>
      <c r="C53" s="6" t="n">
        <v>4.250240678787231E-4</v>
      </c>
      <c r="D53" s="6" t="n">
        <v>6.883962821960449E-4</v>
      </c>
      <c r="E53" s="6" t="n">
        <v>1.0475371636533737</v>
      </c>
      <c r="F53" s="6" t="n">
        <v>5.940571404932022</v>
      </c>
      <c r="G53" s="6" t="n">
        <v>0.06155370479011536</v>
      </c>
      <c r="H53" s="6" t="n">
        <v>0.1674808777332306</v>
      </c>
      <c r="I53" s="6" t="n">
        <v>0.0</v>
      </c>
      <c r="J53" s="6">
        <f si="0" t="shared"/>
        <v>7.96007407493782</v>
      </c>
      <c r="L53" s="12">
        <v>4.1666666666666664E-2</v>
      </c>
      <c r="M53" s="9" t="n">
        <v>41.75205135345459</v>
      </c>
      <c r="N53" s="9" t="n">
        <v>0.0</v>
      </c>
      <c r="O53" s="9" t="n">
        <v>0.0</v>
      </c>
      <c r="P53" s="9" t="n">
        <v>0.0</v>
      </c>
      <c r="Q53" s="9" t="n">
        <v>13.840838432312012</v>
      </c>
      <c r="R53" s="9" t="n">
        <v>12.338940620422363</v>
      </c>
      <c r="S53" s="9" t="n">
        <v>32.093337059020996</v>
      </c>
      <c r="T53" s="9" t="n">
        <v>0.0</v>
      </c>
      <c r="U53">
        <f si="1" t="shared"/>
        <v>132.2152099609375</v>
      </c>
    </row>
    <row r="54" spans="1:21" x14ac:dyDescent="0.25">
      <c r="A54" s="12">
        <v>6.25E-2</v>
      </c>
      <c r="B54" s="6" t="n">
        <v>0.13421619753170014</v>
      </c>
      <c r="C54" s="6" t="n">
        <v>0.0</v>
      </c>
      <c r="D54" s="6" t="n">
        <v>3.441981410980225E-5</v>
      </c>
      <c r="E54" s="6" t="n">
        <v>0.38722138806343076</v>
      </c>
      <c r="F54" s="6" t="n">
        <v>1.8197585110979082</v>
      </c>
      <c r="G54" s="6" t="n">
        <v>0.009523331842422485</v>
      </c>
      <c r="H54" s="6" t="n">
        <v>0.021781152338981632</v>
      </c>
      <c r="I54" s="6" t="n">
        <v>0.0</v>
      </c>
      <c r="J54" s="6">
        <f si="0" t="shared"/>
        <v>2.3725350006885533</v>
      </c>
      <c r="L54" s="12">
        <v>6.25E-2</v>
      </c>
      <c r="M54" s="9" t="n">
        <v>19.080726623535156</v>
      </c>
      <c r="N54" s="9" t="n">
        <v>0.0</v>
      </c>
      <c r="O54" s="9" t="n">
        <v>0.0</v>
      </c>
      <c r="P54" s="9" t="n">
        <v>0.0</v>
      </c>
      <c r="Q54" s="9" t="n">
        <v>6.235664367675781</v>
      </c>
      <c r="R54" s="9" t="n">
        <v>5.63877010345459</v>
      </c>
      <c r="S54" s="9" t="n">
        <v>14.534913063049316</v>
      </c>
      <c r="T54" s="9" t="n">
        <v>0.0</v>
      </c>
      <c r="U54">
        <f si="1" t="shared"/>
        <v>58.92967700958252</v>
      </c>
    </row>
    <row r="55" spans="1:21" x14ac:dyDescent="0.25">
      <c r="A55" s="12">
        <v>8.3333333333333329E-2</v>
      </c>
      <c r="B55" s="6" t="n">
        <v>0.01663438129901886</v>
      </c>
      <c r="C55" s="6" t="n">
        <v>0.0</v>
      </c>
      <c r="D55" s="6" t="n">
        <v>0.0</v>
      </c>
      <c r="E55" s="6" t="n">
        <v>0.11451116995334625</v>
      </c>
      <c r="F55" s="6" t="n">
        <v>0.4237586312551499</v>
      </c>
      <c r="G55" s="6" t="n">
        <v>9.343731174468994E-4</v>
      </c>
      <c r="H55" s="6" t="n">
        <v>0.0017485554351806642</v>
      </c>
      <c r="I55" s="6" t="n">
        <v>0.0</v>
      </c>
      <c r="J55" s="6">
        <f si="0" t="shared"/>
        <v>0.55758711106014258</v>
      </c>
      <c r="L55" s="12">
        <v>8.3333333333333329E-2</v>
      </c>
      <c r="M55" s="9" t="n">
        <v>7.0925493240356445</v>
      </c>
      <c r="N55" s="9" t="n">
        <v>0.0</v>
      </c>
      <c r="O55" s="9" t="n">
        <v>0.0</v>
      </c>
      <c r="P55" s="9" t="n">
        <v>0.0</v>
      </c>
      <c r="Q55" s="9" t="n">
        <v>2.293898582458496</v>
      </c>
      <c r="R55" s="9" t="n">
        <v>2.0941104888916016</v>
      </c>
      <c r="S55" s="9" t="n">
        <v>5.359821319580078</v>
      </c>
      <c r="T55" s="9" t="n">
        <v>0.0</v>
      </c>
      <c r="U55">
        <f si="1" t="shared"/>
        <v>21.459491729736328</v>
      </c>
    </row>
    <row r="56" spans="1:21" x14ac:dyDescent="0.25">
      <c r="A56" s="12">
        <v>0.10416666666666667</v>
      </c>
      <c r="B56" s="6" t="n">
        <v>0.0012303007535934447</v>
      </c>
      <c r="C56" s="6" t="n">
        <v>0.0</v>
      </c>
      <c r="D56" s="6" t="n">
        <v>0.0</v>
      </c>
      <c r="E56" s="6" t="n">
        <v>0.025983614234924315</v>
      </c>
      <c r="F56" s="6" t="n">
        <v>0.07027702155017854</v>
      </c>
      <c r="G56" s="6" t="n">
        <v>4.363871669769287E-5</v>
      </c>
      <c r="H56" s="6" t="n">
        <v>6.37345380783081E-5</v>
      </c>
      <c r="I56" s="6" t="n">
        <v>0.0</v>
      </c>
      <c r="J56" s="6">
        <f si="0" t="shared"/>
        <v>9.759830979347231E-2</v>
      </c>
      <c r="L56" s="12">
        <v>0.10416666666666667</v>
      </c>
      <c r="M56" s="9" t="n">
        <v>2.0853919982910156</v>
      </c>
      <c r="N56" s="9" t="n">
        <v>0.0</v>
      </c>
      <c r="O56" s="9" t="n">
        <v>0.0</v>
      </c>
      <c r="P56" s="9" t="n">
        <v>0.0</v>
      </c>
      <c r="Q56" s="9" t="n">
        <v>0.6692953109741211</v>
      </c>
      <c r="R56" s="9" t="n">
        <v>0.6148128509521484</v>
      </c>
      <c r="S56" s="9" t="n">
        <v>1.5643939971923828</v>
      </c>
      <c r="T56" s="9" t="n">
        <v>0.0</v>
      </c>
      <c r="U56">
        <f si="1" t="shared"/>
        <v>6.2023124694824219</v>
      </c>
    </row>
    <row r="57" spans="1:21" x14ac:dyDescent="0.25">
      <c r="A57" s="12">
        <v>0.125</v>
      </c>
      <c r="B57" s="6" t="n">
        <v>3.8864851951599124E-5</v>
      </c>
      <c r="C57" s="6" t="n">
        <v>0.0</v>
      </c>
      <c r="D57" s="6" t="n">
        <v>0.0</v>
      </c>
      <c r="E57" s="6" t="n">
        <v>0.004217806913375853</v>
      </c>
      <c r="F57" s="6" t="n">
        <v>0.0073838824653625484</v>
      </c>
      <c r="G57" s="6" t="n">
        <v>0.0</v>
      </c>
      <c r="H57" s="6" t="n">
        <v>0.0</v>
      </c>
      <c r="I57" s="6" t="n">
        <v>0.0</v>
      </c>
      <c r="J57" s="6">
        <f si="0" t="shared"/>
        <v>1.1640554230690001E-2</v>
      </c>
      <c r="L57" s="12">
        <v>0.125</v>
      </c>
      <c r="M57" s="9" t="n">
        <v>0.4587974548339844</v>
      </c>
      <c r="N57" s="9" t="n">
        <v>0.0</v>
      </c>
      <c r="O57" s="9" t="n">
        <v>0.0</v>
      </c>
      <c r="P57" s="9" t="n">
        <v>0.0</v>
      </c>
      <c r="Q57" s="9" t="n">
        <v>0.1464214324951172</v>
      </c>
      <c r="R57" s="9" t="n">
        <v>0.1350240707397461</v>
      </c>
      <c r="S57" s="9" t="n">
        <v>0.34187793731689453</v>
      </c>
      <c r="T57" s="9" t="n">
        <v>0.0</v>
      </c>
      <c r="U57">
        <f si="1" t="shared"/>
        <v>1.3452997207641602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762.089831</v>
      </c>
      <c r="C8" s="6" t="n">
        <v>40.752751</v>
      </c>
      <c r="D8" s="6" t="n">
        <v>18.721745</v>
      </c>
      <c r="E8" s="6" t="n">
        <v>820.367435</v>
      </c>
      <c r="F8" s="6" t="n">
        <v>307.137324</v>
      </c>
      <c r="G8" s="6" t="n">
        <v>86.611874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756.0</v>
      </c>
      <c r="N8" s="9" t="n">
        <v>125.0</v>
      </c>
      <c r="O8" s="9" t="n">
        <v>139.0</v>
      </c>
      <c r="P8" s="9" t="n">
        <v>220.0</v>
      </c>
      <c r="Q8" s="9" t="n">
        <v>57.0</v>
      </c>
      <c r="R8" s="9" t="n">
        <v>71.0</v>
      </c>
      <c r="S8" s="9" t="n">
        <v>441.0</v>
      </c>
      <c r="T8" s="9" t="n">
        <v>0.0</v>
      </c>
      <c r="U8">
        <f>SUM(M8:T8)</f>
        <v>10935</v>
      </c>
      <c r="W8" s="5"/>
      <c r="X8" s="16"/>
      <c r="Y8" s="16"/>
      <c r="Z8" s="5"/>
    </row>
    <row r="9" spans="1:26" x14ac:dyDescent="0.25">
      <c r="A9" s="12">
        <v>0.125</v>
      </c>
      <c r="B9" s="6" t="n">
        <v>527.4351163184137</v>
      </c>
      <c r="C9" s="6" t="n">
        <v>33.50204903200054</v>
      </c>
      <c r="D9" s="6" t="n">
        <v>20.19687748285198</v>
      </c>
      <c r="E9" s="6" t="n">
        <v>555.6474879829178</v>
      </c>
      <c r="F9" s="6" t="n">
        <v>207.84145869610592</v>
      </c>
      <c r="G9" s="6" t="n">
        <v>57.49114790024376</v>
      </c>
      <c r="H9" s="6" t="n">
        <v>0.8225582773456575</v>
      </c>
      <c r="I9" s="6" t="n">
        <v>0.0</v>
      </c>
      <c r="J9" s="6">
        <f ref="J9:J58" si="0" t="shared">SUM(B9:I9)</f>
        <v>1402.9366956898793</v>
      </c>
      <c r="L9" s="12">
        <v>0.125</v>
      </c>
      <c r="M9" s="9" t="n">
        <v>628.9230880737305</v>
      </c>
      <c r="N9" s="9" t="n">
        <v>105.19868087768555</v>
      </c>
      <c r="O9" s="9" t="n">
        <v>131.45909881591797</v>
      </c>
      <c r="P9" s="9" t="n">
        <v>206.01992416381836</v>
      </c>
      <c r="Q9" s="9" t="n">
        <v>40.706918716430664</v>
      </c>
      <c r="R9" s="9" t="n">
        <v>48.23554229736328</v>
      </c>
      <c r="S9" s="9" t="n">
        <v>310.4968090057373</v>
      </c>
      <c r="T9" s="9" t="n">
        <v>0.0</v>
      </c>
      <c r="U9">
        <f ref="U9:U58" si="1" t="shared">SUM(M9:T9)</f>
        <v>7588.9272804260254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352.27167197143746</v>
      </c>
      <c r="C10" s="6" t="n">
        <v>29.95648524162197</v>
      </c>
      <c r="D10" s="6" t="n">
        <v>28.820514345416072</v>
      </c>
      <c r="E10" s="6" t="n">
        <v>348.5588771245699</v>
      </c>
      <c r="F10" s="6" t="n">
        <v>125.72987441056058</v>
      </c>
      <c r="G10" s="6" t="n">
        <v>33.28032843244553</v>
      </c>
      <c r="H10" s="6" t="n">
        <v>3.812452832673073</v>
      </c>
      <c r="I10" s="6" t="n">
        <v>0.0</v>
      </c>
      <c r="J10" s="6">
        <f si="0" t="shared"/>
        <v>922.43020435872472</v>
      </c>
      <c r="L10" s="12">
        <v>0.14583333333333334</v>
      </c>
      <c r="M10" s="9" t="n">
        <v>539.2425651550293</v>
      </c>
      <c r="N10" s="9" t="n">
        <v>93.6620283126831</v>
      </c>
      <c r="O10" s="9" t="n">
        <v>135.0115156173706</v>
      </c>
      <c r="P10" s="9" t="n">
        <v>206.1886568069458</v>
      </c>
      <c r="Q10" s="9" t="n">
        <v>27.774983406066895</v>
      </c>
      <c r="R10" s="9" t="n">
        <v>29.550230979919434</v>
      </c>
      <c r="S10" s="9" t="n">
        <v>202.83678340911865</v>
      </c>
      <c r="T10" s="9" t="n">
        <v>0.0</v>
      </c>
      <c r="U10">
        <f si="1" t="shared"/>
        <v>4835.8953847885132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285.4880567662325</v>
      </c>
      <c r="C11" s="6" t="n">
        <v>36.85722769887447</v>
      </c>
      <c r="D11" s="6" t="n">
        <v>51.44112016019631</v>
      </c>
      <c r="E11" s="6" t="n">
        <v>246.22965958665947</v>
      </c>
      <c r="F11" s="6" t="n">
        <v>71.9712888085966</v>
      </c>
      <c r="G11" s="6" t="n">
        <v>16.735738432111738</v>
      </c>
      <c r="H11" s="6" t="n">
        <v>13.306692984174727</v>
      </c>
      <c r="I11" s="6" t="n">
        <v>0.0</v>
      </c>
      <c r="J11" s="6">
        <f si="0" t="shared"/>
        <v>722.0297844368456</v>
      </c>
      <c r="L11" s="12">
        <v>0.16666666666666666</v>
      </c>
      <c r="M11" s="9" t="n">
        <v>525.0669841766357</v>
      </c>
      <c r="N11" s="9" t="n">
        <v>100.28926086425781</v>
      </c>
      <c r="O11" s="9" t="n">
        <v>166.67262077331543</v>
      </c>
      <c r="P11" s="9" t="n">
        <v>242.98375129699707</v>
      </c>
      <c r="Q11" s="9" t="n">
        <v>20.758846282958984</v>
      </c>
      <c r="R11" s="9" t="n">
        <v>17.51516628265381</v>
      </c>
      <c r="S11" s="9" t="n">
        <v>133.79973697662354</v>
      </c>
      <c r="T11" s="9" t="n">
        <v>0.0</v>
      </c>
      <c r="U11">
        <f si="1" t="shared"/>
        <v>3027.5890960693359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363.4409163352613</v>
      </c>
      <c r="C12" s="6" t="n">
        <v>69.82628512073326</v>
      </c>
      <c r="D12" s="6" t="n">
        <v>95.32974765479852</v>
      </c>
      <c r="E12" s="6" t="n">
        <v>291.38949064870263</v>
      </c>
      <c r="F12" s="6" t="n">
        <v>51.51359859184265</v>
      </c>
      <c r="G12" s="6" t="n">
        <v>7.889383699279785</v>
      </c>
      <c r="H12" s="6" t="n">
        <v>36.9233071082697</v>
      </c>
      <c r="I12" s="6" t="n">
        <v>0.0</v>
      </c>
      <c r="J12" s="6">
        <f si="0" t="shared"/>
        <v>916.31272915888769</v>
      </c>
      <c r="L12" s="12">
        <v>0.1875</v>
      </c>
      <c r="M12" s="9" t="n">
        <v>628.7508201599121</v>
      </c>
      <c r="N12" s="9" t="n">
        <v>138.81907844543457</v>
      </c>
      <c r="O12" s="9" t="n">
        <v>256.12951374053955</v>
      </c>
      <c r="P12" s="9" t="n">
        <v>355.7739210128784</v>
      </c>
      <c r="Q12" s="9" t="n">
        <v>21.527000427246094</v>
      </c>
      <c r="R12" s="9" t="n">
        <v>12.868833541870117</v>
      </c>
      <c r="S12" s="9" t="n">
        <v>110.28446292877197</v>
      </c>
      <c r="T12" s="9" t="n">
        <v>0.0</v>
      </c>
      <c r="U12">
        <f si="1" t="shared"/>
        <v>2220.8122806549072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612.6819540356264</v>
      </c>
      <c r="C13" s="6" t="n">
        <v>159.56104137638</v>
      </c>
      <c r="D13" s="6" t="n">
        <v>170.13478795998955</v>
      </c>
      <c r="E13" s="6" t="n">
        <v>539.1027507709771</v>
      </c>
      <c r="F13" s="6" t="n">
        <v>67.20937179706955</v>
      </c>
      <c r="G13" s="6" t="n">
        <v>5.061714098114013</v>
      </c>
      <c r="H13" s="6" t="n">
        <v>83.56736911254788</v>
      </c>
      <c r="I13" s="6" t="n">
        <v>0.0</v>
      </c>
      <c r="J13" s="6">
        <f si="0" t="shared"/>
        <v>1637.3189891507043</v>
      </c>
      <c r="L13" s="12">
        <v>0.20833333333333334</v>
      </c>
      <c r="M13" s="9" t="n">
        <v>895.8222236633301</v>
      </c>
      <c r="N13" s="9" t="n">
        <v>227.40489768981934</v>
      </c>
      <c r="O13" s="9" t="n">
        <v>449.50957775115967</v>
      </c>
      <c r="P13" s="9" t="n">
        <v>604.118426322937</v>
      </c>
      <c r="Q13" s="9" t="n">
        <v>32.0697603225708</v>
      </c>
      <c r="R13" s="9" t="n">
        <v>15.296943664550781</v>
      </c>
      <c r="S13" s="9" t="n">
        <v>133.19208526611328</v>
      </c>
      <c r="T13" s="9" t="n">
        <v>0.0</v>
      </c>
      <c r="U13">
        <f si="1" t="shared"/>
        <v>2311.1383991241455</v>
      </c>
    </row>
    <row r="14" spans="1:26" x14ac:dyDescent="0.25">
      <c r="A14" s="12">
        <v>0.22916666666666666</v>
      </c>
      <c r="B14" s="6" t="n">
        <v>1042.6401951057424</v>
      </c>
      <c r="C14" s="6" t="n">
        <v>348.82612599156766</v>
      </c>
      <c r="D14" s="6" t="n">
        <v>288.63752372778225</v>
      </c>
      <c r="E14" s="6" t="n">
        <v>1054.8416559974146</v>
      </c>
      <c r="F14" s="6" t="n">
        <v>121.03974719392586</v>
      </c>
      <c r="G14" s="6" t="n">
        <v>6.138414366872787</v>
      </c>
      <c r="H14" s="6" t="n">
        <v>156.94971447021962</v>
      </c>
      <c r="I14" s="6" t="n">
        <v>0.0</v>
      </c>
      <c r="J14" s="6">
        <f si="0" t="shared"/>
        <v>3019.0733768535251</v>
      </c>
      <c r="L14" s="12">
        <v>0.22916666666666666</v>
      </c>
      <c r="M14" s="9" t="n">
        <v>1358.5440435409546</v>
      </c>
      <c r="N14" s="9" t="n">
        <v>383.85388946533203</v>
      </c>
      <c r="O14" s="9" t="n">
        <v>802.4871597290039</v>
      </c>
      <c r="P14" s="9" t="n">
        <v>1056.3242406845093</v>
      </c>
      <c r="Q14" s="9" t="n">
        <v>54.78245830535889</v>
      </c>
      <c r="R14" s="9" t="n">
        <v>24.236408233642578</v>
      </c>
      <c r="S14" s="9" t="n">
        <v>199.832106590271</v>
      </c>
      <c r="T14" s="9" t="n">
        <v>0.0</v>
      </c>
      <c r="U14">
        <f si="1" t="shared"/>
        <v>3192.007040977478</v>
      </c>
    </row>
    <row r="15" spans="1:26" x14ac:dyDescent="0.25">
      <c r="A15" s="12">
        <v>0.25</v>
      </c>
      <c r="B15" s="6" t="n">
        <v>1620.7837679068105</v>
      </c>
      <c r="C15" s="6" t="n">
        <v>670.1492277777854</v>
      </c>
      <c r="D15" s="6" t="n">
        <v>462.5840817011404</v>
      </c>
      <c r="E15" s="6" t="n">
        <v>1869.799440619398</v>
      </c>
      <c r="F15" s="6" t="n">
        <v>208.58610317831136</v>
      </c>
      <c r="G15" s="6" t="n">
        <v>9.090953610961915</v>
      </c>
      <c r="H15" s="6" t="n">
        <v>247.45335463362883</v>
      </c>
      <c r="I15" s="6" t="n">
        <v>0.0</v>
      </c>
      <c r="J15" s="6">
        <f si="0" t="shared"/>
        <v>5088.446929428037</v>
      </c>
      <c r="L15" s="12">
        <v>0.25</v>
      </c>
      <c r="M15" s="9" t="n">
        <v>2006.8797645568848</v>
      </c>
      <c r="N15" s="9" t="n">
        <v>614.968451499939</v>
      </c>
      <c r="O15" s="9" t="n">
        <v>1358.2148361206055</v>
      </c>
      <c r="P15" s="9" t="n">
        <v>1759.2847003936768</v>
      </c>
      <c r="Q15" s="9" t="n">
        <v>91.36653423309326</v>
      </c>
      <c r="R15" s="9" t="n">
        <v>38.92374515533447</v>
      </c>
      <c r="S15" s="9" t="n">
        <v>302.4786615371704</v>
      </c>
      <c r="T15" s="9" t="n">
        <v>0.0</v>
      </c>
      <c r="U15">
        <f si="1" t="shared"/>
        <v>4799.9905662536621</v>
      </c>
    </row>
    <row r="16" spans="1:26" x14ac:dyDescent="0.25">
      <c r="A16" s="12">
        <v>0.27083333333333331</v>
      </c>
      <c r="B16" s="6" t="n">
        <v>2248.3275061412105</v>
      </c>
      <c r="C16" s="6" t="n">
        <v>1108.916254534939</v>
      </c>
      <c r="D16" s="6" t="n">
        <v>694.8566589336634</v>
      </c>
      <c r="E16" s="6" t="n">
        <v>2912.7172343871407</v>
      </c>
      <c r="F16" s="6" t="n">
        <v>312.430342954544</v>
      </c>
      <c r="G16" s="6" t="n">
        <v>11.968407303436278</v>
      </c>
      <c r="H16" s="6" t="n">
        <v>329.95425368229485</v>
      </c>
      <c r="I16" s="6" t="n">
        <v>0.0</v>
      </c>
      <c r="J16" s="6">
        <f si="0" t="shared"/>
        <v>7619.1706579372285</v>
      </c>
      <c r="L16" s="12">
        <v>0.27083333333333331</v>
      </c>
      <c r="M16" s="9" t="n">
        <v>2767.933235168457</v>
      </c>
      <c r="N16" s="9" t="n">
        <v>905.7102403640747</v>
      </c>
      <c r="O16" s="9" t="n">
        <v>2116.967981338501</v>
      </c>
      <c r="P16" s="9" t="n">
        <v>2700.6761198043823</v>
      </c>
      <c r="Q16" s="9" t="n">
        <v>140.89672183990479</v>
      </c>
      <c r="R16" s="9" t="n">
        <v>57.932979583740234</v>
      </c>
      <c r="S16" s="9" t="n">
        <v>425.54219150543213</v>
      </c>
      <c r="T16" s="9" t="n">
        <v>0.0</v>
      </c>
      <c r="U16">
        <f si="1" t="shared"/>
        <v>7048.4840641021729</v>
      </c>
    </row>
    <row r="17" spans="1:21" x14ac:dyDescent="0.25">
      <c r="A17" s="12">
        <v>0.29166666666666669</v>
      </c>
      <c r="B17" s="6" t="n">
        <v>2773.2121217219724</v>
      </c>
      <c r="C17" s="6" t="n">
        <v>1580.7394361724491</v>
      </c>
      <c r="D17" s="6" t="n">
        <v>976.4966380510741</v>
      </c>
      <c r="E17" s="6" t="n">
        <v>3984.2145961980377</v>
      </c>
      <c r="F17" s="6" t="n">
        <v>404.3344225469465</v>
      </c>
      <c r="G17" s="6" t="n">
        <v>13.145985825778961</v>
      </c>
      <c r="H17" s="6" t="n">
        <v>373.705917234808</v>
      </c>
      <c r="I17" s="6" t="n">
        <v>0.0</v>
      </c>
      <c r="J17" s="6">
        <f si="0" t="shared"/>
        <v>10105.849117751064</v>
      </c>
      <c r="L17" s="12">
        <v>0.29166666666666669</v>
      </c>
      <c r="M17" s="9" t="n">
        <v>3517.0562629699707</v>
      </c>
      <c r="N17" s="9" t="n">
        <v>1217.4344291687012</v>
      </c>
      <c r="O17" s="9" t="n">
        <v>3016.656457901001</v>
      </c>
      <c r="P17" s="9" t="n">
        <v>3788.7662677764893</v>
      </c>
      <c r="Q17" s="9" t="n">
        <v>198.71856689453125</v>
      </c>
      <c r="R17" s="9" t="n">
        <v>79.0051498413086</v>
      </c>
      <c r="S17" s="9" t="n">
        <v>546.8741044998169</v>
      </c>
      <c r="T17" s="9" t="n">
        <v>0.0</v>
      </c>
      <c r="U17">
        <f si="1" t="shared"/>
        <v>9753.6552925109863</v>
      </c>
    </row>
    <row r="18" spans="1:21" x14ac:dyDescent="0.25">
      <c r="A18" s="12">
        <v>0.3125</v>
      </c>
      <c r="B18" s="6" t="n">
        <v>3055.5408466615704</v>
      </c>
      <c r="C18" s="6" t="n">
        <v>1957.2766452791102</v>
      </c>
      <c r="D18" s="6" t="n">
        <v>1294.811867972558</v>
      </c>
      <c r="E18" s="6" t="n">
        <v>4828.172930465253</v>
      </c>
      <c r="F18" s="6" t="n">
        <v>458.2037307552967</v>
      </c>
      <c r="G18" s="6" t="n">
        <v>11.949326814378738</v>
      </c>
      <c r="H18" s="6" t="n">
        <v>360.48142762014874</v>
      </c>
      <c r="I18" s="6" t="n">
        <v>0.0</v>
      </c>
      <c r="J18" s="6">
        <f si="0" t="shared"/>
        <v>11966.436775568314</v>
      </c>
      <c r="L18" s="12">
        <v>0.3125</v>
      </c>
      <c r="M18" s="9" t="n">
        <v>4123.38537979126</v>
      </c>
      <c r="N18" s="9" t="n">
        <v>1500.2200708389282</v>
      </c>
      <c r="O18" s="9" t="n">
        <v>3943.8040285110474</v>
      </c>
      <c r="P18" s="9" t="n">
        <v>4872.962740898132</v>
      </c>
      <c r="Q18" s="9" t="n">
        <v>257.52439975738525</v>
      </c>
      <c r="R18" s="9" t="n">
        <v>99.62444972991943</v>
      </c>
      <c r="S18" s="9" t="n">
        <v>645.3830194473267</v>
      </c>
      <c r="T18" s="9" t="n">
        <v>0.0</v>
      </c>
      <c r="U18">
        <f si="1" t="shared"/>
        <v>12644.163089752197</v>
      </c>
    </row>
    <row r="19" spans="1:21" x14ac:dyDescent="0.25">
      <c r="A19" s="12">
        <v>0.33333333333333331</v>
      </c>
      <c r="B19" s="6" t="n">
        <v>3046.2541416898775</v>
      </c>
      <c r="C19" s="6" t="n">
        <v>2138.524717370544</v>
      </c>
      <c r="D19" s="6" t="n">
        <v>1646.2625079683808</v>
      </c>
      <c r="E19" s="6" t="n">
        <v>5271.434540665416</v>
      </c>
      <c r="F19" s="6" t="n">
        <v>464.1611577714863</v>
      </c>
      <c r="G19" s="6" t="n">
        <v>8.961933161144255</v>
      </c>
      <c r="H19" s="6" t="n">
        <v>297.6138660594531</v>
      </c>
      <c r="I19" s="6" t="n">
        <v>0.0</v>
      </c>
      <c r="J19" s="6">
        <f si="0" t="shared"/>
        <v>12873.212864686302</v>
      </c>
      <c r="L19" s="12">
        <v>0.33333333333333331</v>
      </c>
      <c r="M19" s="9" t="n">
        <v>4505.293419837952</v>
      </c>
      <c r="N19" s="9" t="n">
        <v>1713.9528503417969</v>
      </c>
      <c r="O19" s="9" t="n">
        <v>4776.531804084778</v>
      </c>
      <c r="P19" s="9" t="n">
        <v>5803.160737037659</v>
      </c>
      <c r="Q19" s="9" t="n">
        <v>310.3050603866577</v>
      </c>
      <c r="R19" s="9" t="n">
        <v>118.00929546356201</v>
      </c>
      <c r="S19" s="9" t="n">
        <v>710.6143970489502</v>
      </c>
      <c r="T19" s="9" t="n">
        <v>0.0</v>
      </c>
      <c r="U19">
        <f si="1" t="shared"/>
        <v>15457.013053894043</v>
      </c>
    </row>
    <row r="20" spans="1:21" x14ac:dyDescent="0.25">
      <c r="A20" s="12">
        <v>0.35416666666666669</v>
      </c>
      <c r="B20" s="6" t="n">
        <v>2813.8225570498457</v>
      </c>
      <c r="C20" s="6" t="n">
        <v>2118.25866063194</v>
      </c>
      <c r="D20" s="6" t="n">
        <v>2041.3454154065225</v>
      </c>
      <c r="E20" s="6" t="n">
        <v>5326.142864969869</v>
      </c>
      <c r="F20" s="6" t="n">
        <v>432.61095030446336</v>
      </c>
      <c r="G20" s="6" t="n">
        <v>5.515079365088462</v>
      </c>
      <c r="H20" s="6" t="n">
        <v>215.11109162212662</v>
      </c>
      <c r="I20" s="6" t="n">
        <v>0.0</v>
      </c>
      <c r="J20" s="6">
        <f si="0" t="shared"/>
        <v>12952.806619349853</v>
      </c>
      <c r="L20" s="12">
        <v>0.35416666666666669</v>
      </c>
      <c r="M20" s="9" t="n">
        <v>4660.6690130233765</v>
      </c>
      <c r="N20" s="9" t="n">
        <v>1844.6902894973755</v>
      </c>
      <c r="O20" s="9" t="n">
        <v>5434.926704406738</v>
      </c>
      <c r="P20" s="9" t="n">
        <v>6492.998840332031</v>
      </c>
      <c r="Q20" s="9" t="n">
        <v>353.24767208099365</v>
      </c>
      <c r="R20" s="9" t="n">
        <v>133.701509475708</v>
      </c>
      <c r="S20" s="9" t="n">
        <v>746.8851184844971</v>
      </c>
      <c r="T20" s="9" t="n">
        <v>0.0</v>
      </c>
      <c r="U20">
        <f si="1" t="shared"/>
        <v>18036.816864967346</v>
      </c>
    </row>
    <row r="21" spans="1:21" x14ac:dyDescent="0.25">
      <c r="A21" s="12">
        <v>0.375</v>
      </c>
      <c r="B21" s="6" t="n">
        <v>2497.0968417393324</v>
      </c>
      <c r="C21" s="6" t="n">
        <v>1984.3636224567567</v>
      </c>
      <c r="D21" s="6" t="n">
        <v>2497.7922852366582</v>
      </c>
      <c r="E21" s="6" t="n">
        <v>5170.560996695016</v>
      </c>
      <c r="F21" s="6" t="n">
        <v>387.1204483616218</v>
      </c>
      <c r="G21" s="6" t="n">
        <v>2.758527073928833</v>
      </c>
      <c r="H21" s="6" t="n">
        <v>149.60930787962343</v>
      </c>
      <c r="I21" s="6" t="n">
        <v>0.0</v>
      </c>
      <c r="J21" s="6">
        <f si="0" t="shared"/>
        <v>12689.302029442937</v>
      </c>
      <c r="L21" s="12">
        <v>0.375</v>
      </c>
      <c r="M21" s="9" t="n">
        <v>4653.321607589722</v>
      </c>
      <c r="N21" s="9" t="n">
        <v>1905.1351013183594</v>
      </c>
      <c r="O21" s="9" t="n">
        <v>5904.030185699463</v>
      </c>
      <c r="P21" s="9" t="n">
        <v>6942.654187202454</v>
      </c>
      <c r="Q21" s="9" t="n">
        <v>386.54537868499756</v>
      </c>
      <c r="R21" s="9" t="n">
        <v>147.22887992858887</v>
      </c>
      <c r="S21" s="9" t="n">
        <v>768.4070339202881</v>
      </c>
      <c r="T21" s="9" t="n">
        <v>0.0</v>
      </c>
      <c r="U21">
        <f si="1" t="shared"/>
        <v>20346.771734237671</v>
      </c>
    </row>
    <row r="22" spans="1:21" x14ac:dyDescent="0.25">
      <c r="A22" s="12">
        <v>0.39583333333333331</v>
      </c>
      <c r="B22" s="6" t="n">
        <v>2228.557319250498</v>
      </c>
      <c r="C22" s="6" t="n">
        <v>1854.6671885636358</v>
      </c>
      <c r="D22" s="6" t="n">
        <v>3029.377335968516</v>
      </c>
      <c r="E22" s="6" t="n">
        <v>5029.746082109041</v>
      </c>
      <c r="F22" s="6" t="n">
        <v>353.2945419270143</v>
      </c>
      <c r="G22" s="6" t="n">
        <v>1.1140785700740812</v>
      </c>
      <c r="H22" s="6" t="n">
        <v>127.77232615589239</v>
      </c>
      <c r="I22" s="6" t="n">
        <v>0.0</v>
      </c>
      <c r="J22" s="6">
        <f si="0" t="shared"/>
        <v>12624.528872544672</v>
      </c>
      <c r="L22" s="12">
        <v>0.39583333333333331</v>
      </c>
      <c r="M22" s="9" t="n">
        <v>4568.281661987305</v>
      </c>
      <c r="N22" s="9" t="n">
        <v>1920.3641691207886</v>
      </c>
      <c r="O22" s="9" t="n">
        <v>6215.96583366394</v>
      </c>
      <c r="P22" s="9" t="n">
        <v>7208.394483566284</v>
      </c>
      <c r="Q22" s="9" t="n">
        <v>412.7830467224121</v>
      </c>
      <c r="R22" s="9" t="n">
        <v>159.2094488143921</v>
      </c>
      <c r="S22" s="9" t="n">
        <v>789.3214893341064</v>
      </c>
      <c r="T22" s="9" t="n">
        <v>0.0</v>
      </c>
      <c r="U22">
        <f si="1" t="shared"/>
        <v>22384.402031898499</v>
      </c>
    </row>
    <row r="23" spans="1:21" x14ac:dyDescent="0.25">
      <c r="A23" s="12">
        <v>0.41666666666666669</v>
      </c>
      <c r="B23" s="6" t="n">
        <v>2084.959484361839</v>
      </c>
      <c r="C23" s="6" t="n">
        <v>1807.8401015026523</v>
      </c>
      <c r="D23" s="6" t="n">
        <v>3635.77143483839</v>
      </c>
      <c r="E23" s="6" t="n">
        <v>5055.029825678168</v>
      </c>
      <c r="F23" s="6" t="n">
        <v>349.4425489908714</v>
      </c>
      <c r="G23" s="6" t="n">
        <v>0.42166922911262505</v>
      </c>
      <c r="H23" s="6" t="n">
        <v>158.10272780452345</v>
      </c>
      <c r="I23" s="6" t="n">
        <v>0.0</v>
      </c>
      <c r="J23" s="6">
        <f si="0" t="shared"/>
        <v>13091.567792405556</v>
      </c>
      <c r="L23" s="12">
        <v>0.41666666666666669</v>
      </c>
      <c r="M23" s="9" t="n">
        <v>4470.629384994507</v>
      </c>
      <c r="N23" s="9" t="n">
        <v>1911.9422464370728</v>
      </c>
      <c r="O23" s="9" t="n">
        <v>6414.7168045043945</v>
      </c>
      <c r="P23" s="9" t="n">
        <v>7354.137584686279</v>
      </c>
      <c r="Q23" s="9" t="n">
        <v>434.70019245147705</v>
      </c>
      <c r="R23" s="9" t="n">
        <v>169.9031467437744</v>
      </c>
      <c r="S23" s="9" t="n">
        <v>816.8409786224365</v>
      </c>
      <c r="T23" s="9" t="n">
        <v>0.0</v>
      </c>
      <c r="U23">
        <f si="1" t="shared"/>
        <v>24098.007187843323</v>
      </c>
    </row>
    <row r="24" spans="1:21" x14ac:dyDescent="0.25">
      <c r="A24" s="12">
        <v>0.4375</v>
      </c>
      <c r="B24" s="6" t="n">
        <v>2080.4755604372444</v>
      </c>
      <c r="C24" s="6" t="n">
        <v>1861.2341129186289</v>
      </c>
      <c r="D24" s="6" t="n">
        <v>4292.62457003433</v>
      </c>
      <c r="E24" s="6" t="n">
        <v>5278.361700037844</v>
      </c>
      <c r="F24" s="6" t="n">
        <v>380.4031439756441</v>
      </c>
      <c r="G24" s="6" t="n">
        <v>0.4647146823835373</v>
      </c>
      <c r="H24" s="6" t="n">
        <v>230.95767744381334</v>
      </c>
      <c r="I24" s="6" t="n">
        <v>0.0</v>
      </c>
      <c r="J24" s="6">
        <f si="0" t="shared"/>
        <v>14124.521479529887</v>
      </c>
      <c r="L24" s="12">
        <v>0.4375</v>
      </c>
      <c r="M24" s="9" t="n">
        <v>4396.126261711121</v>
      </c>
      <c r="N24" s="9" t="n">
        <v>1893.4789209365845</v>
      </c>
      <c r="O24" s="9" t="n">
        <v>6541.064950942993</v>
      </c>
      <c r="P24" s="9" t="n">
        <v>7433.591029167175</v>
      </c>
      <c r="Q24" s="9" t="n">
        <v>454.6441488265991</v>
      </c>
      <c r="R24" s="9" t="n">
        <v>179.81625270843506</v>
      </c>
      <c r="S24" s="9" t="n">
        <v>852.7241840362549</v>
      </c>
      <c r="T24" s="9" t="n">
        <v>0.0</v>
      </c>
      <c r="U24">
        <f si="1" t="shared"/>
        <v>25404.209235191345</v>
      </c>
    </row>
    <row r="25" spans="1:21" x14ac:dyDescent="0.25">
      <c r="A25" s="12">
        <v>0.45833333333333331</v>
      </c>
      <c r="B25" s="6" t="n">
        <v>2183.3342209667826</v>
      </c>
      <c r="C25" s="6" t="n">
        <v>1991.831964603168</v>
      </c>
      <c r="D25" s="6" t="n">
        <v>4945.37037675797</v>
      </c>
      <c r="E25" s="6" t="n">
        <v>5640.806589034159</v>
      </c>
      <c r="F25" s="6" t="n">
        <v>436.4031898059359</v>
      </c>
      <c r="G25" s="6" t="n">
        <v>1.4858023752670289</v>
      </c>
      <c r="H25" s="6" t="n">
        <v>324.2297079654207</v>
      </c>
      <c r="I25" s="6" t="n">
        <v>0.0</v>
      </c>
      <c r="J25" s="6">
        <f si="0" t="shared"/>
        <v>15523.461851508704</v>
      </c>
      <c r="L25" s="12">
        <v>0.45833333333333331</v>
      </c>
      <c r="M25" s="9" t="n">
        <v>4371.133919715881</v>
      </c>
      <c r="N25" s="9" t="n">
        <v>1877.783031463623</v>
      </c>
      <c r="O25" s="9" t="n">
        <v>6646.619933128357</v>
      </c>
      <c r="P25" s="9" t="n">
        <v>7510.499087333679</v>
      </c>
      <c r="Q25" s="9" t="n">
        <v>476.0526399612427</v>
      </c>
      <c r="R25" s="9" t="n">
        <v>190.77631950378418</v>
      </c>
      <c r="S25" s="9" t="n">
        <v>900.5763874053955</v>
      </c>
      <c r="T25" s="9" t="n">
        <v>0.0</v>
      </c>
      <c r="U25">
        <f si="1" t="shared"/>
        <v>26292.996608734131</v>
      </c>
    </row>
    <row r="26" spans="1:21" x14ac:dyDescent="0.25">
      <c r="A26" s="12">
        <v>0.47916666666666669</v>
      </c>
      <c r="B26" s="6" t="n">
        <v>2340.8287215313576</v>
      </c>
      <c r="C26" s="6" t="n">
        <v>2164.4336121058154</v>
      </c>
      <c r="D26" s="6" t="n">
        <v>5517.873697870722</v>
      </c>
      <c r="E26" s="6" t="n">
        <v>6053.199184279903</v>
      </c>
      <c r="F26" s="6" t="n">
        <v>500.2316177331304</v>
      </c>
      <c r="G26" s="6" t="n">
        <v>4.577298918512344</v>
      </c>
      <c r="H26" s="6" t="n">
        <v>414.86440179492473</v>
      </c>
      <c r="I26" s="6" t="n">
        <v>0.0</v>
      </c>
      <c r="J26" s="6">
        <f si="0" t="shared"/>
        <v>16996.008534234366</v>
      </c>
      <c r="L26" s="12">
        <v>0.47916666666666669</v>
      </c>
      <c r="M26" s="9" t="n">
        <v>4431.439683914185</v>
      </c>
      <c r="N26" s="9" t="n">
        <v>1883.1068286895752</v>
      </c>
      <c r="O26" s="9" t="n">
        <v>6804.712552070618</v>
      </c>
      <c r="P26" s="9" t="n">
        <v>7673.587642669678</v>
      </c>
      <c r="Q26" s="9" t="n">
        <v>504.61566257476807</v>
      </c>
      <c r="R26" s="9" t="n">
        <v>206.11969566345215</v>
      </c>
      <c r="S26" s="9" t="n">
        <v>970.9895372390747</v>
      </c>
      <c r="T26" s="9" t="n">
        <v>0.0</v>
      </c>
      <c r="U26">
        <f si="1" t="shared"/>
        <v>26899.928328514099</v>
      </c>
    </row>
    <row r="27" spans="1:21" x14ac:dyDescent="0.25">
      <c r="A27" s="12">
        <v>0.5</v>
      </c>
      <c r="B27" s="6" t="n">
        <v>2510.319387029519</v>
      </c>
      <c r="C27" s="6" t="n">
        <v>2347.4691556534035</v>
      </c>
      <c r="D27" s="6" t="n">
        <v>5939.211794403028</v>
      </c>
      <c r="E27" s="6" t="n">
        <v>6458.056974585319</v>
      </c>
      <c r="F27" s="6" t="n">
        <v>560.4084647741976</v>
      </c>
      <c r="G27" s="6" t="n">
        <v>11.962689769352911</v>
      </c>
      <c r="H27" s="6" t="n">
        <v>493.78261178546626</v>
      </c>
      <c r="I27" s="6" t="n">
        <v>0.0</v>
      </c>
      <c r="J27" s="6">
        <f si="0" t="shared"/>
        <v>18321.211078000288</v>
      </c>
      <c r="L27" s="12">
        <v>0.5</v>
      </c>
      <c r="M27" s="9" t="n">
        <v>4613.414440155029</v>
      </c>
      <c r="N27" s="9" t="n">
        <v>1927.6745109558105</v>
      </c>
      <c r="O27" s="9" t="n">
        <v>7083.867582321167</v>
      </c>
      <c r="P27" s="9" t="n">
        <v>8004.823905944824</v>
      </c>
      <c r="Q27" s="9" t="n">
        <v>546.5516452789307</v>
      </c>
      <c r="R27" s="9" t="n">
        <v>229.24663925170898</v>
      </c>
      <c r="S27" s="9" t="n">
        <v>1078.832142829895</v>
      </c>
      <c r="T27" s="9" t="n">
        <v>0.0</v>
      </c>
      <c r="U27">
        <f si="1" t="shared"/>
        <v>27455.174288749695</v>
      </c>
    </row>
    <row r="28" spans="1:21" x14ac:dyDescent="0.25">
      <c r="A28" s="12">
        <v>0.52083333333333337</v>
      </c>
      <c r="B28" s="6" t="n">
        <v>2687.203465728162</v>
      </c>
      <c r="C28" s="6" t="n">
        <v>2520.7096163450196</v>
      </c>
      <c r="D28" s="6" t="n">
        <v>6172.414008798709</v>
      </c>
      <c r="E28" s="6" t="n">
        <v>6871.333730597178</v>
      </c>
      <c r="F28" s="6" t="n">
        <v>619.5230798593187</v>
      </c>
      <c r="G28" s="6" t="n">
        <v>27.050507620141982</v>
      </c>
      <c r="H28" s="6" t="n">
        <v>574.3060609106236</v>
      </c>
      <c r="I28" s="6" t="n">
        <v>0.0</v>
      </c>
      <c r="J28" s="6">
        <f si="0" t="shared"/>
        <v>19472.540469859156</v>
      </c>
      <c r="L28" s="12">
        <v>0.52083333333333337</v>
      </c>
      <c r="M28" s="9" t="n">
        <v>4924.861772537231</v>
      </c>
      <c r="N28" s="9" t="n">
        <v>2016.3855485916138</v>
      </c>
      <c r="O28" s="9" t="n">
        <v>7495.67524433136</v>
      </c>
      <c r="P28" s="9" t="n">
        <v>8517.713561058044</v>
      </c>
      <c r="Q28" s="9" t="n">
        <v>604.5511312484741</v>
      </c>
      <c r="R28" s="9" t="n">
        <v>261.4557762145996</v>
      </c>
      <c r="S28" s="9" t="n">
        <v>1235.331298828125</v>
      </c>
      <c r="T28" s="9" t="n">
        <v>0.0</v>
      </c>
      <c r="U28">
        <f si="1" t="shared"/>
        <v>28152.926507949829</v>
      </c>
    </row>
    <row r="29" spans="1:21" x14ac:dyDescent="0.25">
      <c r="A29" s="12">
        <v>0.54166666666666663</v>
      </c>
      <c r="B29" s="6" t="n">
        <v>2907.219394909066</v>
      </c>
      <c r="C29" s="6" t="n">
        <v>2677.7210661508484</v>
      </c>
      <c r="D29" s="6" t="n">
        <v>6223.453401504287</v>
      </c>
      <c r="E29" s="6" t="n">
        <v>7368.4634686495</v>
      </c>
      <c r="F29" s="6" t="n">
        <v>688.4668089298534</v>
      </c>
      <c r="G29" s="6" t="n">
        <v>53.85038682231141</v>
      </c>
      <c r="H29" s="6" t="n">
        <v>683.9155475498228</v>
      </c>
      <c r="I29" s="6" t="n">
        <v>0.0</v>
      </c>
      <c r="J29" s="6">
        <f si="0" t="shared"/>
        <v>20603.090074515691</v>
      </c>
      <c r="L29" s="12">
        <v>0.54166666666666663</v>
      </c>
      <c r="M29" s="9" t="n">
        <v>5329.993161201477</v>
      </c>
      <c r="N29" s="9" t="n">
        <v>2134.3234872817993</v>
      </c>
      <c r="O29" s="9" t="n">
        <v>7969.197124481201</v>
      </c>
      <c r="P29" s="9" t="n">
        <v>9128.140234947205</v>
      </c>
      <c r="Q29" s="9" t="n">
        <v>675.021969795227</v>
      </c>
      <c r="R29" s="9" t="n">
        <v>301.02441787719727</v>
      </c>
      <c r="S29" s="9" t="n">
        <v>1443.2787771224976</v>
      </c>
      <c r="T29" s="9" t="n">
        <v>0.0</v>
      </c>
      <c r="U29">
        <f si="1" t="shared"/>
        <v>29060.901545524597</v>
      </c>
    </row>
    <row r="30" spans="1:21" x14ac:dyDescent="0.25">
      <c r="A30" s="12">
        <v>0.5625</v>
      </c>
      <c r="B30" s="6" t="n">
        <v>3209.58340675022</v>
      </c>
      <c r="C30" s="6" t="n">
        <v>2816.917279108485</v>
      </c>
      <c r="D30" s="6" t="n">
        <v>6126.452488486034</v>
      </c>
      <c r="E30" s="6" t="n">
        <v>7994.582952457066</v>
      </c>
      <c r="F30" s="6" t="n">
        <v>771.0491065388127</v>
      </c>
      <c r="G30" s="6" t="n">
        <v>95.17081085579682</v>
      </c>
      <c r="H30" s="6" t="n">
        <v>841.6686279794503</v>
      </c>
      <c r="I30" s="6" t="n">
        <v>0.0</v>
      </c>
      <c r="J30" s="6">
        <f si="0" t="shared"/>
        <v>21855.424672175868</v>
      </c>
      <c r="L30" s="12">
        <v>0.5625</v>
      </c>
      <c r="M30" s="9" t="n">
        <v>5769.891311645508</v>
      </c>
      <c r="N30" s="9" t="n">
        <v>2255.3891038894653</v>
      </c>
      <c r="O30" s="9" t="n">
        <v>8384.090977668762</v>
      </c>
      <c r="P30" s="9" t="n">
        <v>9693.985836982727</v>
      </c>
      <c r="Q30" s="9" t="n">
        <v>749.4017744064331</v>
      </c>
      <c r="R30" s="9" t="n">
        <v>344.5244083404541</v>
      </c>
      <c r="S30" s="9" t="n">
        <v>1699.8523569107056</v>
      </c>
      <c r="T30" s="9" t="n">
        <v>0.0</v>
      </c>
      <c r="U30">
        <f si="1" t="shared"/>
        <v>30121.173014640808</v>
      </c>
    </row>
    <row r="31" spans="1:21" x14ac:dyDescent="0.25">
      <c r="A31" s="12">
        <v>0.58333333333333337</v>
      </c>
      <c r="B31" s="6" t="n">
        <v>3584.8547278925575</v>
      </c>
      <c r="C31" s="6" t="n">
        <v>2925.22754437599</v>
      </c>
      <c r="D31" s="6" t="n">
        <v>5920.440409669428</v>
      </c>
      <c r="E31" s="6" t="n">
        <v>8656.413738618237</v>
      </c>
      <c r="F31" s="6" t="n">
        <v>854.4771595276039</v>
      </c>
      <c r="G31" s="6" t="n">
        <v>149.77300869471168</v>
      </c>
      <c r="H31" s="6" t="n">
        <v>1038.7862155308983</v>
      </c>
      <c r="I31" s="6" t="n">
        <v>0.0</v>
      </c>
      <c r="J31" s="6">
        <f si="0" t="shared"/>
        <v>23129.972804309426</v>
      </c>
      <c r="L31" s="12">
        <v>0.58333333333333337</v>
      </c>
      <c r="M31" s="9" t="n">
        <v>6200.801557540894</v>
      </c>
      <c r="N31" s="9" t="n">
        <v>2358.4120111465454</v>
      </c>
      <c r="O31" s="9" t="n">
        <v>8634.181303024292</v>
      </c>
      <c r="P31" s="9" t="n">
        <v>10089.3412399292</v>
      </c>
      <c r="Q31" s="9" t="n">
        <v>818.3380270004272</v>
      </c>
      <c r="R31" s="9" t="n">
        <v>389.0996370315552</v>
      </c>
      <c r="S31" s="9" t="n">
        <v>2002.2050333023071</v>
      </c>
      <c r="T31" s="9" t="n">
        <v>0.0</v>
      </c>
      <c r="U31">
        <f si="1" t="shared"/>
        <v>31184.428248405457</v>
      </c>
    </row>
    <row r="32" spans="1:21" x14ac:dyDescent="0.25">
      <c r="A32" s="12">
        <v>0.60416666666666663</v>
      </c>
      <c r="B32" s="6" t="n">
        <v>3962.742283285729</v>
      </c>
      <c r="C32" s="6" t="n">
        <v>2974.636473532845</v>
      </c>
      <c r="D32" s="6" t="n">
        <v>5633.9006692306175</v>
      </c>
      <c r="E32" s="6" t="n">
        <v>9112.245569848445</v>
      </c>
      <c r="F32" s="6" t="n">
        <v>915.8702122823943</v>
      </c>
      <c r="G32" s="6" t="n">
        <v>210.64011945543768</v>
      </c>
      <c r="H32" s="6" t="n">
        <v>1241.693543011927</v>
      </c>
      <c r="I32" s="6" t="n">
        <v>0.0</v>
      </c>
      <c r="J32" s="6">
        <f si="0" t="shared"/>
        <v>24051.728870647396</v>
      </c>
      <c r="L32" s="12">
        <v>0.60416666666666663</v>
      </c>
      <c r="M32" s="9" t="n">
        <v>6615.699122428894</v>
      </c>
      <c r="N32" s="9" t="n">
        <v>2436.592987060547</v>
      </c>
      <c r="O32" s="9" t="n">
        <v>8666.679233551025</v>
      </c>
      <c r="P32" s="9" t="n">
        <v>10249.472314834595</v>
      </c>
      <c r="Q32" s="9" t="n">
        <v>875.226526260376</v>
      </c>
      <c r="R32" s="9" t="n">
        <v>433.48459911346436</v>
      </c>
      <c r="S32" s="9" t="n">
        <v>2347.662572860718</v>
      </c>
      <c r="T32" s="9" t="n">
        <v>0.0</v>
      </c>
      <c r="U32">
        <f si="1" t="shared"/>
        <v>32025.409211158752</v>
      </c>
    </row>
    <row r="33" spans="1:21" x14ac:dyDescent="0.25">
      <c r="A33" s="12">
        <v>0.625</v>
      </c>
      <c r="B33" s="6" t="n">
        <v>4273.483689179294</v>
      </c>
      <c r="C33" s="6" t="n">
        <v>2942.5234601618804</v>
      </c>
      <c r="D33" s="6" t="n">
        <v>5282.3209024322205</v>
      </c>
      <c r="E33" s="6" t="n">
        <v>9109.103780975502</v>
      </c>
      <c r="F33" s="6" t="n">
        <v>938.8914534731157</v>
      </c>
      <c r="G33" s="6" t="n">
        <v>267.4193944521284</v>
      </c>
      <c r="H33" s="6" t="n">
        <v>1418.6912955671473</v>
      </c>
      <c r="I33" s="6" t="n">
        <v>0.0</v>
      </c>
      <c r="J33" s="6">
        <f si="0" t="shared"/>
        <v>24232.433976241286</v>
      </c>
      <c r="L33" s="12">
        <v>0.625</v>
      </c>
      <c r="M33" s="9" t="n">
        <v>7038.899621009827</v>
      </c>
      <c r="N33" s="9" t="n">
        <v>2495.4284381866455</v>
      </c>
      <c r="O33" s="9" t="n">
        <v>8479.073603630066</v>
      </c>
      <c r="P33" s="9" t="n">
        <v>10165.30342388153</v>
      </c>
      <c r="Q33" s="9" t="n">
        <v>917.2413721084595</v>
      </c>
      <c r="R33" s="9" t="n">
        <v>477.17317485809326</v>
      </c>
      <c r="S33" s="9" t="n">
        <v>2727.659917831421</v>
      </c>
      <c r="T33" s="9" t="n">
        <v>0.0</v>
      </c>
      <c r="U33">
        <f si="1" t="shared"/>
        <v>32385.191546440125</v>
      </c>
    </row>
    <row r="34" spans="1:21" x14ac:dyDescent="0.25">
      <c r="A34" s="12">
        <v>0.64583333333333337</v>
      </c>
      <c r="B34" s="6" t="n">
        <v>4542.2935202699955</v>
      </c>
      <c r="C34" s="6" t="n">
        <v>2836.9148875432243</v>
      </c>
      <c r="D34" s="6" t="n">
        <v>4876.47461918957</v>
      </c>
      <c r="E34" s="6" t="n">
        <v>8564.022279273318</v>
      </c>
      <c r="F34" s="6" t="n">
        <v>925.2601481418275</v>
      </c>
      <c r="G34" s="6" t="n">
        <v>312.7705005916443</v>
      </c>
      <c r="H34" s="6" t="n">
        <v>1567.1516169067804</v>
      </c>
      <c r="I34" s="6" t="n">
        <v>0.0</v>
      </c>
      <c r="J34" s="6">
        <f si="0" t="shared"/>
        <v>23624.887571916359</v>
      </c>
      <c r="L34" s="12">
        <v>0.64583333333333337</v>
      </c>
      <c r="M34" s="9" t="n">
        <v>7513.635998725891</v>
      </c>
      <c r="N34" s="9" t="n">
        <v>2546.06454372406</v>
      </c>
      <c r="O34" s="9" t="n">
        <v>8101.471056938171</v>
      </c>
      <c r="P34" s="9" t="n">
        <v>9860.070065498352</v>
      </c>
      <c r="Q34" s="9" t="n">
        <v>944.8309516906738</v>
      </c>
      <c r="R34" s="9" t="n">
        <v>519.3399543762207</v>
      </c>
      <c r="S34" s="9" t="n">
        <v>3123.610376358032</v>
      </c>
      <c r="T34" s="9" t="n">
        <v>0.0</v>
      </c>
      <c r="U34">
        <f si="1" t="shared"/>
        <v>32098.748859405518</v>
      </c>
    </row>
    <row r="35" spans="1:21" x14ac:dyDescent="0.25">
      <c r="A35" s="12">
        <v>0.66666666666666663</v>
      </c>
      <c r="B35" s="6" t="n">
        <v>4922.300785939587</v>
      </c>
      <c r="C35" s="6" t="n">
        <v>2698.2245651471685</v>
      </c>
      <c r="D35" s="6" t="n">
        <v>4436.039730808801</v>
      </c>
      <c r="E35" s="6" t="n">
        <v>7626.850820240257</v>
      </c>
      <c r="F35" s="6" t="n">
        <v>892.4240146826953</v>
      </c>
      <c r="G35" s="6" t="n">
        <v>347.1031433392687</v>
      </c>
      <c r="H35" s="6" t="n">
        <v>1714.8999436932145</v>
      </c>
      <c r="I35" s="6" t="n">
        <v>0.0</v>
      </c>
      <c r="J35" s="6">
        <f si="0" t="shared"/>
        <v>22637.84300385099</v>
      </c>
      <c r="L35" s="12">
        <v>0.66666666666666663</v>
      </c>
      <c r="M35" s="9" t="n">
        <v>8099.469192504883</v>
      </c>
      <c r="N35" s="9" t="n">
        <v>2601.754325866699</v>
      </c>
      <c r="O35" s="9" t="n">
        <v>7590.098488807678</v>
      </c>
      <c r="P35" s="9" t="n">
        <v>9381.420593261719</v>
      </c>
      <c r="Q35" s="9" t="n">
        <v>961.2928676605225</v>
      </c>
      <c r="R35" s="9" t="n">
        <v>559.1497144699097</v>
      </c>
      <c r="S35" s="9" t="n">
        <v>3512.4612312316895</v>
      </c>
      <c r="T35" s="9" t="n">
        <v>0.0</v>
      </c>
      <c r="U35">
        <f si="1" t="shared"/>
        <v>31242.626699447632</v>
      </c>
    </row>
    <row r="36" spans="1:21" x14ac:dyDescent="0.25">
      <c r="A36" s="12">
        <v>0.6875</v>
      </c>
      <c r="B36" s="6" t="n">
        <v>5611.363266080926</v>
      </c>
      <c r="C36" s="6" t="n">
        <v>2575.335969690099</v>
      </c>
      <c r="D36" s="6" t="n">
        <v>3998.6900129776213</v>
      </c>
      <c r="E36" s="6" t="n">
        <v>6576.9193775302465</v>
      </c>
      <c r="F36" s="6" t="n">
        <v>862.362380897479</v>
      </c>
      <c r="G36" s="6" t="n">
        <v>376.64559928637124</v>
      </c>
      <c r="H36" s="6" t="n">
        <v>1896.607235944297</v>
      </c>
      <c r="I36" s="6" t="n">
        <v>0.0</v>
      </c>
      <c r="J36" s="6">
        <f si="0" t="shared"/>
        <v>21897.923842407043</v>
      </c>
      <c r="L36" s="12">
        <v>0.6875</v>
      </c>
      <c r="M36" s="9" t="n">
        <v>8869.175440788269</v>
      </c>
      <c r="N36" s="9" t="n">
        <v>2677.1390342712402</v>
      </c>
      <c r="O36" s="9" t="n">
        <v>7024.7165241241455</v>
      </c>
      <c r="P36" s="9" t="n">
        <v>8804.086590766907</v>
      </c>
      <c r="Q36" s="9" t="n">
        <v>972.5182914733887</v>
      </c>
      <c r="R36" s="9" t="n">
        <v>597.0819005966187</v>
      </c>
      <c r="S36" s="9" t="n">
        <v>3879.3780603408813</v>
      </c>
      <c r="T36" s="9" t="n">
        <v>0.0</v>
      </c>
      <c r="U36">
        <f si="1" t="shared"/>
        <v>30155.126861572266</v>
      </c>
    </row>
    <row r="37" spans="1:21" x14ac:dyDescent="0.25">
      <c r="A37" s="12">
        <v>0.70833333333333337</v>
      </c>
      <c r="B37" s="6" t="n">
        <v>6706.961282868608</v>
      </c>
      <c r="C37" s="6" t="n">
        <v>2500.6979219276714</v>
      </c>
      <c r="D37" s="6" t="n">
        <v>3613.901264340827</v>
      </c>
      <c r="E37" s="6" t="n">
        <v>5660.50961220284</v>
      </c>
      <c r="F37" s="6" t="n">
        <v>851.8452881938401</v>
      </c>
      <c r="G37" s="6" t="n">
        <v>407.5466632232809</v>
      </c>
      <c r="H37" s="6" t="n">
        <v>2132.8972546858167</v>
      </c>
      <c r="I37" s="6" t="n">
        <v>0.0</v>
      </c>
      <c r="J37" s="6">
        <f si="0" t="shared"/>
        <v>21874.359287442883</v>
      </c>
      <c r="L37" s="12">
        <v>0.70833333333333337</v>
      </c>
      <c r="M37" s="9" t="n">
        <v>9882.508009910583</v>
      </c>
      <c r="N37" s="9" t="n">
        <v>2784.7758350372314</v>
      </c>
      <c r="O37" s="9" t="n">
        <v>6490.85781288147</v>
      </c>
      <c r="P37" s="9" t="n">
        <v>8218.408920288086</v>
      </c>
      <c r="Q37" s="9" t="n">
        <v>985.6331071853638</v>
      </c>
      <c r="R37" s="9" t="n">
        <v>635.3790626525879</v>
      </c>
      <c r="S37" s="9" t="n">
        <v>4225.256736755371</v>
      </c>
      <c r="T37" s="9" t="n">
        <v>0.0</v>
      </c>
      <c r="U37">
        <f si="1" t="shared"/>
        <v>29278.294871330261</v>
      </c>
    </row>
    <row r="38" spans="1:21" x14ac:dyDescent="0.25">
      <c r="A38" s="12">
        <v>0.72916666666666663</v>
      </c>
      <c r="B38" s="6" t="n">
        <v>8117.985475197762</v>
      </c>
      <c r="C38" s="6" t="n">
        <v>2482.6666958573696</v>
      </c>
      <c r="D38" s="6" t="n">
        <v>3321.510049720112</v>
      </c>
      <c r="E38" s="6" t="n">
        <v>4999.400775501157</v>
      </c>
      <c r="F38" s="6" t="n">
        <v>867.9333484443503</v>
      </c>
      <c r="G38" s="6" t="n">
        <v>443.540884694891</v>
      </c>
      <c r="H38" s="6" t="n">
        <v>2429.707177929645</v>
      </c>
      <c r="I38" s="6" t="n">
        <v>0.0</v>
      </c>
      <c r="J38" s="6">
        <f si="0" t="shared"/>
        <v>22662.744407345286</v>
      </c>
      <c r="L38" s="12">
        <v>0.72916666666666663</v>
      </c>
      <c r="M38" s="9" t="n">
        <v>11134.517595291138</v>
      </c>
      <c r="N38" s="9" t="n">
        <v>2926.285859107971</v>
      </c>
      <c r="O38" s="9" t="n">
        <v>6047.518043518066</v>
      </c>
      <c r="P38" s="9" t="n">
        <v>7697.697120666504</v>
      </c>
      <c r="Q38" s="9" t="n">
        <v>1005.7140760421753</v>
      </c>
      <c r="R38" s="9" t="n">
        <v>676.3717412948608</v>
      </c>
      <c r="S38" s="9" t="n">
        <v>4558.3282470703125</v>
      </c>
      <c r="T38" s="9" t="n">
        <v>0.0</v>
      </c>
      <c r="U38">
        <f si="1" t="shared"/>
        <v>28931.51469707489</v>
      </c>
    </row>
    <row r="39" spans="1:21" x14ac:dyDescent="0.25">
      <c r="A39" s="12">
        <v>0.75</v>
      </c>
      <c r="B39" s="6" t="n">
        <v>9600.430073729132</v>
      </c>
      <c r="C39" s="6" t="n">
        <v>2509.0084106313584</v>
      </c>
      <c r="D39" s="6" t="n">
        <v>3130.121351411158</v>
      </c>
      <c r="E39" s="6" t="n">
        <v>4599.420679649929</v>
      </c>
      <c r="F39" s="6" t="n">
        <v>905.7900805720874</v>
      </c>
      <c r="G39" s="6" t="n">
        <v>488.35954729411606</v>
      </c>
      <c r="H39" s="6" t="n">
        <v>2781.9174976049485</v>
      </c>
      <c r="I39" s="6" t="n">
        <v>0.0</v>
      </c>
      <c r="J39" s="6">
        <f si="0" t="shared"/>
        <v>24015.047640892728</v>
      </c>
      <c r="L39" s="12">
        <v>0.75</v>
      </c>
      <c r="M39" s="9" t="n">
        <v>12507.919137001038</v>
      </c>
      <c r="N39" s="9" t="n">
        <v>3082.788487434387</v>
      </c>
      <c r="O39" s="9" t="n">
        <v>5700.743620872498</v>
      </c>
      <c r="P39" s="9" t="n">
        <v>7264.028823852539</v>
      </c>
      <c r="Q39" s="9" t="n">
        <v>1031.7451858520508</v>
      </c>
      <c r="R39" s="9" t="n">
        <v>719.4396305084229</v>
      </c>
      <c r="S39" s="9" t="n">
        <v>4872.721789360046</v>
      </c>
      <c r="T39" s="9" t="n">
        <v>0.0</v>
      </c>
      <c r="U39">
        <f si="1" t="shared"/>
        <v>29162.936984062195</v>
      </c>
    </row>
    <row r="40" spans="1:21" x14ac:dyDescent="0.25">
      <c r="A40" s="12">
        <v>0.77083333333333337</v>
      </c>
      <c r="B40" s="6" t="n">
        <v>10870.868865626644</v>
      </c>
      <c r="C40" s="6" t="n">
        <v>2549.148407306444</v>
      </c>
      <c r="D40" s="6" t="n">
        <v>3011.8039659012375</v>
      </c>
      <c r="E40" s="6" t="n">
        <v>4399.842833906176</v>
      </c>
      <c r="F40" s="6" t="n">
        <v>947.8883521620303</v>
      </c>
      <c r="G40" s="6" t="n">
        <v>545.0707905057678</v>
      </c>
      <c r="H40" s="6" t="n">
        <v>3159.903097810097</v>
      </c>
      <c r="I40" s="6" t="n">
        <v>0.0</v>
      </c>
      <c r="J40" s="6">
        <f si="0" t="shared"/>
        <v>25484.526313218394</v>
      </c>
      <c r="L40" s="12">
        <v>0.77083333333333337</v>
      </c>
      <c r="M40" s="9" t="n">
        <v>13768.73897075653</v>
      </c>
      <c r="N40" s="9" t="n">
        <v>3213.0175971984863</v>
      </c>
      <c r="O40" s="9" t="n">
        <v>5401.6980085372925</v>
      </c>
      <c r="P40" s="9" t="n">
        <v>6877.865466117859</v>
      </c>
      <c r="Q40" s="9" t="n">
        <v>1054.551284790039</v>
      </c>
      <c r="R40" s="9" t="n">
        <v>758.7976741790771</v>
      </c>
      <c r="S40" s="9" t="n">
        <v>5130.781741142273</v>
      </c>
      <c r="T40" s="9" t="n">
        <v>0.0</v>
      </c>
      <c r="U40">
        <f si="1" t="shared"/>
        <v>29737.073582649231</v>
      </c>
    </row>
    <row r="41" spans="1:21" x14ac:dyDescent="0.25">
      <c r="A41" s="12">
        <v>0.79166666666666663</v>
      </c>
      <c r="B41" s="6" t="n">
        <v>11697.355072546776</v>
      </c>
      <c r="C41" s="6" t="n">
        <v>2557.42207836302</v>
      </c>
      <c r="D41" s="6" t="n">
        <v>2914.4991984467615</v>
      </c>
      <c r="E41" s="6" t="n">
        <v>4308.105955839795</v>
      </c>
      <c r="F41" s="6" t="n">
        <v>968.1086378382579</v>
      </c>
      <c r="G41" s="6" t="n">
        <v>607.7907882819404</v>
      </c>
      <c r="H41" s="6" t="n">
        <v>3491.937298309272</v>
      </c>
      <c r="I41" s="6" t="n">
        <v>0.0</v>
      </c>
      <c r="J41" s="6">
        <f si="0" t="shared"/>
        <v>26545.219029625823</v>
      </c>
      <c r="L41" s="12">
        <v>0.79166666666666663</v>
      </c>
      <c r="M41" s="9" t="n">
        <v>14621.35897731781</v>
      </c>
      <c r="N41" s="9" t="n">
        <v>3263.55947971344</v>
      </c>
      <c r="O41" s="9" t="n">
        <v>5071.412322998047</v>
      </c>
      <c r="P41" s="9" t="n">
        <v>6459.889130592346</v>
      </c>
      <c r="Q41" s="9" t="n">
        <v>1058.8100185394287</v>
      </c>
      <c r="R41" s="9" t="n">
        <v>784.0550527572632</v>
      </c>
      <c r="S41" s="9" t="n">
        <v>5266.32305431366</v>
      </c>
      <c r="T41" s="9" t="n">
        <v>0.0</v>
      </c>
      <c r="U41">
        <f si="1" t="shared"/>
        <v>30234.35639667511</v>
      </c>
    </row>
    <row r="42" spans="1:21" x14ac:dyDescent="0.25">
      <c r="A42" s="12">
        <v>0.8125</v>
      </c>
      <c r="B42" s="6" t="n">
        <v>11922.454544759086</v>
      </c>
      <c r="C42" s="6" t="n">
        <v>2487.441282472866</v>
      </c>
      <c r="D42" s="6" t="n">
        <v>2780.79505751701</v>
      </c>
      <c r="E42" s="6" t="n">
        <v>4216.8528609835375</v>
      </c>
      <c r="F42" s="6" t="n">
        <v>942.1333768285466</v>
      </c>
      <c r="G42" s="6" t="n">
        <v>654.6238386053085</v>
      </c>
      <c r="H42" s="6" t="n">
        <v>3677.368368539183</v>
      </c>
      <c r="I42" s="6" t="n">
        <v>0.0</v>
      </c>
      <c r="J42" s="6">
        <f si="0" t="shared"/>
        <v>26681.669329705539</v>
      </c>
      <c r="L42" s="12">
        <v>0.8125</v>
      </c>
      <c r="M42" s="9" t="n">
        <v>14804.608784675598</v>
      </c>
      <c r="N42" s="9" t="n">
        <v>3187.8654680252075</v>
      </c>
      <c r="O42" s="9" t="n">
        <v>4639.57301235199</v>
      </c>
      <c r="P42" s="9" t="n">
        <v>5932.212948799133</v>
      </c>
      <c r="Q42" s="9" t="n">
        <v>1028.8880233764648</v>
      </c>
      <c r="R42" s="9" t="n">
        <v>783.9237422943115</v>
      </c>
      <c r="S42" s="9" t="n">
        <v>5211.582419395447</v>
      </c>
      <c r="T42" s="9" t="n">
        <v>0.0</v>
      </c>
      <c r="U42">
        <f si="1" t="shared"/>
        <v>30213.465867996216</v>
      </c>
    </row>
    <row r="43" spans="1:21" x14ac:dyDescent="0.25">
      <c r="A43" s="12">
        <v>0.83333333333333337</v>
      </c>
      <c r="B43" s="6" t="n">
        <v>11462.018293631483</v>
      </c>
      <c r="C43" s="6" t="n">
        <v>2314.5440318366223</v>
      </c>
      <c r="D43" s="6" t="n">
        <v>2564.5122985213425</v>
      </c>
      <c r="E43" s="6" t="n">
        <v>4027.0121303937385</v>
      </c>
      <c r="F43" s="6" t="n">
        <v>859.6749502488987</v>
      </c>
      <c r="G43" s="6" t="n">
        <v>655.026390026064</v>
      </c>
      <c r="H43" s="6" t="n">
        <v>3636.2439110387986</v>
      </c>
      <c r="I43" s="6" t="n">
        <v>0.0</v>
      </c>
      <c r="J43" s="6">
        <f si="0" t="shared"/>
        <v>25519.03200569695</v>
      </c>
      <c r="L43" s="12">
        <v>0.83333333333333337</v>
      </c>
      <c r="M43" s="9" t="n">
        <v>14190.235801696777</v>
      </c>
      <c r="N43" s="9" t="n">
        <v>2965.722819328308</v>
      </c>
      <c r="O43" s="9" t="n">
        <v>4078.854362487793</v>
      </c>
      <c r="P43" s="9" t="n">
        <v>5257.223707199097</v>
      </c>
      <c r="Q43" s="9" t="n">
        <v>956.1004390716553</v>
      </c>
      <c r="R43" s="9" t="n">
        <v>751.5165557861328</v>
      </c>
      <c r="S43" s="9" t="n">
        <v>4933.455636024475</v>
      </c>
      <c r="T43" s="9" t="n">
        <v>0.0</v>
      </c>
      <c r="U43">
        <f si="1" t="shared"/>
        <v>29376.51816368103</v>
      </c>
    </row>
    <row r="44" spans="1:21" x14ac:dyDescent="0.25">
      <c r="A44" s="12">
        <v>0.85416666666666663</v>
      </c>
      <c r="B44" s="6" t="n">
        <v>10334.15228351946</v>
      </c>
      <c r="C44" s="6" t="n">
        <v>2048.011395805108</v>
      </c>
      <c r="D44" s="6" t="n">
        <v>2244.9510560318854</v>
      </c>
      <c r="E44" s="6" t="n">
        <v>3681.489818158736</v>
      </c>
      <c r="F44" s="6" t="n">
        <v>731.6549774597904</v>
      </c>
      <c r="G44" s="6" t="n">
        <v>590.5506451608705</v>
      </c>
      <c r="H44" s="6" t="n">
        <v>3355.712850951415</v>
      </c>
      <c r="I44" s="6" t="n">
        <v>0.0</v>
      </c>
      <c r="J44" s="6">
        <f si="0" t="shared"/>
        <v>22986.523027087263</v>
      </c>
      <c r="L44" s="12">
        <v>0.85416666666666663</v>
      </c>
      <c r="M44" s="9" t="n">
        <v>12841.103530883789</v>
      </c>
      <c r="N44" s="9" t="n">
        <v>2614.21856880188</v>
      </c>
      <c r="O44" s="9" t="n">
        <v>3418.702868461609</v>
      </c>
      <c r="P44" s="9" t="n">
        <v>4456.662389755249</v>
      </c>
      <c r="Q44" s="9" t="n">
        <v>843.9029321670532</v>
      </c>
      <c r="R44" s="9" t="n">
        <v>688.3013210296631</v>
      </c>
      <c r="S44" s="9" t="n">
        <v>4456.735482215881</v>
      </c>
      <c r="T44" s="9" t="n">
        <v>0.0</v>
      </c>
      <c r="U44">
        <f si="1" t="shared"/>
        <v>27664.131615638733</v>
      </c>
    </row>
    <row r="45" spans="1:21" x14ac:dyDescent="0.25">
      <c r="A45" s="12">
        <v>0.875</v>
      </c>
      <c r="B45" s="6" t="n">
        <v>8697.970278608727</v>
      </c>
      <c r="C45" s="6" t="n">
        <v>1721.3039760575398</v>
      </c>
      <c r="D45" s="6" t="n">
        <v>1837.4682338793268</v>
      </c>
      <c r="E45" s="6" t="n">
        <v>3186.2575118728446</v>
      </c>
      <c r="F45" s="6" t="n">
        <v>587.2406428088475</v>
      </c>
      <c r="G45" s="6" t="n">
        <v>471.0566516854534</v>
      </c>
      <c r="H45" s="6" t="n">
        <v>2892.3738354074003</v>
      </c>
      <c r="I45" s="6" t="n">
        <v>0.0</v>
      </c>
      <c r="J45" s="6">
        <f si="0" t="shared"/>
        <v>19393.671130320137</v>
      </c>
      <c r="L45" s="12">
        <v>0.875</v>
      </c>
      <c r="M45" s="9" t="n">
        <v>10994.437576293945</v>
      </c>
      <c r="N45" s="9" t="n">
        <v>2183.487741470337</v>
      </c>
      <c r="O45" s="9" t="n">
        <v>2731.237193107605</v>
      </c>
      <c r="P45" s="9" t="n">
        <v>3603.07231426239</v>
      </c>
      <c r="Q45" s="9" t="n">
        <v>707.6700601577759</v>
      </c>
      <c r="R45" s="9" t="n">
        <v>603.9559488296509</v>
      </c>
      <c r="S45" s="9" t="n">
        <v>3857.7130336761475</v>
      </c>
      <c r="T45" s="9" t="n">
        <v>0.0</v>
      </c>
      <c r="U45">
        <f si="1" t="shared"/>
        <v>25229.612599372864</v>
      </c>
    </row>
    <row r="46" spans="1:21" x14ac:dyDescent="0.25">
      <c r="A46" s="12">
        <v>0.89583333333333337</v>
      </c>
      <c r="B46" s="6" t="n">
        <v>6831.157216024199</v>
      </c>
      <c r="C46" s="6" t="n">
        <v>1371.2015832008124</v>
      </c>
      <c r="D46" s="6" t="n">
        <v>1391.8621434097845</v>
      </c>
      <c r="E46" s="6" t="n">
        <v>2599.02098802621</v>
      </c>
      <c r="F46" s="6" t="n">
        <v>460.0077227617055</v>
      </c>
      <c r="G46" s="6" t="n">
        <v>330.5132383447151</v>
      </c>
      <c r="H46" s="6" t="n">
        <v>2334.2778234826537</v>
      </c>
      <c r="I46" s="6" t="n">
        <v>0.0</v>
      </c>
      <c r="J46" s="6">
        <f si="0" t="shared"/>
        <v>15318.040715250081</v>
      </c>
      <c r="L46" s="12">
        <v>0.89583333333333337</v>
      </c>
      <c r="M46" s="9" t="n">
        <v>8966.470871925354</v>
      </c>
      <c r="N46" s="9" t="n">
        <v>1737.1330556869507</v>
      </c>
      <c r="O46" s="9" t="n">
        <v>2096.08358001709</v>
      </c>
      <c r="P46" s="9" t="n">
        <v>2787.4737510681152</v>
      </c>
      <c r="Q46" s="9" t="n">
        <v>568.1382446289062</v>
      </c>
      <c r="R46" s="9" t="n">
        <v>511.69657802581787</v>
      </c>
      <c r="S46" s="9" t="n">
        <v>3229.093620300293</v>
      </c>
      <c r="T46" s="9" t="n">
        <v>0.0</v>
      </c>
      <c r="U46">
        <f si="1" t="shared"/>
        <v>22313.015617370605</v>
      </c>
    </row>
    <row r="47" spans="1:21" x14ac:dyDescent="0.25">
      <c r="A47" s="12">
        <v>0.91666666666666663</v>
      </c>
      <c r="B47" s="6" t="n">
        <v>5027.855551761693</v>
      </c>
      <c r="C47" s="6" t="n">
        <v>1026.2630107858513</v>
      </c>
      <c r="D47" s="6" t="n">
        <v>972.642588301177</v>
      </c>
      <c r="E47" s="6" t="n">
        <v>1995.0380253966416</v>
      </c>
      <c r="F47" s="6" t="n">
        <v>369.80060861294277</v>
      </c>
      <c r="G47" s="6" t="n">
        <v>205.96520396351622</v>
      </c>
      <c r="H47" s="6" t="n">
        <v>1761.231780527053</v>
      </c>
      <c r="I47" s="6" t="n">
        <v>0.0</v>
      </c>
      <c r="J47" s="6">
        <f si="0" t="shared"/>
        <v>11358.796769348875</v>
      </c>
      <c r="L47" s="12">
        <v>0.91666666666666663</v>
      </c>
      <c r="M47" s="9" t="n">
        <v>7026.78918838501</v>
      </c>
      <c r="N47" s="9" t="n">
        <v>1327.3929138183594</v>
      </c>
      <c r="O47" s="9" t="n">
        <v>1564.700680732727</v>
      </c>
      <c r="P47" s="9" t="n">
        <v>2080.372756958008</v>
      </c>
      <c r="Q47" s="9" t="n">
        <v>442.0545930862427</v>
      </c>
      <c r="R47" s="9" t="n">
        <v>421.9811763763428</v>
      </c>
      <c r="S47" s="9" t="n">
        <v>2637.900559425354</v>
      </c>
      <c r="T47" s="9" t="n">
        <v>0.0</v>
      </c>
      <c r="U47">
        <f si="1" t="shared"/>
        <v>19107.657588005066</v>
      </c>
    </row>
    <row r="48" spans="1:21" x14ac:dyDescent="0.25">
      <c r="A48" s="12">
        <v>0.9375</v>
      </c>
      <c r="B48" s="6" t="n">
        <v>3488.772121961521</v>
      </c>
      <c r="C48" s="6" t="n">
        <v>709.7078113973464</v>
      </c>
      <c r="D48" s="6" t="n">
        <v>630.3213646720247</v>
      </c>
      <c r="E48" s="6" t="n">
        <v>1437.1611469729985</v>
      </c>
      <c r="F48" s="6" t="n">
        <v>312.9068102999497</v>
      </c>
      <c r="G48" s="6" t="n">
        <v>117.9690211104021</v>
      </c>
      <c r="H48" s="6" t="n">
        <v>1230.8380312696859</v>
      </c>
      <c r="I48" s="6" t="n">
        <v>0.0</v>
      </c>
      <c r="J48" s="6">
        <f si="0" t="shared"/>
        <v>7927.6763076839288</v>
      </c>
      <c r="L48" s="12">
        <v>0.9375</v>
      </c>
      <c r="M48" s="9" t="n">
        <v>5319.357193946838</v>
      </c>
      <c r="N48" s="9" t="n">
        <v>980.1563863754272</v>
      </c>
      <c r="O48" s="9" t="n">
        <v>1146.0762691497803</v>
      </c>
      <c r="P48" s="9" t="n">
        <v>1508.9911222457886</v>
      </c>
      <c r="Q48" s="9" t="n">
        <v>336.28492641448975</v>
      </c>
      <c r="R48" s="9" t="n">
        <v>338.9927282333374</v>
      </c>
      <c r="S48" s="9" t="n">
        <v>2105.283835411072</v>
      </c>
      <c r="T48" s="9" t="n">
        <v>0.0</v>
      </c>
      <c r="U48">
        <f si="1" t="shared"/>
        <v>15717.857695579529</v>
      </c>
    </row>
    <row r="49" spans="1:21" x14ac:dyDescent="0.25">
      <c r="A49" s="12">
        <v>0.95833333333333337</v>
      </c>
      <c r="B49" s="6" t="n">
        <v>2285.2810223766824</v>
      </c>
      <c r="C49" s="6" t="n">
        <v>443.81744732861705</v>
      </c>
      <c r="D49" s="6" t="n">
        <v>383.24541610025886</v>
      </c>
      <c r="E49" s="6" t="n">
        <v>965.0130750831136</v>
      </c>
      <c r="F49" s="6" t="n">
        <v>269.0249973641606</v>
      </c>
      <c r="G49" s="6" t="n">
        <v>66.2614701862669</v>
      </c>
      <c r="H49" s="6" t="n">
        <v>783.3192642445421</v>
      </c>
      <c r="I49" s="6" t="n">
        <v>0.0</v>
      </c>
      <c r="J49" s="6">
        <f si="0" t="shared"/>
        <v>5195.9626926836409</v>
      </c>
      <c r="L49" s="12">
        <v>0.95833333333333337</v>
      </c>
      <c r="M49" s="9" t="n">
        <v>3872.3048543930054</v>
      </c>
      <c r="N49" s="9" t="n">
        <v>697.4593086242676</v>
      </c>
      <c r="O49" s="9" t="n">
        <v>819.5822219848633</v>
      </c>
      <c r="P49" s="9" t="n">
        <v>1062.4370965957642</v>
      </c>
      <c r="Q49" s="9" t="n">
        <v>249.0329818725586</v>
      </c>
      <c r="R49" s="9" t="n">
        <v>262.1493139266968</v>
      </c>
      <c r="S49" s="9" t="n">
        <v>1620.6255493164062</v>
      </c>
      <c r="T49" s="9" t="n">
        <v>0.0</v>
      </c>
      <c r="U49">
        <f si="1" t="shared"/>
        <v>12230.094893455505</v>
      </c>
    </row>
    <row r="50" spans="1:21" x14ac:dyDescent="0.25">
      <c r="A50" s="12">
        <v>0.97916666666666663</v>
      </c>
      <c r="B50" s="6" t="n">
        <v>1400.8290858388855</v>
      </c>
      <c r="C50" s="6" t="n">
        <v>245.41948024707978</v>
      </c>
      <c r="D50" s="6" t="n">
        <v>220.81538349812988</v>
      </c>
      <c r="E50" s="6" t="n">
        <v>597.2903553733806</v>
      </c>
      <c r="F50" s="6" t="n">
        <v>219.3194794610472</v>
      </c>
      <c r="G50" s="6" t="n">
        <v>38.90229963484192</v>
      </c>
      <c r="H50" s="6" t="n">
        <v>444.2334586710996</v>
      </c>
      <c r="I50" s="6" t="n">
        <v>0.0</v>
      </c>
      <c r="J50" s="6">
        <f si="0" t="shared"/>
        <v>3166.8095427244639</v>
      </c>
      <c r="L50" s="12">
        <v>0.97916666666666663</v>
      </c>
      <c r="M50" s="9" t="n">
        <v>2666.54061794281</v>
      </c>
      <c r="N50" s="9" t="n">
        <v>471.203405380249</v>
      </c>
      <c r="O50" s="9" t="n">
        <v>560.1362066268921</v>
      </c>
      <c r="P50" s="9" t="n">
        <v>715.3407974243164</v>
      </c>
      <c r="Q50" s="9" t="n">
        <v>175.88069438934326</v>
      </c>
      <c r="R50" s="9" t="n">
        <v>190.6644287109375</v>
      </c>
      <c r="S50" s="9" t="n">
        <v>1173.9893865585327</v>
      </c>
      <c r="T50" s="9" t="n">
        <v>0.0</v>
      </c>
      <c r="U50">
        <f si="1" t="shared"/>
        <v>8816.6778411865234</v>
      </c>
    </row>
    <row r="51" spans="1:21" x14ac:dyDescent="0.25">
      <c r="A51" s="12">
        <v>1</v>
      </c>
      <c r="B51" s="6" t="n">
        <v>788.4160109653205</v>
      </c>
      <c r="C51" s="6" t="n">
        <v>117.49049745719336</v>
      </c>
      <c r="D51" s="6" t="n">
        <v>120.16283906381227</v>
      </c>
      <c r="E51" s="6" t="n">
        <v>335.90254856570914</v>
      </c>
      <c r="F51" s="6" t="n">
        <v>159.84604770736314</v>
      </c>
      <c r="G51" s="6" t="n">
        <v>23.747662640339847</v>
      </c>
      <c r="H51" s="6" t="n">
        <v>219.27524015773486</v>
      </c>
      <c r="I51" s="6" t="n">
        <v>0.0</v>
      </c>
      <c r="J51" s="6">
        <f si="0" t="shared"/>
        <v>1764.840846557473</v>
      </c>
      <c r="L51" s="12">
        <v>1</v>
      </c>
      <c r="M51" s="9" t="n">
        <v>1694.3513431549072</v>
      </c>
      <c r="N51" s="9" t="n">
        <v>294.98913860321045</v>
      </c>
      <c r="O51" s="9" t="n">
        <v>354.725492477417</v>
      </c>
      <c r="P51" s="9" t="n">
        <v>448.6875190734863</v>
      </c>
      <c r="Q51" s="9" t="n">
        <v>114.91596221923828</v>
      </c>
      <c r="R51" s="9" t="n">
        <v>126.76827335357666</v>
      </c>
      <c r="S51" s="9" t="n">
        <v>777.0796995162964</v>
      </c>
      <c r="T51" s="9" t="n">
        <v>0.0</v>
      </c>
      <c r="U51">
        <f si="1" t="shared"/>
        <v>5755.2315902709961</v>
      </c>
    </row>
    <row r="52" spans="1:21" x14ac:dyDescent="0.25">
      <c r="A52" s="12">
        <v>1.0208333333333333</v>
      </c>
      <c r="B52" s="6" t="n">
        <v>397.49311705423446</v>
      </c>
      <c r="C52" s="6" t="n">
        <v>47.722398914398184</v>
      </c>
      <c r="D52" s="6" t="n">
        <v>60.41716713875962</v>
      </c>
      <c r="E52" s="6" t="n">
        <v>168.833107959754</v>
      </c>
      <c r="F52" s="6" t="n">
        <v>100.33583721723558</v>
      </c>
      <c r="G52" s="6" t="n">
        <v>13.96597726187229</v>
      </c>
      <c r="H52" s="6" t="n">
        <v>91.92850615855026</v>
      </c>
      <c r="I52" s="6" t="n">
        <v>0.0</v>
      </c>
      <c r="J52" s="6">
        <f si="0" t="shared"/>
        <v>880.69611170480437</v>
      </c>
      <c r="L52" s="12">
        <v>1.0208333333333333</v>
      </c>
      <c r="M52" s="9" t="n">
        <v>966.2512912750244</v>
      </c>
      <c r="N52" s="9" t="n">
        <v>166.36878871917725</v>
      </c>
      <c r="O52" s="9" t="n">
        <v>201.62720394134521</v>
      </c>
      <c r="P52" s="9" t="n">
        <v>254.25520610809326</v>
      </c>
      <c r="Q52" s="9" t="n">
        <v>67.28143882751465</v>
      </c>
      <c r="R52" s="9" t="n">
        <v>74.91515159606934</v>
      </c>
      <c r="S52" s="9" t="n">
        <v>456.7975845336914</v>
      </c>
      <c r="T52" s="9" t="n">
        <v>0.0</v>
      </c>
      <c r="U52">
        <f si="1" t="shared"/>
        <v>3324.8115377426147</v>
      </c>
    </row>
    <row r="53" spans="1:21" x14ac:dyDescent="0.25">
      <c r="A53" s="12">
        <v>4.1666666666666664E-2</v>
      </c>
      <c r="B53" s="6" t="n">
        <v>174.9731533025751</v>
      </c>
      <c r="C53" s="6" t="n">
        <v>16.106185870600697</v>
      </c>
      <c r="D53" s="6" t="n">
        <v>27.116891795232778</v>
      </c>
      <c r="E53" s="6" t="n">
        <v>74.45711241942311</v>
      </c>
      <c r="F53" s="6" t="n">
        <v>52.968946499621396</v>
      </c>
      <c r="G53" s="6" t="n">
        <v>7.298725340655326</v>
      </c>
      <c r="H53" s="6" t="n">
        <v>31.876060236813547</v>
      </c>
      <c r="I53" s="6" t="n">
        <v>0.0</v>
      </c>
      <c r="J53" s="6">
        <f si="0" t="shared"/>
        <v>384.79707546492193</v>
      </c>
      <c r="L53" s="12">
        <v>4.1666666666666664E-2</v>
      </c>
      <c r="M53" s="9" t="n">
        <v>481.2562503814697</v>
      </c>
      <c r="N53" s="9" t="n">
        <v>82.18329429626465</v>
      </c>
      <c r="O53" s="9" t="n">
        <v>99.93406391143799</v>
      </c>
      <c r="P53" s="9" t="n">
        <v>126.30284976959229</v>
      </c>
      <c r="Q53" s="9" t="n">
        <v>34.28395080566406</v>
      </c>
      <c r="R53" s="9" t="n">
        <v>38.345407485961914</v>
      </c>
      <c r="S53" s="9" t="n">
        <v>232.4011754989624</v>
      </c>
      <c r="T53" s="9" t="n">
        <v>0.0</v>
      </c>
      <c r="U53">
        <f si="1" t="shared"/>
        <v>1662.3441686630249</v>
      </c>
    </row>
    <row r="54" spans="1:21" x14ac:dyDescent="0.25">
      <c r="A54" s="12">
        <v>6.25E-2</v>
      </c>
      <c r="B54" s="6" t="n">
        <v>65.59472259504604</v>
      </c>
      <c r="C54" s="6" t="n">
        <v>4.4086728916587825</v>
      </c>
      <c r="D54" s="6" t="n">
        <v>10.467274547494892</v>
      </c>
      <c r="E54" s="6" t="n">
        <v>28.203846512910847</v>
      </c>
      <c r="F54" s="6" t="n">
        <v>23.07301090659905</v>
      </c>
      <c r="G54" s="6" t="n">
        <v>3.2110583816452025</v>
      </c>
      <c r="H54" s="6" t="n">
        <v>8.856224888216973</v>
      </c>
      <c r="I54" s="6" t="n">
        <v>0.0</v>
      </c>
      <c r="J54" s="6">
        <f si="0" t="shared"/>
        <v>143.81481072357181</v>
      </c>
      <c r="L54" s="12">
        <v>6.25E-2</v>
      </c>
      <c r="M54" s="9" t="n">
        <v>203.87254810333252</v>
      </c>
      <c r="N54" s="9" t="n">
        <v>34.597594261169434</v>
      </c>
      <c r="O54" s="9" t="n">
        <v>42.05751895904541</v>
      </c>
      <c r="P54" s="9" t="n">
        <v>53.45662784576416</v>
      </c>
      <c r="Q54" s="9" t="n">
        <v>14.801669120788574</v>
      </c>
      <c r="R54" s="9" t="n">
        <v>16.585905075073242</v>
      </c>
      <c r="S54" s="9" t="n">
        <v>99.86483573913574</v>
      </c>
      <c r="T54" s="9" t="n">
        <v>0.0</v>
      </c>
      <c r="U54">
        <f si="1" t="shared"/>
        <v>703.16611766815186</v>
      </c>
    </row>
    <row r="55" spans="1:21" x14ac:dyDescent="0.25">
      <c r="A55" s="12">
        <v>8.3333333333333329E-2</v>
      </c>
      <c r="B55" s="6" t="n">
        <v>20.414446993193625</v>
      </c>
      <c r="C55" s="6" t="n">
        <v>0.948743028728485</v>
      </c>
      <c r="D55" s="6" t="n">
        <v>3.352843731179238</v>
      </c>
      <c r="E55" s="6" t="n">
        <v>8.942281335292817</v>
      </c>
      <c r="F55" s="6" t="n">
        <v>8.124560323566438</v>
      </c>
      <c r="G55" s="6" t="n">
        <v>1.147214279677391</v>
      </c>
      <c r="H55" s="6" t="n">
        <v>1.8891704512233736</v>
      </c>
      <c r="I55" s="6" t="n">
        <v>0.0</v>
      </c>
      <c r="J55" s="6">
        <f si="0" t="shared"/>
        <v>44.819260142861367</v>
      </c>
      <c r="L55" s="12">
        <v>8.3333333333333329E-2</v>
      </c>
      <c r="M55" s="9" t="n">
        <v>71.45203685760498</v>
      </c>
      <c r="N55" s="9" t="n">
        <v>12.065034866333008</v>
      </c>
      <c r="O55" s="9" t="n">
        <v>14.626649856567383</v>
      </c>
      <c r="P55" s="9" t="n">
        <v>18.72928524017334</v>
      </c>
      <c r="Q55" s="9" t="n">
        <v>5.268787384033203</v>
      </c>
      <c r="R55" s="9" t="n">
        <v>5.9068756103515625</v>
      </c>
      <c r="S55" s="9" t="n">
        <v>35.323580741882324</v>
      </c>
      <c r="T55" s="9" t="n">
        <v>0.0</v>
      </c>
      <c r="U55">
        <f si="1" t="shared"/>
        <v>245.38936233520508</v>
      </c>
    </row>
    <row r="56" spans="1:21" x14ac:dyDescent="0.25">
      <c r="A56" s="12">
        <v>0.10416666666666667</v>
      </c>
      <c r="B56" s="6" t="n">
        <v>5.119077155547142</v>
      </c>
      <c r="C56" s="6" t="n">
        <v>0.15360047292518614</v>
      </c>
      <c r="D56" s="6" t="n">
        <v>0.8591953495292666</v>
      </c>
      <c r="E56" s="6" t="n">
        <v>2.2957563626441955</v>
      </c>
      <c r="F56" s="6" t="n">
        <v>2.251372690350533</v>
      </c>
      <c r="G56" s="6" t="n">
        <v>0.32219859430694575</v>
      </c>
      <c r="H56" s="6" t="n">
        <v>0.28987020420932774</v>
      </c>
      <c r="I56" s="6" t="n">
        <v>0.0</v>
      </c>
      <c r="J56" s="6">
        <f si="0" t="shared"/>
        <v>11.291070829512595</v>
      </c>
      <c r="L56" s="12">
        <v>0.10416666666666667</v>
      </c>
      <c r="M56" s="9" t="n">
        <v>20.05323028564453</v>
      </c>
      <c r="N56" s="9" t="n">
        <v>3.3717899322509766</v>
      </c>
      <c r="O56" s="9" t="n">
        <v>4.071176528930664</v>
      </c>
      <c r="P56" s="9" t="n">
        <v>5.255097389221191</v>
      </c>
      <c r="Q56" s="9" t="n">
        <v>1.4976472854614258</v>
      </c>
      <c r="R56" s="9" t="n">
        <v>1.6787700653076172</v>
      </c>
      <c r="S56" s="9" t="n">
        <v>9.970149993896484</v>
      </c>
      <c r="T56" s="9" t="n">
        <v>0.0</v>
      </c>
      <c r="U56">
        <f si="1" t="shared"/>
        <v>68.493038177490234</v>
      </c>
    </row>
    <row r="57" spans="1:21" x14ac:dyDescent="0.25">
      <c r="A57" s="12">
        <v>0.125</v>
      </c>
      <c r="B57" s="6" t="n">
        <v>0.9809351456336975</v>
      </c>
      <c r="C57" s="6" t="n">
        <v>0.01742272666454315</v>
      </c>
      <c r="D57" s="6" t="n">
        <v>0.16646782446289063</v>
      </c>
      <c r="E57" s="6" t="n">
        <v>0.45026601054191595</v>
      </c>
      <c r="F57" s="6" t="n">
        <v>0.4657392230882646</v>
      </c>
      <c r="G57" s="6" t="n">
        <v>0.06736208223438261</v>
      </c>
      <c r="H57" s="6" t="n">
        <v>0.028438969501495364</v>
      </c>
      <c r="I57" s="6" t="n">
        <v>0.0</v>
      </c>
      <c r="J57" s="6">
        <f si="0" t="shared"/>
        <v>2.1766319821271898</v>
      </c>
      <c r="L57" s="12">
        <v>0.125</v>
      </c>
      <c r="M57" s="9" t="n">
        <v>4.252518653869629</v>
      </c>
      <c r="N57" s="9" t="n">
        <v>0.7124080657958984</v>
      </c>
      <c r="O57" s="9" t="n">
        <v>0.856348991394043</v>
      </c>
      <c r="P57" s="9" t="n">
        <v>1.1139917373657227</v>
      </c>
      <c r="Q57" s="9" t="n">
        <v>0.3208885192871094</v>
      </c>
      <c r="R57" s="9" t="n">
        <v>0.3595447540283203</v>
      </c>
      <c r="S57" s="9" t="n">
        <v>2.1211843490600586</v>
      </c>
      <c r="T57" s="9" t="n">
        <v>0.0</v>
      </c>
      <c r="U57">
        <f si="1" t="shared"/>
        <v>14.443996429443359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B9" sqref="B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13.0</v>
      </c>
      <c r="N8" s="9" t="n">
        <v>8.0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0.044074003572463986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4.4074003572463986E-2</v>
      </c>
      <c r="L9" s="12">
        <v>0.125</v>
      </c>
      <c r="M9" s="9" t="n">
        <v>11.548604965209961</v>
      </c>
      <c r="N9" s="9" t="n">
        <v>5.873339653015137</v>
      </c>
      <c r="O9" s="9" t="n">
        <v>0.0</v>
      </c>
      <c r="P9" s="9" t="n">
        <v>0.0</v>
      </c>
      <c r="Q9" s="9" t="n">
        <v>0.05932426452636719</v>
      </c>
      <c r="R9" s="9" t="n">
        <v>0.0</v>
      </c>
      <c r="S9" s="9" t="n">
        <v>0.0</v>
      </c>
      <c r="T9" s="9" t="n">
        <v>0.0</v>
      </c>
      <c r="U9">
        <f ref="U9:U58" si="1" t="shared">SUM(M9:T9)</f>
        <v>54.211982727050781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0.29176128561019893</v>
      </c>
      <c r="C10" s="6" t="n">
        <v>1.3969971084594726E-4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0.29190098532104486</v>
      </c>
      <c r="L10" s="12">
        <v>0.14583333333333334</v>
      </c>
      <c r="M10" s="9" t="n">
        <v>10.93198299407959</v>
      </c>
      <c r="N10" s="9" t="n">
        <v>4.206535339355469</v>
      </c>
      <c r="O10" s="9" t="n">
        <v>0.0</v>
      </c>
      <c r="P10" s="9" t="n">
        <v>0.0</v>
      </c>
      <c r="Q10" s="9" t="n">
        <v>0.1166219711303711</v>
      </c>
      <c r="R10" s="9" t="n">
        <v>0.0</v>
      </c>
      <c r="S10" s="9" t="n">
        <v>0.0</v>
      </c>
      <c r="T10" s="9" t="n">
        <v>0.0</v>
      </c>
      <c r="U10">
        <f si="1" t="shared"/>
        <v>81.079577445983887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1.3880772419519423</v>
      </c>
      <c r="C11" s="6" t="n">
        <v>0.0030190940465927127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1.3910963359985349</v>
      </c>
      <c r="L11" s="12">
        <v>0.16666666666666666</v>
      </c>
      <c r="M11" s="9" t="n">
        <v>11.840068817138672</v>
      </c>
      <c r="N11" s="9" t="n">
        <v>3.255970001220703</v>
      </c>
      <c r="O11" s="9" t="n">
        <v>0.0</v>
      </c>
      <c r="P11" s="9" t="n">
        <v>0.0</v>
      </c>
      <c r="Q11" s="9" t="n">
        <v>0.16393470764160156</v>
      </c>
      <c r="R11" s="9" t="n">
        <v>9.5367431640625E-7</v>
      </c>
      <c r="S11" s="9" t="n">
        <v>0.0</v>
      </c>
      <c r="T11" s="9" t="n">
        <v>0.0</v>
      </c>
      <c r="U11">
        <f si="1" t="shared"/>
        <v>119.22752094268799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5.097668103369713</v>
      </c>
      <c r="C12" s="6" t="n">
        <v>0.031219697761535648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5.1288878011312491</v>
      </c>
      <c r="L12" s="12">
        <v>0.1875</v>
      </c>
      <c r="M12" s="9" t="n">
        <v>14.82242202758789</v>
      </c>
      <c r="N12" s="9" t="n">
        <v>3.082365036010742</v>
      </c>
      <c r="O12" s="9" t="n">
        <v>0.0</v>
      </c>
      <c r="P12" s="9" t="n">
        <v>0.0</v>
      </c>
      <c r="Q12" s="9" t="n">
        <v>0.19230937957763672</v>
      </c>
      <c r="R12" s="9" t="n">
        <v>1.9073486328125E-5</v>
      </c>
      <c r="S12" s="9" t="n">
        <v>0.0</v>
      </c>
      <c r="T12" s="9" t="n">
        <v>0.0</v>
      </c>
      <c r="U12">
        <f si="1" t="shared"/>
        <v>166.31206130981445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15.098266148722647</v>
      </c>
      <c r="C13" s="6" t="n">
        <v>0.2055217601490021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15.30378790887165</v>
      </c>
      <c r="L13" s="12">
        <v>0.20833333333333334</v>
      </c>
      <c r="M13" s="9" t="n">
        <v>20.602879524230957</v>
      </c>
      <c r="N13" s="9" t="n">
        <v>3.764040946960449</v>
      </c>
      <c r="O13" s="9" t="n">
        <v>0.0</v>
      </c>
      <c r="P13" s="9" t="n">
        <v>0.0</v>
      </c>
      <c r="Q13" s="9" t="n">
        <v>0.2045278549194336</v>
      </c>
      <c r="R13" s="9" t="n">
        <v>1.811981201171875E-4</v>
      </c>
      <c r="S13" s="9" t="n">
        <v>0.0</v>
      </c>
      <c r="T13" s="9" t="n">
        <v>0.0</v>
      </c>
      <c r="U13">
        <f si="1" t="shared"/>
        <v>216.26636695861816</v>
      </c>
    </row>
    <row r="14" spans="1:26" x14ac:dyDescent="0.25">
      <c r="A14" s="12">
        <v>0.22916666666666666</v>
      </c>
      <c r="B14" s="6" t="n">
        <v>37.22674913079262</v>
      </c>
      <c r="C14" s="6" t="n">
        <v>0.9667127949085236</v>
      </c>
      <c r="D14" s="6" t="n">
        <v>0.0</v>
      </c>
      <c r="E14" s="6" t="n">
        <v>0.0</v>
      </c>
      <c r="F14" s="6" t="n">
        <v>7.371677494049072E-5</v>
      </c>
      <c r="G14" s="6" t="n">
        <v>0.0</v>
      </c>
      <c r="H14" s="6" t="n">
        <v>0.0</v>
      </c>
      <c r="I14" s="6" t="n">
        <v>0.0</v>
      </c>
      <c r="J14" s="6">
        <f si="0" t="shared"/>
        <v>38.193535642476085</v>
      </c>
      <c r="L14" s="12">
        <v>0.22916666666666666</v>
      </c>
      <c r="M14" s="9" t="n">
        <v>30.654271125793457</v>
      </c>
      <c r="N14" s="9" t="n">
        <v>5.609197616577148</v>
      </c>
      <c r="O14" s="9" t="n">
        <v>0.0</v>
      </c>
      <c r="P14" s="9" t="n">
        <v>0.0</v>
      </c>
      <c r="Q14" s="9" t="n">
        <v>0.2225017547607422</v>
      </c>
      <c r="R14" s="9" t="n">
        <v>0.0010900497436523438</v>
      </c>
      <c r="S14" s="9" t="n">
        <v>0.0</v>
      </c>
      <c r="T14" s="9" t="n">
        <v>0.0</v>
      </c>
      <c r="U14">
        <f si="1" t="shared"/>
        <v>266.15987682342529</v>
      </c>
    </row>
    <row r="15" spans="1:26" x14ac:dyDescent="0.25">
      <c r="A15" s="12">
        <v>0.25</v>
      </c>
      <c r="B15" s="6" t="n">
        <v>78.33373037578104</v>
      </c>
      <c r="C15" s="6" t="n">
        <v>3.4569271427478787</v>
      </c>
      <c r="D15" s="6" t="n">
        <v>0.0</v>
      </c>
      <c r="E15" s="6" t="n">
        <v>0.0</v>
      </c>
      <c r="F15" s="6" t="n">
        <v>0.0014743354988098144</v>
      </c>
      <c r="G15" s="6" t="n">
        <v>0.0</v>
      </c>
      <c r="H15" s="6" t="n">
        <v>0.0</v>
      </c>
      <c r="I15" s="6" t="n">
        <v>0.0</v>
      </c>
      <c r="J15" s="6">
        <f si="0" t="shared"/>
        <v>81.79213185402773</v>
      </c>
      <c r="L15" s="12">
        <v>0.25</v>
      </c>
      <c r="M15" s="9" t="n">
        <v>47.823516845703125</v>
      </c>
      <c r="N15" s="9" t="n">
        <v>9.208812713623047</v>
      </c>
      <c r="O15" s="9" t="n">
        <v>0.0</v>
      </c>
      <c r="P15" s="9" t="n">
        <v>0.0</v>
      </c>
      <c r="Q15" s="9" t="n">
        <v>0.2854118347167969</v>
      </c>
      <c r="R15" s="9" t="n">
        <v>0.004689216613769531</v>
      </c>
      <c r="S15" s="9" t="n">
        <v>0.0</v>
      </c>
      <c r="T15" s="9" t="n">
        <v>0.0</v>
      </c>
      <c r="U15">
        <f si="1" t="shared"/>
        <v>324.35468292236328</v>
      </c>
    </row>
    <row r="16" spans="1:26" x14ac:dyDescent="0.25">
      <c r="A16" s="12">
        <v>0.27083333333333331</v>
      </c>
      <c r="B16" s="6" t="n">
        <v>143.7008281388321</v>
      </c>
      <c r="C16" s="6" t="n">
        <v>9.765191583169937</v>
      </c>
      <c r="D16" s="6" t="n">
        <v>0.0</v>
      </c>
      <c r="E16" s="6" t="n">
        <v>6.37345380783081E-5</v>
      </c>
      <c r="F16" s="6" t="n">
        <v>0.014050237553596495</v>
      </c>
      <c r="G16" s="6" t="n">
        <v>0.0</v>
      </c>
      <c r="H16" s="6" t="n">
        <v>0.0</v>
      </c>
      <c r="I16" s="6" t="n">
        <v>0.0</v>
      </c>
      <c r="J16" s="6">
        <f si="0" t="shared"/>
        <v>153.48013369409372</v>
      </c>
      <c r="L16" s="12">
        <v>0.27083333333333331</v>
      </c>
      <c r="M16" s="9" t="n">
        <v>77.6611442565918</v>
      </c>
      <c r="N16" s="9" t="n">
        <v>15.51697063446045</v>
      </c>
      <c r="O16" s="9" t="n">
        <v>0.0</v>
      </c>
      <c r="P16" s="9" t="n">
        <v>0.0</v>
      </c>
      <c r="Q16" s="9" t="n">
        <v>0.45817089080810547</v>
      </c>
      <c r="R16" s="9" t="n">
        <v>0.015562057495117188</v>
      </c>
      <c r="S16" s="9" t="n">
        <v>0.0</v>
      </c>
      <c r="T16" s="9" t="n">
        <v>0.0</v>
      </c>
      <c r="U16">
        <f si="1" t="shared"/>
        <v>414.03303718566895</v>
      </c>
    </row>
    <row r="17" spans="1:21" x14ac:dyDescent="0.25">
      <c r="A17" s="12">
        <v>0.29166666666666669</v>
      </c>
      <c r="B17" s="6" t="n">
        <v>234.6769281264181</v>
      </c>
      <c r="C17" s="6" t="n">
        <v>22.36812767244339</v>
      </c>
      <c r="D17" s="6" t="n">
        <v>0.0</v>
      </c>
      <c r="E17" s="6" t="n">
        <v>0.0012746907615661621</v>
      </c>
      <c r="F17" s="6" t="n">
        <v>0.08491812973022461</v>
      </c>
      <c r="G17" s="6" t="n">
        <v>0.0</v>
      </c>
      <c r="H17" s="6" t="n">
        <v>0.0</v>
      </c>
      <c r="I17" s="6" t="n">
        <v>0.0</v>
      </c>
      <c r="J17" s="6">
        <f si="0" t="shared"/>
        <v>257.1312486193533</v>
      </c>
      <c r="L17" s="12">
        <v>0.29166666666666669</v>
      </c>
      <c r="M17" s="9" t="n">
        <v>133.06159210205078</v>
      </c>
      <c r="N17" s="9" t="n">
        <v>26.549267768859863</v>
      </c>
      <c r="O17" s="9" t="n">
        <v>0.0</v>
      </c>
      <c r="P17" s="9" t="n">
        <v>0.0</v>
      </c>
      <c r="Q17" s="9" t="n">
        <v>0.8854618072509766</v>
      </c>
      <c r="R17" s="9" t="n">
        <v>0.042481422424316406</v>
      </c>
      <c r="S17" s="9" t="n">
        <v>0.0</v>
      </c>
      <c r="T17" s="9" t="n">
        <v>0.0</v>
      </c>
      <c r="U17">
        <f si="1" t="shared"/>
        <v>568.99215507507324</v>
      </c>
    </row>
    <row r="18" spans="1:21" x14ac:dyDescent="0.25">
      <c r="A18" s="12">
        <v>0.3125</v>
      </c>
      <c r="B18" s="6" t="n">
        <v>349.70272426452823</v>
      </c>
      <c r="C18" s="6" t="n">
        <v>42.403562626154894</v>
      </c>
      <c r="D18" s="6" t="n">
        <v>0.0</v>
      </c>
      <c r="E18" s="6" t="n">
        <v>0.012162070867538453</v>
      </c>
      <c r="F18" s="6" t="n">
        <v>0.3655273344182969</v>
      </c>
      <c r="G18" s="6" t="n">
        <v>0.0</v>
      </c>
      <c r="H18" s="6" t="n">
        <v>0.0</v>
      </c>
      <c r="I18" s="6" t="n">
        <v>0.0</v>
      </c>
      <c r="J18" s="6">
        <f si="0" t="shared"/>
        <v>392.48397629596894</v>
      </c>
      <c r="L18" s="12">
        <v>0.3125</v>
      </c>
      <c r="M18" s="9" t="n">
        <v>244.70303535461426</v>
      </c>
      <c r="N18" s="9" t="n">
        <v>47.12863731384277</v>
      </c>
      <c r="O18" s="9" t="n">
        <v>0.0</v>
      </c>
      <c r="P18" s="9" t="n">
        <v>0.0</v>
      </c>
      <c r="Q18" s="9" t="n">
        <v>1.9076738357543945</v>
      </c>
      <c r="R18" s="9" t="n">
        <v>0.10166549682617188</v>
      </c>
      <c r="S18" s="9" t="n">
        <v>0.0</v>
      </c>
      <c r="T18" s="9" t="n">
        <v>0.0</v>
      </c>
      <c r="U18">
        <f si="1" t="shared"/>
        <v>825.55403327941895</v>
      </c>
    </row>
    <row r="19" spans="1:21" x14ac:dyDescent="0.25">
      <c r="A19" s="12">
        <v>0.33333333333333331</v>
      </c>
      <c r="B19" s="6" t="n">
        <v>491.889801354885</v>
      </c>
      <c r="C19" s="6" t="n">
        <v>67.92121512088775</v>
      </c>
      <c r="D19" s="6" t="n">
        <v>0.0</v>
      </c>
      <c r="E19" s="6" t="n">
        <v>0.07372844778442382</v>
      </c>
      <c r="F19" s="6" t="n">
        <v>1.1931222376670838</v>
      </c>
      <c r="G19" s="6" t="n">
        <v>0.0</v>
      </c>
      <c r="H19" s="6" t="n">
        <v>0.0</v>
      </c>
      <c r="I19" s="6" t="n">
        <v>0.0</v>
      </c>
      <c r="J19" s="6">
        <f si="0" t="shared"/>
        <v>561.07786716122428</v>
      </c>
      <c r="L19" s="12">
        <v>0.33333333333333331</v>
      </c>
      <c r="M19" s="9" t="n">
        <v>472.9730234146118</v>
      </c>
      <c r="N19" s="9" t="n">
        <v>86.79880905151367</v>
      </c>
      <c r="O19" s="9" t="n">
        <v>0.0</v>
      </c>
      <c r="P19" s="9" t="n">
        <v>0.0</v>
      </c>
      <c r="Q19" s="9" t="n">
        <v>4.184084892272949</v>
      </c>
      <c r="R19" s="9" t="n">
        <v>0.22538089752197266</v>
      </c>
      <c r="S19" s="9" t="n">
        <v>0.0</v>
      </c>
      <c r="T19" s="9" t="n">
        <v>0.0</v>
      </c>
      <c r="U19">
        <f si="1" t="shared"/>
        <v>1217.3045692443848</v>
      </c>
    </row>
    <row r="20" spans="1:21" x14ac:dyDescent="0.25">
      <c r="A20" s="12">
        <v>0.35416666666666669</v>
      </c>
      <c r="B20" s="6" t="n">
        <v>684.2898763895691</v>
      </c>
      <c r="C20" s="6" t="n">
        <v>94.75426031651494</v>
      </c>
      <c r="D20" s="6" t="n">
        <v>0.0</v>
      </c>
      <c r="E20" s="6" t="n">
        <v>0.3191885116338729</v>
      </c>
      <c r="F20" s="6" t="n">
        <v>3.070685972399712</v>
      </c>
      <c r="G20" s="6" t="n">
        <v>0.0</v>
      </c>
      <c r="H20" s="6" t="n">
        <v>0.0</v>
      </c>
      <c r="I20" s="6" t="n">
        <v>0.0</v>
      </c>
      <c r="J20" s="6">
        <f si="0" t="shared"/>
        <v>782.43401119011776</v>
      </c>
      <c r="L20" s="12">
        <v>0.35416666666666669</v>
      </c>
      <c r="M20" s="9" t="n">
        <v>906.2302951812744</v>
      </c>
      <c r="N20" s="9" t="n">
        <v>159.314959526062</v>
      </c>
      <c r="O20" s="9" t="n">
        <v>0.0</v>
      </c>
      <c r="P20" s="9" t="n">
        <v>0.0</v>
      </c>
      <c r="Q20" s="9" t="n">
        <v>8.67878246307373</v>
      </c>
      <c r="R20" s="9" t="n">
        <v>0.4743833541870117</v>
      </c>
      <c r="S20" s="9" t="n">
        <v>0.0</v>
      </c>
      <c r="T20" s="9" t="n">
        <v>0.0</v>
      </c>
      <c r="U20">
        <f si="1" t="shared"/>
        <v>1773.0427083969116</v>
      </c>
    </row>
    <row r="21" spans="1:21" x14ac:dyDescent="0.25">
      <c r="A21" s="12">
        <v>0.375</v>
      </c>
      <c r="B21" s="6" t="n">
        <v>989.4514552269372</v>
      </c>
      <c r="C21" s="6" t="n">
        <v>121.47210996629715</v>
      </c>
      <c r="D21" s="6" t="n">
        <v>0.0</v>
      </c>
      <c r="E21" s="6" t="n">
        <v>1.051971446769714</v>
      </c>
      <c r="F21" s="6" t="n">
        <v>6.397480475646972</v>
      </c>
      <c r="G21" s="6" t="n">
        <v>0.0</v>
      </c>
      <c r="H21" s="6" t="n">
        <v>0.0</v>
      </c>
      <c r="I21" s="6" t="n">
        <v>0.0</v>
      </c>
      <c r="J21" s="6">
        <f si="0" t="shared"/>
        <v>1118.3730171156512</v>
      </c>
      <c r="L21" s="12">
        <v>0.375</v>
      </c>
      <c r="M21" s="9" t="n">
        <v>1630.2651891708374</v>
      </c>
      <c r="N21" s="9" t="n">
        <v>277.4806241989136</v>
      </c>
      <c r="O21" s="9" t="n">
        <v>0.0</v>
      </c>
      <c r="P21" s="9" t="n">
        <v>0.0</v>
      </c>
      <c r="Q21" s="9" t="n">
        <v>16.370701789855957</v>
      </c>
      <c r="R21" s="9" t="n">
        <v>0.9368448257446289</v>
      </c>
      <c r="S21" s="9" t="n">
        <v>0.0</v>
      </c>
      <c r="T21" s="9" t="n">
        <v>0.0</v>
      </c>
      <c r="U21">
        <f si="1" t="shared"/>
        <v>2510.6784467697144</v>
      </c>
    </row>
    <row r="22" spans="1:21" x14ac:dyDescent="0.25">
      <c r="A22" s="12">
        <v>0.39583333333333331</v>
      </c>
      <c r="B22" s="6" t="n">
        <v>1520.7671497154238</v>
      </c>
      <c r="C22" s="6" t="n">
        <v>155.25463237527086</v>
      </c>
      <c r="D22" s="6" t="n">
        <v>0.0</v>
      </c>
      <c r="E22" s="6" t="n">
        <v>2.74858298418045</v>
      </c>
      <c r="F22" s="6" t="n">
        <v>10.993492344903945</v>
      </c>
      <c r="G22" s="6" t="n">
        <v>0.0</v>
      </c>
      <c r="H22" s="6" t="n">
        <v>0.0</v>
      </c>
      <c r="I22" s="6" t="n">
        <v>0.0</v>
      </c>
      <c r="J22" s="6">
        <f si="0" t="shared"/>
        <v>1689.763857419779</v>
      </c>
      <c r="L22" s="12">
        <v>0.39583333333333331</v>
      </c>
      <c r="M22" s="9" t="n">
        <v>2675.8516998291016</v>
      </c>
      <c r="N22" s="9" t="n">
        <v>444.88867568969727</v>
      </c>
      <c r="O22" s="9" t="n">
        <v>0.0</v>
      </c>
      <c r="P22" s="9" t="n">
        <v>0.0</v>
      </c>
      <c r="Q22" s="9" t="n">
        <v>27.737269401550293</v>
      </c>
      <c r="R22" s="9" t="n">
        <v>1.6913337707519531</v>
      </c>
      <c r="S22" s="9" t="n">
        <v>0.0</v>
      </c>
      <c r="T22" s="9" t="n">
        <v>0.0</v>
      </c>
      <c r="U22">
        <f si="1" t="shared"/>
        <v>3423.4111433029175</v>
      </c>
    </row>
    <row r="23" spans="1:21" x14ac:dyDescent="0.25">
      <c r="A23" s="12">
        <v>0.41666666666666669</v>
      </c>
      <c r="B23" s="6" t="n">
        <v>2420.92877494478</v>
      </c>
      <c r="C23" s="6" t="n">
        <v>211.60504658387094</v>
      </c>
      <c r="D23" s="6" t="n">
        <v>0.0</v>
      </c>
      <c r="E23" s="6" t="n">
        <v>5.856064075458526</v>
      </c>
      <c r="F23" s="6" t="n">
        <v>15.796249930305478</v>
      </c>
      <c r="G23" s="6" t="n">
        <v>0.0</v>
      </c>
      <c r="H23" s="6" t="n">
        <v>0.0</v>
      </c>
      <c r="I23" s="6" t="n">
        <v>0.0</v>
      </c>
      <c r="J23" s="6">
        <f si="0" t="shared"/>
        <v>2654.1861355344149</v>
      </c>
      <c r="L23" s="12">
        <v>0.41666666666666669</v>
      </c>
      <c r="M23" s="9" t="n">
        <v>3978.1595458984375</v>
      </c>
      <c r="N23" s="9" t="n">
        <v>650.100751876831</v>
      </c>
      <c r="O23" s="9" t="n">
        <v>0.0</v>
      </c>
      <c r="P23" s="9" t="n">
        <v>0.0</v>
      </c>
      <c r="Q23" s="9" t="n">
        <v>42.29864025115967</v>
      </c>
      <c r="R23" s="9" t="n">
        <v>2.745455741882324</v>
      </c>
      <c r="S23" s="9" t="n">
        <v>0.0</v>
      </c>
      <c r="T23" s="9" t="n">
        <v>0.0</v>
      </c>
      <c r="U23">
        <f si="1" t="shared"/>
        <v>4466.5559711456299</v>
      </c>
    </row>
    <row r="24" spans="1:21" x14ac:dyDescent="0.25">
      <c r="A24" s="12">
        <v>0.4375</v>
      </c>
      <c r="B24" s="6" t="n">
        <v>3783.9462549701984</v>
      </c>
      <c r="C24" s="6" t="n">
        <v>303.7699500150729</v>
      </c>
      <c r="D24" s="6" t="n">
        <v>0.0</v>
      </c>
      <c r="E24" s="6" t="n">
        <v>10.38793466080284</v>
      </c>
      <c r="F24" s="6" t="n">
        <v>19.168634639268873</v>
      </c>
      <c r="G24" s="6" t="n">
        <v>0.0</v>
      </c>
      <c r="H24" s="6" t="n">
        <v>0.0</v>
      </c>
      <c r="I24" s="6" t="n">
        <v>0.0</v>
      </c>
      <c r="J24" s="6">
        <f si="0" t="shared"/>
        <v>4117.2727742853431</v>
      </c>
      <c r="L24" s="12">
        <v>0.4375</v>
      </c>
      <c r="M24" s="9" t="n">
        <v>5379.076230049133</v>
      </c>
      <c r="N24" s="9" t="n">
        <v>867.7231531143188</v>
      </c>
      <c r="O24" s="9" t="n">
        <v>0.0</v>
      </c>
      <c r="P24" s="9" t="n">
        <v>0.0</v>
      </c>
      <c r="Q24" s="9" t="n">
        <v>58.520033836364746</v>
      </c>
      <c r="R24" s="9" t="n">
        <v>4.008425712585449</v>
      </c>
      <c r="S24" s="9" t="n">
        <v>0.0</v>
      </c>
      <c r="T24" s="9" t="n">
        <v>0.0</v>
      </c>
      <c r="U24">
        <f si="1" t="shared"/>
        <v>5556.3615093231201</v>
      </c>
    </row>
    <row r="25" spans="1:21" x14ac:dyDescent="0.25">
      <c r="A25" s="12">
        <v>0.45833333333333331</v>
      </c>
      <c r="B25" s="6" t="n">
        <v>5535.808801006794</v>
      </c>
      <c r="C25" s="6" t="n">
        <v>427.8996792832108</v>
      </c>
      <c r="D25" s="6" t="n">
        <v>0.0</v>
      </c>
      <c r="E25" s="6" t="n">
        <v>15.585472962379454</v>
      </c>
      <c r="F25" s="6" t="n">
        <v>19.78016041015625</v>
      </c>
      <c r="G25" s="6" t="n">
        <v>0.0</v>
      </c>
      <c r="H25" s="6" t="n">
        <v>0.0</v>
      </c>
      <c r="I25" s="6" t="n">
        <v>0.0</v>
      </c>
      <c r="J25" s="6">
        <f si="0" t="shared"/>
        <v>5999.0741136625402</v>
      </c>
      <c r="L25" s="12">
        <v>0.45833333333333331</v>
      </c>
      <c r="M25" s="9" t="n">
        <v>6668.822069168091</v>
      </c>
      <c r="N25" s="9" t="n">
        <v>1065.2108907699585</v>
      </c>
      <c r="O25" s="9" t="n">
        <v>0.0</v>
      </c>
      <c r="P25" s="9" t="n">
        <v>0.0</v>
      </c>
      <c r="Q25" s="9" t="n">
        <v>74.11991119384766</v>
      </c>
      <c r="R25" s="9" t="n">
        <v>5.337024688720703</v>
      </c>
      <c r="S25" s="9" t="n">
        <v>0.0</v>
      </c>
      <c r="T25" s="9" t="n">
        <v>0.0</v>
      </c>
      <c r="U25">
        <f si="1" t="shared"/>
        <v>6581.1765537261963</v>
      </c>
    </row>
    <row r="26" spans="1:21" x14ac:dyDescent="0.25">
      <c r="A26" s="12">
        <v>0.47916666666666669</v>
      </c>
      <c r="B26" s="6" t="n">
        <v>7354.939906857831</v>
      </c>
      <c r="C26" s="6" t="n">
        <v>557.8395250207282</v>
      </c>
      <c r="D26" s="6" t="n">
        <v>0.0</v>
      </c>
      <c r="E26" s="6" t="n">
        <v>20.010152259265897</v>
      </c>
      <c r="F26" s="6" t="n">
        <v>17.424662119520185</v>
      </c>
      <c r="G26" s="6" t="n">
        <v>0.0</v>
      </c>
      <c r="H26" s="6" t="n">
        <v>0.0</v>
      </c>
      <c r="I26" s="6" t="n">
        <v>0.0</v>
      </c>
      <c r="J26" s="6">
        <f si="0" t="shared"/>
        <v>7950.2142462573456</v>
      </c>
      <c r="L26" s="12">
        <v>0.47916666666666669</v>
      </c>
      <c r="M26" s="9" t="n">
        <v>7639.000710487366</v>
      </c>
      <c r="N26" s="9" t="n">
        <v>1211.0541801452637</v>
      </c>
      <c r="O26" s="9" t="n">
        <v>0.0</v>
      </c>
      <c r="P26" s="9" t="n">
        <v>0.0</v>
      </c>
      <c r="Q26" s="9" t="n">
        <v>86.62982368469238</v>
      </c>
      <c r="R26" s="9" t="n">
        <v>6.605064392089844</v>
      </c>
      <c r="S26" s="9" t="n">
        <v>0.0</v>
      </c>
      <c r="T26" s="9" t="n">
        <v>0.0</v>
      </c>
      <c r="U26">
        <f si="1" t="shared"/>
        <v>7418.4241695404053</v>
      </c>
    </row>
    <row r="27" spans="1:21" x14ac:dyDescent="0.25">
      <c r="A27" s="12">
        <v>0.5</v>
      </c>
      <c r="B27" s="6" t="n">
        <v>8737.066242314453</v>
      </c>
      <c r="C27" s="6" t="n">
        <v>657.7511105549937</v>
      </c>
      <c r="D27" s="6" t="n">
        <v>0.0</v>
      </c>
      <c r="E27" s="6" t="n">
        <v>22.157192871780396</v>
      </c>
      <c r="F27" s="6" t="n">
        <v>13.11321528453827</v>
      </c>
      <c r="G27" s="6" t="n">
        <v>0.0</v>
      </c>
      <c r="H27" s="6" t="n">
        <v>0.0</v>
      </c>
      <c r="I27" s="6" t="n">
        <v>0.0</v>
      </c>
      <c r="J27" s="6">
        <f si="0" t="shared"/>
        <v>9430.0877610257648</v>
      </c>
      <c r="L27" s="12">
        <v>0.5</v>
      </c>
      <c r="M27" s="9" t="n">
        <v>8131.152339935303</v>
      </c>
      <c r="N27" s="9" t="n">
        <v>1282.4205331802368</v>
      </c>
      <c r="O27" s="9" t="n">
        <v>0.0</v>
      </c>
      <c r="P27" s="9" t="n">
        <v>0.0</v>
      </c>
      <c r="Q27" s="9" t="n">
        <v>94.06782627105713</v>
      </c>
      <c r="R27" s="9" t="n">
        <v>7.7114715576171875</v>
      </c>
      <c r="S27" s="9" t="n">
        <v>0.0</v>
      </c>
      <c r="T27" s="9" t="n">
        <v>0.0</v>
      </c>
      <c r="U27">
        <f si="1" t="shared"/>
        <v>7958.2561597824097</v>
      </c>
    </row>
    <row r="28" spans="1:21" x14ac:dyDescent="0.25">
      <c r="A28" s="12">
        <v>0.52083333333333337</v>
      </c>
      <c r="B28" s="6" t="n">
        <v>9222.999191017032</v>
      </c>
      <c r="C28" s="6" t="n">
        <v>703.6869939995776</v>
      </c>
      <c r="D28" s="6" t="n">
        <v>0.0</v>
      </c>
      <c r="E28" s="6" t="n">
        <v>21.240577916891098</v>
      </c>
      <c r="F28" s="6" t="n">
        <v>8.406280365056993</v>
      </c>
      <c r="G28" s="6" t="n">
        <v>0.0</v>
      </c>
      <c r="H28" s="6" t="n">
        <v>0.0</v>
      </c>
      <c r="I28" s="6" t="n">
        <v>0.0</v>
      </c>
      <c r="J28" s="6">
        <f si="0" t="shared"/>
        <v>9956.3330432985586</v>
      </c>
      <c r="L28" s="12">
        <v>0.52083333333333337</v>
      </c>
      <c r="M28" s="9" t="n">
        <v>8080.170437812805</v>
      </c>
      <c r="N28" s="9" t="n">
        <v>1272.2262001037598</v>
      </c>
      <c r="O28" s="9" t="n">
        <v>0.0</v>
      </c>
      <c r="P28" s="9" t="n">
        <v>0.0</v>
      </c>
      <c r="Q28" s="9" t="n">
        <v>95.57548904418945</v>
      </c>
      <c r="R28" s="9" t="n">
        <v>8.537788391113281</v>
      </c>
      <c r="S28" s="9" t="n">
        <v>0.0</v>
      </c>
      <c r="T28" s="9" t="n">
        <v>0.0</v>
      </c>
      <c r="U28">
        <f si="1" t="shared"/>
        <v>8137.3147945404053</v>
      </c>
    </row>
    <row r="29" spans="1:21" x14ac:dyDescent="0.25">
      <c r="A29" s="12">
        <v>0.54166666666666663</v>
      </c>
      <c r="B29" s="6" t="n">
        <v>8656.84134010271</v>
      </c>
      <c r="C29" s="6" t="n">
        <v>694.8977869631101</v>
      </c>
      <c r="D29" s="6" t="n">
        <v>0.0</v>
      </c>
      <c r="E29" s="6" t="n">
        <v>17.621769874786377</v>
      </c>
      <c r="F29" s="6" t="n">
        <v>4.5576852899780285</v>
      </c>
      <c r="G29" s="6" t="n">
        <v>0.0</v>
      </c>
      <c r="H29" s="6" t="n">
        <v>0.0</v>
      </c>
      <c r="I29" s="6" t="n">
        <v>0.0</v>
      </c>
      <c r="J29" s="6">
        <f si="0" t="shared"/>
        <v>9373.9185822305844</v>
      </c>
      <c r="L29" s="12">
        <v>0.54166666666666663</v>
      </c>
      <c r="M29" s="9" t="n">
        <v>7537.814125061035</v>
      </c>
      <c r="N29" s="9" t="n">
        <v>1192.3888292312622</v>
      </c>
      <c r="O29" s="9" t="n">
        <v>0.0</v>
      </c>
      <c r="P29" s="9" t="n">
        <v>0.0</v>
      </c>
      <c r="Q29" s="9" t="n">
        <v>91.68571090698242</v>
      </c>
      <c r="R29" s="9" t="n">
        <v>8.958044052124023</v>
      </c>
      <c r="S29" s="9" t="n">
        <v>0.0</v>
      </c>
      <c r="T29" s="9" t="n">
        <v>0.0</v>
      </c>
      <c r="U29">
        <f si="1" t="shared"/>
        <v>7967.7759637832642</v>
      </c>
    </row>
    <row r="30" spans="1:21" x14ac:dyDescent="0.25">
      <c r="A30" s="12">
        <v>0.5625</v>
      </c>
      <c r="B30" s="6" t="n">
        <v>7278.55127617013</v>
      </c>
      <c r="C30" s="6" t="n">
        <v>645.9193455319768</v>
      </c>
      <c r="D30" s="6" t="n">
        <v>0.0</v>
      </c>
      <c r="E30" s="6" t="n">
        <v>12.595516371536256</v>
      </c>
      <c r="F30" s="6" t="n">
        <v>2.0645479802370073</v>
      </c>
      <c r="G30" s="6" t="n">
        <v>0.0</v>
      </c>
      <c r="H30" s="6" t="n">
        <v>0.0</v>
      </c>
      <c r="I30" s="6" t="n">
        <v>0.0</v>
      </c>
      <c r="J30" s="6">
        <f si="0" t="shared"/>
        <v>7939.1306860538798</v>
      </c>
      <c r="L30" s="12">
        <v>0.5625</v>
      </c>
      <c r="M30" s="9" t="n">
        <v>6648.996919631958</v>
      </c>
      <c r="N30" s="9" t="n">
        <v>1068.1598815917969</v>
      </c>
      <c r="O30" s="9" t="n">
        <v>0.0</v>
      </c>
      <c r="P30" s="9" t="n">
        <v>0.0</v>
      </c>
      <c r="Q30" s="9" t="n">
        <v>83.91421508789062</v>
      </c>
      <c r="R30" s="9" t="n">
        <v>8.931281089782715</v>
      </c>
      <c r="S30" s="9" t="n">
        <v>0.0</v>
      </c>
      <c r="T30" s="9" t="n">
        <v>0.0</v>
      </c>
      <c r="U30">
        <f si="1" t="shared"/>
        <v>7531.4850130081177</v>
      </c>
    </row>
    <row r="31" spans="1:21" x14ac:dyDescent="0.25">
      <c r="A31" s="12">
        <v>0.58333333333333337</v>
      </c>
      <c r="B31" s="6" t="n">
        <v>5572.638014504835</v>
      </c>
      <c r="C31" s="6" t="n">
        <v>570.7186402156259</v>
      </c>
      <c r="D31" s="6" t="n">
        <v>0.0</v>
      </c>
      <c r="E31" s="6" t="n">
        <v>7.691599396751403</v>
      </c>
      <c r="F31" s="6" t="n">
        <v>0.7669932056922915</v>
      </c>
      <c r="G31" s="6" t="n">
        <v>0.0</v>
      </c>
      <c r="H31" s="6" t="n">
        <v>0.0</v>
      </c>
      <c r="I31" s="6" t="n">
        <v>0.0</v>
      </c>
      <c r="J31" s="6">
        <f si="0" t="shared"/>
        <v>6151.8152473229047</v>
      </c>
      <c r="L31" s="12">
        <v>0.58333333333333337</v>
      </c>
      <c r="M31" s="9" t="n">
        <v>5584.927735328674</v>
      </c>
      <c r="N31" s="9" t="n">
        <v>925.0718288421631</v>
      </c>
      <c r="O31" s="9" t="n">
        <v>0.0</v>
      </c>
      <c r="P31" s="9" t="n">
        <v>0.0</v>
      </c>
      <c r="Q31" s="9" t="n">
        <v>73.88491630554199</v>
      </c>
      <c r="R31" s="9" t="n">
        <v>8.562268257141113</v>
      </c>
      <c r="S31" s="9" t="n">
        <v>0.0</v>
      </c>
      <c r="T31" s="9" t="n">
        <v>0.0</v>
      </c>
      <c r="U31">
        <f si="1" t="shared"/>
        <v>6930.5704479217529</v>
      </c>
    </row>
    <row r="32" spans="1:21" x14ac:dyDescent="0.25">
      <c r="A32" s="12">
        <v>0.60416666666666663</v>
      </c>
      <c r="B32" s="6" t="n">
        <v>3994.463826318804</v>
      </c>
      <c r="C32" s="6" t="n">
        <v>476.1996475024911</v>
      </c>
      <c r="D32" s="6" t="n">
        <v>0.0</v>
      </c>
      <c r="E32" s="6" t="n">
        <v>3.9643299247884753</v>
      </c>
      <c r="F32" s="6" t="n">
        <v>0.22742996294498447</v>
      </c>
      <c r="G32" s="6" t="n">
        <v>0.0</v>
      </c>
      <c r="H32" s="6" t="n">
        <v>0.0</v>
      </c>
      <c r="I32" s="6" t="n">
        <v>0.0</v>
      </c>
      <c r="J32" s="6">
        <f si="0" t="shared"/>
        <v>4474.8552337090287</v>
      </c>
      <c r="L32" s="12">
        <v>0.60416666666666663</v>
      </c>
      <c r="M32" s="9" t="n">
        <v>4481.787990570068</v>
      </c>
      <c r="N32" s="9" t="n">
        <v>778.5321607589722</v>
      </c>
      <c r="O32" s="9" t="n">
        <v>0.0</v>
      </c>
      <c r="P32" s="9" t="n">
        <v>0.0</v>
      </c>
      <c r="Q32" s="9" t="n">
        <v>62.69591522216797</v>
      </c>
      <c r="R32" s="9" t="n">
        <v>8.028075218200684</v>
      </c>
      <c r="S32" s="9" t="n">
        <v>0.0</v>
      </c>
      <c r="T32" s="9" t="n">
        <v>0.0</v>
      </c>
      <c r="U32">
        <f si="1" t="shared"/>
        <v>6230.9434947967529</v>
      </c>
    </row>
    <row r="33" spans="1:21" x14ac:dyDescent="0.25">
      <c r="A33" s="12">
        <v>0.625</v>
      </c>
      <c r="B33" s="6" t="n">
        <v>2779.058847764822</v>
      </c>
      <c r="C33" s="6" t="n">
        <v>368.17472872951896</v>
      </c>
      <c r="D33" s="6" t="n">
        <v>0.0</v>
      </c>
      <c r="E33" s="6" t="n">
        <v>1.696901957118988</v>
      </c>
      <c r="F33" s="6" t="n">
        <v>0.0516916944885254</v>
      </c>
      <c r="G33" s="6" t="n">
        <v>0.0</v>
      </c>
      <c r="H33" s="6" t="n">
        <v>0.0</v>
      </c>
      <c r="I33" s="6" t="n">
        <v>0.0</v>
      </c>
      <c r="J33" s="6">
        <f si="0" t="shared"/>
        <v>3148.9821701459482</v>
      </c>
      <c r="L33" s="12">
        <v>0.625</v>
      </c>
      <c r="M33" s="9" t="n">
        <v>3426.6950693130493</v>
      </c>
      <c r="N33" s="9" t="n">
        <v>634.1204977035522</v>
      </c>
      <c r="O33" s="9" t="n">
        <v>0.0</v>
      </c>
      <c r="P33" s="9" t="n">
        <v>0.0</v>
      </c>
      <c r="Q33" s="9" t="n">
        <v>50.999956130981445</v>
      </c>
      <c r="R33" s="9" t="n">
        <v>7.438352584838867</v>
      </c>
      <c r="S33" s="9" t="n">
        <v>0.0</v>
      </c>
      <c r="T33" s="9" t="n">
        <v>0.0</v>
      </c>
      <c r="U33">
        <f si="1" t="shared"/>
        <v>5449.0936727523804</v>
      </c>
    </row>
    <row r="34" spans="1:21" x14ac:dyDescent="0.25">
      <c r="A34" s="12">
        <v>0.64583333333333337</v>
      </c>
      <c r="B34" s="6" t="n">
        <v>1934.1674584653224</v>
      </c>
      <c r="C34" s="6" t="n">
        <v>258.1366972738505</v>
      </c>
      <c r="D34" s="6" t="n">
        <v>0.0</v>
      </c>
      <c r="E34" s="6" t="n">
        <v>0.5905741846523286</v>
      </c>
      <c r="F34" s="6" t="n">
        <v>0.008443276606559753</v>
      </c>
      <c r="G34" s="6" t="n">
        <v>0.0</v>
      </c>
      <c r="H34" s="6" t="n">
        <v>0.0</v>
      </c>
      <c r="I34" s="6" t="n">
        <v>0.0</v>
      </c>
      <c r="J34" s="6">
        <f si="0" t="shared"/>
        <v>2192.9031732004319</v>
      </c>
      <c r="L34" s="12">
        <v>0.64583333333333337</v>
      </c>
      <c r="M34" s="9" t="n">
        <v>2479.724443435669</v>
      </c>
      <c r="N34" s="9" t="n">
        <v>495.4429349899292</v>
      </c>
      <c r="O34" s="9" t="n">
        <v>0.0</v>
      </c>
      <c r="P34" s="9" t="n">
        <v>0.0</v>
      </c>
      <c r="Q34" s="9" t="n">
        <v>39.505486488342285</v>
      </c>
      <c r="R34" s="9" t="n">
        <v>6.785760879516602</v>
      </c>
      <c r="S34" s="9" t="n">
        <v>0.0</v>
      </c>
      <c r="T34" s="9" t="n">
        <v>0.0</v>
      </c>
      <c r="U34">
        <f si="1" t="shared"/>
        <v>4591.114185333252</v>
      </c>
    </row>
    <row r="35" spans="1:21" x14ac:dyDescent="0.25">
      <c r="A35" s="12">
        <v>0.66666666666666663</v>
      </c>
      <c r="B35" s="6" t="n">
        <v>1356.2228009057244</v>
      </c>
      <c r="C35" s="6" t="n">
        <v>161.27775327641103</v>
      </c>
      <c r="D35" s="6" t="n">
        <v>0.0</v>
      </c>
      <c r="E35" s="6" t="n">
        <v>0.16240337486267092</v>
      </c>
      <c r="F35" s="6" t="n">
        <v>8.810062980651857E-4</v>
      </c>
      <c r="G35" s="6" t="n">
        <v>0.0</v>
      </c>
      <c r="H35" s="6" t="n">
        <v>0.0</v>
      </c>
      <c r="I35" s="6" t="n">
        <v>0.0</v>
      </c>
      <c r="J35" s="6">
        <f si="0" t="shared"/>
        <v>1517.6638385632959</v>
      </c>
      <c r="L35" s="12">
        <v>0.66666666666666663</v>
      </c>
      <c r="M35" s="9" t="n">
        <v>1690.7167568206787</v>
      </c>
      <c r="N35" s="9" t="n">
        <v>369.74538230895996</v>
      </c>
      <c r="O35" s="9" t="n">
        <v>0.0</v>
      </c>
      <c r="P35" s="9" t="n">
        <v>0.0</v>
      </c>
      <c r="Q35" s="9" t="n">
        <v>29.21345043182373</v>
      </c>
      <c r="R35" s="9" t="n">
        <v>6.029003143310547</v>
      </c>
      <c r="S35" s="9" t="n">
        <v>0.0</v>
      </c>
      <c r="T35" s="9" t="n">
        <v>0.0</v>
      </c>
      <c r="U35">
        <f si="1" t="shared"/>
        <v>3699.388256072998</v>
      </c>
    </row>
    <row r="36" spans="1:21" x14ac:dyDescent="0.25">
      <c r="A36" s="12">
        <v>0.6875</v>
      </c>
      <c r="B36" s="6" t="n">
        <v>944.1452866167842</v>
      </c>
      <c r="C36" s="6" t="n">
        <v>88.70622512298964</v>
      </c>
      <c r="D36" s="6" t="n">
        <v>0.0</v>
      </c>
      <c r="E36" s="6" t="n">
        <v>0.033868337771415714</v>
      </c>
      <c r="F36" s="6" t="n">
        <v>4.405031490325928E-5</v>
      </c>
      <c r="G36" s="6" t="n">
        <v>0.0</v>
      </c>
      <c r="H36" s="6" t="n">
        <v>0.0</v>
      </c>
      <c r="I36" s="6" t="n">
        <v>0.0</v>
      </c>
      <c r="J36" s="6">
        <f si="0" t="shared"/>
        <v>1032.8854241278602</v>
      </c>
      <c r="L36" s="12">
        <v>0.6875</v>
      </c>
      <c r="M36" s="9" t="n">
        <v>1092.346863746643</v>
      </c>
      <c r="N36" s="9" t="n">
        <v>266.2246513366699</v>
      </c>
      <c r="O36" s="9" t="n">
        <v>0.0</v>
      </c>
      <c r="P36" s="9" t="n">
        <v>0.0</v>
      </c>
      <c r="Q36" s="9" t="n">
        <v>21.10036277770996</v>
      </c>
      <c r="R36" s="9" t="n">
        <v>5.194361686706543</v>
      </c>
      <c r="S36" s="9" t="n">
        <v>0.0</v>
      </c>
      <c r="T36" s="9" t="n">
        <v>0.0</v>
      </c>
      <c r="U36">
        <f si="1" t="shared"/>
        <v>2857.6536054611206</v>
      </c>
    </row>
    <row r="37" spans="1:21" x14ac:dyDescent="0.25">
      <c r="A37" s="12">
        <v>0.70833333333333337</v>
      </c>
      <c r="B37" s="6" t="n">
        <v>642.7487742005607</v>
      </c>
      <c r="C37" s="6" t="n">
        <v>42.577257831771846</v>
      </c>
      <c r="D37" s="6" t="n">
        <v>0.0</v>
      </c>
      <c r="E37" s="6" t="n">
        <v>0.005021499824523925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685.33105353215706</v>
      </c>
      <c r="L37" s="12">
        <v>0.70833333333333337</v>
      </c>
      <c r="M37" s="9" t="n">
        <v>685.6160945892334</v>
      </c>
      <c r="N37" s="9" t="n">
        <v>190.47062587738037</v>
      </c>
      <c r="O37" s="9" t="n">
        <v>0.0</v>
      </c>
      <c r="P37" s="9" t="n">
        <v>0.0</v>
      </c>
      <c r="Q37" s="9" t="n">
        <v>15.59715747833252</v>
      </c>
      <c r="R37" s="9" t="n">
        <v>4.379339218139648</v>
      </c>
      <c r="S37" s="9" t="n">
        <v>0.0</v>
      </c>
      <c r="T37" s="9" t="n">
        <v>0.0</v>
      </c>
      <c r="U37">
        <f si="1" t="shared"/>
        <v>2152.09996509552</v>
      </c>
    </row>
    <row r="38" spans="1:21" x14ac:dyDescent="0.25">
      <c r="A38" s="12">
        <v>0.72916666666666663</v>
      </c>
      <c r="B38" s="6" t="n">
        <v>429.8976335810624</v>
      </c>
      <c r="C38" s="6" t="n">
        <v>17.679942308937072</v>
      </c>
      <c r="D38" s="6" t="n">
        <v>0.0</v>
      </c>
      <c r="E38" s="6" t="n">
        <v>4.705430717468262E-4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447.57804643307122</v>
      </c>
      <c r="L38" s="12">
        <v>0.72916666666666663</v>
      </c>
      <c r="M38" s="9" t="n">
        <v>438.83323192596436</v>
      </c>
      <c r="N38" s="9" t="n">
        <v>141.1141939163208</v>
      </c>
      <c r="O38" s="9" t="n">
        <v>0.0</v>
      </c>
      <c r="P38" s="9" t="n">
        <v>0.0</v>
      </c>
      <c r="Q38" s="9" t="n">
        <v>12.385457038879395</v>
      </c>
      <c r="R38" s="9" t="n">
        <v>3.673111915588379</v>
      </c>
      <c r="S38" s="9" t="n">
        <v>0.0</v>
      </c>
      <c r="T38" s="9" t="n">
        <v>0.0</v>
      </c>
      <c r="U38">
        <f si="1" t="shared"/>
        <v>1628.3399362564087</v>
      </c>
    </row>
    <row r="39" spans="1:21" x14ac:dyDescent="0.25">
      <c r="A39" s="12">
        <v>0.75</v>
      </c>
      <c r="B39" s="6" t="n">
        <v>291.47857547354704</v>
      </c>
      <c r="C39" s="6" t="n">
        <v>6.27437194233799</v>
      </c>
      <c r="D39" s="6" t="n">
        <v>0.0</v>
      </c>
      <c r="E39" s="6" t="n">
        <v>2.0901721954345704E-5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297.75296831760699</v>
      </c>
      <c r="L39" s="12">
        <v>0.75</v>
      </c>
      <c r="M39" s="9" t="n">
        <v>302.61277866363525</v>
      </c>
      <c r="N39" s="9" t="n">
        <v>111.1168327331543</v>
      </c>
      <c r="O39" s="9" t="n">
        <v>0.0</v>
      </c>
      <c r="P39" s="9" t="n">
        <v>0.0</v>
      </c>
      <c r="Q39" s="9" t="n">
        <v>10.663554191589355</v>
      </c>
      <c r="R39" s="9" t="n">
        <v>3.096864700317383</v>
      </c>
      <c r="S39" s="9" t="n">
        <v>0.0</v>
      </c>
      <c r="T39" s="9" t="n">
        <v>0.0</v>
      </c>
      <c r="U39">
        <f si="1" t="shared"/>
        <v>1278.9706182479858</v>
      </c>
    </row>
    <row r="40" spans="1:21" x14ac:dyDescent="0.25">
      <c r="A40" s="12">
        <v>0.77083333333333337</v>
      </c>
      <c r="B40" s="6" t="n">
        <v>209.43160057643797</v>
      </c>
      <c r="C40" s="6" t="n">
        <v>1.8666236168260575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211.29822419326402</v>
      </c>
      <c r="L40" s="12">
        <v>0.77083333333333337</v>
      </c>
      <c r="M40" s="9" t="n">
        <v>229.13572883605957</v>
      </c>
      <c r="N40" s="9" t="n">
        <v>91.8478136062622</v>
      </c>
      <c r="O40" s="9" t="n">
        <v>0.0</v>
      </c>
      <c r="P40" s="9" t="n">
        <v>0.0</v>
      </c>
      <c r="Q40" s="9" t="n">
        <v>9.605560302734375</v>
      </c>
      <c r="R40" s="9" t="n">
        <v>2.619813919067383</v>
      </c>
      <c r="S40" s="9" t="n">
        <v>0.0</v>
      </c>
      <c r="T40" s="9" t="n">
        <v>0.0</v>
      </c>
      <c r="U40">
        <f si="1" t="shared"/>
        <v>1062.0398082733154</v>
      </c>
    </row>
    <row r="41" spans="1:21" x14ac:dyDescent="0.25">
      <c r="A41" s="12">
        <v>0.79166666666666663</v>
      </c>
      <c r="B41" s="6" t="n">
        <v>162.7397216925049</v>
      </c>
      <c r="C41" s="6" t="n">
        <v>0.4517370616378784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163.19145875414279</v>
      </c>
      <c r="L41" s="12">
        <v>0.79166666666666663</v>
      </c>
      <c r="M41" s="9" t="n">
        <v>184.53266525268555</v>
      </c>
      <c r="N41" s="9" t="n">
        <v>76.80676364898682</v>
      </c>
      <c r="O41" s="9" t="n">
        <v>0.0</v>
      </c>
      <c r="P41" s="9" t="n">
        <v>0.0</v>
      </c>
      <c r="Q41" s="9" t="n">
        <v>8.662687301635742</v>
      </c>
      <c r="R41" s="9" t="n">
        <v>2.209850311279297</v>
      </c>
      <c r="S41" s="9" t="n">
        <v>0.0</v>
      </c>
      <c r="T41" s="9" t="n">
        <v>0.0</v>
      </c>
      <c r="U41">
        <f si="1" t="shared"/>
        <v>929.01815223693848</v>
      </c>
    </row>
    <row r="42" spans="1:21" x14ac:dyDescent="0.25">
      <c r="A42" s="12">
        <v>0.8125</v>
      </c>
      <c r="B42" s="6" t="n">
        <v>132.636012002162</v>
      </c>
      <c r="C42" s="6" t="n">
        <v>0.0849669421930313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132.72097894435504</v>
      </c>
      <c r="L42" s="12">
        <v>0.8125</v>
      </c>
      <c r="M42" s="9" t="n">
        <v>151.17383289337158</v>
      </c>
      <c r="N42" s="9" t="n">
        <v>63.094489097595215</v>
      </c>
      <c r="O42" s="9" t="n">
        <v>0.0</v>
      </c>
      <c r="P42" s="9" t="n">
        <v>0.0</v>
      </c>
      <c r="Q42" s="9" t="n">
        <v>7.596101760864258</v>
      </c>
      <c r="R42" s="9" t="n">
        <v>1.856842041015625</v>
      </c>
      <c r="S42" s="9" t="n">
        <v>0.0</v>
      </c>
      <c r="T42" s="9" t="n">
        <v>0.0</v>
      </c>
      <c r="U42">
        <f si="1" t="shared"/>
        <v>843.68428802490234</v>
      </c>
    </row>
    <row r="43" spans="1:21" x14ac:dyDescent="0.25">
      <c r="A43" s="12">
        <v>0.83333333333333337</v>
      </c>
      <c r="B43" s="6" t="n">
        <v>106.63409331979182</v>
      </c>
      <c r="C43" s="6" t="n">
        <v>0.011567265855789184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106.6456605856476</v>
      </c>
      <c r="L43" s="12">
        <v>0.83333333333333337</v>
      </c>
      <c r="M43" s="9" t="n">
        <v>122.99508380889893</v>
      </c>
      <c r="N43" s="9" t="n">
        <v>50.60453510284424</v>
      </c>
      <c r="O43" s="9" t="n">
        <v>0.0</v>
      </c>
      <c r="P43" s="9" t="n">
        <v>0.0</v>
      </c>
      <c r="Q43" s="9" t="n">
        <v>6.366177558898926</v>
      </c>
      <c r="R43" s="9" t="n">
        <v>1.5620155334472656</v>
      </c>
      <c r="S43" s="9" t="n">
        <v>0.0</v>
      </c>
      <c r="T43" s="9" t="n">
        <v>0.0</v>
      </c>
      <c r="U43">
        <f si="1" t="shared"/>
        <v>785.27187728881836</v>
      </c>
    </row>
    <row r="44" spans="1:21" x14ac:dyDescent="0.25">
      <c r="A44" s="12">
        <v>0.85416666666666663</v>
      </c>
      <c r="B44" s="6" t="n">
        <v>79.94809408740997</v>
      </c>
      <c r="C44" s="6" t="n">
        <v>0.0010055718660354613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79.949099659276001</v>
      </c>
      <c r="L44" s="12">
        <v>0.85416666666666663</v>
      </c>
      <c r="M44" s="9" t="n">
        <v>99.02304649353027</v>
      </c>
      <c r="N44" s="9" t="n">
        <v>40.16338920593262</v>
      </c>
      <c r="O44" s="9" t="n">
        <v>0.0</v>
      </c>
      <c r="P44" s="9" t="n">
        <v>0.0</v>
      </c>
      <c r="Q44" s="9" t="n">
        <v>5.031695365905762</v>
      </c>
      <c r="R44" s="9" t="n">
        <v>1.3242473602294922</v>
      </c>
      <c r="S44" s="9" t="n">
        <v>0.0</v>
      </c>
      <c r="T44" s="9" t="n">
        <v>0.0</v>
      </c>
      <c r="U44">
        <f si="1" t="shared"/>
        <v>739.8528299331665</v>
      </c>
    </row>
    <row r="45" spans="1:21" x14ac:dyDescent="0.25">
      <c r="A45" s="12">
        <v>0.875</v>
      </c>
      <c r="B45" s="6" t="n">
        <v>54.001731302924156</v>
      </c>
      <c r="C45" s="6" t="n">
        <v>4.1535083770751954E-5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54.00177283800793</v>
      </c>
      <c r="L45" s="12">
        <v>0.875</v>
      </c>
      <c r="M45" s="9" t="n">
        <v>78.9731035232544</v>
      </c>
      <c r="N45" s="9" t="n">
        <v>32.065131187438965</v>
      </c>
      <c r="O45" s="9" t="n">
        <v>0.0</v>
      </c>
      <c r="P45" s="9" t="n">
        <v>0.0</v>
      </c>
      <c r="Q45" s="9" t="n">
        <v>3.7022199630737305</v>
      </c>
      <c r="R45" s="9" t="n">
        <v>1.1363601684570312</v>
      </c>
      <c r="S45" s="9" t="n">
        <v>0.0</v>
      </c>
      <c r="T45" s="9" t="n">
        <v>0.0</v>
      </c>
      <c r="U45">
        <f si="1" t="shared"/>
        <v>691.40575408935547</v>
      </c>
    </row>
    <row r="46" spans="1:21" x14ac:dyDescent="0.25">
      <c r="A46" s="12">
        <v>0.89583333333333337</v>
      </c>
      <c r="B46" s="6" t="n">
        <v>32.61743676930904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32.617436769309037</v>
      </c>
      <c r="L46" s="12">
        <v>0.89583333333333337</v>
      </c>
      <c r="M46" s="9" t="n">
        <v>61.99149036407471</v>
      </c>
      <c r="N46" s="9" t="n">
        <v>25.744877815246582</v>
      </c>
      <c r="O46" s="9" t="n">
        <v>0.0</v>
      </c>
      <c r="P46" s="9" t="n">
        <v>0.0</v>
      </c>
      <c r="Q46" s="9" t="n">
        <v>2.505570411682129</v>
      </c>
      <c r="R46" s="9" t="n">
        <v>0.9831142425537109</v>
      </c>
      <c r="S46" s="9" t="n">
        <v>0.0</v>
      </c>
      <c r="T46" s="9" t="n">
        <v>0.0</v>
      </c>
      <c r="U46">
        <f si="1" t="shared"/>
        <v>622.86971092224121</v>
      </c>
    </row>
    <row r="47" spans="1:21" x14ac:dyDescent="0.25">
      <c r="A47" s="12">
        <v>0.91666666666666663</v>
      </c>
      <c r="B47" s="6" t="n">
        <v>18.143426977756498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18.143426977756498</v>
      </c>
      <c r="L47" s="12">
        <v>0.91666666666666663</v>
      </c>
      <c r="M47" s="9" t="n">
        <v>47.24019718170166</v>
      </c>
      <c r="N47" s="9" t="n">
        <v>20.3352689743042</v>
      </c>
      <c r="O47" s="9" t="n">
        <v>0.0</v>
      </c>
      <c r="P47" s="9" t="n">
        <v>0.0</v>
      </c>
      <c r="Q47" s="9" t="n">
        <v>1.5443363189697266</v>
      </c>
      <c r="R47" s="9" t="n">
        <v>0.8409996032714844</v>
      </c>
      <c r="S47" s="9" t="n">
        <v>0.0</v>
      </c>
      <c r="T47" s="9" t="n">
        <v>0.0</v>
      </c>
      <c r="U47">
        <f si="1" t="shared"/>
        <v>525.82774925231934</v>
      </c>
    </row>
    <row r="48" spans="1:21" x14ac:dyDescent="0.25">
      <c r="A48" s="12">
        <v>0.9375</v>
      </c>
      <c r="B48" s="6" t="n">
        <v>9.989307367296218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9.9893073672962185</v>
      </c>
      <c r="L48" s="12">
        <v>0.9375</v>
      </c>
      <c r="M48" s="9" t="n">
        <v>34.48200988769531</v>
      </c>
      <c r="N48" s="9" t="n">
        <v>15.321187973022461</v>
      </c>
      <c r="O48" s="9" t="n">
        <v>0.0</v>
      </c>
      <c r="P48" s="9" t="n">
        <v>0.0</v>
      </c>
      <c r="Q48" s="9" t="n">
        <v>0.8598604202270508</v>
      </c>
      <c r="R48" s="9" t="n">
        <v>0.6883249282836914</v>
      </c>
      <c r="S48" s="9" t="n">
        <v>0.0</v>
      </c>
      <c r="T48" s="9" t="n">
        <v>0.0</v>
      </c>
      <c r="U48">
        <f si="1" t="shared"/>
        <v>407.33524894714355</v>
      </c>
    </row>
    <row r="49" spans="1:21" x14ac:dyDescent="0.25">
      <c r="A49" s="12">
        <v>0.95833333333333337</v>
      </c>
      <c r="B49" s="6" t="n">
        <v>5.8262911300516125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5.8262911300516125</v>
      </c>
      <c r="L49" s="12">
        <v>0.95833333333333337</v>
      </c>
      <c r="M49" s="9" t="n">
        <v>23.910513877868652</v>
      </c>
      <c r="N49" s="9" t="n">
        <v>10.72960376739502</v>
      </c>
      <c r="O49" s="9" t="n">
        <v>0.0</v>
      </c>
      <c r="P49" s="9" t="n">
        <v>0.0</v>
      </c>
      <c r="Q49" s="9" t="n">
        <v>0.4288616180419922</v>
      </c>
      <c r="R49" s="9" t="n">
        <v>0.5203714370727539</v>
      </c>
      <c r="S49" s="9" t="n">
        <v>0.0</v>
      </c>
      <c r="T49" s="9" t="n">
        <v>0.0</v>
      </c>
      <c r="U49">
        <f si="1" t="shared"/>
        <v>285.91799068450928</v>
      </c>
    </row>
    <row r="50" spans="1:21" x14ac:dyDescent="0.25">
      <c r="A50" s="12">
        <v>0.97916666666666663</v>
      </c>
      <c r="B50" s="6" t="n">
        <v>3.5164822851543427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3.5164822851543427</v>
      </c>
      <c r="L50" s="12">
        <v>0.97916666666666663</v>
      </c>
      <c r="M50" s="9" t="n">
        <v>15.658384323120117</v>
      </c>
      <c r="N50" s="9" t="n">
        <v>6.868425369262695</v>
      </c>
      <c r="O50" s="9" t="n">
        <v>0.0</v>
      </c>
      <c r="P50" s="9" t="n">
        <v>0.0</v>
      </c>
      <c r="Q50" s="9" t="n">
        <v>0.1894083023071289</v>
      </c>
      <c r="R50" s="9" t="n">
        <v>0.3530864715576172</v>
      </c>
      <c r="S50" s="9" t="n">
        <v>0.0</v>
      </c>
      <c r="T50" s="9" t="n">
        <v>0.0</v>
      </c>
      <c r="U50">
        <f si="1" t="shared"/>
        <v>180.55204200744629</v>
      </c>
    </row>
    <row r="51" spans="1:21" x14ac:dyDescent="0.25">
      <c r="A51" s="12">
        <v>1</v>
      </c>
      <c r="B51" s="6" t="n">
        <v>1.9921069316892626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1.9921069316892626</v>
      </c>
      <c r="L51" s="12">
        <v>1</v>
      </c>
      <c r="M51" s="9" t="n">
        <v>9.582379341125488</v>
      </c>
      <c r="N51" s="9" t="n">
        <v>3.9760751724243164</v>
      </c>
      <c r="O51" s="9" t="n">
        <v>0.0</v>
      </c>
      <c r="P51" s="9" t="n">
        <v>0.0</v>
      </c>
      <c r="Q51" s="9" t="n">
        <v>0.07280158996582031</v>
      </c>
      <c r="R51" s="9" t="n">
        <v>0.21049976348876953</v>
      </c>
      <c r="S51" s="9" t="n">
        <v>0.0</v>
      </c>
      <c r="T51" s="9" t="n">
        <v>0.0</v>
      </c>
      <c r="U51">
        <f si="1" t="shared"/>
        <v>101.98570537567139</v>
      </c>
    </row>
    <row r="52" spans="1:21" x14ac:dyDescent="0.25">
      <c r="A52" s="12">
        <v>1.0208333333333333</v>
      </c>
      <c r="B52" s="6" t="n">
        <v>0.97114156215477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0.97114156215476999</v>
      </c>
      <c r="L52" s="12">
        <v>1.0208333333333333</v>
      </c>
      <c r="M52" s="9" t="n">
        <v>5.3713579177856445</v>
      </c>
      <c r="N52" s="9" t="n">
        <v>2.0607357025146484</v>
      </c>
      <c r="O52" s="9" t="n">
        <v>0.0</v>
      </c>
      <c r="P52" s="9" t="n">
        <v>0.0</v>
      </c>
      <c r="Q52" s="9" t="n">
        <v>0.023751258850097656</v>
      </c>
      <c r="R52" s="9" t="n">
        <v>0.10836029052734375</v>
      </c>
      <c r="S52" s="9" t="n">
        <v>0.0</v>
      </c>
      <c r="T52" s="9" t="n">
        <v>0.0</v>
      </c>
      <c r="U52">
        <f si="1" t="shared"/>
        <v>51.122937202453613</v>
      </c>
    </row>
    <row r="53" spans="1:21" x14ac:dyDescent="0.25">
      <c r="A53" s="12">
        <v>4.1666666666666664E-2</v>
      </c>
      <c r="B53" s="6" t="n">
        <v>0.38614835750007637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0.38614835750007637</v>
      </c>
      <c r="L53" s="12">
        <v>4.1666666666666664E-2</v>
      </c>
      <c r="M53" s="9" t="n">
        <v>2.6809682846069336</v>
      </c>
      <c r="N53" s="9" t="n">
        <v>0.9430389404296875</v>
      </c>
      <c r="O53" s="9" t="n">
        <v>0.0</v>
      </c>
      <c r="P53" s="9" t="n">
        <v>0.0</v>
      </c>
      <c r="Q53" s="9" t="n">
        <v>0.00635528564453125</v>
      </c>
      <c r="R53" s="9" t="n">
        <v>0.04731464385986328</v>
      </c>
      <c r="S53" s="9" t="n">
        <v>0.0</v>
      </c>
      <c r="T53" s="9" t="n">
        <v>0.0</v>
      </c>
      <c r="U53">
        <f si="1" t="shared"/>
        <v>22.460539817810059</v>
      </c>
    </row>
    <row r="54" spans="1:21" x14ac:dyDescent="0.25">
      <c r="A54" s="12">
        <v>6.25E-2</v>
      </c>
      <c r="B54" s="6" t="n">
        <v>0.12056878718376161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0.12056878718376161</v>
      </c>
      <c r="L54" s="12">
        <v>6.25E-2</v>
      </c>
      <c r="M54" s="9" t="n">
        <v>1.1534805297851562</v>
      </c>
      <c r="N54" s="9" t="n">
        <v>0.37337398529052734</v>
      </c>
      <c r="O54" s="9" t="n">
        <v>0.0</v>
      </c>
      <c r="P54" s="9" t="n">
        <v>0.0</v>
      </c>
      <c r="Q54" s="9" t="n">
        <v>0.0013303756713867188</v>
      </c>
      <c r="R54" s="9" t="n">
        <v>0.017142295837402344</v>
      </c>
      <c r="S54" s="9" t="n">
        <v>0.0</v>
      </c>
      <c r="T54" s="9" t="n">
        <v>0.0</v>
      </c>
      <c r="U54">
        <f si="1" t="shared"/>
        <v>8.4931392669677734</v>
      </c>
    </row>
    <row r="55" spans="1:21" x14ac:dyDescent="0.25">
      <c r="A55" s="12">
        <v>8.3333333333333329E-2</v>
      </c>
      <c r="B55" s="6" t="n">
        <v>0.028369126396179202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2.8369126396179202E-2</v>
      </c>
      <c r="L55" s="12">
        <v>8.3333333333333329E-2</v>
      </c>
      <c r="M55" s="9" t="n">
        <v>0.4134340286254883</v>
      </c>
      <c r="N55" s="9" t="n">
        <v>0.12440681457519531</v>
      </c>
      <c r="O55" s="9" t="n">
        <v>0.0</v>
      </c>
      <c r="P55" s="9" t="n">
        <v>0.0</v>
      </c>
      <c r="Q55" s="9" t="n">
        <v>2.0313262939453125E-4</v>
      </c>
      <c r="R55" s="9" t="n">
        <v>0.005002021789550781</v>
      </c>
      <c r="S55" s="9" t="n">
        <v>0.0</v>
      </c>
      <c r="T55" s="9" t="n">
        <v>0.0</v>
      </c>
      <c r="U55">
        <f si="1" t="shared"/>
        <v>2.6972389221191406</v>
      </c>
    </row>
    <row r="56" spans="1:21" x14ac:dyDescent="0.25">
      <c r="A56" s="12">
        <v>0.10416666666666667</v>
      </c>
      <c r="B56" s="6" t="n">
        <v>0.004728187732696534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4.7281877326965337E-3</v>
      </c>
      <c r="L56" s="12">
        <v>0.10416666666666667</v>
      </c>
      <c r="M56" s="9" t="n">
        <v>0.11890602111816406</v>
      </c>
      <c r="N56" s="9" t="n">
        <v>0.03364849090576172</v>
      </c>
      <c r="O56" s="9" t="n">
        <v>0.0</v>
      </c>
      <c r="P56" s="9" t="n">
        <v>0.0</v>
      </c>
      <c r="Q56" s="9" t="n">
        <v>2.002716064453125E-5</v>
      </c>
      <c r="R56" s="9" t="n">
        <v>0.0011262893676757812</v>
      </c>
      <c r="S56" s="9" t="n">
        <v>0.0</v>
      </c>
      <c r="T56" s="9" t="n">
        <v>0.0</v>
      </c>
      <c r="U56">
        <f si="1" t="shared"/>
        <v>0.69641399383544922</v>
      </c>
    </row>
    <row r="57" spans="1:21" x14ac:dyDescent="0.25">
      <c r="A57" s="12">
        <v>0.125</v>
      </c>
      <c r="B57" s="6" t="n">
        <v>4.97703971862793E-4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4.9770397186279299E-4</v>
      </c>
      <c r="L57" s="12">
        <v>0.125</v>
      </c>
      <c r="M57" s="9" t="n">
        <v>0.025801658630371094</v>
      </c>
      <c r="N57" s="9" t="n">
        <v>0.006943702697753906</v>
      </c>
      <c r="O57" s="9" t="n">
        <v>0.0</v>
      </c>
      <c r="P57" s="9" t="n">
        <v>0.0</v>
      </c>
      <c r="Q57" s="9" t="n">
        <v>9.5367431640625E-7</v>
      </c>
      <c r="R57" s="9" t="n">
        <v>1.8215179443359375E-4</v>
      </c>
      <c r="S57" s="9" t="n">
        <v>0.0</v>
      </c>
      <c r="T57" s="9" t="n">
        <v>0.0</v>
      </c>
      <c r="U57">
        <f si="1" t="shared"/>
        <v>0.13796043395996094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58"/>
  <sheetViews>
    <sheetView workbookViewId="0">
      <selection activeCell="A8" sqref="A8:K358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263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196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0.68153935185185188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25">
      <c r="B12">
        <v>12</v>
      </c>
      <c r="C12" t="s">
        <v>108</v>
      </c>
      <c r="D12" t="s">
        <v>109</v>
      </c>
      <c r="E12">
        <v>-0.67106220384299997</v>
      </c>
      <c r="F12" s="57">
        <v>9.8135717565100006E-2</v>
      </c>
    </row>
    <row r="13" spans="1:11" x14ac:dyDescent="0.25">
      <c r="B13">
        <v>13</v>
      </c>
      <c r="C13" t="s">
        <v>110</v>
      </c>
      <c r="D13" t="s">
        <v>109</v>
      </c>
      <c r="E13" s="57">
        <v>-1.81869725389E-2</v>
      </c>
      <c r="F13" s="57">
        <v>6.16066120838E-2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-0.93649924875500001</v>
      </c>
      <c r="F15" s="57">
        <v>7.9616844312599994E-2</v>
      </c>
    </row>
    <row r="16" spans="1:11" x14ac:dyDescent="0.2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2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2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2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2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25">
      <c r="B21">
        <v>21</v>
      </c>
      <c r="C21" t="s">
        <v>118</v>
      </c>
      <c r="D21" t="s">
        <v>109</v>
      </c>
      <c r="E21">
        <v>-1.18600807319</v>
      </c>
      <c r="F21">
        <v>0.50610763844399997</v>
      </c>
    </row>
    <row r="22" spans="2:6" x14ac:dyDescent="0.25">
      <c r="B22">
        <v>22</v>
      </c>
      <c r="C22" t="s">
        <v>119</v>
      </c>
      <c r="D22" t="s">
        <v>109</v>
      </c>
      <c r="E22">
        <v>-1.7640959842299999</v>
      </c>
      <c r="F22">
        <v>0.326935585779</v>
      </c>
    </row>
    <row r="23" spans="2:6" x14ac:dyDescent="0.25">
      <c r="B23">
        <v>23</v>
      </c>
      <c r="C23" t="s">
        <v>120</v>
      </c>
      <c r="D23" t="s">
        <v>109</v>
      </c>
      <c r="E23">
        <v>-0.675435161773</v>
      </c>
      <c r="F23">
        <v>0.19811168781399999</v>
      </c>
    </row>
    <row r="24" spans="2:6" x14ac:dyDescent="0.25">
      <c r="B24">
        <v>24</v>
      </c>
      <c r="C24" t="s">
        <v>121</v>
      </c>
      <c r="D24" t="s">
        <v>109</v>
      </c>
      <c r="E24">
        <v>-0.56920924271600004</v>
      </c>
      <c r="F24">
        <v>0.115798211597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3.6403417091199999E-2</v>
      </c>
      <c r="F26" s="57">
        <v>6.6387251918099993E-2</v>
      </c>
    </row>
    <row r="27" spans="2:6" x14ac:dyDescent="0.25">
      <c r="B27">
        <v>27</v>
      </c>
      <c r="C27" t="s">
        <v>124</v>
      </c>
      <c r="D27" t="s">
        <v>109</v>
      </c>
      <c r="E27">
        <v>-0.72643475765499999</v>
      </c>
      <c r="F27">
        <v>0.103880499463</v>
      </c>
    </row>
    <row r="28" spans="2:6" x14ac:dyDescent="0.25">
      <c r="B28">
        <v>28</v>
      </c>
      <c r="C28" t="s">
        <v>125</v>
      </c>
      <c r="D28" t="s">
        <v>109</v>
      </c>
      <c r="E28">
        <v>-1.8360348878499999</v>
      </c>
      <c r="F28">
        <v>0.16080869896200001</v>
      </c>
    </row>
    <row r="29" spans="2:6" x14ac:dyDescent="0.25">
      <c r="B29">
        <v>29</v>
      </c>
      <c r="C29" t="s">
        <v>126</v>
      </c>
      <c r="D29" t="s">
        <v>109</v>
      </c>
      <c r="E29">
        <v>-1.98923759637</v>
      </c>
      <c r="F29">
        <v>0.247496421287</v>
      </c>
    </row>
    <row r="30" spans="2:6" x14ac:dyDescent="0.25">
      <c r="B30">
        <v>30</v>
      </c>
      <c r="C30" t="s">
        <v>127</v>
      </c>
      <c r="D30" t="s">
        <v>109</v>
      </c>
      <c r="E30">
        <v>-3.3378769648</v>
      </c>
      <c r="F30">
        <v>0.394526618537</v>
      </c>
    </row>
    <row r="31" spans="2:6" x14ac:dyDescent="0.25">
      <c r="B31">
        <v>31</v>
      </c>
      <c r="C31" t="s">
        <v>128</v>
      </c>
      <c r="D31" t="s">
        <v>109</v>
      </c>
      <c r="E31">
        <v>0.84759598521799995</v>
      </c>
      <c r="F31">
        <v>0.29987452563</v>
      </c>
    </row>
    <row r="32" spans="2:6" x14ac:dyDescent="0.25">
      <c r="B32">
        <v>32</v>
      </c>
      <c r="C32" t="s">
        <v>129</v>
      </c>
      <c r="D32" t="s">
        <v>109</v>
      </c>
      <c r="E32">
        <v>1.0480844517200001</v>
      </c>
      <c r="F32">
        <v>0.226897888656</v>
      </c>
    </row>
    <row r="33" spans="2:6" x14ac:dyDescent="0.25">
      <c r="B33">
        <v>33</v>
      </c>
      <c r="C33" t="s">
        <v>130</v>
      </c>
      <c r="D33" t="s">
        <v>109</v>
      </c>
      <c r="E33">
        <v>0.47835839518399997</v>
      </c>
      <c r="F33">
        <v>0.174895181077</v>
      </c>
    </row>
    <row r="34" spans="2:6" x14ac:dyDescent="0.25">
      <c r="B34">
        <v>34</v>
      </c>
      <c r="C34" t="s">
        <v>131</v>
      </c>
      <c r="D34" t="s">
        <v>109</v>
      </c>
      <c r="E34">
        <v>0.615781103351</v>
      </c>
      <c r="F34">
        <v>0.12857557629899999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-1.0182236593</v>
      </c>
      <c r="F36" s="57">
        <v>7.3847024576899997E-2</v>
      </c>
    </row>
    <row r="37" spans="2:6" x14ac:dyDescent="0.25">
      <c r="B37">
        <v>37</v>
      </c>
      <c r="C37" t="s">
        <v>134</v>
      </c>
      <c r="D37" t="s">
        <v>109</v>
      </c>
      <c r="E37">
        <v>-2.1140498405399999</v>
      </c>
      <c r="F37">
        <v>0.12614259511799999</v>
      </c>
    </row>
    <row r="38" spans="2:6" x14ac:dyDescent="0.25">
      <c r="B38">
        <v>38</v>
      </c>
      <c r="C38" t="s">
        <v>135</v>
      </c>
      <c r="D38" t="s">
        <v>109</v>
      </c>
      <c r="E38">
        <v>-3.34290713603</v>
      </c>
      <c r="F38">
        <v>0.18517755081600001</v>
      </c>
    </row>
    <row r="39" spans="2:6" x14ac:dyDescent="0.25">
      <c r="B39">
        <v>39</v>
      </c>
      <c r="C39" t="s">
        <v>136</v>
      </c>
      <c r="D39" t="s">
        <v>109</v>
      </c>
      <c r="E39">
        <v>-6.0292706169499999</v>
      </c>
      <c r="F39">
        <v>0.35203937082499998</v>
      </c>
    </row>
    <row r="40" spans="2:6" x14ac:dyDescent="0.25">
      <c r="B40">
        <v>40</v>
      </c>
      <c r="C40" t="s">
        <v>137</v>
      </c>
      <c r="D40" t="s">
        <v>109</v>
      </c>
      <c r="E40">
        <v>-9.4983340385999995</v>
      </c>
      <c r="F40">
        <v>1.11916797919</v>
      </c>
    </row>
    <row r="41" spans="2:6" x14ac:dyDescent="0.25">
      <c r="B41">
        <v>41</v>
      </c>
      <c r="C41" t="s">
        <v>138</v>
      </c>
      <c r="D41" t="s">
        <v>109</v>
      </c>
      <c r="E41" s="57">
        <v>4.0037136956699998E-2</v>
      </c>
      <c r="F41" s="57">
        <v>9.9685746281100007E-3</v>
      </c>
    </row>
    <row r="42" spans="2:6" x14ac:dyDescent="0.25">
      <c r="B42">
        <v>42</v>
      </c>
      <c r="C42" t="s">
        <v>139</v>
      </c>
      <c r="D42" t="s">
        <v>109</v>
      </c>
      <c r="E42" s="57">
        <v>-2.9029788634599998E-2</v>
      </c>
      <c r="F42" s="57">
        <v>1.2678570722499999E-2</v>
      </c>
    </row>
    <row r="43" spans="2:6" x14ac:dyDescent="0.25">
      <c r="B43">
        <v>43</v>
      </c>
      <c r="C43" t="s">
        <v>140</v>
      </c>
      <c r="D43" t="s">
        <v>109</v>
      </c>
      <c r="E43" s="57">
        <v>6.0083727421699998E-2</v>
      </c>
      <c r="F43" s="57">
        <v>2.5372281094700001E-2</v>
      </c>
    </row>
    <row r="44" spans="2:6" x14ac:dyDescent="0.25">
      <c r="B44">
        <v>44</v>
      </c>
      <c r="C44" t="s">
        <v>141</v>
      </c>
      <c r="D44" t="s">
        <v>109</v>
      </c>
      <c r="E44">
        <v>-0.13634249725200001</v>
      </c>
      <c r="F44" s="57">
        <v>3.6390381655799997E-2</v>
      </c>
    </row>
    <row r="45" spans="2:6" x14ac:dyDescent="0.25">
      <c r="B45">
        <v>45</v>
      </c>
      <c r="C45" t="s">
        <v>142</v>
      </c>
      <c r="D45" t="s">
        <v>109</v>
      </c>
      <c r="E45">
        <v>0.103738819739</v>
      </c>
      <c r="F45" s="57">
        <v>1.6616031351299999E-2</v>
      </c>
    </row>
    <row r="46" spans="2:6" x14ac:dyDescent="0.25">
      <c r="B46">
        <v>46</v>
      </c>
      <c r="C46" t="s">
        <v>143</v>
      </c>
      <c r="D46" t="s">
        <v>109</v>
      </c>
      <c r="E46" s="57">
        <v>1.35703205954E-2</v>
      </c>
      <c r="F46" s="57">
        <v>2.28690317452E-2</v>
      </c>
    </row>
    <row r="47" spans="2:6" x14ac:dyDescent="0.25">
      <c r="B47">
        <v>49</v>
      </c>
      <c r="C47" t="s">
        <v>144</v>
      </c>
      <c r="D47" t="s">
        <v>109</v>
      </c>
      <c r="E47">
        <v>0.19068824550399999</v>
      </c>
      <c r="F47" s="57">
        <v>2.65279140342E-2</v>
      </c>
    </row>
    <row r="48" spans="2:6" x14ac:dyDescent="0.25">
      <c r="B48">
        <v>50</v>
      </c>
      <c r="C48" t="s">
        <v>145</v>
      </c>
      <c r="D48" t="s">
        <v>109</v>
      </c>
      <c r="E48" s="57">
        <v>-4.7658902528499997E-2</v>
      </c>
      <c r="F48" s="57">
        <v>4.1478476952599999E-2</v>
      </c>
    </row>
    <row r="49" spans="2:6" x14ac:dyDescent="0.25">
      <c r="B49">
        <v>51</v>
      </c>
      <c r="C49" t="s">
        <v>198</v>
      </c>
      <c r="D49" t="s">
        <v>109</v>
      </c>
      <c r="E49" s="57">
        <v>1.74365636267E-2</v>
      </c>
      <c r="F49" s="57">
        <v>1.140252435E-2</v>
      </c>
    </row>
    <row r="50" spans="2:6" x14ac:dyDescent="0.25">
      <c r="B50">
        <v>52</v>
      </c>
      <c r="C50" t="s">
        <v>199</v>
      </c>
      <c r="D50" t="s">
        <v>109</v>
      </c>
      <c r="E50" s="57">
        <v>-1.1076555783700001E-2</v>
      </c>
      <c r="F50" s="57">
        <v>1.2858732606199999E-2</v>
      </c>
    </row>
    <row r="51" spans="2:6" x14ac:dyDescent="0.25">
      <c r="B51">
        <v>53</v>
      </c>
      <c r="C51" t="s">
        <v>200</v>
      </c>
      <c r="D51" t="s">
        <v>109</v>
      </c>
      <c r="E51" s="57">
        <v>-4.5799393531799999E-3</v>
      </c>
      <c r="F51" s="57">
        <v>1.7862377697600001E-2</v>
      </c>
    </row>
    <row r="52" spans="2:6" x14ac:dyDescent="0.25">
      <c r="B52">
        <v>54</v>
      </c>
      <c r="C52" t="s">
        <v>201</v>
      </c>
      <c r="D52" t="s">
        <v>109</v>
      </c>
      <c r="E52" s="57">
        <v>1.7562242850300001E-3</v>
      </c>
      <c r="F52" s="57">
        <v>1.4630867548599999E-2</v>
      </c>
    </row>
    <row r="53" spans="2:6" x14ac:dyDescent="0.25">
      <c r="B53">
        <v>57</v>
      </c>
      <c r="C53" t="s">
        <v>202</v>
      </c>
      <c r="D53" t="s">
        <v>109</v>
      </c>
      <c r="E53">
        <v>1.4622136722300001</v>
      </c>
      <c r="F53">
        <v>8.5992649050699992</v>
      </c>
    </row>
    <row r="54" spans="2:6" x14ac:dyDescent="0.25">
      <c r="B54">
        <v>58</v>
      </c>
      <c r="C54" t="s">
        <v>203</v>
      </c>
      <c r="D54" t="s">
        <v>109</v>
      </c>
      <c r="E54">
        <v>0.24430192177099999</v>
      </c>
      <c r="F54">
        <v>8.5689380652500002</v>
      </c>
    </row>
    <row r="55" spans="2:6" x14ac:dyDescent="0.25">
      <c r="B55">
        <v>61</v>
      </c>
      <c r="C55" t="s">
        <v>146</v>
      </c>
      <c r="D55" t="s">
        <v>109</v>
      </c>
      <c r="E55" s="57">
        <v>3.9458577753300004E-3</v>
      </c>
      <c r="F55" s="57">
        <v>3.6600568992000001E-3</v>
      </c>
    </row>
    <row r="56" spans="2:6" x14ac:dyDescent="0.25">
      <c r="B56">
        <v>62</v>
      </c>
      <c r="C56" t="s">
        <v>147</v>
      </c>
      <c r="D56" t="s">
        <v>109</v>
      </c>
      <c r="E56" s="57">
        <v>-4.5842264627900003E-2</v>
      </c>
      <c r="F56" s="57">
        <v>3.86497643E-3</v>
      </c>
    </row>
    <row r="57" spans="2:6" x14ac:dyDescent="0.25">
      <c r="B57">
        <v>63</v>
      </c>
      <c r="C57" t="s">
        <v>204</v>
      </c>
      <c r="D57" t="s">
        <v>109</v>
      </c>
      <c r="E57" s="57">
        <v>-6.5425870724599995E-4</v>
      </c>
      <c r="F57" s="57">
        <v>3.4123010024899999E-3</v>
      </c>
    </row>
    <row r="58" spans="2:6" x14ac:dyDescent="0.25">
      <c r="B58">
        <v>64</v>
      </c>
      <c r="C58" t="s">
        <v>205</v>
      </c>
      <c r="D58" t="s">
        <v>109</v>
      </c>
      <c r="E58" s="57">
        <v>-4.2823263761100003E-2</v>
      </c>
      <c r="F58" s="57">
        <v>3.7704440667799999E-3</v>
      </c>
    </row>
    <row r="59" spans="2:6" x14ac:dyDescent="0.25">
      <c r="B59">
        <v>67</v>
      </c>
      <c r="C59" t="s">
        <v>150</v>
      </c>
      <c r="D59" t="s">
        <v>109</v>
      </c>
      <c r="E59" s="57">
        <v>-1.43005534112E-2</v>
      </c>
      <c r="F59" s="57">
        <v>6.4460601462800002E-3</v>
      </c>
    </row>
    <row r="60" spans="2:6" x14ac:dyDescent="0.25">
      <c r="B60">
        <v>68</v>
      </c>
      <c r="C60" t="s">
        <v>151</v>
      </c>
      <c r="D60" t="s">
        <v>109</v>
      </c>
      <c r="E60" s="57">
        <v>4.5097327600000001E-2</v>
      </c>
      <c r="F60" s="57">
        <v>6.3326225988899996E-3</v>
      </c>
    </row>
    <row r="61" spans="2:6" x14ac:dyDescent="0.25">
      <c r="B61">
        <v>69</v>
      </c>
      <c r="C61" t="s">
        <v>206</v>
      </c>
      <c r="D61" t="s">
        <v>109</v>
      </c>
      <c r="E61" s="57">
        <v>1.3563955105100001E-2</v>
      </c>
      <c r="F61" s="57">
        <v>1.1330529709800001E-2</v>
      </c>
    </row>
    <row r="62" spans="2:6" x14ac:dyDescent="0.25">
      <c r="B62">
        <v>70</v>
      </c>
      <c r="C62" t="s">
        <v>207</v>
      </c>
      <c r="D62" t="s">
        <v>109</v>
      </c>
      <c r="E62">
        <v>0.16495387210699999</v>
      </c>
      <c r="F62" s="57">
        <v>1.12206895961E-2</v>
      </c>
    </row>
    <row r="63" spans="2:6" x14ac:dyDescent="0.25">
      <c r="B63">
        <v>71</v>
      </c>
      <c r="C63" t="s">
        <v>208</v>
      </c>
      <c r="D63" t="s">
        <v>109</v>
      </c>
      <c r="E63">
        <v>-1.2851468616399999</v>
      </c>
      <c r="F63">
        <v>0.133851118874</v>
      </c>
    </row>
    <row r="64" spans="2:6" x14ac:dyDescent="0.25">
      <c r="B64">
        <v>72</v>
      </c>
      <c r="C64" t="s">
        <v>209</v>
      </c>
      <c r="D64" t="s">
        <v>109</v>
      </c>
      <c r="E64">
        <v>-0.473472396189</v>
      </c>
      <c r="F64">
        <v>0.18373979583</v>
      </c>
    </row>
    <row r="65" spans="2:6" x14ac:dyDescent="0.25">
      <c r="B65">
        <v>73</v>
      </c>
      <c r="C65" t="s">
        <v>210</v>
      </c>
      <c r="D65" t="s">
        <v>109</v>
      </c>
      <c r="E65">
        <v>-0.81108460731200005</v>
      </c>
      <c r="F65">
        <v>0.35691249158299998</v>
      </c>
    </row>
    <row r="66" spans="2:6" x14ac:dyDescent="0.25">
      <c r="B66">
        <v>81</v>
      </c>
      <c r="C66" t="s">
        <v>211</v>
      </c>
      <c r="D66" t="s">
        <v>109</v>
      </c>
      <c r="E66">
        <v>2.0980899153400001</v>
      </c>
      <c r="F66">
        <v>0.242856799451</v>
      </c>
    </row>
    <row r="67" spans="2:6" x14ac:dyDescent="0.25">
      <c r="B67">
        <v>82</v>
      </c>
      <c r="C67" t="s">
        <v>212</v>
      </c>
      <c r="D67" t="s">
        <v>107</v>
      </c>
      <c r="E67">
        <v>5</v>
      </c>
      <c r="F67">
        <v>0</v>
      </c>
    </row>
    <row r="68" spans="2:6" x14ac:dyDescent="0.25">
      <c r="B68">
        <v>83</v>
      </c>
      <c r="C68" t="s">
        <v>213</v>
      </c>
      <c r="D68" t="s">
        <v>109</v>
      </c>
      <c r="E68">
        <v>-0.64054936577699995</v>
      </c>
      <c r="F68">
        <v>0.110855147249</v>
      </c>
    </row>
    <row r="69" spans="2:6" x14ac:dyDescent="0.2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2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2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2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25">
      <c r="B73">
        <v>89</v>
      </c>
      <c r="C73" t="s">
        <v>214</v>
      </c>
      <c r="D73" t="s">
        <v>109</v>
      </c>
      <c r="E73">
        <v>-2.9770165213499999</v>
      </c>
      <c r="F73">
        <v>0.93438368094400004</v>
      </c>
    </row>
    <row r="74" spans="2:6" x14ac:dyDescent="0.2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2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25">
      <c r="B76">
        <v>93</v>
      </c>
      <c r="C76" t="s">
        <v>158</v>
      </c>
      <c r="D76" t="s">
        <v>109</v>
      </c>
      <c r="E76">
        <v>-0.240163130498</v>
      </c>
      <c r="F76" s="57">
        <v>2.6404795602699999E-2</v>
      </c>
    </row>
    <row r="77" spans="2:6" x14ac:dyDescent="0.25">
      <c r="B77">
        <v>94</v>
      </c>
      <c r="C77" t="s">
        <v>159</v>
      </c>
      <c r="D77" t="s">
        <v>109</v>
      </c>
      <c r="E77">
        <v>-0.24977007544900001</v>
      </c>
      <c r="F77" s="57">
        <v>2.6664374720300001E-2</v>
      </c>
    </row>
    <row r="78" spans="2:6" x14ac:dyDescent="0.2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25">
      <c r="B79">
        <v>96</v>
      </c>
      <c r="C79" t="s">
        <v>161</v>
      </c>
      <c r="D79" t="s">
        <v>109</v>
      </c>
      <c r="E79" s="57">
        <v>1.9500749384399999E-2</v>
      </c>
      <c r="F79">
        <v>8.5688875581000001</v>
      </c>
    </row>
    <row r="80" spans="2:6" x14ac:dyDescent="0.2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25">
      <c r="B81">
        <v>98</v>
      </c>
      <c r="C81" t="s">
        <v>215</v>
      </c>
      <c r="D81" t="s">
        <v>109</v>
      </c>
      <c r="E81">
        <v>-23.747958025900001</v>
      </c>
      <c r="F81">
        <v>4.7914242846299997</v>
      </c>
    </row>
    <row r="82" spans="2:11" x14ac:dyDescent="0.2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2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25">
      <c r="B84">
        <v>124</v>
      </c>
      <c r="C84" t="s">
        <v>165</v>
      </c>
      <c r="D84" t="s">
        <v>109</v>
      </c>
      <c r="E84">
        <v>-0.12591233227500001</v>
      </c>
      <c r="F84" s="57">
        <v>7.3422333463599998E-2</v>
      </c>
    </row>
    <row r="85" spans="2:11" x14ac:dyDescent="0.25">
      <c r="B85">
        <v>-1</v>
      </c>
    </row>
    <row r="86" spans="2:11" x14ac:dyDescent="0.25">
      <c r="B86">
        <v>3328</v>
      </c>
      <c r="C86" s="57">
        <v>-17879.5405025</v>
      </c>
      <c r="D86" s="57">
        <v>-23288.8047677</v>
      </c>
      <c r="E86" s="57">
        <v>-17489.511809200001</v>
      </c>
    </row>
    <row r="87" spans="2:11" x14ac:dyDescent="0.25">
      <c r="B87">
        <v>17</v>
      </c>
      <c r="C87" t="s">
        <v>216</v>
      </c>
      <c r="D87" t="s">
        <v>104</v>
      </c>
      <c r="E87">
        <v>7</v>
      </c>
      <c r="F87" t="s">
        <v>197</v>
      </c>
      <c r="G87">
        <v>12</v>
      </c>
    </row>
    <row r="88" spans="2:11" x14ac:dyDescent="0.2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2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2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2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2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2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2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2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2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2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2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2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2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2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2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2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2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2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2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2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2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2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2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2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2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2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2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2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2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2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2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2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2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2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2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2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2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2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2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2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2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2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2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2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2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2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2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2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2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2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2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2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2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2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2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2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2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2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2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2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2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2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2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2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2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2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2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2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2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2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2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2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2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2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2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2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2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2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2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2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2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2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2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2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2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2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2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2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2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2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2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2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2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2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2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2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2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2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2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2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2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2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2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2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2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2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2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2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2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2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2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2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2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2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2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2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2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2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2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2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2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2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2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2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2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2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2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2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2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2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2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2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2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2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2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2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2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2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2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2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2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2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2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2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2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2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2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2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2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2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2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2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2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2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2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2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2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2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2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2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2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2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2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2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2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2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2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2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2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2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2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2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2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2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2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2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2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2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2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2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2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2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2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2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2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2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2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2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2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2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2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2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2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2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2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2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2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2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2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2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2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2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2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2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2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2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2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2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2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2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2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2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2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2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2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2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2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2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2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2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2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2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2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2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25">
      <c r="B358">
        <v>-3542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A8" sqref="A8:K265"/>
    </sheetView>
  </sheetViews>
  <sheetFormatPr defaultRowHeight="15" x14ac:dyDescent="0.25"/>
  <cols>
    <col min="5" max="5" bestFit="true" customWidth="true" width="12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0.64187499999999997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2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25">
      <c r="B13">
        <v>13</v>
      </c>
      <c r="C13" t="s">
        <v>110</v>
      </c>
      <c r="D13" t="s">
        <v>109</v>
      </c>
      <c r="E13">
        <v>-0.21597678247800001</v>
      </c>
      <c r="F13" s="57">
        <v>8.1395299864599993E-2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-1.2614952667399999</v>
      </c>
      <c r="F15" s="57">
        <v>0.116570218502</v>
      </c>
    </row>
    <row r="16" spans="1:11" x14ac:dyDescent="0.25">
      <c r="B16">
        <v>16</v>
      </c>
      <c r="C16" t="s">
        <v>113</v>
      </c>
      <c r="D16" t="s">
        <v>109</v>
      </c>
      <c r="E16">
        <v>-2.25578381447</v>
      </c>
      <c r="F16" s="57">
        <v>0.18421384461000001</v>
      </c>
    </row>
    <row r="17" spans="2:6" x14ac:dyDescent="0.2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2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2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2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25">
      <c r="B22">
        <v>22</v>
      </c>
      <c r="C22" t="s">
        <v>119</v>
      </c>
      <c r="D22" t="s">
        <v>109</v>
      </c>
      <c r="E22">
        <v>-0.70079802289699999</v>
      </c>
      <c r="F22">
        <v>0.39542909695400003</v>
      </c>
    </row>
    <row r="23" spans="2:6" x14ac:dyDescent="0.25">
      <c r="B23">
        <v>23</v>
      </c>
      <c r="C23" t="s">
        <v>120</v>
      </c>
      <c r="D23" t="s">
        <v>109</v>
      </c>
      <c r="E23">
        <v>0.90244483450400004</v>
      </c>
      <c r="F23">
        <v>0.240054726957</v>
      </c>
    </row>
    <row r="24" spans="2:6" x14ac:dyDescent="0.25">
      <c r="B24">
        <v>24</v>
      </c>
      <c r="C24" t="s">
        <v>121</v>
      </c>
      <c r="D24" t="s">
        <v>109</v>
      </c>
      <c r="E24">
        <v>1.61170533928</v>
      </c>
      <c r="F24">
        <v>0.156285482088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-1.05359289906E-2</v>
      </c>
      <c r="F26" s="57">
        <v>0.144719460918</v>
      </c>
    </row>
    <row r="27" spans="2:6" x14ac:dyDescent="0.25">
      <c r="B27">
        <v>27</v>
      </c>
      <c r="C27" t="s">
        <v>124</v>
      </c>
      <c r="D27" t="s">
        <v>109</v>
      </c>
      <c r="E27">
        <v>-0.91968486870199995</v>
      </c>
      <c r="F27">
        <v>0.20496778773499999</v>
      </c>
    </row>
    <row r="28" spans="2:6" x14ac:dyDescent="0.25">
      <c r="B28">
        <v>28</v>
      </c>
      <c r="C28" t="s">
        <v>125</v>
      </c>
      <c r="D28" t="s">
        <v>109</v>
      </c>
      <c r="E28">
        <v>-1.4875374540999999</v>
      </c>
      <c r="F28">
        <v>0.245169334865</v>
      </c>
    </row>
    <row r="29" spans="2:6" x14ac:dyDescent="0.25">
      <c r="B29">
        <v>29</v>
      </c>
      <c r="C29" t="s">
        <v>126</v>
      </c>
      <c r="D29" t="s">
        <v>109</v>
      </c>
      <c r="E29">
        <v>-2.2302075813600002</v>
      </c>
      <c r="F29">
        <v>0.33452869444799999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25">
      <c r="B31">
        <v>31</v>
      </c>
      <c r="C31" t="s">
        <v>128</v>
      </c>
      <c r="D31" t="s">
        <v>109</v>
      </c>
      <c r="E31">
        <v>-1.4047801438400001</v>
      </c>
      <c r="F31">
        <v>0.36667143581200001</v>
      </c>
    </row>
    <row r="32" spans="2:6" x14ac:dyDescent="0.25">
      <c r="B32">
        <v>32</v>
      </c>
      <c r="C32" t="s">
        <v>129</v>
      </c>
      <c r="D32" t="s">
        <v>109</v>
      </c>
      <c r="E32">
        <v>-0.89502122791100003</v>
      </c>
      <c r="F32">
        <v>0.27972481901200003</v>
      </c>
    </row>
    <row r="33" spans="2:6" x14ac:dyDescent="0.25">
      <c r="B33">
        <v>33</v>
      </c>
      <c r="C33" t="s">
        <v>130</v>
      </c>
      <c r="D33" t="s">
        <v>109</v>
      </c>
      <c r="E33">
        <v>-0.63804899990300001</v>
      </c>
      <c r="F33">
        <v>0.20452030135499999</v>
      </c>
    </row>
    <row r="34" spans="2:6" x14ac:dyDescent="0.25">
      <c r="B34">
        <v>34</v>
      </c>
      <c r="C34" t="s">
        <v>131</v>
      </c>
      <c r="D34" t="s">
        <v>109</v>
      </c>
      <c r="E34">
        <v>-0.160162876372</v>
      </c>
      <c r="F34">
        <v>0.147904033164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-0.74881714483899997</v>
      </c>
      <c r="F36">
        <v>0.197936565531</v>
      </c>
    </row>
    <row r="37" spans="2:6" x14ac:dyDescent="0.25">
      <c r="B37">
        <v>37</v>
      </c>
      <c r="C37" t="s">
        <v>134</v>
      </c>
      <c r="D37" t="s">
        <v>109</v>
      </c>
      <c r="E37">
        <v>-1.76817044484</v>
      </c>
      <c r="F37">
        <v>0.36414176398499998</v>
      </c>
    </row>
    <row r="38" spans="2:6" x14ac:dyDescent="0.25">
      <c r="B38">
        <v>38</v>
      </c>
      <c r="C38" t="s">
        <v>135</v>
      </c>
      <c r="D38" t="s">
        <v>109</v>
      </c>
      <c r="E38">
        <v>-3.06070281512</v>
      </c>
      <c r="F38">
        <v>0.51836226592599999</v>
      </c>
    </row>
    <row r="39" spans="2:6" x14ac:dyDescent="0.25">
      <c r="B39">
        <v>39</v>
      </c>
      <c r="C39" t="s">
        <v>136</v>
      </c>
      <c r="D39" t="s">
        <v>109</v>
      </c>
      <c r="E39">
        <v>-4.2862035546200001</v>
      </c>
      <c r="F39">
        <v>0.820740270509</v>
      </c>
    </row>
    <row r="40" spans="2:6" x14ac:dyDescent="0.2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0.28932022582700001</v>
      </c>
      <c r="F41" s="57">
        <v>8.1790819621500005E-2</v>
      </c>
    </row>
    <row r="42" spans="2:6" x14ac:dyDescent="0.25">
      <c r="B42">
        <v>42</v>
      </c>
      <c r="C42" t="s">
        <v>139</v>
      </c>
      <c r="D42" t="s">
        <v>109</v>
      </c>
      <c r="E42" s="57">
        <v>-0.126020317947</v>
      </c>
      <c r="F42" s="57">
        <v>0.14444759103999999</v>
      </c>
    </row>
    <row r="43" spans="2:6" x14ac:dyDescent="0.25">
      <c r="B43">
        <v>43</v>
      </c>
      <c r="C43" t="s">
        <v>140</v>
      </c>
      <c r="D43" t="s">
        <v>109</v>
      </c>
      <c r="E43">
        <v>0.21889169970399999</v>
      </c>
      <c r="F43" s="57">
        <v>0.114107825336</v>
      </c>
    </row>
    <row r="44" spans="2:6" x14ac:dyDescent="0.25">
      <c r="B44">
        <v>44</v>
      </c>
      <c r="C44" t="s">
        <v>141</v>
      </c>
      <c r="D44" t="s">
        <v>109</v>
      </c>
      <c r="E44" s="57">
        <v>-0.130191110389</v>
      </c>
      <c r="F44" s="57">
        <v>0.18202934117799999</v>
      </c>
    </row>
    <row r="45" spans="2:6" x14ac:dyDescent="0.25">
      <c r="B45">
        <v>45</v>
      </c>
      <c r="C45" t="s">
        <v>142</v>
      </c>
      <c r="D45" t="s">
        <v>109</v>
      </c>
      <c r="E45">
        <v>0.16568715041199999</v>
      </c>
      <c r="F45" s="57">
        <v>2.0000137764899999E-2</v>
      </c>
    </row>
    <row r="46" spans="2:6" x14ac:dyDescent="0.25">
      <c r="B46">
        <v>46</v>
      </c>
      <c r="C46" t="s">
        <v>143</v>
      </c>
      <c r="D46" t="s">
        <v>109</v>
      </c>
      <c r="E46" s="57">
        <v>-7.5649381697400001E-2</v>
      </c>
      <c r="F46" s="57">
        <v>1.8610123099900001E-2</v>
      </c>
    </row>
    <row r="47" spans="2:6" x14ac:dyDescent="0.25">
      <c r="B47">
        <v>49</v>
      </c>
      <c r="C47" t="s">
        <v>144</v>
      </c>
      <c r="D47" t="s">
        <v>109</v>
      </c>
      <c r="E47" s="57">
        <v>-6.2615357102599994E-2</v>
      </c>
      <c r="F47" s="57">
        <v>3.4710304796399999E-2</v>
      </c>
    </row>
    <row r="48" spans="2:6" x14ac:dyDescent="0.25">
      <c r="B48">
        <v>50</v>
      </c>
      <c r="C48" t="s">
        <v>145</v>
      </c>
      <c r="D48" t="s">
        <v>109</v>
      </c>
      <c r="E48" s="57">
        <v>5.8936801301500003E-2</v>
      </c>
      <c r="F48" s="57">
        <v>2.0920637709499999E-2</v>
      </c>
    </row>
    <row r="49" spans="2:6" x14ac:dyDescent="0.25">
      <c r="B49">
        <v>61</v>
      </c>
      <c r="C49" t="s">
        <v>146</v>
      </c>
      <c r="D49" t="s">
        <v>109</v>
      </c>
      <c r="E49" s="57">
        <v>1.3894069452699999E-2</v>
      </c>
      <c r="F49" s="57">
        <v>8.3411937746000007E-3</v>
      </c>
    </row>
    <row r="50" spans="2:6" x14ac:dyDescent="0.25">
      <c r="B50">
        <v>62</v>
      </c>
      <c r="C50" t="s">
        <v>147</v>
      </c>
      <c r="D50" t="s">
        <v>109</v>
      </c>
      <c r="E50" s="57">
        <v>-3.35065604818E-2</v>
      </c>
      <c r="F50" s="57">
        <v>8.38002977703E-3</v>
      </c>
    </row>
    <row r="51" spans="2:6" x14ac:dyDescent="0.25">
      <c r="B51">
        <v>65</v>
      </c>
      <c r="C51" t="s">
        <v>148</v>
      </c>
      <c r="D51" t="s">
        <v>109</v>
      </c>
      <c r="E51" s="57">
        <v>-5.4867372478100002E-3</v>
      </c>
      <c r="F51" s="57">
        <v>7.3917522604599996E-3</v>
      </c>
    </row>
    <row r="52" spans="2:6" x14ac:dyDescent="0.25">
      <c r="B52">
        <v>66</v>
      </c>
      <c r="C52" t="s">
        <v>149</v>
      </c>
      <c r="D52" t="s">
        <v>109</v>
      </c>
      <c r="E52" s="57">
        <v>-3.6193574736200003E-2</v>
      </c>
      <c r="F52" s="57">
        <v>7.8544593236800006E-3</v>
      </c>
    </row>
    <row r="53" spans="2:6" x14ac:dyDescent="0.25">
      <c r="B53">
        <v>67</v>
      </c>
      <c r="C53" t="s">
        <v>150</v>
      </c>
      <c r="D53" t="s">
        <v>109</v>
      </c>
      <c r="E53" s="57">
        <v>-2.12729108975E-2</v>
      </c>
      <c r="F53" s="57">
        <v>1.7916013650899999E-2</v>
      </c>
    </row>
    <row r="54" spans="2:6" x14ac:dyDescent="0.25">
      <c r="B54">
        <v>68</v>
      </c>
      <c r="C54" t="s">
        <v>151</v>
      </c>
      <c r="D54" t="s">
        <v>109</v>
      </c>
      <c r="E54" s="57">
        <v>3.8531785887300003E-2</v>
      </c>
      <c r="F54" s="57">
        <v>1.5124703998900001E-2</v>
      </c>
    </row>
    <row r="55" spans="2:6" x14ac:dyDescent="0.2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2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2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2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2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2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25">
      <c r="B61">
        <v>93</v>
      </c>
      <c r="C61" t="s">
        <v>158</v>
      </c>
      <c r="D61" t="s">
        <v>109</v>
      </c>
      <c r="E61">
        <v>-0.13712603030000001</v>
      </c>
      <c r="F61" s="57">
        <v>3.2875457459200001E-2</v>
      </c>
    </row>
    <row r="62" spans="2:6" x14ac:dyDescent="0.25">
      <c r="B62">
        <v>94</v>
      </c>
      <c r="C62" t="s">
        <v>159</v>
      </c>
      <c r="D62" t="s">
        <v>109</v>
      </c>
      <c r="E62">
        <v>-0.117727254534</v>
      </c>
      <c r="F62" s="57">
        <v>2.82168740236E-2</v>
      </c>
    </row>
    <row r="63" spans="2:6" x14ac:dyDescent="0.25">
      <c r="B63">
        <v>95</v>
      </c>
      <c r="C63" t="s">
        <v>160</v>
      </c>
      <c r="D63" t="s">
        <v>109</v>
      </c>
      <c r="E63" s="57">
        <v>-8.0903295982399995E-2</v>
      </c>
      <c r="F63" s="57">
        <v>3.8563633848499999E-2</v>
      </c>
    </row>
    <row r="64" spans="2:6" x14ac:dyDescent="0.25">
      <c r="B64">
        <v>96</v>
      </c>
      <c r="C64" t="s">
        <v>161</v>
      </c>
      <c r="D64" t="s">
        <v>109</v>
      </c>
      <c r="E64" s="57">
        <v>-2.0259430948599999E-2</v>
      </c>
      <c r="F64" s="57">
        <v>3.01211486939E-2</v>
      </c>
    </row>
    <row r="65" spans="2:11" x14ac:dyDescent="0.2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2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25">
      <c r="B67">
        <v>100</v>
      </c>
      <c r="C67" t="s">
        <v>164</v>
      </c>
      <c r="D67" t="s">
        <v>109</v>
      </c>
      <c r="E67" s="57">
        <v>-1.48342258525</v>
      </c>
      <c r="F67">
        <v>0.62838814571900004</v>
      </c>
    </row>
    <row r="68" spans="2:11" x14ac:dyDescent="0.25">
      <c r="B68">
        <v>124</v>
      </c>
      <c r="C68" t="s">
        <v>165</v>
      </c>
      <c r="D68" t="s">
        <v>109</v>
      </c>
      <c r="E68">
        <v>1.6847908809200001</v>
      </c>
      <c r="F68" s="57">
        <v>0.124449884057</v>
      </c>
    </row>
    <row r="69" spans="2:11" x14ac:dyDescent="0.25">
      <c r="B69">
        <v>139</v>
      </c>
      <c r="C69" t="s">
        <v>166</v>
      </c>
      <c r="D69" t="s">
        <v>109</v>
      </c>
      <c r="E69">
        <v>0.28553018058200003</v>
      </c>
      <c r="F69" s="57">
        <v>3.96616510337E-2</v>
      </c>
    </row>
    <row r="70" spans="2:11" x14ac:dyDescent="0.25">
      <c r="B70">
        <v>140</v>
      </c>
      <c r="C70" t="s">
        <v>167</v>
      </c>
      <c r="D70" t="s">
        <v>109</v>
      </c>
      <c r="E70" s="57">
        <v>0.115396426521</v>
      </c>
      <c r="F70" s="57">
        <v>4.6268888288900002E-2</v>
      </c>
    </row>
    <row r="71" spans="2:11" x14ac:dyDescent="0.25">
      <c r="B71">
        <v>143</v>
      </c>
      <c r="C71" t="s">
        <v>168</v>
      </c>
      <c r="D71" t="s">
        <v>109</v>
      </c>
      <c r="E71" s="57">
        <v>0.10498530294699999</v>
      </c>
      <c r="F71" s="57">
        <v>3.9099946337000001E-2</v>
      </c>
    </row>
    <row r="72" spans="2:11" x14ac:dyDescent="0.25">
      <c r="B72">
        <v>144</v>
      </c>
      <c r="C72" t="s">
        <v>169</v>
      </c>
      <c r="D72" t="s">
        <v>109</v>
      </c>
      <c r="E72" s="57">
        <v>0.15534523906299999</v>
      </c>
      <c r="F72" s="57">
        <v>2.8784104356000002E-2</v>
      </c>
    </row>
    <row r="73" spans="2:11" x14ac:dyDescent="0.25">
      <c r="B73">
        <v>-1</v>
      </c>
    </row>
    <row r="74" spans="2:11" x14ac:dyDescent="0.25">
      <c r="B74">
        <v>1422</v>
      </c>
      <c r="C74" s="57">
        <v>-6449.0449196199997</v>
      </c>
      <c r="D74" s="57">
        <v>-9890.1744363100006</v>
      </c>
      <c r="E74" s="57">
        <v>-6708.2478466499997</v>
      </c>
    </row>
    <row r="75" spans="2:11" x14ac:dyDescent="0.25">
      <c r="B75">
        <v>7</v>
      </c>
      <c r="C75" t="s">
        <v>219</v>
      </c>
      <c r="D75" t="s">
        <v>104</v>
      </c>
      <c r="E75">
        <v>7</v>
      </c>
      <c r="F75" t="s">
        <v>197</v>
      </c>
      <c r="G75">
        <v>12</v>
      </c>
    </row>
    <row r="76" spans="2:11" x14ac:dyDescent="0.2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2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2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2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2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2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2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2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2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2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2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2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2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2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2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2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2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2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2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2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2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2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2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2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2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2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2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2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2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2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2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2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2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2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2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2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2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2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2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2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2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2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2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2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2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2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2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2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2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2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2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2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2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2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2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2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2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2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2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2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2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2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2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2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2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2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2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2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2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2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2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2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2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2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2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2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2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2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2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2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2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2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2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2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2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2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2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2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2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2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2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2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2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2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2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2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2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2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2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2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2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2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2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2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2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2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2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2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2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2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2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2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2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2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2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2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2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2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2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2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2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2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2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2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2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2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2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2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2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2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2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2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2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2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2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2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2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2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2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2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2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2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2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2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2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2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2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2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2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2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2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2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2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25">
      <c r="B265">
        <v>29242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555"/>
  <sheetViews>
    <sheetView workbookViewId="0">
      <selection activeCell="A8" sqref="A8:K555"/>
    </sheetView>
  </sheetViews>
  <sheetFormatPr defaultRowHeight="15" x14ac:dyDescent="0.25"/>
  <cols>
    <col min="5" max="5" bestFit="true" customWidth="true" width="11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265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233</v>
      </c>
      <c r="C8" t="s">
        <v>234</v>
      </c>
      <c r="D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0.67634259259259266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-4.7382847432800004</v>
      </c>
      <c r="F11">
        <v>0.26630465509899998</v>
      </c>
    </row>
    <row r="12" spans="1:11" x14ac:dyDescent="0.25">
      <c r="B12">
        <v>12</v>
      </c>
      <c r="C12" t="s">
        <v>108</v>
      </c>
      <c r="D12" t="s">
        <v>109</v>
      </c>
      <c r="E12">
        <v>-2.2031235173399999</v>
      </c>
      <c r="F12" s="57">
        <v>0.16427568127700001</v>
      </c>
    </row>
    <row r="13" spans="1:11" x14ac:dyDescent="0.25">
      <c r="B13">
        <v>13</v>
      </c>
      <c r="C13" t="s">
        <v>110</v>
      </c>
      <c r="D13" t="s">
        <v>109</v>
      </c>
      <c r="E13" s="57">
        <v>-0.842404611395</v>
      </c>
      <c r="F13" s="57">
        <v>8.3337467080300001E-2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 s="57">
        <v>-4.1434446652899998E-2</v>
      </c>
      <c r="F15" s="57">
        <v>7.9161286427000002E-2</v>
      </c>
    </row>
    <row r="16" spans="1:11" x14ac:dyDescent="0.25">
      <c r="B16">
        <v>16</v>
      </c>
      <c r="C16" t="s">
        <v>113</v>
      </c>
      <c r="D16" t="s">
        <v>109</v>
      </c>
      <c r="E16">
        <v>0.381838665041</v>
      </c>
      <c r="F16" s="57">
        <v>9.6924725304899997E-2</v>
      </c>
    </row>
    <row r="17" spans="2:6" x14ac:dyDescent="0.25">
      <c r="B17">
        <v>17</v>
      </c>
      <c r="C17" t="s">
        <v>114</v>
      </c>
      <c r="D17" t="s">
        <v>109</v>
      </c>
      <c r="E17">
        <v>0.43605973451500002</v>
      </c>
      <c r="F17">
        <v>0.13974640040399999</v>
      </c>
    </row>
    <row r="18" spans="2:6" x14ac:dyDescent="0.25">
      <c r="B18">
        <v>18</v>
      </c>
      <c r="C18" t="s">
        <v>115</v>
      </c>
      <c r="D18" t="s">
        <v>109</v>
      </c>
      <c r="E18">
        <v>0.74100262054300003</v>
      </c>
      <c r="F18">
        <v>0.181476778936</v>
      </c>
    </row>
    <row r="19" spans="2:6" x14ac:dyDescent="0.25">
      <c r="B19">
        <v>19</v>
      </c>
      <c r="C19" t="s">
        <v>116</v>
      </c>
      <c r="D19" t="s">
        <v>109</v>
      </c>
      <c r="E19">
        <v>0.29206963900499999</v>
      </c>
      <c r="F19">
        <v>0.21919155136999999</v>
      </c>
    </row>
    <row r="20" spans="2:6" x14ac:dyDescent="0.25">
      <c r="B20">
        <v>20</v>
      </c>
      <c r="C20" t="s">
        <v>117</v>
      </c>
      <c r="D20" t="s">
        <v>109</v>
      </c>
      <c r="E20">
        <v>-1.2273424938399999</v>
      </c>
      <c r="F20">
        <v>0.29255647292699999</v>
      </c>
    </row>
    <row r="21" spans="2:6" x14ac:dyDescent="0.25">
      <c r="B21">
        <v>21</v>
      </c>
      <c r="C21" t="s">
        <v>118</v>
      </c>
      <c r="D21" t="s">
        <v>109</v>
      </c>
      <c r="E21">
        <v>-0.83847255197600001</v>
      </c>
      <c r="F21">
        <v>0.30051562796100001</v>
      </c>
    </row>
    <row r="22" spans="2:6" x14ac:dyDescent="0.25">
      <c r="B22">
        <v>22</v>
      </c>
      <c r="C22" t="s">
        <v>119</v>
      </c>
      <c r="D22" t="s">
        <v>109</v>
      </c>
      <c r="E22">
        <v>-0.52238609078099996</v>
      </c>
      <c r="F22">
        <v>0.18794195766800001</v>
      </c>
    </row>
    <row r="23" spans="2:6" x14ac:dyDescent="0.25">
      <c r="B23">
        <v>23</v>
      </c>
      <c r="C23" t="s">
        <v>120</v>
      </c>
      <c r="D23" t="s">
        <v>109</v>
      </c>
      <c r="E23">
        <v>-0.22382580412899999</v>
      </c>
      <c r="F23">
        <v>0.13764744310099999</v>
      </c>
    </row>
    <row r="24" spans="2:6" x14ac:dyDescent="0.25">
      <c r="B24">
        <v>24</v>
      </c>
      <c r="C24" t="s">
        <v>121</v>
      </c>
      <c r="D24" t="s">
        <v>109</v>
      </c>
      <c r="E24" s="57">
        <v>9.0900054794600005E-2</v>
      </c>
      <c r="F24" s="57">
        <v>9.1544697831399999E-2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-0.28099912158000001</v>
      </c>
      <c r="F26" s="57">
        <v>7.69252028039E-2</v>
      </c>
    </row>
    <row r="27" spans="2:6" x14ac:dyDescent="0.25">
      <c r="B27">
        <v>27</v>
      </c>
      <c r="C27" t="s">
        <v>124</v>
      </c>
      <c r="D27" t="s">
        <v>109</v>
      </c>
      <c r="E27">
        <v>-0.40209891544900001</v>
      </c>
      <c r="F27" s="57">
        <v>8.8843338554400006E-2</v>
      </c>
    </row>
    <row r="28" spans="2:6" x14ac:dyDescent="0.25">
      <c r="B28">
        <v>28</v>
      </c>
      <c r="C28" t="s">
        <v>125</v>
      </c>
      <c r="D28" t="s">
        <v>109</v>
      </c>
      <c r="E28">
        <v>-0.26728246917800003</v>
      </c>
      <c r="F28" s="57">
        <v>0.105935650811</v>
      </c>
    </row>
    <row r="29" spans="2:6" x14ac:dyDescent="0.25">
      <c r="B29">
        <v>29</v>
      </c>
      <c r="C29" t="s">
        <v>126</v>
      </c>
      <c r="D29" t="s">
        <v>109</v>
      </c>
      <c r="E29" s="57">
        <v>-0.341568298986</v>
      </c>
      <c r="F29">
        <v>0.16295107539500001</v>
      </c>
    </row>
    <row r="30" spans="2:6" x14ac:dyDescent="0.25">
      <c r="B30">
        <v>30</v>
      </c>
      <c r="C30" t="s">
        <v>127</v>
      </c>
      <c r="D30" t="s">
        <v>109</v>
      </c>
      <c r="E30">
        <v>-1.7070994934899999</v>
      </c>
      <c r="F30">
        <v>0.26273922151500001</v>
      </c>
    </row>
    <row r="31" spans="2:6" x14ac:dyDescent="0.25">
      <c r="B31">
        <v>31</v>
      </c>
      <c r="C31" t="s">
        <v>178</v>
      </c>
      <c r="D31" t="s">
        <v>109</v>
      </c>
      <c r="E31">
        <v>-0.383569882744</v>
      </c>
      <c r="F31" s="57">
        <v>0.12042362445800001</v>
      </c>
    </row>
    <row r="32" spans="2:6" x14ac:dyDescent="0.25">
      <c r="B32">
        <v>32</v>
      </c>
      <c r="C32" t="s">
        <v>179</v>
      </c>
      <c r="D32" t="s">
        <v>109</v>
      </c>
      <c r="E32">
        <v>0.16772900587199999</v>
      </c>
      <c r="F32" s="57">
        <v>7.4936236575499998E-2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  <c r="F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-0.529618870651</v>
      </c>
      <c r="F34" s="57">
        <v>9.0081933800100003E-2</v>
      </c>
    </row>
    <row r="35" spans="2:6" x14ac:dyDescent="0.25">
      <c r="B35">
        <v>35</v>
      </c>
      <c r="C35" t="s">
        <v>130</v>
      </c>
      <c r="D35" t="s">
        <v>109</v>
      </c>
      <c r="E35">
        <v>-1.0084892723600001</v>
      </c>
      <c r="F35">
        <v>0.20029062896899999</v>
      </c>
    </row>
    <row r="36" spans="2:6" x14ac:dyDescent="0.25">
      <c r="B36">
        <v>36</v>
      </c>
      <c r="C36" t="s">
        <v>131</v>
      </c>
      <c r="D36" t="s">
        <v>109</v>
      </c>
      <c r="E36">
        <v>-1.18987158071</v>
      </c>
      <c r="F36" s="57">
        <v>0.31360456490600003</v>
      </c>
    </row>
    <row r="37" spans="2:6" x14ac:dyDescent="0.25">
      <c r="B37">
        <v>37</v>
      </c>
      <c r="C37" t="s">
        <v>181</v>
      </c>
      <c r="D37" t="s">
        <v>109</v>
      </c>
      <c r="E37">
        <v>-1.3876928348499999</v>
      </c>
      <c r="F37">
        <v>0.45387406313599998</v>
      </c>
    </row>
    <row r="38" spans="2:6" x14ac:dyDescent="0.25">
      <c r="B38">
        <v>38</v>
      </c>
      <c r="C38" t="s">
        <v>135</v>
      </c>
      <c r="D38" t="s">
        <v>109</v>
      </c>
      <c r="E38">
        <v>-3.1822650000500001</v>
      </c>
      <c r="F38">
        <v>1.13930900666</v>
      </c>
    </row>
    <row r="39" spans="2:6" x14ac:dyDescent="0.25">
      <c r="B39">
        <v>39</v>
      </c>
      <c r="C39" t="s">
        <v>136</v>
      </c>
      <c r="D39" t="s">
        <v>109</v>
      </c>
      <c r="E39">
        <v>-1.57537570335</v>
      </c>
      <c r="F39">
        <v>0.89845120670199996</v>
      </c>
    </row>
    <row r="40" spans="2:6" x14ac:dyDescent="0.25">
      <c r="B40">
        <v>40</v>
      </c>
      <c r="C40" t="s">
        <v>137</v>
      </c>
      <c r="D40" t="s">
        <v>107</v>
      </c>
      <c r="E40">
        <v>-11.107699999999999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5.0576983353500002E-4</v>
      </c>
      <c r="F41" s="57">
        <v>6.9643616641900004E-3</v>
      </c>
    </row>
    <row r="42" spans="2:6" x14ac:dyDescent="0.25">
      <c r="B42">
        <v>42</v>
      </c>
      <c r="C42" t="s">
        <v>139</v>
      </c>
      <c r="D42" t="s">
        <v>109</v>
      </c>
      <c r="E42" s="57">
        <v>-1.6211137320399999E-2</v>
      </c>
      <c r="F42" s="57">
        <v>2.25498358808E-2</v>
      </c>
    </row>
    <row r="43" spans="2:6" x14ac:dyDescent="0.25">
      <c r="B43">
        <v>43</v>
      </c>
      <c r="C43" t="s">
        <v>140</v>
      </c>
      <c r="D43" t="s">
        <v>109</v>
      </c>
      <c r="E43" s="57">
        <v>-3.7181351246900001E-3</v>
      </c>
      <c r="F43" s="57">
        <v>6.2643755999799997E-3</v>
      </c>
    </row>
    <row r="44" spans="2:6" x14ac:dyDescent="0.25">
      <c r="B44">
        <v>44</v>
      </c>
      <c r="C44" t="s">
        <v>141</v>
      </c>
      <c r="D44" t="s">
        <v>109</v>
      </c>
      <c r="E44" s="57">
        <v>-1.4200299384399999E-2</v>
      </c>
      <c r="F44" s="57">
        <v>1.8430427184900001E-2</v>
      </c>
    </row>
    <row r="45" spans="2:6" x14ac:dyDescent="0.25">
      <c r="B45">
        <v>45</v>
      </c>
      <c r="C45" t="s">
        <v>142</v>
      </c>
      <c r="D45" t="s">
        <v>109</v>
      </c>
      <c r="E45" s="57">
        <v>4.3422590167900003E-2</v>
      </c>
      <c r="F45" s="57">
        <v>9.9336835662300008E-3</v>
      </c>
    </row>
    <row r="46" spans="2:6" x14ac:dyDescent="0.25">
      <c r="B46">
        <v>46</v>
      </c>
      <c r="C46" t="s">
        <v>143</v>
      </c>
      <c r="D46" t="s">
        <v>109</v>
      </c>
      <c r="E46" s="57">
        <v>3.8450046376200003E-2</v>
      </c>
      <c r="F46" s="57">
        <v>2.7165985399299999E-2</v>
      </c>
    </row>
    <row r="47" spans="2:6" x14ac:dyDescent="0.25">
      <c r="B47">
        <v>47</v>
      </c>
      <c r="C47" t="s">
        <v>235</v>
      </c>
      <c r="D47" t="s">
        <v>109</v>
      </c>
      <c r="E47" s="57">
        <v>-2.6287452014900001E-2</v>
      </c>
      <c r="F47" s="57">
        <v>6.0536887902499998E-3</v>
      </c>
    </row>
    <row r="48" spans="2:6" x14ac:dyDescent="0.25">
      <c r="B48">
        <v>48</v>
      </c>
      <c r="C48" t="s">
        <v>236</v>
      </c>
      <c r="D48" t="s">
        <v>109</v>
      </c>
      <c r="E48" s="57">
        <v>-1.9450180422700001E-2</v>
      </c>
      <c r="F48" s="57">
        <v>1.6469288456E-2</v>
      </c>
    </row>
    <row r="49" spans="2:6" x14ac:dyDescent="0.25">
      <c r="B49">
        <v>49</v>
      </c>
      <c r="C49" t="s">
        <v>144</v>
      </c>
      <c r="D49" t="s">
        <v>109</v>
      </c>
      <c r="E49" s="57">
        <v>5.27603068215E-2</v>
      </c>
      <c r="F49" s="57">
        <v>1.53936016378E-2</v>
      </c>
    </row>
    <row r="50" spans="2:6" x14ac:dyDescent="0.25">
      <c r="B50">
        <v>50</v>
      </c>
      <c r="C50" t="s">
        <v>145</v>
      </c>
      <c r="D50" t="s">
        <v>109</v>
      </c>
      <c r="E50" s="57">
        <v>4.1454233655100002E-2</v>
      </c>
      <c r="F50" s="57">
        <v>3.5682294344999997E-2</v>
      </c>
    </row>
    <row r="51" spans="2:6" x14ac:dyDescent="0.25">
      <c r="B51">
        <v>55</v>
      </c>
      <c r="C51" t="s">
        <v>237</v>
      </c>
      <c r="D51" t="s">
        <v>109</v>
      </c>
      <c r="E51" s="57">
        <v>-0.10651634683699999</v>
      </c>
      <c r="F51" s="57">
        <v>1.00664346523E-2</v>
      </c>
    </row>
    <row r="52" spans="2:6" x14ac:dyDescent="0.25">
      <c r="B52">
        <v>56</v>
      </c>
      <c r="C52" t="s">
        <v>238</v>
      </c>
      <c r="D52" t="s">
        <v>109</v>
      </c>
      <c r="E52" s="57">
        <v>-3.5467685075500001E-2</v>
      </c>
      <c r="F52" s="57">
        <v>5.2801908226100001E-2</v>
      </c>
    </row>
    <row r="53" spans="2:6" x14ac:dyDescent="0.25">
      <c r="B53">
        <v>57</v>
      </c>
      <c r="C53" t="s">
        <v>202</v>
      </c>
      <c r="D53" t="s">
        <v>109</v>
      </c>
      <c r="E53" s="57">
        <v>9.5689722634499999E-3</v>
      </c>
      <c r="F53" s="57">
        <v>1.58264911317E-2</v>
      </c>
    </row>
    <row r="54" spans="2:6" x14ac:dyDescent="0.25">
      <c r="B54">
        <v>58</v>
      </c>
      <c r="C54" t="s">
        <v>203</v>
      </c>
      <c r="D54" t="s">
        <v>109</v>
      </c>
      <c r="E54">
        <v>-0.158919580162</v>
      </c>
      <c r="F54" s="57">
        <v>3.75833464843E-2</v>
      </c>
    </row>
    <row r="55" spans="2:6" x14ac:dyDescent="0.25">
      <c r="B55">
        <v>59</v>
      </c>
      <c r="C55" t="s">
        <v>239</v>
      </c>
      <c r="D55" t="s">
        <v>109</v>
      </c>
      <c r="E55" s="57">
        <v>1.32654783179E-2</v>
      </c>
      <c r="F55" s="57">
        <v>1.40552902009E-2</v>
      </c>
    </row>
    <row r="56" spans="2:6" x14ac:dyDescent="0.25">
      <c r="B56">
        <v>60</v>
      </c>
      <c r="C56" t="s">
        <v>240</v>
      </c>
      <c r="D56" t="s">
        <v>109</v>
      </c>
      <c r="E56" s="57">
        <v>-1.04749346131E-2</v>
      </c>
      <c r="F56" s="57">
        <v>5.5514102308000003E-2</v>
      </c>
    </row>
    <row r="57" spans="2:6" x14ac:dyDescent="0.25">
      <c r="B57">
        <v>61</v>
      </c>
      <c r="C57" t="s">
        <v>146</v>
      </c>
      <c r="D57" t="s">
        <v>109</v>
      </c>
      <c r="E57" s="57">
        <v>-2.3365535996E-4</v>
      </c>
      <c r="F57" s="57">
        <v>2.5717779204000001E-3</v>
      </c>
    </row>
    <row r="58" spans="2:6" x14ac:dyDescent="0.25">
      <c r="B58">
        <v>62</v>
      </c>
      <c r="C58" t="s">
        <v>147</v>
      </c>
      <c r="D58" t="s">
        <v>109</v>
      </c>
      <c r="E58" s="57">
        <v>1.1947685293899999E-4</v>
      </c>
      <c r="F58" s="57">
        <v>5.6160646806799998E-3</v>
      </c>
    </row>
    <row r="59" spans="2:6" x14ac:dyDescent="0.25">
      <c r="B59">
        <v>63</v>
      </c>
      <c r="C59" t="s">
        <v>204</v>
      </c>
      <c r="D59" t="s">
        <v>109</v>
      </c>
      <c r="E59" s="57">
        <v>2.1049357425800001E-3</v>
      </c>
      <c r="F59" s="57">
        <v>1.30425402691E-3</v>
      </c>
    </row>
    <row r="60" spans="2:6" x14ac:dyDescent="0.25">
      <c r="B60">
        <v>64</v>
      </c>
      <c r="C60" t="s">
        <v>205</v>
      </c>
      <c r="D60" t="s">
        <v>109</v>
      </c>
      <c r="E60" s="57">
        <v>-1.0412642702400001E-2</v>
      </c>
      <c r="F60" s="57">
        <v>4.7509315443700004E-3</v>
      </c>
    </row>
    <row r="61" spans="2:6" x14ac:dyDescent="0.25">
      <c r="B61">
        <v>67</v>
      </c>
      <c r="C61" t="s">
        <v>150</v>
      </c>
      <c r="D61" t="s">
        <v>109</v>
      </c>
      <c r="E61" s="57">
        <v>-5.0326774775899998E-3</v>
      </c>
      <c r="F61" s="57">
        <v>3.4055915013799999E-3</v>
      </c>
    </row>
    <row r="62" spans="2:6" x14ac:dyDescent="0.25">
      <c r="B62">
        <v>68</v>
      </c>
      <c r="C62" t="s">
        <v>151</v>
      </c>
      <c r="D62" t="s">
        <v>109</v>
      </c>
      <c r="E62" s="57">
        <v>4.5124098001999999E-2</v>
      </c>
      <c r="F62" s="57">
        <v>1.32511086046E-2</v>
      </c>
    </row>
    <row r="63" spans="2:6" x14ac:dyDescent="0.25">
      <c r="B63">
        <v>84</v>
      </c>
      <c r="C63" t="s">
        <v>241</v>
      </c>
      <c r="D63" t="s">
        <v>109</v>
      </c>
      <c r="E63">
        <v>1.07433111093</v>
      </c>
      <c r="F63">
        <v>0.16210570651299999</v>
      </c>
    </row>
    <row r="64" spans="2:6" x14ac:dyDescent="0.25">
      <c r="B64">
        <v>85</v>
      </c>
      <c r="C64" t="s">
        <v>152</v>
      </c>
      <c r="D64" t="s">
        <v>107</v>
      </c>
      <c r="E64">
        <v>0.5</v>
      </c>
      <c r="F64">
        <v>0</v>
      </c>
    </row>
    <row r="65" spans="2:6" x14ac:dyDescent="0.25">
      <c r="B65">
        <v>86</v>
      </c>
      <c r="C65" t="s">
        <v>153</v>
      </c>
      <c r="D65" t="s">
        <v>107</v>
      </c>
      <c r="E65">
        <v>0.5</v>
      </c>
      <c r="F65">
        <v>0</v>
      </c>
    </row>
    <row r="66" spans="2:6" x14ac:dyDescent="0.25">
      <c r="B66">
        <v>87</v>
      </c>
      <c r="C66" t="s">
        <v>154</v>
      </c>
      <c r="D66" t="s">
        <v>107</v>
      </c>
      <c r="E66">
        <v>0.5</v>
      </c>
      <c r="F66">
        <v>0</v>
      </c>
    </row>
    <row r="67" spans="2:6" x14ac:dyDescent="0.25">
      <c r="B67">
        <v>88</v>
      </c>
      <c r="C67" t="s">
        <v>155</v>
      </c>
      <c r="D67" t="s">
        <v>107</v>
      </c>
      <c r="E67">
        <v>0.5</v>
      </c>
      <c r="F67">
        <v>0</v>
      </c>
    </row>
    <row r="68" spans="2:6" x14ac:dyDescent="0.25">
      <c r="B68">
        <v>89</v>
      </c>
      <c r="C68" t="s">
        <v>214</v>
      </c>
      <c r="D68" t="s">
        <v>107</v>
      </c>
      <c r="E68">
        <v>-5</v>
      </c>
      <c r="F68">
        <v>0</v>
      </c>
    </row>
    <row r="69" spans="2:6" x14ac:dyDescent="0.25">
      <c r="B69">
        <v>91</v>
      </c>
      <c r="C69" t="s">
        <v>182</v>
      </c>
      <c r="D69" t="s">
        <v>109</v>
      </c>
      <c r="E69">
        <v>2.3628588955100001</v>
      </c>
      <c r="F69">
        <v>0.223597360115</v>
      </c>
    </row>
    <row r="70" spans="2:6" x14ac:dyDescent="0.25">
      <c r="B70">
        <v>92</v>
      </c>
      <c r="C70" t="s">
        <v>183</v>
      </c>
      <c r="D70" t="s">
        <v>109</v>
      </c>
      <c r="E70">
        <v>0.75577013676600002</v>
      </c>
      <c r="F70">
        <v>0.20280713220999999</v>
      </c>
    </row>
    <row r="71" spans="2:6" x14ac:dyDescent="0.25">
      <c r="B71">
        <v>93</v>
      </c>
      <c r="C71" t="s">
        <v>158</v>
      </c>
      <c r="D71" t="s">
        <v>109</v>
      </c>
      <c r="E71" s="57">
        <v>5.7788755051700003E-2</v>
      </c>
      <c r="F71" s="57">
        <v>6.3113102699199994E-2</v>
      </c>
    </row>
    <row r="72" spans="2:6" x14ac:dyDescent="0.25">
      <c r="B72">
        <v>94</v>
      </c>
      <c r="C72" t="s">
        <v>159</v>
      </c>
      <c r="D72" t="s">
        <v>109</v>
      </c>
      <c r="E72">
        <v>0.159274345431</v>
      </c>
      <c r="F72" s="57">
        <v>6.1943234659500003E-2</v>
      </c>
    </row>
    <row r="73" spans="2:6" x14ac:dyDescent="0.25">
      <c r="B73">
        <v>95</v>
      </c>
      <c r="C73" t="s">
        <v>160</v>
      </c>
      <c r="D73" t="s">
        <v>109</v>
      </c>
      <c r="E73" s="57">
        <v>-1.88254083655E-2</v>
      </c>
      <c r="F73" s="57">
        <v>7.6355588047E-3</v>
      </c>
    </row>
    <row r="74" spans="2:6" x14ac:dyDescent="0.25">
      <c r="B74">
        <v>96</v>
      </c>
      <c r="C74" t="s">
        <v>161</v>
      </c>
      <c r="D74" t="s">
        <v>109</v>
      </c>
      <c r="E74" s="57">
        <v>2.5800216652499999E-2</v>
      </c>
      <c r="F74" s="57">
        <v>6.0880951170300002E-3</v>
      </c>
    </row>
    <row r="75" spans="2:6" x14ac:dyDescent="0.25">
      <c r="B75">
        <v>97</v>
      </c>
      <c r="C75" t="s">
        <v>162</v>
      </c>
      <c r="D75" t="s">
        <v>109</v>
      </c>
      <c r="E75">
        <v>-183.093900617</v>
      </c>
      <c r="F75">
        <v>30.086209362799998</v>
      </c>
    </row>
    <row r="76" spans="2:6" x14ac:dyDescent="0.25">
      <c r="B76">
        <v>98</v>
      </c>
      <c r="C76" t="s">
        <v>215</v>
      </c>
      <c r="D76" t="s">
        <v>109</v>
      </c>
      <c r="E76">
        <v>-19.730423228199999</v>
      </c>
      <c r="F76" s="57">
        <v>2.9148698414799998</v>
      </c>
    </row>
    <row r="77" spans="2:6" x14ac:dyDescent="0.25">
      <c r="B77">
        <v>99</v>
      </c>
      <c r="C77" t="s">
        <v>163</v>
      </c>
      <c r="D77" t="s">
        <v>109</v>
      </c>
      <c r="E77" s="57">
        <v>-8.6390785751099999E-2</v>
      </c>
      <c r="F77" s="57">
        <v>2.68154308566E-2</v>
      </c>
    </row>
    <row r="78" spans="2:6" x14ac:dyDescent="0.25">
      <c r="B78">
        <v>100</v>
      </c>
      <c r="C78" t="s">
        <v>164</v>
      </c>
      <c r="D78" t="s">
        <v>109</v>
      </c>
      <c r="E78">
        <v>-0.135799733108</v>
      </c>
      <c r="F78" s="57">
        <v>4.1685944731599998E-2</v>
      </c>
    </row>
    <row r="79" spans="2:6" x14ac:dyDescent="0.25">
      <c r="B79">
        <v>124</v>
      </c>
      <c r="C79" t="s">
        <v>165</v>
      </c>
      <c r="D79" t="s">
        <v>109</v>
      </c>
      <c r="E79" s="57">
        <v>0.428165987769</v>
      </c>
      <c r="F79" s="57">
        <v>7.7346199837699997E-2</v>
      </c>
    </row>
    <row r="80" spans="2:6" x14ac:dyDescent="0.25">
      <c r="B80">
        <v>141</v>
      </c>
      <c r="C80" t="s">
        <v>242</v>
      </c>
      <c r="D80" t="s">
        <v>109</v>
      </c>
      <c r="E80" s="57">
        <v>2.3187717806499999E-2</v>
      </c>
      <c r="F80" s="57">
        <v>9.6160354648500007E-3</v>
      </c>
    </row>
    <row r="81" spans="2:6" x14ac:dyDescent="0.25">
      <c r="B81">
        <v>142</v>
      </c>
      <c r="C81" t="s">
        <v>243</v>
      </c>
      <c r="D81" t="s">
        <v>109</v>
      </c>
      <c r="E81" s="57">
        <v>3.2240018708099998E-2</v>
      </c>
      <c r="F81" s="57">
        <v>2.17198897145E-2</v>
      </c>
    </row>
    <row r="82" spans="2:6" x14ac:dyDescent="0.25">
      <c r="B82">
        <v>143</v>
      </c>
      <c r="C82" t="s">
        <v>168</v>
      </c>
      <c r="D82" t="s">
        <v>109</v>
      </c>
      <c r="E82" s="57">
        <v>-6.3472658248500003E-3</v>
      </c>
      <c r="F82" s="57">
        <v>1.0622599715699999E-2</v>
      </c>
    </row>
    <row r="83" spans="2:6" x14ac:dyDescent="0.25">
      <c r="B83">
        <v>144</v>
      </c>
      <c r="C83" t="s">
        <v>169</v>
      </c>
      <c r="D83" t="s">
        <v>109</v>
      </c>
      <c r="E83" s="57">
        <v>4.9914262554399999E-2</v>
      </c>
      <c r="F83" s="57">
        <v>2.3381868313300001E-2</v>
      </c>
    </row>
    <row r="84" spans="2:6" x14ac:dyDescent="0.25">
      <c r="B84">
        <v>145</v>
      </c>
      <c r="C84" t="s">
        <v>184</v>
      </c>
      <c r="D84" t="s">
        <v>109</v>
      </c>
      <c r="E84" s="57">
        <v>-1.1516184281700001E-2</v>
      </c>
      <c r="F84" s="57">
        <v>6.5193706646800003E-3</v>
      </c>
    </row>
    <row r="85" spans="2:6" x14ac:dyDescent="0.25">
      <c r="B85">
        <v>146</v>
      </c>
      <c r="C85" t="s">
        <v>185</v>
      </c>
      <c r="D85" t="s">
        <v>109</v>
      </c>
      <c r="E85">
        <v>-0.566339795782</v>
      </c>
      <c r="F85" s="57">
        <v>5.6652656421299998E-2</v>
      </c>
    </row>
    <row r="86" spans="2:6" x14ac:dyDescent="0.25">
      <c r="B86">
        <v>147</v>
      </c>
      <c r="C86" s="57" t="s">
        <v>186</v>
      </c>
      <c r="D86" s="57" t="s">
        <v>109</v>
      </c>
      <c r="E86" s="57">
        <v>2.4576426927299999E-2</v>
      </c>
      <c r="F86" s="57">
        <v>6.54905132631E-3</v>
      </c>
    </row>
    <row r="87" spans="2:6" x14ac:dyDescent="0.25">
      <c r="B87">
        <v>148</v>
      </c>
      <c r="C87" t="s">
        <v>187</v>
      </c>
      <c r="D87" t="s">
        <v>109</v>
      </c>
      <c r="E87" s="57">
        <v>8.47108584148E-2</v>
      </c>
      <c r="F87" s="57">
        <v>3.3830011540600002E-2</v>
      </c>
    </row>
    <row r="88" spans="2:6" x14ac:dyDescent="0.25">
      <c r="B88">
        <v>149</v>
      </c>
      <c r="C88" t="s">
        <v>188</v>
      </c>
      <c r="D88" t="s">
        <v>109</v>
      </c>
      <c r="E88" s="57">
        <v>7.4163199003900004E-2</v>
      </c>
      <c r="F88" s="57">
        <v>9.4568841179799995E-3</v>
      </c>
    </row>
    <row r="89" spans="2:6" x14ac:dyDescent="0.25">
      <c r="B89">
        <v>150</v>
      </c>
      <c r="C89" t="s">
        <v>189</v>
      </c>
      <c r="D89" t="s">
        <v>109</v>
      </c>
      <c r="E89" s="57">
        <v>3.2023808782099997E-2</v>
      </c>
      <c r="F89" s="57">
        <v>3.8455814353400002E-2</v>
      </c>
    </row>
    <row r="90" spans="2:6" x14ac:dyDescent="0.25">
      <c r="B90">
        <v>151</v>
      </c>
      <c r="C90" t="s">
        <v>190</v>
      </c>
      <c r="D90" t="s">
        <v>109</v>
      </c>
      <c r="E90" s="57">
        <v>2.77003652052E-2</v>
      </c>
      <c r="F90" s="57">
        <v>6.3838807315199997E-3</v>
      </c>
    </row>
    <row r="91" spans="2:6" x14ac:dyDescent="0.25">
      <c r="B91">
        <v>152</v>
      </c>
      <c r="C91" t="s">
        <v>191</v>
      </c>
      <c r="D91" t="s">
        <v>109</v>
      </c>
      <c r="E91" s="57">
        <v>0.13122747996699999</v>
      </c>
      <c r="F91" s="57">
        <v>1.4455495928E-2</v>
      </c>
    </row>
    <row r="92" spans="2:6" x14ac:dyDescent="0.25">
      <c r="B92">
        <v>155</v>
      </c>
      <c r="C92" t="s">
        <v>244</v>
      </c>
      <c r="D92" t="s">
        <v>109</v>
      </c>
      <c r="E92" s="57">
        <v>2.39605722228E-2</v>
      </c>
      <c r="F92" s="57">
        <v>1.3895909359299999E-2</v>
      </c>
    </row>
    <row r="93" spans="2:6" x14ac:dyDescent="0.25">
      <c r="B93">
        <v>156</v>
      </c>
      <c r="C93" t="s">
        <v>245</v>
      </c>
      <c r="D93" t="s">
        <v>109</v>
      </c>
      <c r="E93" s="57">
        <v>6.3389970068799997E-2</v>
      </c>
      <c r="F93" s="57">
        <v>6.1939456263900003E-2</v>
      </c>
    </row>
    <row r="94" spans="2:6" x14ac:dyDescent="0.25">
      <c r="B94">
        <v>157</v>
      </c>
      <c r="C94" t="s">
        <v>246</v>
      </c>
      <c r="D94" t="s">
        <v>109</v>
      </c>
      <c r="E94" s="57">
        <v>-7.4943228457399994E-2</v>
      </c>
      <c r="F94" s="57">
        <v>1.48402369142E-2</v>
      </c>
    </row>
    <row r="95" spans="2:6" x14ac:dyDescent="0.25">
      <c r="B95">
        <v>158</v>
      </c>
      <c r="C95" t="s">
        <v>247</v>
      </c>
      <c r="D95" t="s">
        <v>109</v>
      </c>
      <c r="E95">
        <v>-0.102301405774</v>
      </c>
      <c r="F95" s="57">
        <v>3.4882980498899999E-2</v>
      </c>
    </row>
    <row r="96" spans="2:6" x14ac:dyDescent="0.25">
      <c r="B96">
        <v>169</v>
      </c>
      <c r="C96" t="s">
        <v>248</v>
      </c>
      <c r="D96" t="s">
        <v>109</v>
      </c>
      <c r="E96">
        <v>1.6569526073600001</v>
      </c>
      <c r="F96" s="57">
        <v>0.175390060633</v>
      </c>
    </row>
    <row r="97" spans="2:11" x14ac:dyDescent="0.25">
      <c r="B97">
        <v>170</v>
      </c>
      <c r="C97" t="s">
        <v>249</v>
      </c>
      <c r="D97" t="s">
        <v>109</v>
      </c>
      <c r="E97">
        <v>2.8634214338400001</v>
      </c>
      <c r="F97">
        <v>0.23860515336099999</v>
      </c>
    </row>
    <row r="98" spans="2:11" x14ac:dyDescent="0.25">
      <c r="B98">
        <v>171</v>
      </c>
      <c r="C98" t="s">
        <v>250</v>
      </c>
      <c r="D98" t="s">
        <v>109</v>
      </c>
      <c r="E98" s="57">
        <v>9.1835589381599997E-2</v>
      </c>
      <c r="F98">
        <v>0.24196245561999999</v>
      </c>
    </row>
    <row r="99" spans="2:11" x14ac:dyDescent="0.25">
      <c r="B99">
        <v>173</v>
      </c>
      <c r="C99" t="s">
        <v>251</v>
      </c>
      <c r="D99" t="s">
        <v>109</v>
      </c>
      <c r="E99">
        <v>1.8868020316</v>
      </c>
      <c r="F99">
        <v>0.190626431332</v>
      </c>
    </row>
    <row r="100" spans="2:11" x14ac:dyDescent="0.25">
      <c r="B100">
        <v>174</v>
      </c>
      <c r="C100" t="s">
        <v>252</v>
      </c>
      <c r="D100" t="s">
        <v>109</v>
      </c>
      <c r="E100">
        <v>0.76901323301799995</v>
      </c>
      <c r="F100" s="57">
        <v>0.17273604474000001</v>
      </c>
    </row>
    <row r="101" spans="2:11" x14ac:dyDescent="0.25">
      <c r="B101">
        <v>176</v>
      </c>
      <c r="C101" t="s">
        <v>253</v>
      </c>
      <c r="D101" t="s">
        <v>109</v>
      </c>
      <c r="E101">
        <v>-1.3256547957</v>
      </c>
      <c r="F101">
        <v>0.43186512767899998</v>
      </c>
    </row>
    <row r="102" spans="2:11" x14ac:dyDescent="0.25">
      <c r="B102">
        <v>177</v>
      </c>
      <c r="C102" t="s">
        <v>254</v>
      </c>
      <c r="D102" t="s">
        <v>109</v>
      </c>
      <c r="E102">
        <v>1.0736213565199999</v>
      </c>
      <c r="F102">
        <v>0.35974648612600002</v>
      </c>
    </row>
    <row r="103" spans="2:11" x14ac:dyDescent="0.25">
      <c r="B103">
        <v>178</v>
      </c>
      <c r="C103" t="s">
        <v>255</v>
      </c>
      <c r="D103" t="s">
        <v>109</v>
      </c>
      <c r="E103">
        <v>0.10530978107199999</v>
      </c>
      <c r="F103">
        <v>0.16000207486000001</v>
      </c>
    </row>
    <row r="104" spans="2:11" x14ac:dyDescent="0.25">
      <c r="B104">
        <v>179</v>
      </c>
      <c r="C104" t="s">
        <v>256</v>
      </c>
      <c r="D104" t="s">
        <v>109</v>
      </c>
      <c r="E104">
        <v>-1.0571978499400001</v>
      </c>
      <c r="F104">
        <v>0.17647011337499999</v>
      </c>
    </row>
    <row r="105" spans="2:11" x14ac:dyDescent="0.25">
      <c r="B105">
        <v>180</v>
      </c>
      <c r="C105" t="s">
        <v>257</v>
      </c>
      <c r="D105" t="s">
        <v>109</v>
      </c>
      <c r="E105">
        <v>-0.66776923780300002</v>
      </c>
      <c r="F105">
        <v>0.17293050422799999</v>
      </c>
    </row>
    <row r="106" spans="2:11" x14ac:dyDescent="0.25">
      <c r="B106">
        <v>-1</v>
      </c>
    </row>
    <row r="107" spans="2:11" x14ac:dyDescent="0.25">
      <c r="B107">
        <v>5946</v>
      </c>
      <c r="C107" s="57">
        <v>-29997.255544</v>
      </c>
      <c r="D107" s="57">
        <v>-38293.019853700003</v>
      </c>
      <c r="E107" s="57">
        <v>-27960.191686900002</v>
      </c>
    </row>
    <row r="108" spans="2:11" x14ac:dyDescent="0.25">
      <c r="B108">
        <v>6</v>
      </c>
      <c r="C108" t="s">
        <v>262</v>
      </c>
      <c r="D108" t="s">
        <v>104</v>
      </c>
      <c r="E108">
        <v>7</v>
      </c>
      <c r="F108" t="s">
        <v>197</v>
      </c>
      <c r="G108">
        <v>12</v>
      </c>
    </row>
    <row r="109" spans="2:11" x14ac:dyDescent="0.25">
      <c r="B109">
        <v>58216</v>
      </c>
      <c r="C109">
        <v>21668</v>
      </c>
      <c r="D109">
        <v>26332</v>
      </c>
      <c r="E109">
        <v>0</v>
      </c>
      <c r="F109">
        <v>0</v>
      </c>
      <c r="G109">
        <v>0</v>
      </c>
      <c r="H109">
        <v>491</v>
      </c>
      <c r="I109">
        <v>8291</v>
      </c>
      <c r="J109">
        <v>24137</v>
      </c>
      <c r="K109">
        <v>0</v>
      </c>
    </row>
    <row r="110" spans="2:11" x14ac:dyDescent="0.25">
      <c r="B110">
        <v>-13225</v>
      </c>
      <c r="C110">
        <v>-5277</v>
      </c>
      <c r="D110">
        <v>6609</v>
      </c>
      <c r="E110">
        <v>0</v>
      </c>
      <c r="F110">
        <v>62682</v>
      </c>
      <c r="G110">
        <v>-18410</v>
      </c>
      <c r="H110">
        <v>-11177</v>
      </c>
      <c r="I110">
        <v>-2499</v>
      </c>
      <c r="J110">
        <v>0</v>
      </c>
      <c r="K110">
        <v>51684</v>
      </c>
    </row>
    <row r="111" spans="2:11" x14ac:dyDescent="0.25">
      <c r="B111">
        <v>85702</v>
      </c>
      <c r="C111">
        <v>-19756</v>
      </c>
      <c r="D111">
        <v>-13084</v>
      </c>
      <c r="E111">
        <v>-6224</v>
      </c>
      <c r="F111">
        <v>0</v>
      </c>
      <c r="G111">
        <v>44946</v>
      </c>
      <c r="H111">
        <v>77802</v>
      </c>
      <c r="I111">
        <v>90943</v>
      </c>
      <c r="J111">
        <v>-21225</v>
      </c>
      <c r="K111">
        <v>-14413</v>
      </c>
    </row>
    <row r="112" spans="2:11" x14ac:dyDescent="0.25">
      <c r="B112">
        <v>-8897</v>
      </c>
      <c r="C112">
        <v>0</v>
      </c>
      <c r="D112">
        <v>41052</v>
      </c>
      <c r="E112">
        <v>73214</v>
      </c>
      <c r="F112">
        <v>86643</v>
      </c>
      <c r="G112">
        <v>94931</v>
      </c>
      <c r="H112">
        <v>-20748</v>
      </c>
      <c r="I112">
        <v>-14321</v>
      </c>
      <c r="J112">
        <v>-10569</v>
      </c>
      <c r="K112">
        <v>0</v>
      </c>
    </row>
    <row r="113" spans="2:11" x14ac:dyDescent="0.25">
      <c r="B113">
        <v>34243</v>
      </c>
      <c r="C113">
        <v>62642</v>
      </c>
      <c r="D113">
        <v>74631</v>
      </c>
      <c r="E113">
        <v>81907</v>
      </c>
      <c r="F113">
        <v>86105</v>
      </c>
      <c r="G113">
        <v>-38778</v>
      </c>
      <c r="H113">
        <v>-36236</v>
      </c>
      <c r="I113">
        <v>8372</v>
      </c>
      <c r="J113">
        <v>0</v>
      </c>
      <c r="K113">
        <v>3988</v>
      </c>
    </row>
    <row r="114" spans="2:11" x14ac:dyDescent="0.25">
      <c r="B114">
        <v>10396</v>
      </c>
      <c r="C114">
        <v>14704</v>
      </c>
      <c r="D114">
        <v>16290</v>
      </c>
      <c r="E114">
        <v>12124</v>
      </c>
      <c r="F114">
        <v>5521</v>
      </c>
      <c r="G114">
        <v>9673</v>
      </c>
      <c r="H114">
        <v>2824</v>
      </c>
      <c r="I114">
        <v>8675</v>
      </c>
      <c r="J114">
        <v>0</v>
      </c>
      <c r="K114">
        <v>7357</v>
      </c>
    </row>
    <row r="115" spans="2:11" x14ac:dyDescent="0.25">
      <c r="B115">
        <v>17379</v>
      </c>
      <c r="C115">
        <v>23271</v>
      </c>
      <c r="D115">
        <v>25277</v>
      </c>
      <c r="E115">
        <v>19080</v>
      </c>
      <c r="F115">
        <v>9506</v>
      </c>
      <c r="G115">
        <v>72270</v>
      </c>
      <c r="H115">
        <v>13342</v>
      </c>
      <c r="I115">
        <v>7529</v>
      </c>
      <c r="J115">
        <v>14559</v>
      </c>
      <c r="K115">
        <v>0</v>
      </c>
    </row>
    <row r="116" spans="2:11" x14ac:dyDescent="0.25">
      <c r="B116">
        <v>-5868</v>
      </c>
      <c r="C116">
        <v>-5819</v>
      </c>
      <c r="D116">
        <v>10095</v>
      </c>
      <c r="E116">
        <v>16012</v>
      </c>
      <c r="F116">
        <v>10694</v>
      </c>
      <c r="G116">
        <v>2730</v>
      </c>
      <c r="H116">
        <v>65163</v>
      </c>
      <c r="I116">
        <v>89896</v>
      </c>
      <c r="J116">
        <v>10968</v>
      </c>
      <c r="K116">
        <v>6379</v>
      </c>
    </row>
    <row r="117" spans="2:11" x14ac:dyDescent="0.25">
      <c r="B117">
        <v>11487</v>
      </c>
      <c r="C117">
        <v>0</v>
      </c>
      <c r="D117">
        <v>-4943</v>
      </c>
      <c r="E117">
        <v>-9722</v>
      </c>
      <c r="F117">
        <v>286</v>
      </c>
      <c r="G117">
        <v>13024</v>
      </c>
      <c r="H117">
        <v>8456</v>
      </c>
      <c r="I117">
        <v>2193</v>
      </c>
      <c r="J117">
        <v>53694</v>
      </c>
      <c r="K117">
        <v>75423</v>
      </c>
    </row>
    <row r="118" spans="2:11" x14ac:dyDescent="0.25">
      <c r="B118">
        <v>84407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-5587</v>
      </c>
      <c r="H119">
        <v>-3253</v>
      </c>
      <c r="I119">
        <v>-5614</v>
      </c>
      <c r="J119">
        <v>0</v>
      </c>
      <c r="K119">
        <v>2569</v>
      </c>
    </row>
    <row r="120" spans="2:11" x14ac:dyDescent="0.25">
      <c r="B120">
        <v>5006</v>
      </c>
      <c r="C120">
        <v>4646</v>
      </c>
      <c r="D120">
        <v>-5573</v>
      </c>
      <c r="E120">
        <v>-3205</v>
      </c>
      <c r="F120">
        <v>-232</v>
      </c>
      <c r="G120">
        <v>-9882</v>
      </c>
      <c r="H120">
        <v>-10972</v>
      </c>
      <c r="I120">
        <v>-6262</v>
      </c>
      <c r="J120">
        <v>6618</v>
      </c>
      <c r="K120">
        <v>0</v>
      </c>
    </row>
    <row r="121" spans="2:11" x14ac:dyDescent="0.25">
      <c r="B121">
        <v>-11724</v>
      </c>
      <c r="C121">
        <v>-7253</v>
      </c>
      <c r="D121">
        <v>-11189</v>
      </c>
      <c r="E121">
        <v>0</v>
      </c>
      <c r="F121">
        <v>6246</v>
      </c>
      <c r="G121">
        <v>12765</v>
      </c>
      <c r="H121">
        <v>13263</v>
      </c>
      <c r="I121">
        <v>1133</v>
      </c>
      <c r="J121">
        <v>4677</v>
      </c>
      <c r="K121">
        <v>8363</v>
      </c>
    </row>
    <row r="122" spans="2:11" x14ac:dyDescent="0.25">
      <c r="B122">
        <v>-23786</v>
      </c>
      <c r="C122">
        <v>-29976</v>
      </c>
      <c r="D122">
        <v>-26504</v>
      </c>
      <c r="E122">
        <v>-12359</v>
      </c>
      <c r="F122">
        <v>0</v>
      </c>
      <c r="G122">
        <v>58784</v>
      </c>
      <c r="H122">
        <v>-14572</v>
      </c>
      <c r="I122">
        <v>-8868</v>
      </c>
      <c r="J122">
        <v>-14256</v>
      </c>
      <c r="K122">
        <v>0</v>
      </c>
    </row>
    <row r="123" spans="2:11" x14ac:dyDescent="0.25">
      <c r="B123">
        <v>7206</v>
      </c>
      <c r="C123">
        <v>14294</v>
      </c>
      <c r="D123">
        <v>13561</v>
      </c>
      <c r="E123">
        <v>1430</v>
      </c>
      <c r="F123">
        <v>-2277</v>
      </c>
      <c r="G123">
        <v>4202</v>
      </c>
      <c r="H123">
        <v>-36256</v>
      </c>
      <c r="I123">
        <v>-46861</v>
      </c>
      <c r="J123">
        <v>-43796</v>
      </c>
      <c r="K123">
        <v>-27652</v>
      </c>
    </row>
    <row r="124" spans="2:11" x14ac:dyDescent="0.25">
      <c r="B124">
        <v>0</v>
      </c>
      <c r="C124">
        <v>58111</v>
      </c>
      <c r="D124">
        <v>72784</v>
      </c>
      <c r="E124">
        <v>-16968</v>
      </c>
      <c r="F124">
        <v>-11120</v>
      </c>
      <c r="G124">
        <v>-15480</v>
      </c>
      <c r="H124">
        <v>0</v>
      </c>
      <c r="I124">
        <v>8191</v>
      </c>
      <c r="J124">
        <v>15970</v>
      </c>
      <c r="K124">
        <v>14212</v>
      </c>
    </row>
    <row r="125" spans="2:11" x14ac:dyDescent="0.25">
      <c r="B125">
        <v>4462</v>
      </c>
      <c r="C125">
        <v>-1624</v>
      </c>
      <c r="D125">
        <v>3273</v>
      </c>
      <c r="E125">
        <v>-39858</v>
      </c>
      <c r="F125">
        <v>-53152</v>
      </c>
      <c r="G125">
        <v>-51755</v>
      </c>
      <c r="H125">
        <v>-36681</v>
      </c>
      <c r="I125">
        <v>0</v>
      </c>
      <c r="J125">
        <v>47146</v>
      </c>
      <c r="K125">
        <v>63443</v>
      </c>
    </row>
    <row r="126" spans="2:11" x14ac:dyDescent="0.25">
      <c r="B126">
        <v>84800</v>
      </c>
      <c r="C126">
        <v>-15405</v>
      </c>
      <c r="D126">
        <v>-9971</v>
      </c>
      <c r="E126">
        <v>-14104</v>
      </c>
      <c r="F126">
        <v>0</v>
      </c>
      <c r="G126">
        <v>7488</v>
      </c>
      <c r="H126">
        <v>14797</v>
      </c>
      <c r="I126">
        <v>13304</v>
      </c>
      <c r="J126">
        <v>5860</v>
      </c>
      <c r="K126">
        <v>1866</v>
      </c>
    </row>
    <row r="127" spans="2:11" x14ac:dyDescent="0.25">
      <c r="B127">
        <v>-5246</v>
      </c>
      <c r="C127">
        <v>-37290</v>
      </c>
      <c r="D127">
        <v>-49692</v>
      </c>
      <c r="E127">
        <v>-49100</v>
      </c>
      <c r="F127">
        <v>-36601</v>
      </c>
      <c r="G127">
        <v>0</v>
      </c>
      <c r="H127">
        <v>36197</v>
      </c>
      <c r="I127">
        <v>51351</v>
      </c>
      <c r="J127">
        <v>69919</v>
      </c>
      <c r="K127">
        <v>78646</v>
      </c>
    </row>
    <row r="128" spans="2:11" x14ac:dyDescent="0.25">
      <c r="B128">
        <v>725</v>
      </c>
      <c r="C128">
        <v>574</v>
      </c>
      <c r="D128">
        <v>228</v>
      </c>
      <c r="E128">
        <v>0</v>
      </c>
      <c r="F128">
        <v>-1531</v>
      </c>
      <c r="G128">
        <v>-2179</v>
      </c>
      <c r="H128">
        <v>-1896</v>
      </c>
      <c r="I128">
        <v>-1185</v>
      </c>
      <c r="J128">
        <v>-822</v>
      </c>
      <c r="K128">
        <v>-614</v>
      </c>
    </row>
    <row r="129" spans="2:11" x14ac:dyDescent="0.25">
      <c r="B129">
        <v>-978</v>
      </c>
      <c r="C129">
        <v>-900</v>
      </c>
      <c r="D129">
        <v>454</v>
      </c>
      <c r="E129">
        <v>873</v>
      </c>
      <c r="F129">
        <v>0</v>
      </c>
      <c r="G129">
        <v>-457</v>
      </c>
      <c r="H129">
        <v>-531</v>
      </c>
      <c r="I129">
        <v>-636</v>
      </c>
      <c r="J129">
        <v>-929</v>
      </c>
      <c r="K129">
        <v>-2099</v>
      </c>
    </row>
    <row r="130" spans="2:11" x14ac:dyDescent="0.25">
      <c r="B130">
        <v>-902</v>
      </c>
      <c r="C130">
        <v>-1125</v>
      </c>
      <c r="D130">
        <v>10</v>
      </c>
      <c r="E130">
        <v>0</v>
      </c>
      <c r="F130">
        <v>-1757</v>
      </c>
      <c r="G130">
        <v>-1833</v>
      </c>
      <c r="H130">
        <v>-1593</v>
      </c>
      <c r="I130">
        <v>-556</v>
      </c>
      <c r="J130">
        <v>-426</v>
      </c>
      <c r="K130">
        <v>-355</v>
      </c>
    </row>
    <row r="131" spans="2:11" x14ac:dyDescent="0.25">
      <c r="B131">
        <v>211</v>
      </c>
      <c r="C131">
        <v>-1048</v>
      </c>
      <c r="D131">
        <v>46</v>
      </c>
      <c r="E131">
        <v>559</v>
      </c>
      <c r="F131">
        <v>0</v>
      </c>
      <c r="G131">
        <v>-1233</v>
      </c>
      <c r="H131">
        <v>-1077</v>
      </c>
      <c r="I131">
        <v>-952</v>
      </c>
      <c r="J131">
        <v>-465</v>
      </c>
      <c r="K131">
        <v>-1359</v>
      </c>
    </row>
    <row r="132" spans="2:11" x14ac:dyDescent="0.25">
      <c r="B132">
        <v>81989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1124</v>
      </c>
      <c r="F134">
        <v>932</v>
      </c>
      <c r="G134">
        <v>181</v>
      </c>
      <c r="H134">
        <v>0</v>
      </c>
      <c r="I134">
        <v>-723</v>
      </c>
      <c r="J134">
        <v>-1443</v>
      </c>
      <c r="K134">
        <v>-523</v>
      </c>
    </row>
    <row r="135" spans="2:11" x14ac:dyDescent="0.25">
      <c r="B135">
        <v>-1145</v>
      </c>
      <c r="C135">
        <v>-875</v>
      </c>
      <c r="D135">
        <v>-869</v>
      </c>
      <c r="E135">
        <v>449</v>
      </c>
      <c r="F135">
        <v>1210</v>
      </c>
      <c r="G135">
        <v>1948</v>
      </c>
      <c r="H135">
        <v>1013</v>
      </c>
      <c r="I135">
        <v>0</v>
      </c>
      <c r="J135">
        <v>62</v>
      </c>
      <c r="K135">
        <v>376</v>
      </c>
    </row>
    <row r="136" spans="2:11" x14ac:dyDescent="0.25">
      <c r="B136">
        <v>-8</v>
      </c>
      <c r="C136">
        <v>-1737</v>
      </c>
      <c r="D136">
        <v>-1526</v>
      </c>
      <c r="E136">
        <v>-45091</v>
      </c>
      <c r="F136">
        <v>-24964</v>
      </c>
      <c r="G136">
        <v>0</v>
      </c>
      <c r="H136">
        <v>1354</v>
      </c>
      <c r="I136">
        <v>1254</v>
      </c>
      <c r="J136">
        <v>635</v>
      </c>
      <c r="K136">
        <v>0</v>
      </c>
    </row>
    <row r="137" spans="2:11" x14ac:dyDescent="0.25">
      <c r="B137">
        <v>-686</v>
      </c>
      <c r="C137">
        <v>-1161</v>
      </c>
      <c r="D137">
        <v>-916</v>
      </c>
      <c r="E137">
        <v>-911</v>
      </c>
      <c r="F137">
        <v>-823</v>
      </c>
      <c r="G137">
        <v>-523</v>
      </c>
      <c r="H137">
        <v>100</v>
      </c>
      <c r="I137">
        <v>925</v>
      </c>
      <c r="J137">
        <v>1947</v>
      </c>
      <c r="K137">
        <v>1616</v>
      </c>
    </row>
    <row r="138" spans="2:11" x14ac:dyDescent="0.25">
      <c r="B138">
        <v>0</v>
      </c>
      <c r="C138">
        <v>-260</v>
      </c>
      <c r="D138">
        <v>-177</v>
      </c>
      <c r="E138">
        <v>-83</v>
      </c>
      <c r="F138">
        <v>-1200</v>
      </c>
      <c r="G138">
        <v>-2216</v>
      </c>
      <c r="H138">
        <v>-59242</v>
      </c>
      <c r="I138">
        <v>-42386</v>
      </c>
      <c r="J138">
        <v>0</v>
      </c>
      <c r="K138">
        <v>68229</v>
      </c>
    </row>
    <row r="139" spans="2:11" x14ac:dyDescent="0.25">
      <c r="B139">
        <v>1199</v>
      </c>
      <c r="C139">
        <v>1010</v>
      </c>
      <c r="D139">
        <v>397</v>
      </c>
      <c r="E139">
        <v>0</v>
      </c>
      <c r="F139">
        <v>-84</v>
      </c>
      <c r="G139">
        <v>-1225</v>
      </c>
      <c r="H139">
        <v>-1363</v>
      </c>
      <c r="I139">
        <v>-363</v>
      </c>
      <c r="J139">
        <v>-493</v>
      </c>
      <c r="K139">
        <v>131</v>
      </c>
    </row>
    <row r="140" spans="2:11" x14ac:dyDescent="0.25">
      <c r="B140">
        <v>235</v>
      </c>
      <c r="C140">
        <v>965</v>
      </c>
      <c r="D140">
        <v>1909</v>
      </c>
      <c r="E140">
        <v>2726</v>
      </c>
      <c r="F140">
        <v>0</v>
      </c>
      <c r="G140">
        <v>-1082</v>
      </c>
      <c r="H140">
        <v>-1270</v>
      </c>
      <c r="I140">
        <v>-991</v>
      </c>
      <c r="J140">
        <v>-1405</v>
      </c>
      <c r="K140">
        <v>-4023</v>
      </c>
    </row>
    <row r="141" spans="2:11" x14ac:dyDescent="0.25">
      <c r="B141">
        <v>-64319</v>
      </c>
      <c r="C141">
        <v>-48500</v>
      </c>
      <c r="D141">
        <v>0</v>
      </c>
      <c r="E141">
        <v>65849</v>
      </c>
      <c r="F141">
        <v>73999</v>
      </c>
      <c r="G141">
        <v>1195</v>
      </c>
      <c r="H141">
        <v>1018</v>
      </c>
      <c r="I141">
        <v>704</v>
      </c>
      <c r="J141">
        <v>0</v>
      </c>
      <c r="K141">
        <v>-925</v>
      </c>
    </row>
    <row r="142" spans="2:11" x14ac:dyDescent="0.25">
      <c r="B142">
        <v>-2689</v>
      </c>
      <c r="C142">
        <v>-2729</v>
      </c>
      <c r="D142">
        <v>-1123</v>
      </c>
      <c r="E142">
        <v>-988</v>
      </c>
      <c r="F142">
        <v>-375</v>
      </c>
      <c r="G142">
        <v>-104</v>
      </c>
      <c r="H142">
        <v>254</v>
      </c>
      <c r="I142">
        <v>1461</v>
      </c>
      <c r="J142">
        <v>2553</v>
      </c>
      <c r="K142">
        <v>0</v>
      </c>
    </row>
    <row r="143" spans="2:11" x14ac:dyDescent="0.25">
      <c r="B143">
        <v>-1818</v>
      </c>
      <c r="C143">
        <v>-2389</v>
      </c>
      <c r="D143">
        <v>-2602</v>
      </c>
      <c r="E143">
        <v>-2997</v>
      </c>
      <c r="F143">
        <v>-4788</v>
      </c>
      <c r="G143">
        <v>-65984</v>
      </c>
      <c r="H143">
        <v>-51032</v>
      </c>
      <c r="I143">
        <v>0</v>
      </c>
      <c r="J143">
        <v>63852</v>
      </c>
      <c r="K143">
        <v>72955</v>
      </c>
    </row>
    <row r="144" spans="2:11" x14ac:dyDescent="0.25">
      <c r="B144">
        <v>75462</v>
      </c>
      <c r="C144">
        <v>678</v>
      </c>
      <c r="D144">
        <v>666</v>
      </c>
      <c r="E144">
        <v>329</v>
      </c>
      <c r="F144">
        <v>0</v>
      </c>
      <c r="G144">
        <v>-396</v>
      </c>
      <c r="H144">
        <v>-1187</v>
      </c>
      <c r="I144">
        <v>-1433</v>
      </c>
      <c r="J144">
        <v>-894</v>
      </c>
      <c r="K144">
        <v>-627</v>
      </c>
    </row>
    <row r="145" spans="2:11" x14ac:dyDescent="0.25">
      <c r="B145">
        <v>-215</v>
      </c>
      <c r="C145">
        <v>-495</v>
      </c>
      <c r="D145">
        <v>-392</v>
      </c>
      <c r="E145">
        <v>65</v>
      </c>
      <c r="F145">
        <v>606</v>
      </c>
      <c r="G145">
        <v>0</v>
      </c>
      <c r="H145">
        <v>-513</v>
      </c>
      <c r="I145">
        <v>-722</v>
      </c>
      <c r="J145">
        <v>-1094</v>
      </c>
      <c r="K145">
        <v>-1830</v>
      </c>
    </row>
    <row r="146" spans="2:11" x14ac:dyDescent="0.25">
      <c r="B146">
        <v>-2554</v>
      </c>
      <c r="C146">
        <v>-35719</v>
      </c>
      <c r="D146">
        <v>-28052</v>
      </c>
      <c r="E146">
        <v>0</v>
      </c>
      <c r="F146">
        <v>33610</v>
      </c>
      <c r="G146">
        <v>38928</v>
      </c>
      <c r="H146">
        <v>40623</v>
      </c>
      <c r="I146">
        <v>41806</v>
      </c>
      <c r="J146">
        <v>253</v>
      </c>
      <c r="K146">
        <v>208</v>
      </c>
    </row>
    <row r="147" spans="2:11" x14ac:dyDescent="0.25">
      <c r="B147">
        <v>-84</v>
      </c>
      <c r="C147">
        <v>0</v>
      </c>
      <c r="D147">
        <v>204</v>
      </c>
      <c r="E147">
        <v>-544</v>
      </c>
      <c r="F147">
        <v>-1514</v>
      </c>
      <c r="G147">
        <v>-1236</v>
      </c>
      <c r="H147">
        <v>-780</v>
      </c>
      <c r="I147">
        <v>571</v>
      </c>
      <c r="J147">
        <v>-1092</v>
      </c>
      <c r="K147">
        <v>-1473</v>
      </c>
    </row>
    <row r="148" spans="2:11" x14ac:dyDescent="0.25">
      <c r="B148">
        <v>-1326</v>
      </c>
      <c r="C148">
        <v>-441</v>
      </c>
      <c r="D148">
        <v>0</v>
      </c>
      <c r="E148">
        <v>-124</v>
      </c>
      <c r="F148">
        <v>-83</v>
      </c>
      <c r="G148">
        <v>-271</v>
      </c>
      <c r="H148">
        <v>-1776</v>
      </c>
      <c r="I148">
        <v>-4948</v>
      </c>
      <c r="J148">
        <v>-56351</v>
      </c>
      <c r="K148">
        <v>-44627</v>
      </c>
    </row>
    <row r="149" spans="2:11" x14ac:dyDescent="0.25">
      <c r="B149">
        <v>0</v>
      </c>
      <c r="C149">
        <v>52259</v>
      </c>
      <c r="D149">
        <v>61094</v>
      </c>
      <c r="E149">
        <v>64105</v>
      </c>
      <c r="F149">
        <v>66253</v>
      </c>
      <c r="G149">
        <v>36594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-1705</v>
      </c>
      <c r="H152">
        <v>-920</v>
      </c>
      <c r="I152">
        <v>-635</v>
      </c>
      <c r="J152">
        <v>0</v>
      </c>
      <c r="K152">
        <v>-243</v>
      </c>
    </row>
    <row r="153" spans="2:11" x14ac:dyDescent="0.25">
      <c r="B153">
        <v>-592</v>
      </c>
      <c r="C153">
        <v>-565</v>
      </c>
      <c r="D153">
        <v>-974</v>
      </c>
      <c r="E153">
        <v>-251</v>
      </c>
      <c r="F153">
        <v>367</v>
      </c>
      <c r="G153">
        <v>-350</v>
      </c>
      <c r="H153">
        <v>379</v>
      </c>
      <c r="I153">
        <v>547</v>
      </c>
      <c r="J153">
        <v>517</v>
      </c>
      <c r="K153">
        <v>0</v>
      </c>
    </row>
    <row r="154" spans="2:11" x14ac:dyDescent="0.25">
      <c r="B154">
        <v>-405</v>
      </c>
      <c r="C154">
        <v>-654</v>
      </c>
      <c r="D154">
        <v>-813</v>
      </c>
      <c r="E154">
        <v>-486</v>
      </c>
      <c r="F154">
        <v>-50</v>
      </c>
      <c r="G154">
        <v>-12</v>
      </c>
      <c r="H154">
        <v>37</v>
      </c>
      <c r="I154">
        <v>0</v>
      </c>
      <c r="J154">
        <v>-109</v>
      </c>
      <c r="K154">
        <v>-80</v>
      </c>
    </row>
    <row r="155" spans="2:11" x14ac:dyDescent="0.25">
      <c r="B155">
        <v>-110</v>
      </c>
      <c r="C155">
        <v>-113</v>
      </c>
      <c r="D155">
        <v>-74</v>
      </c>
      <c r="E155">
        <v>-138</v>
      </c>
      <c r="F155">
        <v>0</v>
      </c>
      <c r="G155">
        <v>-266</v>
      </c>
      <c r="H155">
        <v>-446</v>
      </c>
      <c r="I155">
        <v>-248</v>
      </c>
      <c r="J155">
        <v>0</v>
      </c>
      <c r="K155">
        <v>482</v>
      </c>
    </row>
    <row r="156" spans="2:11" x14ac:dyDescent="0.25">
      <c r="B156">
        <v>1149</v>
      </c>
      <c r="C156">
        <v>1586</v>
      </c>
      <c r="D156">
        <v>1819</v>
      </c>
      <c r="E156">
        <v>786</v>
      </c>
      <c r="F156">
        <v>-215</v>
      </c>
      <c r="G156">
        <v>1468</v>
      </c>
      <c r="H156">
        <v>2129</v>
      </c>
      <c r="I156">
        <v>1887</v>
      </c>
      <c r="J156">
        <v>1602</v>
      </c>
      <c r="K156">
        <v>0</v>
      </c>
    </row>
    <row r="157" spans="2:11" x14ac:dyDescent="0.25">
      <c r="B157">
        <v>-1127</v>
      </c>
      <c r="C157">
        <v>-1675</v>
      </c>
      <c r="D157">
        <v>-570</v>
      </c>
      <c r="E157">
        <v>833</v>
      </c>
      <c r="F157">
        <v>1778</v>
      </c>
      <c r="G157">
        <v>-193</v>
      </c>
      <c r="H157">
        <v>-314</v>
      </c>
      <c r="I157">
        <v>0</v>
      </c>
      <c r="J157">
        <v>375</v>
      </c>
      <c r="K157">
        <v>320</v>
      </c>
    </row>
    <row r="158" spans="2:11" x14ac:dyDescent="0.25">
      <c r="B158">
        <v>219</v>
      </c>
      <c r="C158">
        <v>77</v>
      </c>
      <c r="D158">
        <v>53</v>
      </c>
      <c r="E158">
        <v>109</v>
      </c>
      <c r="F158">
        <v>0</v>
      </c>
      <c r="G158">
        <v>3670</v>
      </c>
      <c r="H158">
        <v>-1750</v>
      </c>
      <c r="I158">
        <v>-1237</v>
      </c>
      <c r="J158">
        <v>-1358</v>
      </c>
      <c r="K158">
        <v>0</v>
      </c>
    </row>
    <row r="159" spans="2:11" x14ac:dyDescent="0.25">
      <c r="B159">
        <v>-265</v>
      </c>
      <c r="C159">
        <v>-1346</v>
      </c>
      <c r="D159">
        <v>-1657</v>
      </c>
      <c r="E159">
        <v>-1836</v>
      </c>
      <c r="F159">
        <v>-562</v>
      </c>
      <c r="G159">
        <v>706</v>
      </c>
      <c r="H159">
        <v>-387</v>
      </c>
      <c r="I159">
        <v>957</v>
      </c>
      <c r="J159">
        <v>1661</v>
      </c>
      <c r="K159">
        <v>1498</v>
      </c>
    </row>
    <row r="160" spans="2:11" x14ac:dyDescent="0.25">
      <c r="B160">
        <v>0</v>
      </c>
      <c r="C160">
        <v>-509</v>
      </c>
      <c r="D160">
        <v>-523</v>
      </c>
      <c r="E160">
        <v>-685</v>
      </c>
      <c r="F160">
        <v>-27</v>
      </c>
      <c r="G160">
        <v>573</v>
      </c>
      <c r="H160">
        <v>-53</v>
      </c>
      <c r="I160">
        <v>38</v>
      </c>
      <c r="J160">
        <v>0</v>
      </c>
      <c r="K160">
        <v>-181</v>
      </c>
    </row>
    <row r="161" spans="2:11" x14ac:dyDescent="0.25">
      <c r="B161">
        <v>-104</v>
      </c>
      <c r="C161">
        <v>-149</v>
      </c>
      <c r="D161">
        <v>-207</v>
      </c>
      <c r="E161">
        <v>-159</v>
      </c>
      <c r="F161">
        <v>-315</v>
      </c>
      <c r="G161">
        <v>0</v>
      </c>
      <c r="H161">
        <v>41472</v>
      </c>
      <c r="I161">
        <v>1598</v>
      </c>
      <c r="J161">
        <v>-582</v>
      </c>
      <c r="K161">
        <v>-871</v>
      </c>
    </row>
    <row r="162" spans="2:11" x14ac:dyDescent="0.25">
      <c r="B162">
        <v>-623</v>
      </c>
      <c r="C162">
        <v>0</v>
      </c>
      <c r="D162">
        <v>1143</v>
      </c>
      <c r="E162">
        <v>2589</v>
      </c>
      <c r="F162">
        <v>3415</v>
      </c>
      <c r="G162">
        <v>3317</v>
      </c>
      <c r="H162">
        <v>1527</v>
      </c>
      <c r="I162">
        <v>-216</v>
      </c>
      <c r="J162">
        <v>2712</v>
      </c>
      <c r="K162">
        <v>3868</v>
      </c>
    </row>
    <row r="163" spans="2:11" x14ac:dyDescent="0.25">
      <c r="B163">
        <v>3298</v>
      </c>
      <c r="C163">
        <v>2400</v>
      </c>
      <c r="D163">
        <v>0</v>
      </c>
      <c r="E163">
        <v>-1288</v>
      </c>
      <c r="F163">
        <v>-1879</v>
      </c>
      <c r="G163">
        <v>13</v>
      </c>
      <c r="H163">
        <v>2352</v>
      </c>
      <c r="I163">
        <v>3788</v>
      </c>
      <c r="J163">
        <v>-680</v>
      </c>
      <c r="K163">
        <v>-431</v>
      </c>
    </row>
    <row r="164" spans="2:11" x14ac:dyDescent="0.25">
      <c r="B164">
        <v>0</v>
      </c>
      <c r="C164">
        <v>63</v>
      </c>
      <c r="D164">
        <v>-260</v>
      </c>
      <c r="E164">
        <v>-723</v>
      </c>
      <c r="F164">
        <v>-968</v>
      </c>
      <c r="G164">
        <v>-330</v>
      </c>
      <c r="H164">
        <v>-126</v>
      </c>
      <c r="I164">
        <v>0</v>
      </c>
      <c r="J164">
        <v>1864</v>
      </c>
      <c r="K164">
        <v>37988</v>
      </c>
    </row>
    <row r="165" spans="2:11" x14ac:dyDescent="0.25">
      <c r="B165">
        <v>6890</v>
      </c>
      <c r="C165">
        <v>-2039</v>
      </c>
      <c r="D165">
        <v>-1164</v>
      </c>
      <c r="E165">
        <v>-1163</v>
      </c>
      <c r="F165">
        <v>0</v>
      </c>
      <c r="G165">
        <v>207</v>
      </c>
      <c r="H165">
        <v>293</v>
      </c>
      <c r="I165">
        <v>271</v>
      </c>
      <c r="J165">
        <v>-97</v>
      </c>
      <c r="K165">
        <v>79</v>
      </c>
    </row>
    <row r="166" spans="2:11" x14ac:dyDescent="0.25">
      <c r="B166">
        <v>-746</v>
      </c>
      <c r="C166">
        <v>-1022</v>
      </c>
      <c r="D166">
        <v>-35</v>
      </c>
      <c r="E166">
        <v>197</v>
      </c>
      <c r="F166">
        <v>423</v>
      </c>
      <c r="G166">
        <v>0</v>
      </c>
      <c r="H166">
        <v>-410</v>
      </c>
      <c r="I166">
        <v>-711</v>
      </c>
      <c r="J166">
        <v>-975</v>
      </c>
      <c r="K166">
        <v>-1053</v>
      </c>
    </row>
    <row r="167" spans="2:11" x14ac:dyDescent="0.25">
      <c r="B167">
        <v>-1454</v>
      </c>
      <c r="C167">
        <v>107</v>
      </c>
      <c r="D167">
        <v>114</v>
      </c>
      <c r="E167">
        <v>0</v>
      </c>
      <c r="F167">
        <v>-45</v>
      </c>
      <c r="G167">
        <v>19</v>
      </c>
      <c r="H167">
        <v>102</v>
      </c>
      <c r="I167">
        <v>178</v>
      </c>
      <c r="J167">
        <v>135</v>
      </c>
      <c r="K167">
        <v>289</v>
      </c>
    </row>
    <row r="168" spans="2:11" x14ac:dyDescent="0.25">
      <c r="B168">
        <v>0</v>
      </c>
      <c r="C168">
        <v>25153</v>
      </c>
      <c r="D168">
        <v>859</v>
      </c>
      <c r="E168">
        <v>28873</v>
      </c>
      <c r="F168">
        <v>1048</v>
      </c>
      <c r="G168">
        <v>396</v>
      </c>
      <c r="H168">
        <v>239</v>
      </c>
      <c r="I168">
        <v>-26</v>
      </c>
      <c r="J168">
        <v>0</v>
      </c>
      <c r="K168">
        <v>-133</v>
      </c>
    </row>
    <row r="169" spans="2:11" x14ac:dyDescent="0.25">
      <c r="B169">
        <v>-302</v>
      </c>
      <c r="C169">
        <v>-68</v>
      </c>
      <c r="D169">
        <v>316</v>
      </c>
      <c r="E169">
        <v>-39</v>
      </c>
      <c r="F169">
        <v>-217</v>
      </c>
      <c r="G169">
        <v>12</v>
      </c>
      <c r="H169">
        <v>603</v>
      </c>
      <c r="I169">
        <v>829</v>
      </c>
      <c r="J169">
        <v>957</v>
      </c>
      <c r="K169">
        <v>0</v>
      </c>
    </row>
    <row r="170" spans="2:11" x14ac:dyDescent="0.25">
      <c r="B170">
        <v>-817</v>
      </c>
      <c r="C170">
        <v>-1210</v>
      </c>
      <c r="D170">
        <v>-696</v>
      </c>
      <c r="E170">
        <v>-175</v>
      </c>
      <c r="F170">
        <v>-435</v>
      </c>
      <c r="G170">
        <v>-843</v>
      </c>
      <c r="H170">
        <v>-539</v>
      </c>
      <c r="I170">
        <v>0</v>
      </c>
      <c r="J170">
        <v>221</v>
      </c>
      <c r="K170">
        <v>-302</v>
      </c>
    </row>
    <row r="171" spans="2:11" x14ac:dyDescent="0.25">
      <c r="B171">
        <v>-936</v>
      </c>
      <c r="C171">
        <v>-1609</v>
      </c>
      <c r="D171">
        <v>-1045</v>
      </c>
      <c r="E171">
        <v>-1746</v>
      </c>
      <c r="F171">
        <v>0</v>
      </c>
      <c r="G171">
        <v>1118</v>
      </c>
      <c r="H171">
        <v>24937</v>
      </c>
      <c r="I171">
        <v>1278</v>
      </c>
      <c r="J171">
        <v>31831</v>
      </c>
      <c r="K171">
        <v>7621</v>
      </c>
    </row>
    <row r="172" spans="2:11" x14ac:dyDescent="0.25">
      <c r="B172">
        <v>-721</v>
      </c>
      <c r="C172">
        <v>-219</v>
      </c>
      <c r="D172">
        <v>-146</v>
      </c>
      <c r="E172">
        <v>0</v>
      </c>
      <c r="F172">
        <v>-1288</v>
      </c>
      <c r="G172">
        <v>-2746</v>
      </c>
      <c r="H172">
        <v>-2760</v>
      </c>
      <c r="I172">
        <v>-2587</v>
      </c>
      <c r="J172">
        <v>-934</v>
      </c>
      <c r="K172">
        <v>668</v>
      </c>
    </row>
    <row r="173" spans="2:11" x14ac:dyDescent="0.25">
      <c r="B173">
        <v>4</v>
      </c>
      <c r="C173">
        <v>1436</v>
      </c>
      <c r="D173">
        <v>2010</v>
      </c>
      <c r="E173">
        <v>1535</v>
      </c>
      <c r="F173">
        <v>0</v>
      </c>
      <c r="G173">
        <v>-341</v>
      </c>
      <c r="H173">
        <v>-80</v>
      </c>
      <c r="I173">
        <v>22</v>
      </c>
      <c r="J173">
        <v>914</v>
      </c>
      <c r="K173">
        <v>1589</v>
      </c>
    </row>
    <row r="174" spans="2:11" x14ac:dyDescent="0.25">
      <c r="B174">
        <v>-151</v>
      </c>
      <c r="C174">
        <v>-30</v>
      </c>
      <c r="D174">
        <v>0</v>
      </c>
      <c r="E174">
        <v>-226</v>
      </c>
      <c r="F174">
        <v>-148</v>
      </c>
      <c r="G174">
        <v>-255</v>
      </c>
      <c r="H174">
        <v>-362</v>
      </c>
      <c r="I174">
        <v>-275</v>
      </c>
      <c r="J174">
        <v>-562</v>
      </c>
      <c r="K174">
        <v>0</v>
      </c>
    </row>
    <row r="175" spans="2:11" x14ac:dyDescent="0.25">
      <c r="B175">
        <v>42560</v>
      </c>
      <c r="C175">
        <v>1700</v>
      </c>
      <c r="D175">
        <v>54923</v>
      </c>
      <c r="E175">
        <v>2961</v>
      </c>
      <c r="F175">
        <v>30353</v>
      </c>
      <c r="G175">
        <v>1307</v>
      </c>
      <c r="H175">
        <v>-1362</v>
      </c>
      <c r="I175">
        <v>-1618</v>
      </c>
      <c r="J175">
        <v>-979</v>
      </c>
      <c r="K175">
        <v>0</v>
      </c>
    </row>
    <row r="176" spans="2:11" x14ac:dyDescent="0.25">
      <c r="B176">
        <v>1818</v>
      </c>
      <c r="C176">
        <v>3975</v>
      </c>
      <c r="D176">
        <v>4672</v>
      </c>
      <c r="E176">
        <v>4279</v>
      </c>
      <c r="F176">
        <v>2084</v>
      </c>
      <c r="G176">
        <v>-38</v>
      </c>
      <c r="H176">
        <v>3693</v>
      </c>
      <c r="I176">
        <v>4653</v>
      </c>
      <c r="J176">
        <v>3424</v>
      </c>
      <c r="K176">
        <v>2253</v>
      </c>
    </row>
    <row r="177" spans="2:11" x14ac:dyDescent="0.25">
      <c r="B177">
        <v>0</v>
      </c>
      <c r="C177">
        <v>-1126</v>
      </c>
      <c r="D177">
        <v>-1551</v>
      </c>
      <c r="E177">
        <v>890</v>
      </c>
      <c r="F177">
        <v>3774</v>
      </c>
      <c r="G177">
        <v>5399</v>
      </c>
      <c r="H177">
        <v>-525</v>
      </c>
      <c r="I177">
        <v>-335</v>
      </c>
      <c r="J177">
        <v>0</v>
      </c>
      <c r="K177">
        <v>-74</v>
      </c>
    </row>
    <row r="178" spans="2:11" x14ac:dyDescent="0.25">
      <c r="B178">
        <v>-480</v>
      </c>
      <c r="C178">
        <v>-980</v>
      </c>
      <c r="D178">
        <v>-1152</v>
      </c>
      <c r="E178">
        <v>-355</v>
      </c>
      <c r="F178">
        <v>-88</v>
      </c>
      <c r="G178">
        <v>0</v>
      </c>
      <c r="H178">
        <v>2072</v>
      </c>
      <c r="I178">
        <v>42443</v>
      </c>
      <c r="J178">
        <v>3269</v>
      </c>
      <c r="K178">
        <v>58472</v>
      </c>
    </row>
    <row r="179" spans="2:11" x14ac:dyDescent="0.25">
      <c r="B179">
        <v>1210</v>
      </c>
      <c r="C179">
        <v>36145</v>
      </c>
      <c r="D179">
        <v>7068</v>
      </c>
      <c r="E179">
        <v>-1669</v>
      </c>
      <c r="F179">
        <v>-1058</v>
      </c>
      <c r="G179">
        <v>-1096</v>
      </c>
      <c r="H179">
        <v>0</v>
      </c>
      <c r="I179">
        <v>724</v>
      </c>
      <c r="J179">
        <v>1240</v>
      </c>
      <c r="K179">
        <v>1450</v>
      </c>
    </row>
    <row r="180" spans="2:11" x14ac:dyDescent="0.25">
      <c r="B180">
        <v>1093</v>
      </c>
      <c r="C180">
        <v>679</v>
      </c>
      <c r="D180">
        <v>-299</v>
      </c>
      <c r="E180">
        <v>-574</v>
      </c>
      <c r="F180">
        <v>-590</v>
      </c>
      <c r="G180">
        <v>-503</v>
      </c>
      <c r="H180">
        <v>-650</v>
      </c>
      <c r="I180">
        <v>0</v>
      </c>
      <c r="J180">
        <v>-135</v>
      </c>
      <c r="K180">
        <v>-639</v>
      </c>
    </row>
    <row r="181" spans="2:11" x14ac:dyDescent="0.25">
      <c r="B181">
        <v>-846</v>
      </c>
      <c r="C181">
        <v>-1474</v>
      </c>
      <c r="D181">
        <v>-1913</v>
      </c>
      <c r="E181">
        <v>101</v>
      </c>
      <c r="F181">
        <v>90</v>
      </c>
      <c r="G181">
        <v>0</v>
      </c>
      <c r="H181">
        <v>51</v>
      </c>
      <c r="I181">
        <v>82</v>
      </c>
      <c r="J181">
        <v>175</v>
      </c>
      <c r="K181">
        <v>249</v>
      </c>
    </row>
    <row r="182" spans="2:11" x14ac:dyDescent="0.25">
      <c r="B182">
        <v>176</v>
      </c>
      <c r="C182">
        <v>363</v>
      </c>
      <c r="D182">
        <v>0</v>
      </c>
      <c r="E182">
        <v>16066</v>
      </c>
      <c r="F182">
        <v>508</v>
      </c>
      <c r="G182">
        <v>18200</v>
      </c>
      <c r="H182">
        <v>549</v>
      </c>
      <c r="I182">
        <v>12080</v>
      </c>
      <c r="J182">
        <v>503</v>
      </c>
      <c r="K182">
        <v>18864</v>
      </c>
    </row>
    <row r="183" spans="2:11" x14ac:dyDescent="0.25">
      <c r="B183">
        <v>613</v>
      </c>
      <c r="C183">
        <v>686</v>
      </c>
      <c r="D183">
        <v>587</v>
      </c>
      <c r="E183">
        <v>149</v>
      </c>
      <c r="F183">
        <v>0</v>
      </c>
      <c r="G183">
        <v>-461</v>
      </c>
      <c r="H183">
        <v>-990</v>
      </c>
      <c r="I183">
        <v>-1167</v>
      </c>
      <c r="J183">
        <v>-809</v>
      </c>
      <c r="K183">
        <v>-647</v>
      </c>
    </row>
    <row r="184" spans="2:11" x14ac:dyDescent="0.25">
      <c r="B184">
        <v>-67</v>
      </c>
      <c r="C184">
        <v>-1038</v>
      </c>
      <c r="D184">
        <v>-879</v>
      </c>
      <c r="E184">
        <v>-583</v>
      </c>
      <c r="F184">
        <v>-344</v>
      </c>
      <c r="G184">
        <v>0</v>
      </c>
      <c r="H184">
        <v>-487</v>
      </c>
      <c r="I184">
        <v>-935</v>
      </c>
      <c r="J184">
        <v>-930</v>
      </c>
      <c r="K184">
        <v>-1001</v>
      </c>
    </row>
    <row r="185" spans="2:11" x14ac:dyDescent="0.25">
      <c r="B185">
        <v>-1981</v>
      </c>
      <c r="C185">
        <v>241</v>
      </c>
      <c r="D185">
        <v>268</v>
      </c>
      <c r="E185">
        <v>0</v>
      </c>
      <c r="F185">
        <v>-134</v>
      </c>
      <c r="G185">
        <v>-562</v>
      </c>
      <c r="H185">
        <v>-962</v>
      </c>
      <c r="I185">
        <v>-970</v>
      </c>
      <c r="J185">
        <v>-365</v>
      </c>
      <c r="K185">
        <v>-635</v>
      </c>
    </row>
    <row r="186" spans="2:11" x14ac:dyDescent="0.25">
      <c r="B186">
        <v>0</v>
      </c>
      <c r="C186">
        <v>829</v>
      </c>
      <c r="D186">
        <v>18628</v>
      </c>
      <c r="E186">
        <v>939</v>
      </c>
      <c r="F186">
        <v>21899</v>
      </c>
      <c r="G186">
        <v>663</v>
      </c>
      <c r="H186">
        <v>15893</v>
      </c>
      <c r="I186">
        <v>924</v>
      </c>
      <c r="J186">
        <v>24617</v>
      </c>
      <c r="K186">
        <v>8153</v>
      </c>
    </row>
    <row r="187" spans="2:11" x14ac:dyDescent="0.25">
      <c r="B187">
        <v>5549</v>
      </c>
      <c r="C187">
        <v>2062</v>
      </c>
      <c r="D187">
        <v>2800</v>
      </c>
      <c r="E187">
        <v>0</v>
      </c>
      <c r="F187">
        <v>-640</v>
      </c>
      <c r="G187">
        <v>-891</v>
      </c>
      <c r="H187">
        <v>-1101</v>
      </c>
      <c r="I187">
        <v>-922</v>
      </c>
      <c r="J187">
        <v>137</v>
      </c>
      <c r="K187">
        <v>851</v>
      </c>
    </row>
    <row r="188" spans="2:11" x14ac:dyDescent="0.25">
      <c r="B188">
        <v>2467</v>
      </c>
      <c r="C188">
        <v>-321</v>
      </c>
      <c r="D188">
        <v>-1071</v>
      </c>
      <c r="E188">
        <v>-797</v>
      </c>
      <c r="F188">
        <v>0</v>
      </c>
      <c r="G188">
        <v>1166</v>
      </c>
      <c r="H188">
        <v>2376</v>
      </c>
      <c r="I188">
        <v>3373</v>
      </c>
      <c r="J188">
        <v>4124</v>
      </c>
      <c r="K188">
        <v>3682</v>
      </c>
    </row>
    <row r="189" spans="2:11" x14ac:dyDescent="0.25">
      <c r="B189">
        <v>-320</v>
      </c>
      <c r="C189">
        <v>-132</v>
      </c>
      <c r="D189">
        <v>0</v>
      </c>
      <c r="E189">
        <v>-208</v>
      </c>
      <c r="F189">
        <v>-249</v>
      </c>
      <c r="G189">
        <v>-407</v>
      </c>
      <c r="H189">
        <v>-524</v>
      </c>
      <c r="I189">
        <v>-306</v>
      </c>
      <c r="J189">
        <v>-509</v>
      </c>
      <c r="K189">
        <v>0</v>
      </c>
    </row>
    <row r="190" spans="2:11" x14ac:dyDescent="0.25">
      <c r="B190">
        <v>-239</v>
      </c>
      <c r="C190">
        <v>256</v>
      </c>
      <c r="D190">
        <v>924</v>
      </c>
      <c r="E190">
        <v>228</v>
      </c>
      <c r="F190">
        <v>-2207</v>
      </c>
      <c r="G190">
        <v>-280</v>
      </c>
      <c r="H190">
        <v>1597</v>
      </c>
      <c r="I190">
        <v>464</v>
      </c>
      <c r="J190">
        <v>-2710</v>
      </c>
      <c r="K190">
        <v>-494</v>
      </c>
    </row>
    <row r="191" spans="2:11" x14ac:dyDescent="0.25">
      <c r="B191">
        <v>-3465</v>
      </c>
      <c r="C191">
        <v>-2872</v>
      </c>
      <c r="D191">
        <v>-823</v>
      </c>
      <c r="E191">
        <v>0</v>
      </c>
      <c r="F191">
        <v>1747</v>
      </c>
      <c r="G191">
        <v>3607</v>
      </c>
      <c r="H191">
        <v>3216</v>
      </c>
      <c r="I191">
        <v>2403</v>
      </c>
      <c r="J191">
        <v>1270</v>
      </c>
      <c r="K191">
        <v>578</v>
      </c>
    </row>
    <row r="192" spans="2:11" x14ac:dyDescent="0.25">
      <c r="B192">
        <v>2801</v>
      </c>
      <c r="C192">
        <v>1275</v>
      </c>
      <c r="D192">
        <v>-381</v>
      </c>
      <c r="E192">
        <v>-641</v>
      </c>
      <c r="F192">
        <v>0</v>
      </c>
      <c r="G192">
        <v>641</v>
      </c>
      <c r="H192">
        <v>1335</v>
      </c>
      <c r="I192">
        <v>3134</v>
      </c>
      <c r="J192">
        <v>4162</v>
      </c>
      <c r="K192">
        <v>3839</v>
      </c>
    </row>
    <row r="193" spans="2:11" x14ac:dyDescent="0.25">
      <c r="B193">
        <v>1111</v>
      </c>
      <c r="C193">
        <v>317</v>
      </c>
      <c r="D193">
        <v>0</v>
      </c>
      <c r="E193">
        <v>188</v>
      </c>
      <c r="F193">
        <v>436</v>
      </c>
      <c r="G193">
        <v>1376</v>
      </c>
      <c r="H193">
        <v>1604</v>
      </c>
      <c r="I193">
        <v>783</v>
      </c>
      <c r="J193">
        <v>1176</v>
      </c>
      <c r="K193">
        <v>0</v>
      </c>
    </row>
    <row r="194" spans="2:11" x14ac:dyDescent="0.25">
      <c r="B194">
        <v>13</v>
      </c>
      <c r="C194">
        <v>-184</v>
      </c>
      <c r="D194">
        <v>-215</v>
      </c>
      <c r="E194">
        <v>-2923</v>
      </c>
      <c r="F194">
        <v>-314</v>
      </c>
      <c r="G194">
        <v>-1487</v>
      </c>
      <c r="H194">
        <v>88</v>
      </c>
      <c r="I194">
        <v>-1765</v>
      </c>
      <c r="J194">
        <v>-220</v>
      </c>
      <c r="K194">
        <v>332</v>
      </c>
    </row>
    <row r="195" spans="2:11" x14ac:dyDescent="0.25">
      <c r="B195">
        <v>740</v>
      </c>
      <c r="C195">
        <v>26841</v>
      </c>
      <c r="D195">
        <v>18951</v>
      </c>
      <c r="E195">
        <v>22565</v>
      </c>
      <c r="F195">
        <v>0</v>
      </c>
      <c r="G195">
        <v>-16360</v>
      </c>
      <c r="H195">
        <v>-35309</v>
      </c>
      <c r="I195">
        <v>-40904</v>
      </c>
      <c r="J195">
        <v>-41732</v>
      </c>
      <c r="K195">
        <v>-44986</v>
      </c>
    </row>
    <row r="196" spans="2:11" x14ac:dyDescent="0.25">
      <c r="B196">
        <v>-46454</v>
      </c>
      <c r="C196">
        <v>39149</v>
      </c>
      <c r="D196">
        <v>53202</v>
      </c>
      <c r="E196">
        <v>55335</v>
      </c>
      <c r="F196">
        <v>44633</v>
      </c>
      <c r="G196">
        <v>0</v>
      </c>
      <c r="H196">
        <v>-22056</v>
      </c>
      <c r="I196">
        <v>-41745</v>
      </c>
      <c r="J196">
        <v>-54268</v>
      </c>
      <c r="K196">
        <v>-59502</v>
      </c>
    </row>
    <row r="197" spans="2:11" x14ac:dyDescent="0.25">
      <c r="B197">
        <v>-53916</v>
      </c>
      <c r="C197">
        <v>808</v>
      </c>
      <c r="D197">
        <v>186</v>
      </c>
      <c r="E197">
        <v>0</v>
      </c>
      <c r="F197">
        <v>1684</v>
      </c>
      <c r="G197">
        <v>1581</v>
      </c>
      <c r="H197">
        <v>1619</v>
      </c>
      <c r="I197">
        <v>2081</v>
      </c>
      <c r="J197">
        <v>918</v>
      </c>
      <c r="K197">
        <v>480</v>
      </c>
    </row>
    <row r="198" spans="2:11" x14ac:dyDescent="0.25">
      <c r="B198">
        <v>0</v>
      </c>
      <c r="C198">
        <v>-16362</v>
      </c>
      <c r="D198">
        <v>-313</v>
      </c>
      <c r="E198">
        <v>-21003</v>
      </c>
      <c r="F198">
        <v>-1019</v>
      </c>
      <c r="G198">
        <v>-10915</v>
      </c>
      <c r="H198">
        <v>-83</v>
      </c>
      <c r="I198">
        <v>-23029</v>
      </c>
      <c r="J198">
        <v>-1854</v>
      </c>
      <c r="K198">
        <v>-7579</v>
      </c>
    </row>
    <row r="199" spans="2:11" x14ac:dyDescent="0.25">
      <c r="B199">
        <v>-6</v>
      </c>
      <c r="C199">
        <v>-581</v>
      </c>
      <c r="D199">
        <v>-1925</v>
      </c>
      <c r="E199">
        <v>5800</v>
      </c>
      <c r="F199">
        <v>3862</v>
      </c>
      <c r="G199">
        <v>5690</v>
      </c>
      <c r="H199">
        <v>0</v>
      </c>
      <c r="I199">
        <v>-3107</v>
      </c>
      <c r="J199">
        <v>-5277</v>
      </c>
      <c r="K199">
        <v>-3674</v>
      </c>
    </row>
    <row r="200" spans="2:11" x14ac:dyDescent="0.25">
      <c r="B200">
        <v>-832</v>
      </c>
      <c r="C200">
        <v>945</v>
      </c>
      <c r="D200">
        <v>796</v>
      </c>
      <c r="E200">
        <v>16126</v>
      </c>
      <c r="F200">
        <v>21534</v>
      </c>
      <c r="G200">
        <v>22278</v>
      </c>
      <c r="H200">
        <v>18502</v>
      </c>
      <c r="I200">
        <v>0</v>
      </c>
      <c r="J200">
        <v>-9162</v>
      </c>
      <c r="K200">
        <v>-15299</v>
      </c>
    </row>
    <row r="201" spans="2:11" x14ac:dyDescent="0.25">
      <c r="B201">
        <v>-23640</v>
      </c>
      <c r="C201">
        <v>-27896</v>
      </c>
      <c r="D201">
        <v>-26916</v>
      </c>
      <c r="E201">
        <v>61773</v>
      </c>
      <c r="F201">
        <v>48866</v>
      </c>
      <c r="G201">
        <v>0</v>
      </c>
      <c r="H201">
        <v>-46751</v>
      </c>
      <c r="I201">
        <v>-52426</v>
      </c>
      <c r="J201">
        <v>-52151</v>
      </c>
      <c r="K201">
        <v>-50638</v>
      </c>
    </row>
    <row r="202" spans="2:11" x14ac:dyDescent="0.25">
      <c r="B202">
        <v>-26714</v>
      </c>
      <c r="C202">
        <v>-41921</v>
      </c>
      <c r="D202">
        <v>0</v>
      </c>
      <c r="E202">
        <v>-935</v>
      </c>
      <c r="F202">
        <v>-19555</v>
      </c>
      <c r="G202">
        <v>-1008</v>
      </c>
      <c r="H202">
        <v>-26367</v>
      </c>
      <c r="I202">
        <v>63</v>
      </c>
      <c r="J202">
        <v>-14857</v>
      </c>
      <c r="K202">
        <v>-1741</v>
      </c>
    </row>
    <row r="203" spans="2:11" x14ac:dyDescent="0.25">
      <c r="B203">
        <v>-31187</v>
      </c>
      <c r="C203">
        <v>16</v>
      </c>
      <c r="D203">
        <v>-10553</v>
      </c>
      <c r="E203">
        <v>-1673</v>
      </c>
      <c r="F203">
        <v>6265</v>
      </c>
      <c r="G203">
        <v>19950</v>
      </c>
      <c r="H203">
        <v>-68</v>
      </c>
      <c r="I203">
        <v>-823</v>
      </c>
      <c r="J203">
        <v>-1062</v>
      </c>
      <c r="K203">
        <v>0</v>
      </c>
    </row>
    <row r="204" spans="2:11" x14ac:dyDescent="0.25">
      <c r="B204">
        <v>810</v>
      </c>
      <c r="C204">
        <v>-318</v>
      </c>
      <c r="D204">
        <v>-1614</v>
      </c>
      <c r="E204">
        <v>-1042</v>
      </c>
      <c r="F204">
        <v>-19</v>
      </c>
      <c r="G204">
        <v>895</v>
      </c>
      <c r="H204">
        <v>827</v>
      </c>
      <c r="I204">
        <v>1066</v>
      </c>
      <c r="J204">
        <v>3049</v>
      </c>
      <c r="K204">
        <v>3439</v>
      </c>
    </row>
    <row r="205" spans="2:11" x14ac:dyDescent="0.25">
      <c r="B205">
        <v>0</v>
      </c>
      <c r="C205">
        <v>-883</v>
      </c>
      <c r="D205">
        <v>-1072</v>
      </c>
      <c r="E205">
        <v>-1175</v>
      </c>
      <c r="F205">
        <v>-191</v>
      </c>
      <c r="G205">
        <v>-112</v>
      </c>
      <c r="H205">
        <v>-112</v>
      </c>
      <c r="I205">
        <v>-6</v>
      </c>
      <c r="J205">
        <v>0</v>
      </c>
      <c r="K205">
        <v>-118</v>
      </c>
    </row>
    <row r="206" spans="2:11" x14ac:dyDescent="0.25">
      <c r="B206">
        <v>17</v>
      </c>
      <c r="C206">
        <v>-35</v>
      </c>
      <c r="D206">
        <v>-208</v>
      </c>
      <c r="E206">
        <v>-119</v>
      </c>
      <c r="F206">
        <v>-153</v>
      </c>
      <c r="G206">
        <v>0</v>
      </c>
      <c r="H206">
        <v>1465</v>
      </c>
      <c r="I206">
        <v>316</v>
      </c>
      <c r="J206">
        <v>3383</v>
      </c>
      <c r="K206">
        <v>352</v>
      </c>
    </row>
    <row r="207" spans="2:11" x14ac:dyDescent="0.25">
      <c r="B207">
        <v>504</v>
      </c>
      <c r="C207">
        <v>103</v>
      </c>
      <c r="D207">
        <v>2498</v>
      </c>
      <c r="E207">
        <v>277</v>
      </c>
      <c r="F207">
        <v>-635</v>
      </c>
      <c r="G207">
        <v>-251</v>
      </c>
      <c r="H207">
        <v>65086</v>
      </c>
      <c r="I207">
        <v>428</v>
      </c>
      <c r="J207">
        <v>-2383</v>
      </c>
      <c r="K207">
        <v>-863</v>
      </c>
    </row>
    <row r="208" spans="2:11" x14ac:dyDescent="0.25">
      <c r="B208">
        <v>-821</v>
      </c>
      <c r="C208">
        <v>-405</v>
      </c>
      <c r="D208">
        <v>443</v>
      </c>
      <c r="E208">
        <v>0</v>
      </c>
      <c r="F208">
        <v>-323</v>
      </c>
      <c r="G208">
        <v>-430</v>
      </c>
      <c r="H208">
        <v>465</v>
      </c>
      <c r="I208">
        <v>1037</v>
      </c>
      <c r="J208">
        <v>225</v>
      </c>
      <c r="K208">
        <v>-663</v>
      </c>
    </row>
    <row r="209" spans="2:11" x14ac:dyDescent="0.25">
      <c r="B209">
        <v>1771</v>
      </c>
      <c r="C209">
        <v>2108</v>
      </c>
      <c r="D209">
        <v>2955</v>
      </c>
      <c r="E209">
        <v>2891</v>
      </c>
      <c r="F209">
        <v>0</v>
      </c>
      <c r="G209">
        <v>-1260</v>
      </c>
      <c r="H209">
        <v>-1703</v>
      </c>
      <c r="I209">
        <v>-975</v>
      </c>
      <c r="J209">
        <v>37</v>
      </c>
      <c r="K209">
        <v>1324</v>
      </c>
    </row>
    <row r="210" spans="2:11" x14ac:dyDescent="0.25">
      <c r="B210">
        <v>-1443</v>
      </c>
      <c r="C210">
        <v>-1860</v>
      </c>
      <c r="D210">
        <v>0</v>
      </c>
      <c r="E210">
        <v>1124</v>
      </c>
      <c r="F210">
        <v>-292</v>
      </c>
      <c r="G210">
        <v>-178</v>
      </c>
      <c r="H210">
        <v>-968</v>
      </c>
      <c r="I210">
        <v>-1149</v>
      </c>
      <c r="J210">
        <v>-2428</v>
      </c>
      <c r="K210">
        <v>0</v>
      </c>
    </row>
    <row r="211" spans="2:11" x14ac:dyDescent="0.25">
      <c r="B211">
        <v>260</v>
      </c>
      <c r="C211">
        <v>-566</v>
      </c>
      <c r="D211">
        <v>232</v>
      </c>
      <c r="E211">
        <v>-2365</v>
      </c>
      <c r="F211">
        <v>-89</v>
      </c>
      <c r="G211">
        <v>-1769</v>
      </c>
      <c r="H211">
        <v>446</v>
      </c>
      <c r="I211">
        <v>-436</v>
      </c>
      <c r="J211">
        <v>-220</v>
      </c>
      <c r="K211">
        <v>619</v>
      </c>
    </row>
    <row r="212" spans="2:11" x14ac:dyDescent="0.25">
      <c r="B212">
        <v>-79</v>
      </c>
      <c r="C212">
        <v>77578</v>
      </c>
      <c r="D212">
        <v>859</v>
      </c>
      <c r="E212">
        <v>-80</v>
      </c>
      <c r="F212">
        <v>2661</v>
      </c>
      <c r="G212">
        <v>-487</v>
      </c>
      <c r="H212">
        <v>-219</v>
      </c>
      <c r="I212">
        <v>-374</v>
      </c>
      <c r="J212">
        <v>0</v>
      </c>
      <c r="K212">
        <v>519</v>
      </c>
    </row>
    <row r="213" spans="2:11" x14ac:dyDescent="0.25">
      <c r="B213">
        <v>1135</v>
      </c>
      <c r="C213">
        <v>1107</v>
      </c>
      <c r="D213">
        <v>746</v>
      </c>
      <c r="E213">
        <v>484</v>
      </c>
      <c r="F213">
        <v>230</v>
      </c>
      <c r="G213">
        <v>-9</v>
      </c>
      <c r="H213">
        <v>441</v>
      </c>
      <c r="I213">
        <v>-124</v>
      </c>
      <c r="J213">
        <v>-522</v>
      </c>
      <c r="K213">
        <v>0</v>
      </c>
    </row>
    <row r="214" spans="2:11" x14ac:dyDescent="0.25">
      <c r="B214">
        <v>436</v>
      </c>
      <c r="C214">
        <v>644</v>
      </c>
      <c r="D214">
        <v>858</v>
      </c>
      <c r="E214">
        <v>529</v>
      </c>
      <c r="F214">
        <v>768</v>
      </c>
      <c r="G214">
        <v>23</v>
      </c>
      <c r="H214">
        <v>-13</v>
      </c>
      <c r="I214">
        <v>0</v>
      </c>
      <c r="J214">
        <v>14</v>
      </c>
      <c r="K214">
        <v>-12</v>
      </c>
    </row>
    <row r="215" spans="2:11" x14ac:dyDescent="0.25">
      <c r="B215">
        <v>-40</v>
      </c>
      <c r="C215">
        <v>-44</v>
      </c>
      <c r="D215">
        <v>-34</v>
      </c>
      <c r="E215">
        <v>-60</v>
      </c>
      <c r="F215">
        <v>0</v>
      </c>
      <c r="G215">
        <v>-1751</v>
      </c>
      <c r="H215">
        <v>33</v>
      </c>
      <c r="I215">
        <v>-3877</v>
      </c>
      <c r="J215">
        <v>-133</v>
      </c>
      <c r="K215">
        <v>-130</v>
      </c>
    </row>
    <row r="216" spans="2:11" x14ac:dyDescent="0.25">
      <c r="B216">
        <v>-54</v>
      </c>
      <c r="C216">
        <v>-3248</v>
      </c>
      <c r="D216">
        <v>-12</v>
      </c>
      <c r="E216">
        <v>-178</v>
      </c>
      <c r="F216">
        <v>-16</v>
      </c>
      <c r="G216">
        <v>457</v>
      </c>
      <c r="H216">
        <v>132</v>
      </c>
      <c r="I216">
        <v>1459</v>
      </c>
      <c r="J216">
        <v>-70</v>
      </c>
      <c r="K216">
        <v>-22507</v>
      </c>
    </row>
    <row r="217" spans="2:11" x14ac:dyDescent="0.25">
      <c r="B217">
        <v>-1786</v>
      </c>
      <c r="C217">
        <v>13</v>
      </c>
      <c r="D217">
        <v>31</v>
      </c>
      <c r="E217">
        <v>-47</v>
      </c>
      <c r="F217">
        <v>0</v>
      </c>
      <c r="G217">
        <v>32</v>
      </c>
      <c r="H217">
        <v>75</v>
      </c>
      <c r="I217">
        <v>44</v>
      </c>
      <c r="J217">
        <v>1</v>
      </c>
      <c r="K217">
        <v>-2</v>
      </c>
    </row>
    <row r="218" spans="2:11" x14ac:dyDescent="0.25">
      <c r="B218">
        <v>12</v>
      </c>
      <c r="C218">
        <v>-162</v>
      </c>
      <c r="D218">
        <v>-41</v>
      </c>
      <c r="E218">
        <v>-96</v>
      </c>
      <c r="F218">
        <v>-128</v>
      </c>
      <c r="G218">
        <v>0</v>
      </c>
      <c r="H218">
        <v>28</v>
      </c>
      <c r="I218">
        <v>11</v>
      </c>
      <c r="J218">
        <v>-12</v>
      </c>
      <c r="K218">
        <v>-224</v>
      </c>
    </row>
    <row r="219" spans="2:11" x14ac:dyDescent="0.25">
      <c r="B219">
        <v>-120</v>
      </c>
      <c r="C219">
        <v>934</v>
      </c>
      <c r="D219">
        <v>776</v>
      </c>
      <c r="E219">
        <v>0</v>
      </c>
      <c r="F219">
        <v>-453</v>
      </c>
      <c r="G219">
        <v>-436</v>
      </c>
      <c r="H219">
        <v>-380</v>
      </c>
      <c r="I219">
        <v>1</v>
      </c>
      <c r="J219">
        <v>350</v>
      </c>
      <c r="K219">
        <v>1170</v>
      </c>
    </row>
    <row r="220" spans="2:11" x14ac:dyDescent="0.25">
      <c r="B220">
        <v>0</v>
      </c>
      <c r="C220">
        <v>-120</v>
      </c>
      <c r="D220">
        <v>-1536</v>
      </c>
      <c r="E220">
        <v>-488</v>
      </c>
      <c r="F220">
        <v>-2161</v>
      </c>
      <c r="G220">
        <v>-105</v>
      </c>
      <c r="H220">
        <v>1964</v>
      </c>
      <c r="I220">
        <v>-388</v>
      </c>
      <c r="J220">
        <v>-1999</v>
      </c>
      <c r="K220">
        <v>40</v>
      </c>
    </row>
    <row r="221" spans="2:11" x14ac:dyDescent="0.25">
      <c r="B221">
        <v>-296</v>
      </c>
      <c r="C221">
        <v>43</v>
      </c>
      <c r="D221">
        <v>-2</v>
      </c>
      <c r="E221">
        <v>268</v>
      </c>
      <c r="F221">
        <v>988</v>
      </c>
      <c r="G221">
        <v>-3344</v>
      </c>
      <c r="H221">
        <v>-10367</v>
      </c>
      <c r="I221">
        <v>14534</v>
      </c>
      <c r="J221">
        <v>-1474</v>
      </c>
      <c r="K221">
        <v>-435</v>
      </c>
    </row>
    <row r="222" spans="2:11" x14ac:dyDescent="0.25">
      <c r="B222">
        <v>-426</v>
      </c>
      <c r="C222">
        <v>0</v>
      </c>
      <c r="D222">
        <v>129</v>
      </c>
      <c r="E222">
        <v>678</v>
      </c>
      <c r="F222">
        <v>1132</v>
      </c>
      <c r="G222">
        <v>1010</v>
      </c>
      <c r="H222">
        <v>654</v>
      </c>
      <c r="I222">
        <v>-416</v>
      </c>
      <c r="J222">
        <v>740</v>
      </c>
      <c r="K222">
        <v>656</v>
      </c>
    </row>
    <row r="223" spans="2:11" x14ac:dyDescent="0.25">
      <c r="B223">
        <v>284</v>
      </c>
      <c r="C223">
        <v>-98</v>
      </c>
      <c r="D223">
        <v>0</v>
      </c>
      <c r="E223">
        <v>193</v>
      </c>
      <c r="F223">
        <v>233</v>
      </c>
      <c r="G223">
        <v>622</v>
      </c>
      <c r="H223">
        <v>885</v>
      </c>
      <c r="I223">
        <v>266</v>
      </c>
      <c r="J223">
        <v>-108</v>
      </c>
      <c r="K223">
        <v>-105</v>
      </c>
    </row>
    <row r="224" spans="2:11" x14ac:dyDescent="0.25">
      <c r="B224">
        <v>0</v>
      </c>
      <c r="C224">
        <v>62</v>
      </c>
      <c r="D224">
        <v>-34</v>
      </c>
      <c r="E224">
        <v>-105</v>
      </c>
      <c r="F224">
        <v>-169</v>
      </c>
      <c r="G224">
        <v>-93</v>
      </c>
      <c r="H224">
        <v>-132</v>
      </c>
      <c r="I224">
        <v>0</v>
      </c>
      <c r="J224">
        <v>-533</v>
      </c>
      <c r="K224">
        <v>219</v>
      </c>
    </row>
    <row r="225" spans="2:11" x14ac:dyDescent="0.25">
      <c r="B225">
        <v>-6458</v>
      </c>
      <c r="C225">
        <v>-372</v>
      </c>
      <c r="D225">
        <v>-1798</v>
      </c>
      <c r="E225">
        <v>-6</v>
      </c>
      <c r="F225">
        <v>-2308</v>
      </c>
      <c r="G225">
        <v>61</v>
      </c>
      <c r="H225">
        <v>-497</v>
      </c>
      <c r="I225">
        <v>-45</v>
      </c>
      <c r="J225">
        <v>-2603</v>
      </c>
      <c r="K225">
        <v>-95</v>
      </c>
    </row>
    <row r="226" spans="2:11" x14ac:dyDescent="0.25">
      <c r="B226">
        <v>-11728</v>
      </c>
      <c r="C226">
        <v>529</v>
      </c>
      <c r="D226">
        <v>11850</v>
      </c>
      <c r="E226">
        <v>0</v>
      </c>
      <c r="F226">
        <v>3599</v>
      </c>
      <c r="G226">
        <v>119</v>
      </c>
      <c r="H226">
        <v>-173</v>
      </c>
      <c r="I226">
        <v>-342</v>
      </c>
      <c r="J226">
        <v>-392</v>
      </c>
      <c r="K226">
        <v>0</v>
      </c>
    </row>
    <row r="227" spans="2:11" x14ac:dyDescent="0.25">
      <c r="B227">
        <v>190</v>
      </c>
      <c r="C227">
        <v>203</v>
      </c>
      <c r="D227">
        <v>-188</v>
      </c>
      <c r="E227">
        <v>-367</v>
      </c>
      <c r="F227">
        <v>-207</v>
      </c>
      <c r="G227">
        <v>193</v>
      </c>
      <c r="H227">
        <v>-606</v>
      </c>
      <c r="I227">
        <v>-777</v>
      </c>
      <c r="J227">
        <v>-960</v>
      </c>
      <c r="K227">
        <v>-567</v>
      </c>
    </row>
    <row r="228" spans="2:11" x14ac:dyDescent="0.25">
      <c r="B228">
        <v>0</v>
      </c>
      <c r="C228">
        <v>235</v>
      </c>
      <c r="D228">
        <v>304</v>
      </c>
      <c r="E228">
        <v>55</v>
      </c>
      <c r="F228">
        <v>-387</v>
      </c>
      <c r="G228">
        <v>20</v>
      </c>
      <c r="H228">
        <v>1047</v>
      </c>
      <c r="I228">
        <v>17</v>
      </c>
      <c r="J228">
        <v>0</v>
      </c>
      <c r="K228">
        <v>1347</v>
      </c>
    </row>
    <row r="229" spans="2:11" x14ac:dyDescent="0.25">
      <c r="B229">
        <v>2269</v>
      </c>
      <c r="C229">
        <v>3128</v>
      </c>
      <c r="D229">
        <v>3262</v>
      </c>
      <c r="E229">
        <v>1522</v>
      </c>
      <c r="F229">
        <v>2031</v>
      </c>
      <c r="G229">
        <v>0</v>
      </c>
      <c r="H229">
        <v>224</v>
      </c>
      <c r="I229">
        <v>-1481</v>
      </c>
      <c r="J229">
        <v>-44</v>
      </c>
      <c r="K229">
        <v>-2394</v>
      </c>
    </row>
    <row r="230" spans="2:11" x14ac:dyDescent="0.25">
      <c r="B230">
        <v>182</v>
      </c>
      <c r="C230">
        <v>-1874</v>
      </c>
      <c r="D230">
        <v>25</v>
      </c>
      <c r="E230">
        <v>-66</v>
      </c>
      <c r="F230">
        <v>376</v>
      </c>
      <c r="G230">
        <v>2723</v>
      </c>
      <c r="H230">
        <v>133</v>
      </c>
      <c r="I230">
        <v>-1535</v>
      </c>
      <c r="J230">
        <v>-471</v>
      </c>
      <c r="K230">
        <v>-17289</v>
      </c>
    </row>
    <row r="231" spans="2:11" x14ac:dyDescent="0.25">
      <c r="B231">
        <v>220</v>
      </c>
      <c r="C231">
        <v>8050</v>
      </c>
      <c r="D231">
        <v>120</v>
      </c>
      <c r="E231">
        <v>1731</v>
      </c>
      <c r="F231">
        <v>947</v>
      </c>
      <c r="G231">
        <v>1634</v>
      </c>
      <c r="H231">
        <v>1441</v>
      </c>
      <c r="I231">
        <v>1140</v>
      </c>
      <c r="J231">
        <v>0</v>
      </c>
      <c r="K231">
        <v>-255</v>
      </c>
    </row>
    <row r="232" spans="2:11" x14ac:dyDescent="0.25">
      <c r="B232">
        <v>-614</v>
      </c>
      <c r="C232">
        <v>-514</v>
      </c>
      <c r="D232">
        <v>-329</v>
      </c>
      <c r="E232">
        <v>-264</v>
      </c>
      <c r="F232">
        <v>-396</v>
      </c>
      <c r="G232">
        <v>-44</v>
      </c>
      <c r="H232">
        <v>-874</v>
      </c>
      <c r="I232">
        <v>-598</v>
      </c>
      <c r="J232">
        <v>-368</v>
      </c>
      <c r="K232">
        <v>0</v>
      </c>
    </row>
    <row r="233" spans="2:11" x14ac:dyDescent="0.25">
      <c r="B233">
        <v>-57</v>
      </c>
      <c r="C233">
        <v>81</v>
      </c>
      <c r="D233">
        <v>72</v>
      </c>
      <c r="E233">
        <v>-254</v>
      </c>
      <c r="F233">
        <v>-853</v>
      </c>
      <c r="G233">
        <v>70</v>
      </c>
      <c r="H233">
        <v>56</v>
      </c>
      <c r="I233">
        <v>0</v>
      </c>
      <c r="J233">
        <v>70</v>
      </c>
      <c r="K233">
        <v>99</v>
      </c>
    </row>
    <row r="234" spans="2:11" x14ac:dyDescent="0.25">
      <c r="B234">
        <v>141</v>
      </c>
      <c r="C234">
        <v>145</v>
      </c>
      <c r="D234">
        <v>87</v>
      </c>
      <c r="E234">
        <v>148</v>
      </c>
      <c r="F234">
        <v>0</v>
      </c>
      <c r="G234">
        <v>-3147</v>
      </c>
      <c r="H234">
        <v>-382</v>
      </c>
      <c r="I234">
        <v>-178</v>
      </c>
      <c r="J234">
        <v>-239</v>
      </c>
      <c r="K234">
        <v>2023</v>
      </c>
    </row>
    <row r="235" spans="2:11" x14ac:dyDescent="0.25">
      <c r="B235">
        <v>225</v>
      </c>
      <c r="C235">
        <v>652</v>
      </c>
      <c r="D235">
        <v>-216</v>
      </c>
      <c r="E235">
        <v>1796</v>
      </c>
      <c r="F235">
        <v>202</v>
      </c>
      <c r="G235">
        <v>-2464</v>
      </c>
      <c r="H235">
        <v>-311</v>
      </c>
      <c r="I235">
        <v>3829</v>
      </c>
      <c r="J235">
        <v>-206</v>
      </c>
      <c r="K235">
        <v>-8670</v>
      </c>
    </row>
    <row r="236" spans="2:11" x14ac:dyDescent="0.25">
      <c r="B236">
        <v>-294</v>
      </c>
      <c r="C236">
        <v>-4733</v>
      </c>
      <c r="D236">
        <v>-752</v>
      </c>
      <c r="E236">
        <v>-44225</v>
      </c>
      <c r="F236">
        <v>-1431</v>
      </c>
      <c r="G236">
        <v>-118</v>
      </c>
      <c r="H236">
        <v>25</v>
      </c>
      <c r="I236">
        <v>85</v>
      </c>
      <c r="J236">
        <v>0</v>
      </c>
      <c r="K236">
        <v>-250</v>
      </c>
    </row>
    <row r="237" spans="2:11" x14ac:dyDescent="0.25">
      <c r="B237">
        <v>-669</v>
      </c>
      <c r="C237">
        <v>-1014</v>
      </c>
      <c r="D237">
        <v>-1217</v>
      </c>
      <c r="E237">
        <v>-589</v>
      </c>
      <c r="F237">
        <v>357</v>
      </c>
      <c r="G237">
        <v>-966</v>
      </c>
      <c r="H237">
        <v>-1537</v>
      </c>
      <c r="I237">
        <v>-1455</v>
      </c>
      <c r="J237">
        <v>-1213</v>
      </c>
      <c r="K237">
        <v>0</v>
      </c>
    </row>
    <row r="238" spans="2:11" x14ac:dyDescent="0.25">
      <c r="B238">
        <v>453</v>
      </c>
      <c r="C238">
        <v>797</v>
      </c>
      <c r="D238">
        <v>318</v>
      </c>
      <c r="E238">
        <v>-311</v>
      </c>
      <c r="F238">
        <v>-2129</v>
      </c>
      <c r="G238">
        <v>-216</v>
      </c>
      <c r="H238">
        <v>308</v>
      </c>
      <c r="I238">
        <v>0</v>
      </c>
      <c r="J238">
        <v>-1100</v>
      </c>
      <c r="K238">
        <v>-1858</v>
      </c>
    </row>
    <row r="239" spans="2:11" x14ac:dyDescent="0.25">
      <c r="B239">
        <v>-2400</v>
      </c>
      <c r="C239">
        <v>-1787</v>
      </c>
      <c r="D239">
        <v>-800</v>
      </c>
      <c r="E239">
        <v>-1179</v>
      </c>
      <c r="F239">
        <v>0</v>
      </c>
      <c r="G239">
        <v>-315</v>
      </c>
      <c r="H239">
        <v>-3232</v>
      </c>
      <c r="I239">
        <v>-51</v>
      </c>
      <c r="J239">
        <v>791</v>
      </c>
      <c r="K239">
        <v>303</v>
      </c>
    </row>
    <row r="240" spans="2:11" x14ac:dyDescent="0.25">
      <c r="B240">
        <v>2768</v>
      </c>
      <c r="C240">
        <v>104</v>
      </c>
      <c r="D240">
        <v>2185</v>
      </c>
      <c r="E240">
        <v>72</v>
      </c>
      <c r="F240">
        <v>133</v>
      </c>
      <c r="G240">
        <v>182</v>
      </c>
      <c r="H240">
        <v>1141</v>
      </c>
      <c r="I240">
        <v>-167</v>
      </c>
      <c r="J240">
        <v>4502</v>
      </c>
      <c r="K240">
        <v>-35</v>
      </c>
    </row>
    <row r="241" spans="2:11" x14ac:dyDescent="0.25">
      <c r="B241">
        <v>-4310</v>
      </c>
      <c r="C241">
        <v>-131</v>
      </c>
      <c r="D241">
        <v>-889</v>
      </c>
      <c r="E241">
        <v>-1420</v>
      </c>
      <c r="F241">
        <v>-45918</v>
      </c>
      <c r="G241">
        <v>179</v>
      </c>
      <c r="H241">
        <v>-226</v>
      </c>
      <c r="I241">
        <v>-122</v>
      </c>
      <c r="J241">
        <v>335</v>
      </c>
      <c r="K241">
        <v>0</v>
      </c>
    </row>
    <row r="242" spans="2:11" x14ac:dyDescent="0.25">
      <c r="B242">
        <v>-172</v>
      </c>
      <c r="C242">
        <v>-244</v>
      </c>
      <c r="D242">
        <v>40</v>
      </c>
      <c r="E242">
        <v>689</v>
      </c>
      <c r="F242">
        <v>265</v>
      </c>
      <c r="G242">
        <v>-591</v>
      </c>
      <c r="H242">
        <v>1299</v>
      </c>
      <c r="I242">
        <v>1499</v>
      </c>
      <c r="J242">
        <v>1794</v>
      </c>
      <c r="K242">
        <v>1718</v>
      </c>
    </row>
    <row r="243" spans="2:11" x14ac:dyDescent="0.25">
      <c r="B243">
        <v>0</v>
      </c>
      <c r="C243">
        <v>-1102</v>
      </c>
      <c r="D243">
        <v>-1868</v>
      </c>
      <c r="E243">
        <v>-3077</v>
      </c>
      <c r="F243">
        <v>-818</v>
      </c>
      <c r="G243">
        <v>1555</v>
      </c>
      <c r="H243">
        <v>23574</v>
      </c>
      <c r="I243">
        <v>19748</v>
      </c>
      <c r="J243">
        <v>0</v>
      </c>
      <c r="K243">
        <v>-657</v>
      </c>
    </row>
    <row r="244" spans="2:11" x14ac:dyDescent="0.25">
      <c r="B244">
        <v>9083</v>
      </c>
      <c r="C244">
        <v>-1433</v>
      </c>
      <c r="D244">
        <v>-6218</v>
      </c>
      <c r="E244">
        <v>-4147</v>
      </c>
      <c r="F244">
        <v>-6913</v>
      </c>
      <c r="G244">
        <v>0</v>
      </c>
      <c r="H244">
        <v>238</v>
      </c>
      <c r="I244">
        <v>-75</v>
      </c>
      <c r="J244">
        <v>427</v>
      </c>
      <c r="K244">
        <v>1206</v>
      </c>
    </row>
    <row r="245" spans="2:11" x14ac:dyDescent="0.25">
      <c r="B245">
        <v>164</v>
      </c>
      <c r="C245">
        <v>419</v>
      </c>
      <c r="D245">
        <v>506</v>
      </c>
      <c r="E245">
        <v>1211</v>
      </c>
      <c r="F245">
        <v>-110</v>
      </c>
      <c r="G245">
        <v>1634</v>
      </c>
      <c r="H245">
        <v>347</v>
      </c>
      <c r="I245">
        <v>-4515</v>
      </c>
      <c r="J245">
        <v>1116</v>
      </c>
      <c r="K245">
        <v>9703</v>
      </c>
    </row>
    <row r="246" spans="2:11" x14ac:dyDescent="0.25">
      <c r="B246">
        <v>572</v>
      </c>
      <c r="C246">
        <v>-9229</v>
      </c>
      <c r="D246">
        <v>-56</v>
      </c>
      <c r="E246">
        <v>929</v>
      </c>
      <c r="F246">
        <v>-28</v>
      </c>
      <c r="G246">
        <v>-3114</v>
      </c>
      <c r="H246">
        <v>-170</v>
      </c>
      <c r="I246">
        <v>2617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-1835</v>
      </c>
      <c r="F274">
        <v>-1152</v>
      </c>
      <c r="G274">
        <v>-833</v>
      </c>
      <c r="H274">
        <v>0</v>
      </c>
      <c r="I274">
        <v>-213</v>
      </c>
      <c r="J274">
        <v>239</v>
      </c>
      <c r="K274">
        <v>342</v>
      </c>
    </row>
    <row r="275" spans="2:11" x14ac:dyDescent="0.25">
      <c r="B275">
        <v>-311</v>
      </c>
      <c r="C275">
        <v>-524</v>
      </c>
      <c r="D275">
        <v>-24</v>
      </c>
      <c r="E275">
        <v>140</v>
      </c>
      <c r="F275">
        <v>-185</v>
      </c>
      <c r="G275">
        <v>-390</v>
      </c>
      <c r="H275">
        <v>-572</v>
      </c>
      <c r="I275">
        <v>0</v>
      </c>
      <c r="J275">
        <v>565</v>
      </c>
      <c r="K275">
        <v>411</v>
      </c>
    </row>
    <row r="276" spans="2:11" x14ac:dyDescent="0.25">
      <c r="B276">
        <v>116</v>
      </c>
      <c r="C276">
        <v>50</v>
      </c>
      <c r="D276">
        <v>17</v>
      </c>
      <c r="E276">
        <v>102</v>
      </c>
      <c r="F276">
        <v>128</v>
      </c>
      <c r="G276">
        <v>0</v>
      </c>
      <c r="H276">
        <v>-173</v>
      </c>
      <c r="I276">
        <v>-146</v>
      </c>
      <c r="J276">
        <v>-156</v>
      </c>
      <c r="K276">
        <v>-106</v>
      </c>
    </row>
    <row r="277" spans="2:11" x14ac:dyDescent="0.25">
      <c r="B277">
        <v>-33</v>
      </c>
      <c r="C277">
        <v>-5</v>
      </c>
      <c r="D277">
        <v>0</v>
      </c>
      <c r="E277">
        <v>700</v>
      </c>
      <c r="F277">
        <v>-201</v>
      </c>
      <c r="G277">
        <v>997</v>
      </c>
      <c r="H277">
        <v>-385</v>
      </c>
      <c r="I277">
        <v>592</v>
      </c>
      <c r="J277">
        <v>-38</v>
      </c>
      <c r="K277">
        <v>721</v>
      </c>
    </row>
    <row r="278" spans="2:11" x14ac:dyDescent="0.25">
      <c r="B278">
        <v>-403</v>
      </c>
      <c r="C278">
        <v>-243</v>
      </c>
      <c r="D278">
        <v>-40</v>
      </c>
      <c r="E278">
        <v>-124</v>
      </c>
      <c r="F278">
        <v>462</v>
      </c>
      <c r="G278">
        <v>-432</v>
      </c>
      <c r="H278">
        <v>1328</v>
      </c>
      <c r="I278">
        <v>185</v>
      </c>
      <c r="J278">
        <v>-402</v>
      </c>
      <c r="K278">
        <v>380</v>
      </c>
    </row>
    <row r="279" spans="2:11" x14ac:dyDescent="0.25">
      <c r="B279">
        <v>-24</v>
      </c>
      <c r="C279">
        <v>2088</v>
      </c>
      <c r="D279">
        <v>-474</v>
      </c>
      <c r="E279">
        <v>-268</v>
      </c>
      <c r="F279">
        <v>96</v>
      </c>
      <c r="G279">
        <v>154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677</v>
      </c>
      <c r="D280">
        <v>952</v>
      </c>
      <c r="E280">
        <v>475</v>
      </c>
      <c r="F280">
        <v>0</v>
      </c>
      <c r="G280">
        <v>-168</v>
      </c>
      <c r="H280">
        <v>-24</v>
      </c>
      <c r="I280">
        <v>54</v>
      </c>
      <c r="J280">
        <v>173</v>
      </c>
      <c r="K280">
        <v>141</v>
      </c>
    </row>
    <row r="281" spans="2:11" x14ac:dyDescent="0.25">
      <c r="B281">
        <v>-300</v>
      </c>
      <c r="C281">
        <v>-1000</v>
      </c>
      <c r="D281">
        <v>531</v>
      </c>
      <c r="E281">
        <v>409</v>
      </c>
      <c r="F281">
        <v>1039</v>
      </c>
      <c r="G281">
        <v>0</v>
      </c>
      <c r="H281">
        <v>-90</v>
      </c>
      <c r="I281">
        <v>-643</v>
      </c>
      <c r="J281">
        <v>-860</v>
      </c>
      <c r="K281">
        <v>-794</v>
      </c>
    </row>
    <row r="282" spans="2:11" x14ac:dyDescent="0.25">
      <c r="B282">
        <v>-1521</v>
      </c>
      <c r="C282">
        <v>285</v>
      </c>
      <c r="D282">
        <v>382</v>
      </c>
      <c r="E282">
        <v>0</v>
      </c>
      <c r="F282">
        <v>-333</v>
      </c>
      <c r="G282">
        <v>-352</v>
      </c>
      <c r="H282">
        <v>-309</v>
      </c>
      <c r="I282">
        <v>-242</v>
      </c>
      <c r="J282">
        <v>-104</v>
      </c>
      <c r="K282">
        <v>-168</v>
      </c>
    </row>
    <row r="283" spans="2:11" x14ac:dyDescent="0.25">
      <c r="B283">
        <v>0</v>
      </c>
      <c r="C283">
        <v>655</v>
      </c>
      <c r="D283">
        <v>339</v>
      </c>
      <c r="E283">
        <v>1155</v>
      </c>
      <c r="F283">
        <v>405</v>
      </c>
      <c r="G283">
        <v>599</v>
      </c>
      <c r="H283">
        <v>186</v>
      </c>
      <c r="I283">
        <v>1253</v>
      </c>
      <c r="J283">
        <v>512</v>
      </c>
      <c r="K283">
        <v>-149</v>
      </c>
    </row>
    <row r="284" spans="2:11" x14ac:dyDescent="0.25">
      <c r="B284">
        <v>-33</v>
      </c>
      <c r="C284">
        <v>249</v>
      </c>
      <c r="D284">
        <v>2093</v>
      </c>
      <c r="E284">
        <v>-1366</v>
      </c>
      <c r="F284">
        <v>655</v>
      </c>
      <c r="G284">
        <v>887</v>
      </c>
      <c r="H284">
        <v>1225</v>
      </c>
      <c r="I284">
        <v>-645</v>
      </c>
      <c r="J284">
        <v>-460</v>
      </c>
      <c r="K284">
        <v>3451</v>
      </c>
    </row>
    <row r="285" spans="2:11" x14ac:dyDescent="0.25">
      <c r="B285">
        <v>-645</v>
      </c>
      <c r="C285">
        <v>231</v>
      </c>
      <c r="D285">
        <v>-406</v>
      </c>
      <c r="E285">
        <v>229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-20543</v>
      </c>
    </row>
    <row r="286" spans="2:11" x14ac:dyDescent="0.25">
      <c r="B286">
        <v>4012</v>
      </c>
      <c r="C286">
        <v>3753</v>
      </c>
      <c r="D286">
        <v>3937</v>
      </c>
      <c r="E286">
        <v>0</v>
      </c>
      <c r="F286">
        <v>-4373</v>
      </c>
      <c r="G286">
        <v>-9702</v>
      </c>
      <c r="H286">
        <v>-11442</v>
      </c>
      <c r="I286">
        <v>-11845</v>
      </c>
      <c r="J286">
        <v>-13276</v>
      </c>
      <c r="K286">
        <v>-12974</v>
      </c>
    </row>
    <row r="287" spans="2:11" x14ac:dyDescent="0.25">
      <c r="B287">
        <v>-199</v>
      </c>
      <c r="C287">
        <v>-160</v>
      </c>
      <c r="D287">
        <v>1175</v>
      </c>
      <c r="E287">
        <v>1605</v>
      </c>
      <c r="F287">
        <v>0</v>
      </c>
      <c r="G287">
        <v>-1175</v>
      </c>
      <c r="H287">
        <v>-2912</v>
      </c>
      <c r="I287">
        <v>-1442</v>
      </c>
      <c r="J287">
        <v>-656</v>
      </c>
      <c r="K287">
        <v>260</v>
      </c>
    </row>
    <row r="288" spans="2:11" x14ac:dyDescent="0.25">
      <c r="B288">
        <v>-35896</v>
      </c>
      <c r="C288">
        <v>-29463</v>
      </c>
      <c r="D288">
        <v>0</v>
      </c>
      <c r="E288">
        <v>29371</v>
      </c>
      <c r="F288">
        <v>32628</v>
      </c>
      <c r="G288">
        <v>33358</v>
      </c>
      <c r="H288">
        <v>32960</v>
      </c>
      <c r="I288">
        <v>17310</v>
      </c>
      <c r="J288">
        <v>26733</v>
      </c>
      <c r="K288">
        <v>0</v>
      </c>
    </row>
    <row r="289" spans="2:11" x14ac:dyDescent="0.25">
      <c r="B289">
        <v>-3418</v>
      </c>
      <c r="C289">
        <v>10064</v>
      </c>
      <c r="D289">
        <v>-4715</v>
      </c>
      <c r="E289">
        <v>12820</v>
      </c>
      <c r="F289">
        <v>-2664</v>
      </c>
      <c r="G289">
        <v>7136</v>
      </c>
      <c r="H289">
        <v>-4898</v>
      </c>
      <c r="I289">
        <v>16284</v>
      </c>
      <c r="J289">
        <v>-1831</v>
      </c>
      <c r="K289">
        <v>6229</v>
      </c>
    </row>
    <row r="290" spans="2:11" x14ac:dyDescent="0.25">
      <c r="B290">
        <v>-14646</v>
      </c>
      <c r="C290">
        <v>66996</v>
      </c>
      <c r="D290">
        <v>10711</v>
      </c>
      <c r="E290">
        <v>-33731</v>
      </c>
      <c r="F290">
        <v>-17764</v>
      </c>
      <c r="G290">
        <v>83595</v>
      </c>
      <c r="H290">
        <v>252</v>
      </c>
      <c r="I290">
        <v>-467</v>
      </c>
      <c r="J290">
        <v>-2538</v>
      </c>
      <c r="K290">
        <v>7690</v>
      </c>
    </row>
    <row r="291" spans="2:11" x14ac:dyDescent="0.25">
      <c r="B291">
        <v>1726</v>
      </c>
      <c r="C291">
        <v>-3608</v>
      </c>
      <c r="D291">
        <v>-11297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-631</v>
      </c>
      <c r="K291">
        <v>690</v>
      </c>
    </row>
    <row r="292" spans="2:11" x14ac:dyDescent="0.25">
      <c r="B292">
        <v>-3122</v>
      </c>
      <c r="C292">
        <v>-1581</v>
      </c>
      <c r="D292">
        <v>-2370</v>
      </c>
      <c r="E292">
        <v>0</v>
      </c>
      <c r="F292">
        <v>486</v>
      </c>
      <c r="G292">
        <v>289</v>
      </c>
      <c r="H292">
        <v>-331</v>
      </c>
      <c r="I292">
        <v>-883</v>
      </c>
      <c r="J292">
        <v>-1612</v>
      </c>
      <c r="K292">
        <v>-1168</v>
      </c>
    </row>
    <row r="293" spans="2:11" x14ac:dyDescent="0.25">
      <c r="B293">
        <v>-9968</v>
      </c>
      <c r="C293">
        <v>-13276</v>
      </c>
      <c r="D293">
        <v>-12211</v>
      </c>
      <c r="E293">
        <v>-9025</v>
      </c>
      <c r="F293">
        <v>0</v>
      </c>
      <c r="G293">
        <v>4226</v>
      </c>
      <c r="H293">
        <v>7364</v>
      </c>
      <c r="I293">
        <v>12140</v>
      </c>
      <c r="J293">
        <v>14561</v>
      </c>
      <c r="K293">
        <v>14021</v>
      </c>
    </row>
    <row r="294" spans="2:11" x14ac:dyDescent="0.25">
      <c r="B294">
        <v>-36795</v>
      </c>
      <c r="C294">
        <v>-30057</v>
      </c>
      <c r="D294">
        <v>0</v>
      </c>
      <c r="E294">
        <v>29456</v>
      </c>
      <c r="F294">
        <v>32828</v>
      </c>
      <c r="G294">
        <v>33558</v>
      </c>
      <c r="H294">
        <v>33001</v>
      </c>
      <c r="I294">
        <v>17371</v>
      </c>
      <c r="J294">
        <v>27089</v>
      </c>
      <c r="K294">
        <v>0</v>
      </c>
    </row>
    <row r="295" spans="2:11" x14ac:dyDescent="0.25">
      <c r="B295">
        <v>611</v>
      </c>
      <c r="C295">
        <v>10427</v>
      </c>
      <c r="D295">
        <v>894</v>
      </c>
      <c r="E295">
        <v>13451</v>
      </c>
      <c r="F295">
        <v>140</v>
      </c>
      <c r="G295">
        <v>7294</v>
      </c>
      <c r="H295">
        <v>1270</v>
      </c>
      <c r="I295">
        <v>17226</v>
      </c>
      <c r="J295">
        <v>-3</v>
      </c>
      <c r="K295">
        <v>6282</v>
      </c>
    </row>
    <row r="296" spans="2:11" x14ac:dyDescent="0.25">
      <c r="B296">
        <v>286</v>
      </c>
      <c r="C296">
        <v>68865</v>
      </c>
      <c r="D296">
        <v>-10904</v>
      </c>
      <c r="E296">
        <v>-39813</v>
      </c>
      <c r="F296">
        <v>1168</v>
      </c>
      <c r="G296">
        <v>85286</v>
      </c>
      <c r="H296">
        <v>-68</v>
      </c>
      <c r="I296">
        <v>-557</v>
      </c>
      <c r="J296">
        <v>-53</v>
      </c>
      <c r="K296">
        <v>7961</v>
      </c>
    </row>
    <row r="297" spans="2:11" x14ac:dyDescent="0.25">
      <c r="B297">
        <v>-258</v>
      </c>
      <c r="C297">
        <v>-3629</v>
      </c>
      <c r="D297">
        <v>-11616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-500</v>
      </c>
      <c r="K297">
        <v>864</v>
      </c>
    </row>
    <row r="298" spans="2:11" x14ac:dyDescent="0.25">
      <c r="B298">
        <v>95186</v>
      </c>
      <c r="C298">
        <v>1446</v>
      </c>
      <c r="D298">
        <v>1364</v>
      </c>
      <c r="E298">
        <v>1197</v>
      </c>
      <c r="F298">
        <v>0</v>
      </c>
      <c r="G298">
        <v>342</v>
      </c>
      <c r="H298">
        <v>1319</v>
      </c>
      <c r="I298">
        <v>1537</v>
      </c>
      <c r="J298">
        <v>1249</v>
      </c>
      <c r="K298">
        <v>489</v>
      </c>
    </row>
    <row r="299" spans="2:11" x14ac:dyDescent="0.25">
      <c r="B299">
        <v>-671</v>
      </c>
      <c r="C299">
        <v>225</v>
      </c>
      <c r="D299">
        <v>-679</v>
      </c>
      <c r="E299">
        <v>-1063</v>
      </c>
      <c r="F299">
        <v>-857</v>
      </c>
      <c r="G299">
        <v>0</v>
      </c>
      <c r="H299">
        <v>734</v>
      </c>
      <c r="I299">
        <v>920</v>
      </c>
      <c r="J299">
        <v>985</v>
      </c>
      <c r="K299">
        <v>-1</v>
      </c>
    </row>
    <row r="300" spans="2:11" x14ac:dyDescent="0.25">
      <c r="B300">
        <v>-1160</v>
      </c>
      <c r="C300">
        <v>251</v>
      </c>
      <c r="D300">
        <v>-95</v>
      </c>
      <c r="E300">
        <v>0</v>
      </c>
      <c r="F300">
        <v>573</v>
      </c>
      <c r="G300">
        <v>593</v>
      </c>
      <c r="H300">
        <v>751</v>
      </c>
      <c r="I300">
        <v>753</v>
      </c>
      <c r="J300">
        <v>411</v>
      </c>
      <c r="K300">
        <v>667</v>
      </c>
    </row>
    <row r="301" spans="2:11" x14ac:dyDescent="0.25">
      <c r="B301">
        <v>0</v>
      </c>
      <c r="C301">
        <v>-764</v>
      </c>
      <c r="D301">
        <v>-541</v>
      </c>
      <c r="E301">
        <v>345</v>
      </c>
      <c r="F301">
        <v>-423</v>
      </c>
      <c r="G301">
        <v>2616</v>
      </c>
      <c r="H301">
        <v>87</v>
      </c>
      <c r="I301">
        <v>-1069</v>
      </c>
      <c r="J301">
        <v>-556</v>
      </c>
      <c r="K301">
        <v>103</v>
      </c>
    </row>
    <row r="302" spans="2:11" x14ac:dyDescent="0.25">
      <c r="B302">
        <v>86</v>
      </c>
      <c r="C302">
        <v>-4984</v>
      </c>
      <c r="D302">
        <v>-1553</v>
      </c>
      <c r="E302">
        <v>-13433</v>
      </c>
      <c r="F302">
        <v>11753</v>
      </c>
      <c r="G302">
        <v>-7301</v>
      </c>
      <c r="H302">
        <v>-1303</v>
      </c>
      <c r="I302">
        <v>1011</v>
      </c>
      <c r="J302">
        <v>-95</v>
      </c>
      <c r="K302">
        <v>9178</v>
      </c>
    </row>
    <row r="303" spans="2:11" x14ac:dyDescent="0.25">
      <c r="B303">
        <v>-1048</v>
      </c>
      <c r="C303">
        <v>-2014</v>
      </c>
      <c r="D303">
        <v>-1120</v>
      </c>
      <c r="E303">
        <v>-1283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1146</v>
      </c>
    </row>
    <row r="304" spans="2:11" x14ac:dyDescent="0.25">
      <c r="B304">
        <v>3063</v>
      </c>
      <c r="C304">
        <v>396</v>
      </c>
      <c r="D304">
        <v>-984</v>
      </c>
      <c r="E304">
        <v>1409</v>
      </c>
      <c r="F304">
        <v>1892</v>
      </c>
      <c r="G304">
        <v>2846</v>
      </c>
      <c r="H304">
        <v>0</v>
      </c>
      <c r="I304">
        <v>-468</v>
      </c>
      <c r="J304">
        <v>-12</v>
      </c>
      <c r="K304">
        <v>-914</v>
      </c>
    </row>
    <row r="305" spans="2:11" x14ac:dyDescent="0.25">
      <c r="B305">
        <v>-963</v>
      </c>
      <c r="C305">
        <v>70</v>
      </c>
      <c r="D305">
        <v>743</v>
      </c>
      <c r="E305">
        <v>2832</v>
      </c>
      <c r="F305">
        <v>1533</v>
      </c>
      <c r="G305">
        <v>871</v>
      </c>
      <c r="H305">
        <v>1107</v>
      </c>
      <c r="I305">
        <v>0</v>
      </c>
      <c r="J305">
        <v>1029</v>
      </c>
      <c r="K305">
        <v>2071</v>
      </c>
    </row>
    <row r="306" spans="2:11" x14ac:dyDescent="0.25">
      <c r="B306">
        <v>3221</v>
      </c>
      <c r="C306">
        <v>4238</v>
      </c>
      <c r="D306">
        <v>2954</v>
      </c>
      <c r="E306">
        <v>29</v>
      </c>
      <c r="F306">
        <v>-343</v>
      </c>
      <c r="G306">
        <v>0</v>
      </c>
      <c r="H306">
        <v>531</v>
      </c>
      <c r="I306">
        <v>647</v>
      </c>
      <c r="J306">
        <v>652</v>
      </c>
      <c r="K306">
        <v>405</v>
      </c>
    </row>
    <row r="307" spans="2:11" x14ac:dyDescent="0.25">
      <c r="B307">
        <v>92</v>
      </c>
      <c r="C307">
        <v>-5</v>
      </c>
      <c r="D307">
        <v>0</v>
      </c>
      <c r="E307">
        <v>-1495</v>
      </c>
      <c r="F307">
        <v>-742</v>
      </c>
      <c r="G307">
        <v>2062</v>
      </c>
      <c r="H307">
        <v>-406</v>
      </c>
      <c r="I307">
        <v>2036</v>
      </c>
      <c r="J307">
        <v>-246</v>
      </c>
      <c r="K307">
        <v>615</v>
      </c>
    </row>
    <row r="308" spans="2:11" x14ac:dyDescent="0.25">
      <c r="B308">
        <v>-468</v>
      </c>
      <c r="C308">
        <v>1235</v>
      </c>
      <c r="D308">
        <v>147</v>
      </c>
      <c r="E308">
        <v>-5743</v>
      </c>
      <c r="F308">
        <v>-1772</v>
      </c>
      <c r="G308">
        <v>-7128</v>
      </c>
      <c r="H308">
        <v>12876</v>
      </c>
      <c r="I308">
        <v>-6910</v>
      </c>
      <c r="J308">
        <v>-1611</v>
      </c>
      <c r="K308">
        <v>-242</v>
      </c>
    </row>
    <row r="309" spans="2:11" x14ac:dyDescent="0.25">
      <c r="B309">
        <v>-517</v>
      </c>
      <c r="C309">
        <v>7089</v>
      </c>
      <c r="D309">
        <v>-1565</v>
      </c>
      <c r="E309">
        <v>-2141</v>
      </c>
      <c r="F309">
        <v>-1213</v>
      </c>
      <c r="G309">
        <v>-1349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4436</v>
      </c>
      <c r="D310">
        <v>-448</v>
      </c>
      <c r="E310">
        <v>203</v>
      </c>
      <c r="F310">
        <v>-1270</v>
      </c>
      <c r="G310">
        <v>76809</v>
      </c>
      <c r="H310">
        <v>-785</v>
      </c>
      <c r="I310">
        <v>-756</v>
      </c>
      <c r="J310">
        <v>61</v>
      </c>
      <c r="K310">
        <v>0</v>
      </c>
    </row>
    <row r="311" spans="2:11" x14ac:dyDescent="0.25">
      <c r="B311">
        <v>252</v>
      </c>
      <c r="C311">
        <v>889</v>
      </c>
      <c r="D311">
        <v>1328</v>
      </c>
      <c r="E311">
        <v>1170</v>
      </c>
      <c r="F311">
        <v>504</v>
      </c>
      <c r="G311">
        <v>-636</v>
      </c>
      <c r="H311">
        <v>1135</v>
      </c>
      <c r="I311">
        <v>844</v>
      </c>
      <c r="J311">
        <v>782</v>
      </c>
      <c r="K311">
        <v>770</v>
      </c>
    </row>
    <row r="312" spans="2:11" x14ac:dyDescent="0.25">
      <c r="B312">
        <v>0</v>
      </c>
      <c r="C312">
        <v>-792</v>
      </c>
      <c r="D312">
        <v>-1371</v>
      </c>
      <c r="E312">
        <v>-1101</v>
      </c>
      <c r="F312">
        <v>-153</v>
      </c>
      <c r="G312">
        <v>670</v>
      </c>
      <c r="H312">
        <v>-774</v>
      </c>
      <c r="I312">
        <v>-3077</v>
      </c>
      <c r="J312">
        <v>0</v>
      </c>
      <c r="K312">
        <v>3806</v>
      </c>
    </row>
    <row r="313" spans="2:11" x14ac:dyDescent="0.25">
      <c r="B313">
        <v>3427</v>
      </c>
      <c r="C313">
        <v>2852</v>
      </c>
      <c r="D313">
        <v>1862</v>
      </c>
      <c r="E313">
        <v>487</v>
      </c>
      <c r="F313">
        <v>271</v>
      </c>
      <c r="G313">
        <v>0</v>
      </c>
      <c r="H313">
        <v>632</v>
      </c>
      <c r="I313">
        <v>-2400</v>
      </c>
      <c r="J313">
        <v>519</v>
      </c>
      <c r="K313">
        <v>612</v>
      </c>
    </row>
    <row r="314" spans="2:11" x14ac:dyDescent="0.25">
      <c r="B314">
        <v>-119</v>
      </c>
      <c r="C314">
        <v>-1812</v>
      </c>
      <c r="D314">
        <v>281</v>
      </c>
      <c r="E314">
        <v>-921</v>
      </c>
      <c r="F314">
        <v>-96</v>
      </c>
      <c r="G314">
        <v>-1653</v>
      </c>
      <c r="H314">
        <v>85</v>
      </c>
      <c r="I314">
        <v>-45362</v>
      </c>
      <c r="J314">
        <v>1319</v>
      </c>
      <c r="K314">
        <v>-13849</v>
      </c>
    </row>
    <row r="315" spans="2:11" x14ac:dyDescent="0.25">
      <c r="B315">
        <v>-3396</v>
      </c>
      <c r="C315">
        <v>-9324</v>
      </c>
      <c r="D315">
        <v>-261</v>
      </c>
      <c r="E315">
        <v>722</v>
      </c>
      <c r="F315">
        <v>396</v>
      </c>
      <c r="G315">
        <v>-2872</v>
      </c>
      <c r="H315">
        <v>501</v>
      </c>
      <c r="I315">
        <v>-796</v>
      </c>
      <c r="J315">
        <v>-4003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-1926</v>
      </c>
      <c r="G316">
        <v>-2213</v>
      </c>
      <c r="H316">
        <v>-4757</v>
      </c>
      <c r="I316">
        <v>-5614</v>
      </c>
      <c r="J316">
        <v>3981</v>
      </c>
      <c r="K316">
        <v>2954</v>
      </c>
    </row>
    <row r="317" spans="2:11" x14ac:dyDescent="0.25">
      <c r="B317">
        <v>186</v>
      </c>
      <c r="C317">
        <v>1111</v>
      </c>
      <c r="D317">
        <v>1181</v>
      </c>
      <c r="E317">
        <v>0</v>
      </c>
      <c r="F317">
        <v>-1238</v>
      </c>
      <c r="G317">
        <v>-3234</v>
      </c>
      <c r="H317">
        <v>-3902</v>
      </c>
      <c r="I317">
        <v>-2050</v>
      </c>
      <c r="J317">
        <v>-819</v>
      </c>
      <c r="K317">
        <v>1758</v>
      </c>
    </row>
    <row r="318" spans="2:11" x14ac:dyDescent="0.25">
      <c r="B318">
        <v>803</v>
      </c>
      <c r="C318">
        <v>1423</v>
      </c>
      <c r="D318">
        <v>1348</v>
      </c>
      <c r="E318">
        <v>-220</v>
      </c>
      <c r="F318">
        <v>0</v>
      </c>
      <c r="G318">
        <v>1171</v>
      </c>
      <c r="H318">
        <v>2184</v>
      </c>
      <c r="I318">
        <v>2665</v>
      </c>
      <c r="J318">
        <v>3349</v>
      </c>
      <c r="K318">
        <v>3816</v>
      </c>
    </row>
    <row r="319" spans="2:11" x14ac:dyDescent="0.25">
      <c r="B319">
        <v>-157</v>
      </c>
      <c r="C319">
        <v>-169</v>
      </c>
      <c r="D319">
        <v>0</v>
      </c>
      <c r="E319">
        <v>-39</v>
      </c>
      <c r="F319">
        <v>-32</v>
      </c>
      <c r="G319">
        <v>-259</v>
      </c>
      <c r="H319">
        <v>-451</v>
      </c>
      <c r="I319">
        <v>-309</v>
      </c>
      <c r="J319">
        <v>-625</v>
      </c>
      <c r="K319">
        <v>0</v>
      </c>
    </row>
    <row r="320" spans="2:11" x14ac:dyDescent="0.25">
      <c r="B320">
        <v>-2691</v>
      </c>
      <c r="C320">
        <v>-154</v>
      </c>
      <c r="D320">
        <v>-992</v>
      </c>
      <c r="E320">
        <v>246</v>
      </c>
      <c r="F320">
        <v>406</v>
      </c>
      <c r="G320">
        <v>25</v>
      </c>
      <c r="H320">
        <v>-301</v>
      </c>
      <c r="I320">
        <v>356</v>
      </c>
      <c r="J320">
        <v>-1384</v>
      </c>
      <c r="K320">
        <v>-494</v>
      </c>
    </row>
    <row r="321" spans="2:11" x14ac:dyDescent="0.25">
      <c r="B321">
        <v>-6561</v>
      </c>
      <c r="C321">
        <v>1272</v>
      </c>
      <c r="D321">
        <v>-6665</v>
      </c>
      <c r="E321">
        <v>-2503</v>
      </c>
      <c r="F321">
        <v>14824</v>
      </c>
      <c r="G321">
        <v>1035</v>
      </c>
      <c r="H321">
        <v>1453</v>
      </c>
      <c r="I321">
        <v>-35</v>
      </c>
      <c r="J321">
        <v>-2453</v>
      </c>
      <c r="K321">
        <v>-1148</v>
      </c>
    </row>
    <row r="322" spans="2:11" x14ac:dyDescent="0.25">
      <c r="B322">
        <v>-829</v>
      </c>
      <c r="C322">
        <v>-263</v>
      </c>
      <c r="D322">
        <v>172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-659</v>
      </c>
      <c r="K322">
        <v>-1788</v>
      </c>
    </row>
    <row r="323" spans="2:11" x14ac:dyDescent="0.25">
      <c r="B323">
        <v>-2190</v>
      </c>
      <c r="C323">
        <v>1000</v>
      </c>
      <c r="D323">
        <v>-13151</v>
      </c>
      <c r="E323">
        <v>-4526</v>
      </c>
      <c r="F323">
        <v>-17648</v>
      </c>
      <c r="G323">
        <v>-2678</v>
      </c>
      <c r="H323">
        <v>1828</v>
      </c>
      <c r="I323">
        <v>1932</v>
      </c>
      <c r="J323">
        <v>0</v>
      </c>
      <c r="K323">
        <v>-832</v>
      </c>
    </row>
    <row r="324" spans="2:11" x14ac:dyDescent="0.25">
      <c r="B324">
        <v>-1287</v>
      </c>
      <c r="C324">
        <v>-1717</v>
      </c>
      <c r="D324">
        <v>-1033</v>
      </c>
      <c r="E324">
        <v>679</v>
      </c>
      <c r="F324">
        <v>24</v>
      </c>
      <c r="G324">
        <v>591</v>
      </c>
      <c r="H324">
        <v>714</v>
      </c>
      <c r="I324">
        <v>702</v>
      </c>
      <c r="J324">
        <v>119</v>
      </c>
      <c r="K324">
        <v>0</v>
      </c>
    </row>
    <row r="325" spans="2:11" x14ac:dyDescent="0.25">
      <c r="B325">
        <v>1386</v>
      </c>
      <c r="C325">
        <v>2139</v>
      </c>
      <c r="D325">
        <v>2640</v>
      </c>
      <c r="E325">
        <v>2111</v>
      </c>
      <c r="F325">
        <v>556</v>
      </c>
      <c r="G325">
        <v>-197</v>
      </c>
      <c r="H325">
        <v>-245</v>
      </c>
      <c r="I325">
        <v>0</v>
      </c>
      <c r="J325">
        <v>235</v>
      </c>
      <c r="K325">
        <v>133</v>
      </c>
    </row>
    <row r="326" spans="2:11" x14ac:dyDescent="0.25">
      <c r="B326">
        <v>17</v>
      </c>
      <c r="C326">
        <v>-131</v>
      </c>
      <c r="D326">
        <v>-96</v>
      </c>
      <c r="E326">
        <v>-174</v>
      </c>
      <c r="F326">
        <v>0</v>
      </c>
      <c r="G326">
        <v>493</v>
      </c>
      <c r="H326">
        <v>200</v>
      </c>
      <c r="I326">
        <v>-1714</v>
      </c>
      <c r="J326">
        <v>270</v>
      </c>
      <c r="K326">
        <v>-672</v>
      </c>
    </row>
    <row r="327" spans="2:11" x14ac:dyDescent="0.25">
      <c r="B327">
        <v>201</v>
      </c>
      <c r="C327">
        <v>-739</v>
      </c>
      <c r="D327">
        <v>396</v>
      </c>
      <c r="E327">
        <v>-990</v>
      </c>
      <c r="F327">
        <v>-215</v>
      </c>
      <c r="G327">
        <v>-4165</v>
      </c>
      <c r="H327">
        <v>-81</v>
      </c>
      <c r="I327">
        <v>-3803</v>
      </c>
      <c r="J327">
        <v>995</v>
      </c>
      <c r="K327">
        <v>-1913</v>
      </c>
    </row>
    <row r="328" spans="2:11" x14ac:dyDescent="0.25">
      <c r="B328">
        <v>-741</v>
      </c>
      <c r="C328">
        <v>2946</v>
      </c>
      <c r="D328">
        <v>-409</v>
      </c>
      <c r="E328">
        <v>14331</v>
      </c>
      <c r="F328">
        <v>-4928</v>
      </c>
      <c r="G328">
        <v>3805</v>
      </c>
      <c r="H328">
        <v>-1730</v>
      </c>
      <c r="I328">
        <v>-372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13226</v>
      </c>
      <c r="F329">
        <v>3247</v>
      </c>
      <c r="G329">
        <v>39</v>
      </c>
      <c r="H329">
        <v>-491</v>
      </c>
      <c r="I329">
        <v>24839</v>
      </c>
      <c r="J329">
        <v>6629</v>
      </c>
      <c r="K329">
        <v>-1840</v>
      </c>
    </row>
    <row r="330" spans="2:11" x14ac:dyDescent="0.25">
      <c r="B330">
        <v>10822</v>
      </c>
      <c r="C330">
        <v>1344</v>
      </c>
      <c r="D330">
        <v>642</v>
      </c>
      <c r="E330">
        <v>479</v>
      </c>
      <c r="F330">
        <v>0</v>
      </c>
      <c r="G330">
        <v>-169</v>
      </c>
      <c r="H330">
        <v>-511</v>
      </c>
      <c r="I330">
        <v>-689</v>
      </c>
      <c r="J330">
        <v>-94</v>
      </c>
      <c r="K330">
        <v>757</v>
      </c>
    </row>
    <row r="331" spans="2:11" x14ac:dyDescent="0.25">
      <c r="B331">
        <v>206</v>
      </c>
      <c r="C331">
        <v>2086</v>
      </c>
      <c r="D331">
        <v>266</v>
      </c>
      <c r="E331">
        <v>-41</v>
      </c>
      <c r="F331">
        <v>-1083</v>
      </c>
      <c r="G331">
        <v>0</v>
      </c>
      <c r="H331">
        <v>1524</v>
      </c>
      <c r="I331">
        <v>2748</v>
      </c>
      <c r="J331">
        <v>4228</v>
      </c>
      <c r="K331">
        <v>4679</v>
      </c>
    </row>
    <row r="332" spans="2:11" x14ac:dyDescent="0.25">
      <c r="B332">
        <v>-104</v>
      </c>
      <c r="C332">
        <v>-373</v>
      </c>
      <c r="D332">
        <v>-395</v>
      </c>
      <c r="E332">
        <v>0</v>
      </c>
      <c r="F332">
        <v>374</v>
      </c>
      <c r="G332">
        <v>190</v>
      </c>
      <c r="H332">
        <v>7</v>
      </c>
      <c r="I332">
        <v>-244</v>
      </c>
      <c r="J332">
        <v>-185</v>
      </c>
      <c r="K332">
        <v>-331</v>
      </c>
    </row>
    <row r="333" spans="2:11" x14ac:dyDescent="0.25">
      <c r="B333">
        <v>0</v>
      </c>
      <c r="C333">
        <v>-1405</v>
      </c>
      <c r="D333">
        <v>-228</v>
      </c>
      <c r="E333">
        <v>-2135</v>
      </c>
      <c r="F333">
        <v>-429</v>
      </c>
      <c r="G333">
        <v>-1603</v>
      </c>
      <c r="H333">
        <v>-290</v>
      </c>
      <c r="I333">
        <v>-1243</v>
      </c>
      <c r="J333">
        <v>-244</v>
      </c>
      <c r="K333">
        <v>-438</v>
      </c>
    </row>
    <row r="334" spans="2:11" x14ac:dyDescent="0.25">
      <c r="B334">
        <v>-284</v>
      </c>
      <c r="C334">
        <v>-1052</v>
      </c>
      <c r="D334">
        <v>-636</v>
      </c>
      <c r="E334">
        <v>-510</v>
      </c>
      <c r="F334">
        <v>3214</v>
      </c>
      <c r="G334">
        <v>2075</v>
      </c>
      <c r="H334">
        <v>-1423</v>
      </c>
      <c r="I334">
        <v>-2979</v>
      </c>
      <c r="J334">
        <v>-2275</v>
      </c>
      <c r="K334">
        <v>15536</v>
      </c>
    </row>
    <row r="335" spans="2:11" x14ac:dyDescent="0.25">
      <c r="B335">
        <v>-5291</v>
      </c>
      <c r="C335">
        <v>5834</v>
      </c>
      <c r="D335">
        <v>-1401</v>
      </c>
      <c r="E335">
        <v>-680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1306</v>
      </c>
    </row>
    <row r="336" spans="2:11" x14ac:dyDescent="0.25">
      <c r="B336">
        <v>15721</v>
      </c>
      <c r="C336">
        <v>-1622</v>
      </c>
      <c r="D336">
        <v>-1035</v>
      </c>
      <c r="E336">
        <v>10802</v>
      </c>
      <c r="F336">
        <v>31933</v>
      </c>
      <c r="G336">
        <v>-1658</v>
      </c>
      <c r="H336">
        <v>8669</v>
      </c>
      <c r="I336">
        <v>19292</v>
      </c>
      <c r="J336">
        <v>3218</v>
      </c>
      <c r="K336">
        <v>1411</v>
      </c>
    </row>
    <row r="337" spans="2:11" x14ac:dyDescent="0.25">
      <c r="B337">
        <v>3820</v>
      </c>
      <c r="C337">
        <v>0</v>
      </c>
      <c r="D337">
        <v>-433</v>
      </c>
      <c r="E337">
        <v>-112</v>
      </c>
      <c r="F337">
        <v>2223</v>
      </c>
      <c r="G337">
        <v>19485</v>
      </c>
      <c r="H337">
        <v>16140</v>
      </c>
      <c r="I337">
        <v>11410</v>
      </c>
      <c r="J337">
        <v>33437</v>
      </c>
      <c r="K337">
        <v>48421</v>
      </c>
    </row>
    <row r="338" spans="2:11" x14ac:dyDescent="0.25">
      <c r="B338">
        <v>56614</v>
      </c>
      <c r="C338">
        <v>68259</v>
      </c>
      <c r="D338">
        <v>0</v>
      </c>
      <c r="E338">
        <v>20280</v>
      </c>
      <c r="F338">
        <v>7469</v>
      </c>
      <c r="G338">
        <v>-2774</v>
      </c>
      <c r="H338">
        <v>-11207</v>
      </c>
      <c r="I338">
        <v>-14031</v>
      </c>
      <c r="J338">
        <v>797</v>
      </c>
      <c r="K338">
        <v>726</v>
      </c>
    </row>
    <row r="339" spans="2:11" x14ac:dyDescent="0.25">
      <c r="B339">
        <v>0</v>
      </c>
      <c r="C339">
        <v>-63</v>
      </c>
      <c r="D339">
        <v>691</v>
      </c>
      <c r="E339">
        <v>1900</v>
      </c>
      <c r="F339">
        <v>2430</v>
      </c>
      <c r="G339">
        <v>705</v>
      </c>
      <c r="H339">
        <v>183</v>
      </c>
      <c r="I339">
        <v>0</v>
      </c>
      <c r="J339">
        <v>160</v>
      </c>
      <c r="K339">
        <v>1155</v>
      </c>
    </row>
    <row r="340" spans="2:11" x14ac:dyDescent="0.25">
      <c r="B340">
        <v>502</v>
      </c>
      <c r="C340">
        <v>1404</v>
      </c>
      <c r="D340">
        <v>281</v>
      </c>
      <c r="E340">
        <v>805</v>
      </c>
      <c r="F340">
        <v>543</v>
      </c>
      <c r="G340">
        <v>1275</v>
      </c>
      <c r="H340">
        <v>-464</v>
      </c>
      <c r="I340">
        <v>-46</v>
      </c>
      <c r="J340">
        <v>-384</v>
      </c>
      <c r="K340">
        <v>-352</v>
      </c>
    </row>
    <row r="341" spans="2:11" x14ac:dyDescent="0.25">
      <c r="B341">
        <v>17665</v>
      </c>
      <c r="C341">
        <v>9972</v>
      </c>
      <c r="D341">
        <v>1693</v>
      </c>
      <c r="E341">
        <v>1767</v>
      </c>
      <c r="F341">
        <v>-461</v>
      </c>
      <c r="G341">
        <v>-106</v>
      </c>
      <c r="H341">
        <v>90</v>
      </c>
      <c r="I341">
        <v>-218</v>
      </c>
      <c r="J341">
        <v>-207</v>
      </c>
      <c r="K341">
        <v>-841</v>
      </c>
    </row>
    <row r="342" spans="2:11" x14ac:dyDescent="0.25">
      <c r="B342">
        <v>1262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-339</v>
      </c>
      <c r="I342">
        <v>811</v>
      </c>
      <c r="J342">
        <v>-170</v>
      </c>
      <c r="K342">
        <v>-4411</v>
      </c>
    </row>
    <row r="343" spans="2:11" x14ac:dyDescent="0.25">
      <c r="B343">
        <v>-593</v>
      </c>
      <c r="C343">
        <v>-45</v>
      </c>
      <c r="D343">
        <v>524</v>
      </c>
      <c r="E343">
        <v>-873</v>
      </c>
      <c r="F343">
        <v>-444</v>
      </c>
      <c r="G343">
        <v>-494</v>
      </c>
      <c r="H343">
        <v>-1125</v>
      </c>
      <c r="I343">
        <v>-204</v>
      </c>
      <c r="J343">
        <v>-269</v>
      </c>
      <c r="K343">
        <v>0</v>
      </c>
    </row>
    <row r="344" spans="2:11" x14ac:dyDescent="0.25">
      <c r="B344">
        <v>326</v>
      </c>
      <c r="C344">
        <v>510</v>
      </c>
      <c r="D344">
        <v>691</v>
      </c>
      <c r="E344">
        <v>-256</v>
      </c>
      <c r="F344">
        <v>-193</v>
      </c>
      <c r="G344">
        <v>55</v>
      </c>
      <c r="H344">
        <v>-1593</v>
      </c>
      <c r="I344">
        <v>-1184</v>
      </c>
      <c r="J344">
        <v>-1191</v>
      </c>
      <c r="K344">
        <v>-1367</v>
      </c>
    </row>
    <row r="345" spans="2:11" x14ac:dyDescent="0.25">
      <c r="B345">
        <v>0</v>
      </c>
      <c r="C345">
        <v>-316</v>
      </c>
      <c r="D345">
        <v>-942</v>
      </c>
      <c r="E345">
        <v>-1383</v>
      </c>
      <c r="F345">
        <v>-1768</v>
      </c>
      <c r="G345">
        <v>-1768</v>
      </c>
      <c r="H345">
        <v>235</v>
      </c>
      <c r="I345">
        <v>173</v>
      </c>
      <c r="J345">
        <v>0</v>
      </c>
      <c r="K345">
        <v>-2</v>
      </c>
    </row>
    <row r="346" spans="2:11" x14ac:dyDescent="0.25">
      <c r="B346">
        <v>2</v>
      </c>
      <c r="C346">
        <v>89</v>
      </c>
      <c r="D346">
        <v>225</v>
      </c>
      <c r="E346">
        <v>212</v>
      </c>
      <c r="F346">
        <v>459</v>
      </c>
      <c r="G346">
        <v>0</v>
      </c>
      <c r="H346">
        <v>25809</v>
      </c>
      <c r="I346">
        <v>874</v>
      </c>
      <c r="J346">
        <v>28280</v>
      </c>
      <c r="K346">
        <v>648</v>
      </c>
    </row>
    <row r="347" spans="2:11" x14ac:dyDescent="0.25">
      <c r="B347">
        <v>18791</v>
      </c>
      <c r="C347">
        <v>618</v>
      </c>
      <c r="D347">
        <v>30096</v>
      </c>
      <c r="E347">
        <v>769</v>
      </c>
      <c r="F347">
        <v>12462</v>
      </c>
      <c r="G347">
        <v>745</v>
      </c>
      <c r="H347">
        <v>-1119</v>
      </c>
      <c r="I347">
        <v>-532</v>
      </c>
      <c r="J347">
        <v>-9661</v>
      </c>
      <c r="K347">
        <v>-439</v>
      </c>
    </row>
    <row r="348" spans="2:11" x14ac:dyDescent="0.25">
      <c r="B348">
        <v>-579</v>
      </c>
      <c r="C348">
        <v>-393</v>
      </c>
      <c r="D348">
        <v>97</v>
      </c>
      <c r="E348">
        <v>-502</v>
      </c>
      <c r="F348">
        <v>3860</v>
      </c>
      <c r="G348">
        <v>1005</v>
      </c>
      <c r="H348">
        <v>65</v>
      </c>
      <c r="I348">
        <v>-2</v>
      </c>
      <c r="J348">
        <v>-67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-512</v>
      </c>
      <c r="G349">
        <v>-238</v>
      </c>
      <c r="H349">
        <v>-2896</v>
      </c>
      <c r="I349">
        <v>-159</v>
      </c>
      <c r="J349">
        <v>-3228</v>
      </c>
      <c r="K349">
        <v>-1814</v>
      </c>
    </row>
    <row r="350" spans="2:11" x14ac:dyDescent="0.25">
      <c r="B350">
        <v>-90</v>
      </c>
      <c r="C350">
        <v>-1551</v>
      </c>
      <c r="D350">
        <v>-1503</v>
      </c>
      <c r="E350">
        <v>-1043</v>
      </c>
      <c r="F350">
        <v>-840</v>
      </c>
      <c r="G350">
        <v>712</v>
      </c>
      <c r="H350">
        <v>611</v>
      </c>
      <c r="I350">
        <v>351</v>
      </c>
      <c r="J350">
        <v>0</v>
      </c>
      <c r="K350">
        <v>-490</v>
      </c>
    </row>
    <row r="351" spans="2:11" x14ac:dyDescent="0.25">
      <c r="B351">
        <v>-1115</v>
      </c>
      <c r="C351">
        <v>-1328</v>
      </c>
      <c r="D351">
        <v>-549</v>
      </c>
      <c r="E351">
        <v>-441</v>
      </c>
      <c r="F351">
        <v>-477</v>
      </c>
      <c r="G351">
        <v>-635</v>
      </c>
      <c r="H351">
        <v>-378</v>
      </c>
      <c r="I351">
        <v>-186</v>
      </c>
      <c r="J351">
        <v>28</v>
      </c>
      <c r="K351">
        <v>0</v>
      </c>
    </row>
    <row r="352" spans="2:11" x14ac:dyDescent="0.25">
      <c r="B352">
        <v>-1381</v>
      </c>
      <c r="C352">
        <v>-2440</v>
      </c>
      <c r="D352">
        <v>-2464</v>
      </c>
      <c r="E352">
        <v>-1818</v>
      </c>
      <c r="F352">
        <v>-1666</v>
      </c>
      <c r="G352">
        <v>-982</v>
      </c>
      <c r="H352">
        <v>-742</v>
      </c>
      <c r="I352">
        <v>0</v>
      </c>
      <c r="J352">
        <v>205</v>
      </c>
      <c r="K352">
        <v>-670</v>
      </c>
    </row>
    <row r="353" spans="2:11" x14ac:dyDescent="0.25">
      <c r="B353">
        <v>-1566</v>
      </c>
      <c r="C353">
        <v>-1871</v>
      </c>
      <c r="D353">
        <v>-902</v>
      </c>
      <c r="E353">
        <v>-2035</v>
      </c>
      <c r="F353">
        <v>0</v>
      </c>
      <c r="G353">
        <v>1430</v>
      </c>
      <c r="H353">
        <v>30427</v>
      </c>
      <c r="I353">
        <v>1490</v>
      </c>
      <c r="J353">
        <v>37654</v>
      </c>
      <c r="K353">
        <v>972</v>
      </c>
    </row>
    <row r="354" spans="2:11" x14ac:dyDescent="0.25">
      <c r="B354">
        <v>27040</v>
      </c>
      <c r="C354">
        <v>1590</v>
      </c>
      <c r="D354">
        <v>42890</v>
      </c>
      <c r="E354">
        <v>727</v>
      </c>
      <c r="F354">
        <v>20708</v>
      </c>
      <c r="G354">
        <v>-483</v>
      </c>
      <c r="H354">
        <v>82</v>
      </c>
      <c r="I354">
        <v>403</v>
      </c>
      <c r="J354">
        <v>-18503</v>
      </c>
      <c r="K354">
        <v>-189</v>
      </c>
    </row>
    <row r="355" spans="2:11" x14ac:dyDescent="0.25">
      <c r="B355">
        <v>383</v>
      </c>
      <c r="C355">
        <v>-135</v>
      </c>
      <c r="D355">
        <v>5826</v>
      </c>
      <c r="E355">
        <v>494</v>
      </c>
      <c r="F355">
        <v>8281</v>
      </c>
      <c r="G355">
        <v>-9</v>
      </c>
      <c r="H355">
        <v>-528</v>
      </c>
      <c r="I355">
        <v>1921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-134</v>
      </c>
      <c r="F356">
        <v>-195</v>
      </c>
      <c r="G356">
        <v>11247</v>
      </c>
      <c r="H356">
        <v>11332</v>
      </c>
      <c r="I356">
        <v>-362</v>
      </c>
      <c r="J356">
        <v>-49</v>
      </c>
      <c r="K356">
        <v>-114</v>
      </c>
    </row>
    <row r="357" spans="2:11" x14ac:dyDescent="0.25">
      <c r="B357">
        <v>-491</v>
      </c>
      <c r="C357">
        <v>-108</v>
      </c>
      <c r="D357">
        <v>6</v>
      </c>
      <c r="E357">
        <v>478</v>
      </c>
      <c r="F357">
        <v>7071</v>
      </c>
      <c r="G357">
        <v>-272</v>
      </c>
      <c r="H357">
        <v>-23</v>
      </c>
      <c r="I357">
        <v>5</v>
      </c>
      <c r="J357">
        <v>0</v>
      </c>
      <c r="K357">
        <v>-1065</v>
      </c>
    </row>
    <row r="358" spans="2:11" x14ac:dyDescent="0.25">
      <c r="B358">
        <v>-2482</v>
      </c>
      <c r="C358">
        <v>-2750</v>
      </c>
      <c r="D358">
        <v>-2357</v>
      </c>
      <c r="E358">
        <v>-1055</v>
      </c>
      <c r="F358">
        <v>199</v>
      </c>
      <c r="G358">
        <v>-794</v>
      </c>
      <c r="H358">
        <v>90</v>
      </c>
      <c r="I358">
        <v>957</v>
      </c>
      <c r="J358">
        <v>1267</v>
      </c>
      <c r="K358">
        <v>0</v>
      </c>
    </row>
    <row r="359" spans="2:11" x14ac:dyDescent="0.25">
      <c r="B359">
        <v>-529</v>
      </c>
      <c r="C359">
        <v>-681</v>
      </c>
      <c r="D359">
        <v>-1190</v>
      </c>
      <c r="E359">
        <v>-954</v>
      </c>
      <c r="F359">
        <v>-735</v>
      </c>
      <c r="G359">
        <v>6</v>
      </c>
      <c r="H359">
        <v>43</v>
      </c>
      <c r="I359">
        <v>0</v>
      </c>
      <c r="J359">
        <v>-72</v>
      </c>
      <c r="K359">
        <v>-14</v>
      </c>
    </row>
    <row r="360" spans="2:11" x14ac:dyDescent="0.25">
      <c r="B360">
        <v>-5</v>
      </c>
      <c r="C360">
        <v>-33</v>
      </c>
      <c r="D360">
        <v>20</v>
      </c>
      <c r="E360">
        <v>131</v>
      </c>
      <c r="F360">
        <v>0</v>
      </c>
      <c r="G360">
        <v>24282</v>
      </c>
      <c r="H360">
        <v>852</v>
      </c>
      <c r="I360">
        <v>30566</v>
      </c>
      <c r="J360">
        <v>1372</v>
      </c>
      <c r="K360">
        <v>16931</v>
      </c>
    </row>
    <row r="361" spans="2:11" x14ac:dyDescent="0.25">
      <c r="B361">
        <v>652</v>
      </c>
      <c r="C361">
        <v>32040</v>
      </c>
      <c r="D361">
        <v>1573</v>
      </c>
      <c r="E361">
        <v>10561</v>
      </c>
      <c r="F361">
        <v>574</v>
      </c>
      <c r="G361">
        <v>1823</v>
      </c>
      <c r="H361">
        <v>-141</v>
      </c>
      <c r="I361">
        <v>-10170</v>
      </c>
      <c r="J361">
        <v>4</v>
      </c>
      <c r="K361">
        <v>2025</v>
      </c>
    </row>
    <row r="362" spans="2:11" x14ac:dyDescent="0.25">
      <c r="B362">
        <v>107</v>
      </c>
      <c r="C362">
        <v>6</v>
      </c>
      <c r="D362">
        <v>-111</v>
      </c>
      <c r="E362">
        <v>570</v>
      </c>
      <c r="F362">
        <v>48</v>
      </c>
      <c r="G362">
        <v>-4005</v>
      </c>
      <c r="H362">
        <v>-179</v>
      </c>
      <c r="I362">
        <v>236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626</v>
      </c>
      <c r="F363">
        <v>625</v>
      </c>
      <c r="G363">
        <v>-2700</v>
      </c>
      <c r="H363">
        <v>474</v>
      </c>
      <c r="I363">
        <v>393</v>
      </c>
      <c r="J363">
        <v>2650</v>
      </c>
      <c r="K363">
        <v>-278</v>
      </c>
    </row>
    <row r="364" spans="2:11" x14ac:dyDescent="0.25">
      <c r="B364">
        <v>2009</v>
      </c>
      <c r="C364">
        <v>-381</v>
      </c>
      <c r="D364">
        <v>-61</v>
      </c>
      <c r="E364">
        <v>610</v>
      </c>
      <c r="F364">
        <v>17489</v>
      </c>
      <c r="G364">
        <v>925</v>
      </c>
      <c r="H364">
        <v>-482</v>
      </c>
      <c r="I364">
        <v>-688</v>
      </c>
      <c r="J364">
        <v>-380</v>
      </c>
      <c r="K364">
        <v>0</v>
      </c>
    </row>
    <row r="365" spans="2:11" x14ac:dyDescent="0.25">
      <c r="B365">
        <v>801</v>
      </c>
      <c r="C365">
        <v>1790</v>
      </c>
      <c r="D365">
        <v>2380</v>
      </c>
      <c r="E365">
        <v>2463</v>
      </c>
      <c r="F365">
        <v>1167</v>
      </c>
      <c r="G365">
        <v>-223</v>
      </c>
      <c r="H365">
        <v>2179</v>
      </c>
      <c r="I365">
        <v>3004</v>
      </c>
      <c r="J365">
        <v>2625</v>
      </c>
      <c r="K365">
        <v>2068</v>
      </c>
    </row>
    <row r="366" spans="2:11" x14ac:dyDescent="0.25">
      <c r="B366">
        <v>0</v>
      </c>
      <c r="C366">
        <v>-1131</v>
      </c>
      <c r="D366">
        <v>-1647</v>
      </c>
      <c r="E366">
        <v>-334</v>
      </c>
      <c r="F366">
        <v>1607</v>
      </c>
      <c r="G366">
        <v>3082</v>
      </c>
      <c r="H366">
        <v>-2265</v>
      </c>
      <c r="I366">
        <v>-1653</v>
      </c>
      <c r="J366">
        <v>0</v>
      </c>
      <c r="K366">
        <v>646</v>
      </c>
    </row>
    <row r="367" spans="2:11" x14ac:dyDescent="0.25">
      <c r="B367">
        <v>-391</v>
      </c>
      <c r="C367">
        <v>-2185</v>
      </c>
      <c r="D367">
        <v>-4853</v>
      </c>
      <c r="E367">
        <v>-4092</v>
      </c>
      <c r="F367">
        <v>-8756</v>
      </c>
      <c r="G367">
        <v>0</v>
      </c>
      <c r="H367">
        <v>1506</v>
      </c>
      <c r="I367">
        <v>29170</v>
      </c>
      <c r="J367">
        <v>2261</v>
      </c>
      <c r="K367">
        <v>39975</v>
      </c>
    </row>
    <row r="368" spans="2:11" x14ac:dyDescent="0.25">
      <c r="B368">
        <v>736</v>
      </c>
      <c r="C368">
        <v>26474</v>
      </c>
      <c r="D368">
        <v>2360</v>
      </c>
      <c r="E368">
        <v>45801</v>
      </c>
      <c r="F368">
        <v>378</v>
      </c>
      <c r="G368">
        <v>18029</v>
      </c>
      <c r="H368">
        <v>250</v>
      </c>
      <c r="I368">
        <v>-556</v>
      </c>
      <c r="J368">
        <v>-599</v>
      </c>
      <c r="K368">
        <v>-18217</v>
      </c>
    </row>
    <row r="369" spans="2:11" x14ac:dyDescent="0.25">
      <c r="B369">
        <v>215</v>
      </c>
      <c r="C369">
        <v>-972</v>
      </c>
      <c r="D369">
        <v>118</v>
      </c>
      <c r="E369">
        <v>2409</v>
      </c>
      <c r="F369">
        <v>139</v>
      </c>
      <c r="G369">
        <v>1539</v>
      </c>
      <c r="H369">
        <v>-648</v>
      </c>
      <c r="I369">
        <v>-381</v>
      </c>
      <c r="J369">
        <v>1009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-296</v>
      </c>
      <c r="G370">
        <v>280</v>
      </c>
      <c r="H370">
        <v>10333</v>
      </c>
      <c r="I370">
        <v>10812</v>
      </c>
      <c r="J370">
        <v>-166</v>
      </c>
      <c r="K370">
        <v>25</v>
      </c>
    </row>
    <row r="371" spans="2:11" x14ac:dyDescent="0.25">
      <c r="B371">
        <v>256</v>
      </c>
      <c r="C371">
        <v>409</v>
      </c>
      <c r="D371">
        <v>292</v>
      </c>
      <c r="E371">
        <v>-66</v>
      </c>
      <c r="F371">
        <v>1267</v>
      </c>
      <c r="G371">
        <v>359</v>
      </c>
      <c r="H371">
        <v>32925</v>
      </c>
      <c r="I371">
        <v>11366</v>
      </c>
      <c r="J371">
        <v>-9062</v>
      </c>
      <c r="K371">
        <v>-7937</v>
      </c>
    </row>
    <row r="372" spans="2:11" x14ac:dyDescent="0.25">
      <c r="B372">
        <v>-1847</v>
      </c>
      <c r="C372">
        <v>0</v>
      </c>
      <c r="D372">
        <v>4539</v>
      </c>
      <c r="E372">
        <v>9380</v>
      </c>
      <c r="F372">
        <v>6768</v>
      </c>
      <c r="G372">
        <v>3141</v>
      </c>
      <c r="H372">
        <v>1418</v>
      </c>
      <c r="I372">
        <v>2488</v>
      </c>
      <c r="J372">
        <v>6665</v>
      </c>
      <c r="K372">
        <v>-282</v>
      </c>
    </row>
    <row r="373" spans="2:11" x14ac:dyDescent="0.25">
      <c r="B373">
        <v>-5613</v>
      </c>
      <c r="C373">
        <v>-6279</v>
      </c>
      <c r="D373">
        <v>0</v>
      </c>
      <c r="E373">
        <v>4149</v>
      </c>
      <c r="F373">
        <v>6541</v>
      </c>
      <c r="G373">
        <v>11194</v>
      </c>
      <c r="H373">
        <v>19461</v>
      </c>
      <c r="I373">
        <v>14964</v>
      </c>
      <c r="J373">
        <v>-1274</v>
      </c>
      <c r="K373">
        <v>-545</v>
      </c>
    </row>
    <row r="374" spans="2:11" x14ac:dyDescent="0.25">
      <c r="B374">
        <v>0</v>
      </c>
      <c r="C374">
        <v>-873</v>
      </c>
      <c r="D374">
        <v>-794</v>
      </c>
      <c r="E374">
        <v>-833</v>
      </c>
      <c r="F374">
        <v>-1274</v>
      </c>
      <c r="G374">
        <v>-813</v>
      </c>
      <c r="H374">
        <v>-1009</v>
      </c>
      <c r="I374">
        <v>0</v>
      </c>
      <c r="J374">
        <v>1304</v>
      </c>
      <c r="K374">
        <v>804</v>
      </c>
    </row>
    <row r="375" spans="2:11" x14ac:dyDescent="0.25">
      <c r="B375">
        <v>4192</v>
      </c>
      <c r="C375">
        <v>1548</v>
      </c>
      <c r="D375">
        <v>1386</v>
      </c>
      <c r="E375">
        <v>-54</v>
      </c>
      <c r="F375">
        <v>14811</v>
      </c>
      <c r="G375">
        <v>3258</v>
      </c>
      <c r="H375">
        <v>1518</v>
      </c>
      <c r="I375">
        <v>-450</v>
      </c>
      <c r="J375">
        <v>-817</v>
      </c>
      <c r="K375">
        <v>1909</v>
      </c>
    </row>
    <row r="376" spans="2:11" x14ac:dyDescent="0.25">
      <c r="B376">
        <v>-27695</v>
      </c>
      <c r="C376">
        <v>-6482</v>
      </c>
      <c r="D376">
        <v>5981</v>
      </c>
      <c r="E376">
        <v>603</v>
      </c>
      <c r="F376">
        <v>-7289</v>
      </c>
      <c r="G376">
        <v>-1114</v>
      </c>
      <c r="H376">
        <v>-271</v>
      </c>
      <c r="I376">
        <v>59</v>
      </c>
      <c r="J376">
        <v>-21461</v>
      </c>
      <c r="K376">
        <v>-2</v>
      </c>
    </row>
    <row r="377" spans="2:11" x14ac:dyDescent="0.25">
      <c r="B377">
        <v>450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-133</v>
      </c>
      <c r="I377">
        <v>271</v>
      </c>
      <c r="J377">
        <v>-3795</v>
      </c>
      <c r="K377">
        <v>2940</v>
      </c>
    </row>
    <row r="378" spans="2:11" x14ac:dyDescent="0.25">
      <c r="B378">
        <v>-2610</v>
      </c>
      <c r="C378">
        <v>-1127</v>
      </c>
      <c r="D378">
        <v>1729</v>
      </c>
      <c r="E378">
        <v>-6738</v>
      </c>
      <c r="F378">
        <v>-2524</v>
      </c>
      <c r="G378">
        <v>-261</v>
      </c>
      <c r="H378">
        <v>-4153</v>
      </c>
      <c r="I378">
        <v>-611</v>
      </c>
      <c r="J378">
        <v>-558</v>
      </c>
      <c r="K378">
        <v>-1954</v>
      </c>
    </row>
    <row r="379" spans="2:11" x14ac:dyDescent="0.25">
      <c r="B379">
        <v>784</v>
      </c>
      <c r="C379">
        <v>-1978</v>
      </c>
      <c r="D379">
        <v>-1916</v>
      </c>
      <c r="E379">
        <v>-465</v>
      </c>
      <c r="F379">
        <v>0</v>
      </c>
      <c r="G379">
        <v>394</v>
      </c>
      <c r="H379">
        <v>1247</v>
      </c>
      <c r="I379">
        <v>1021</v>
      </c>
      <c r="J379">
        <v>760</v>
      </c>
      <c r="K379">
        <v>302</v>
      </c>
    </row>
    <row r="380" spans="2:11" x14ac:dyDescent="0.25">
      <c r="B380">
        <v>486</v>
      </c>
      <c r="C380">
        <v>1074</v>
      </c>
      <c r="D380">
        <v>-435</v>
      </c>
      <c r="E380">
        <v>-1159</v>
      </c>
      <c r="F380">
        <v>-1145</v>
      </c>
      <c r="G380">
        <v>0</v>
      </c>
      <c r="H380">
        <v>139</v>
      </c>
      <c r="I380">
        <v>590</v>
      </c>
      <c r="J380">
        <v>1482</v>
      </c>
      <c r="K380">
        <v>3188</v>
      </c>
    </row>
    <row r="381" spans="2:11" x14ac:dyDescent="0.25">
      <c r="B381">
        <v>3057</v>
      </c>
      <c r="C381">
        <v>-30997</v>
      </c>
      <c r="D381">
        <v>-20907</v>
      </c>
      <c r="E381">
        <v>0</v>
      </c>
      <c r="F381">
        <v>24704</v>
      </c>
      <c r="G381">
        <v>27448</v>
      </c>
      <c r="H381">
        <v>27626</v>
      </c>
      <c r="I381">
        <v>27051</v>
      </c>
      <c r="J381">
        <v>14294</v>
      </c>
      <c r="K381">
        <v>22383</v>
      </c>
    </row>
    <row r="382" spans="2:11" x14ac:dyDescent="0.25">
      <c r="B382">
        <v>0</v>
      </c>
      <c r="C382">
        <v>74</v>
      </c>
      <c r="D382">
        <v>614</v>
      </c>
      <c r="E382">
        <v>102</v>
      </c>
      <c r="F382">
        <v>738</v>
      </c>
      <c r="G382">
        <v>-38</v>
      </c>
      <c r="H382">
        <v>436</v>
      </c>
      <c r="I382">
        <v>437</v>
      </c>
      <c r="J382">
        <v>4192</v>
      </c>
      <c r="K382">
        <v>-38</v>
      </c>
    </row>
    <row r="383" spans="2:11" x14ac:dyDescent="0.25">
      <c r="B383">
        <v>307</v>
      </c>
      <c r="C383">
        <v>306</v>
      </c>
      <c r="D383">
        <v>2498</v>
      </c>
      <c r="E383">
        <v>-1667</v>
      </c>
      <c r="F383">
        <v>-29649</v>
      </c>
      <c r="G383">
        <v>315</v>
      </c>
      <c r="H383">
        <v>3544</v>
      </c>
      <c r="I383">
        <v>-243</v>
      </c>
      <c r="J383">
        <v>-2625</v>
      </c>
      <c r="K383">
        <v>271</v>
      </c>
    </row>
    <row r="384" spans="2:11" x14ac:dyDescent="0.25">
      <c r="B384">
        <v>148</v>
      </c>
      <c r="C384">
        <v>-21</v>
      </c>
      <c r="D384">
        <v>-11167</v>
      </c>
      <c r="E384">
        <v>-6319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92</v>
      </c>
    </row>
    <row r="385" spans="2:11" x14ac:dyDescent="0.25">
      <c r="B385">
        <v>581</v>
      </c>
      <c r="C385">
        <v>17825</v>
      </c>
      <c r="D385">
        <v>18700</v>
      </c>
      <c r="E385">
        <v>-128</v>
      </c>
      <c r="F385">
        <v>-22</v>
      </c>
      <c r="G385">
        <v>-6201</v>
      </c>
      <c r="H385">
        <v>-204</v>
      </c>
      <c r="I385">
        <v>479</v>
      </c>
      <c r="J385">
        <v>787</v>
      </c>
      <c r="K385">
        <v>-546</v>
      </c>
    </row>
    <row r="386" spans="2:11" x14ac:dyDescent="0.25">
      <c r="B386">
        <v>-135</v>
      </c>
      <c r="C386">
        <v>-16</v>
      </c>
      <c r="D386">
        <v>-130</v>
      </c>
      <c r="E386">
        <v>-13</v>
      </c>
      <c r="F386">
        <v>3724</v>
      </c>
      <c r="G386">
        <v>-10339</v>
      </c>
      <c r="H386">
        <v>-11799</v>
      </c>
      <c r="I386">
        <v>-2676</v>
      </c>
      <c r="J386">
        <v>0</v>
      </c>
      <c r="K386">
        <v>4349</v>
      </c>
    </row>
    <row r="387" spans="2:11" x14ac:dyDescent="0.25">
      <c r="B387">
        <v>8059</v>
      </c>
      <c r="C387">
        <v>6249</v>
      </c>
      <c r="D387">
        <v>3249</v>
      </c>
      <c r="E387">
        <v>1522</v>
      </c>
      <c r="F387">
        <v>1878</v>
      </c>
      <c r="G387">
        <v>3027</v>
      </c>
      <c r="H387">
        <v>1630</v>
      </c>
      <c r="I387">
        <v>-1781</v>
      </c>
      <c r="J387">
        <v>-2825</v>
      </c>
      <c r="K387">
        <v>0</v>
      </c>
    </row>
    <row r="388" spans="2:11" x14ac:dyDescent="0.25">
      <c r="B388">
        <v>1865</v>
      </c>
      <c r="C388">
        <v>2967</v>
      </c>
      <c r="D388">
        <v>5481</v>
      </c>
      <c r="E388">
        <v>15068</v>
      </c>
      <c r="F388">
        <v>10966</v>
      </c>
      <c r="G388">
        <v>-1159</v>
      </c>
      <c r="H388">
        <v>-454</v>
      </c>
      <c r="I388">
        <v>0</v>
      </c>
      <c r="J388">
        <v>-551</v>
      </c>
      <c r="K388">
        <v>-359</v>
      </c>
    </row>
    <row r="389" spans="2:11" x14ac:dyDescent="0.25">
      <c r="B389">
        <v>-277</v>
      </c>
      <c r="C389">
        <v>-580</v>
      </c>
      <c r="D389">
        <v>-461</v>
      </c>
      <c r="E389">
        <v>-524</v>
      </c>
      <c r="F389">
        <v>0</v>
      </c>
      <c r="G389">
        <v>-551</v>
      </c>
      <c r="H389">
        <v>659</v>
      </c>
      <c r="I389">
        <v>-3106</v>
      </c>
      <c r="J389">
        <v>961</v>
      </c>
      <c r="K389">
        <v>-1128</v>
      </c>
    </row>
    <row r="390" spans="2:11" x14ac:dyDescent="0.25">
      <c r="B390">
        <v>-54</v>
      </c>
      <c r="C390">
        <v>-1488</v>
      </c>
      <c r="D390">
        <v>1591</v>
      </c>
      <c r="E390">
        <v>63</v>
      </c>
      <c r="F390">
        <v>-396</v>
      </c>
      <c r="G390">
        <v>2487</v>
      </c>
      <c r="H390">
        <v>1420</v>
      </c>
      <c r="I390">
        <v>-16854</v>
      </c>
      <c r="J390">
        <v>-4664</v>
      </c>
      <c r="K390">
        <v>-2578</v>
      </c>
    </row>
    <row r="391" spans="2:11" x14ac:dyDescent="0.25">
      <c r="B391">
        <v>73</v>
      </c>
      <c r="C391">
        <v>-566</v>
      </c>
      <c r="D391">
        <v>-144</v>
      </c>
      <c r="E391">
        <v>-711</v>
      </c>
      <c r="F391">
        <v>34</v>
      </c>
      <c r="G391">
        <v>796</v>
      </c>
      <c r="H391">
        <v>-268</v>
      </c>
      <c r="I391">
        <v>659</v>
      </c>
      <c r="J391">
        <v>0</v>
      </c>
      <c r="K391">
        <v>0</v>
      </c>
    </row>
    <row r="392" spans="2:11" x14ac:dyDescent="0.25">
      <c r="B392">
        <v>0</v>
      </c>
      <c r="C392">
        <v>0</v>
      </c>
      <c r="D392">
        <v>0</v>
      </c>
      <c r="E392">
        <v>-139</v>
      </c>
      <c r="F392">
        <v>-298</v>
      </c>
      <c r="G392">
        <v>-2844</v>
      </c>
      <c r="H392">
        <v>2091</v>
      </c>
      <c r="I392">
        <v>-727</v>
      </c>
      <c r="J392">
        <v>-765</v>
      </c>
      <c r="K392">
        <v>47</v>
      </c>
    </row>
    <row r="393" spans="2:11" x14ac:dyDescent="0.25">
      <c r="B393">
        <v>2388</v>
      </c>
      <c r="C393">
        <v>360</v>
      </c>
      <c r="D393">
        <v>-709</v>
      </c>
      <c r="E393">
        <v>-2389</v>
      </c>
      <c r="F393">
        <v>-90</v>
      </c>
      <c r="G393">
        <v>-414</v>
      </c>
      <c r="H393">
        <v>-2141</v>
      </c>
      <c r="I393">
        <v>805</v>
      </c>
      <c r="J393">
        <v>39954</v>
      </c>
      <c r="K393">
        <v>1969</v>
      </c>
    </row>
    <row r="394" spans="2:11" x14ac:dyDescent="0.25">
      <c r="B394">
        <v>-113</v>
      </c>
      <c r="C394">
        <v>-156</v>
      </c>
      <c r="D394">
        <v>-112</v>
      </c>
      <c r="E394">
        <v>0</v>
      </c>
      <c r="F394">
        <v>307</v>
      </c>
      <c r="G394">
        <v>652</v>
      </c>
      <c r="H394">
        <v>622</v>
      </c>
      <c r="I394">
        <v>522</v>
      </c>
      <c r="J394">
        <v>88</v>
      </c>
      <c r="K394">
        <v>144</v>
      </c>
    </row>
    <row r="395" spans="2:11" x14ac:dyDescent="0.25">
      <c r="B395">
        <v>-45</v>
      </c>
      <c r="C395">
        <v>422</v>
      </c>
      <c r="D395">
        <v>195</v>
      </c>
      <c r="E395">
        <v>176</v>
      </c>
      <c r="F395">
        <v>0</v>
      </c>
      <c r="G395">
        <v>-183</v>
      </c>
      <c r="H395">
        <v>-207</v>
      </c>
      <c r="I395">
        <v>176</v>
      </c>
      <c r="J395">
        <v>2651</v>
      </c>
      <c r="K395">
        <v>2359</v>
      </c>
    </row>
    <row r="396" spans="2:11" x14ac:dyDescent="0.25">
      <c r="B396">
        <v>-27988</v>
      </c>
      <c r="C396">
        <v>-24337</v>
      </c>
      <c r="D396">
        <v>0</v>
      </c>
      <c r="E396">
        <v>12401</v>
      </c>
      <c r="F396">
        <v>12870</v>
      </c>
      <c r="G396">
        <v>12880</v>
      </c>
      <c r="H396">
        <v>13220</v>
      </c>
      <c r="I396">
        <v>7624</v>
      </c>
      <c r="J396">
        <v>12712</v>
      </c>
      <c r="K396">
        <v>0</v>
      </c>
    </row>
    <row r="397" spans="2:11" x14ac:dyDescent="0.25">
      <c r="B397">
        <v>-59</v>
      </c>
      <c r="C397">
        <v>702</v>
      </c>
      <c r="D397">
        <v>-162</v>
      </c>
      <c r="E397">
        <v>223</v>
      </c>
      <c r="F397">
        <v>-91</v>
      </c>
      <c r="G397">
        <v>-229</v>
      </c>
      <c r="H397">
        <v>-106</v>
      </c>
      <c r="I397">
        <v>428</v>
      </c>
      <c r="J397">
        <v>-27</v>
      </c>
      <c r="K397">
        <v>-468</v>
      </c>
    </row>
    <row r="398" spans="2:11" x14ac:dyDescent="0.25">
      <c r="B398">
        <v>161</v>
      </c>
      <c r="C398">
        <v>-1451</v>
      </c>
      <c r="D398">
        <v>-964</v>
      </c>
      <c r="E398">
        <v>-22558</v>
      </c>
      <c r="F398">
        <v>68</v>
      </c>
      <c r="G398">
        <v>-2627</v>
      </c>
      <c r="H398">
        <v>-68</v>
      </c>
      <c r="I398">
        <v>-1600</v>
      </c>
      <c r="J398">
        <v>-7</v>
      </c>
      <c r="K398">
        <v>-439</v>
      </c>
    </row>
    <row r="399" spans="2:11" x14ac:dyDescent="0.25">
      <c r="B399">
        <v>-37</v>
      </c>
      <c r="C399">
        <v>412</v>
      </c>
      <c r="D399">
        <v>-5140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-77</v>
      </c>
      <c r="K399">
        <v>44</v>
      </c>
    </row>
    <row r="400" spans="2:11" x14ac:dyDescent="0.25">
      <c r="B400">
        <v>12124</v>
      </c>
      <c r="C400">
        <v>12651</v>
      </c>
      <c r="D400">
        <v>-314</v>
      </c>
      <c r="E400">
        <v>-251</v>
      </c>
      <c r="F400">
        <v>3508</v>
      </c>
      <c r="G400">
        <v>67</v>
      </c>
      <c r="H400">
        <v>-127</v>
      </c>
      <c r="I400">
        <v>-171</v>
      </c>
      <c r="J400">
        <v>59</v>
      </c>
      <c r="K400">
        <v>-228</v>
      </c>
    </row>
    <row r="401" spans="2:11" x14ac:dyDescent="0.25">
      <c r="B401">
        <v>1621</v>
      </c>
      <c r="C401">
        <v>11</v>
      </c>
      <c r="D401">
        <v>345</v>
      </c>
      <c r="E401">
        <v>2592</v>
      </c>
      <c r="F401">
        <v>11923</v>
      </c>
      <c r="G401">
        <v>7570</v>
      </c>
      <c r="H401">
        <v>-6118</v>
      </c>
      <c r="I401">
        <v>-7848</v>
      </c>
      <c r="J401">
        <v>-2260</v>
      </c>
      <c r="K401">
        <v>0</v>
      </c>
    </row>
    <row r="402" spans="2:11" x14ac:dyDescent="0.25">
      <c r="B402">
        <v>1797</v>
      </c>
      <c r="C402">
        <v>2848</v>
      </c>
      <c r="D402">
        <v>1747</v>
      </c>
      <c r="E402">
        <v>707</v>
      </c>
      <c r="F402">
        <v>576</v>
      </c>
      <c r="G402">
        <v>-151</v>
      </c>
      <c r="H402">
        <v>1117</v>
      </c>
      <c r="I402">
        <v>-1107</v>
      </c>
      <c r="J402">
        <v>-1298</v>
      </c>
      <c r="K402">
        <v>-614</v>
      </c>
    </row>
    <row r="403" spans="2:11" x14ac:dyDescent="0.25">
      <c r="B403">
        <v>0</v>
      </c>
      <c r="C403">
        <v>-91</v>
      </c>
      <c r="D403">
        <v>-746</v>
      </c>
      <c r="E403">
        <v>-2248</v>
      </c>
      <c r="F403">
        <v>6541</v>
      </c>
      <c r="G403">
        <v>3260</v>
      </c>
      <c r="H403">
        <v>-354</v>
      </c>
      <c r="I403">
        <v>150</v>
      </c>
      <c r="J403">
        <v>0</v>
      </c>
      <c r="K403">
        <v>-275</v>
      </c>
    </row>
    <row r="404" spans="2:11" x14ac:dyDescent="0.25">
      <c r="B404">
        <v>-173</v>
      </c>
      <c r="C404">
        <v>27</v>
      </c>
      <c r="D404">
        <v>54</v>
      </c>
      <c r="E404">
        <v>-59</v>
      </c>
      <c r="F404">
        <v>12</v>
      </c>
      <c r="G404">
        <v>0</v>
      </c>
      <c r="H404">
        <v>43</v>
      </c>
      <c r="I404">
        <v>35</v>
      </c>
      <c r="J404">
        <v>-3890</v>
      </c>
      <c r="K404">
        <v>-280</v>
      </c>
    </row>
    <row r="405" spans="2:11" x14ac:dyDescent="0.25">
      <c r="B405">
        <v>-2719</v>
      </c>
      <c r="C405">
        <v>-142</v>
      </c>
      <c r="D405">
        <v>-6319</v>
      </c>
      <c r="E405">
        <v>-518</v>
      </c>
      <c r="F405">
        <v>185</v>
      </c>
      <c r="G405">
        <v>-124</v>
      </c>
      <c r="H405">
        <v>4254</v>
      </c>
      <c r="I405">
        <v>250</v>
      </c>
      <c r="J405">
        <v>-8780</v>
      </c>
      <c r="K405">
        <v>-1343</v>
      </c>
    </row>
    <row r="406" spans="2:11" x14ac:dyDescent="0.25">
      <c r="B406">
        <v>799</v>
      </c>
      <c r="C406">
        <v>-65</v>
      </c>
      <c r="D406">
        <v>-1702</v>
      </c>
      <c r="E406">
        <v>-366</v>
      </c>
      <c r="F406">
        <v>-169</v>
      </c>
      <c r="G406">
        <v>190</v>
      </c>
      <c r="H406">
        <v>1145</v>
      </c>
      <c r="I406">
        <v>-5</v>
      </c>
      <c r="J406">
        <v>716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146</v>
      </c>
      <c r="G407">
        <v>154</v>
      </c>
      <c r="H407">
        <v>-2349</v>
      </c>
      <c r="I407">
        <v>850</v>
      </c>
      <c r="J407">
        <v>2700</v>
      </c>
      <c r="K407">
        <v>2219</v>
      </c>
    </row>
    <row r="408" spans="2:11" x14ac:dyDescent="0.25">
      <c r="B408">
        <v>75</v>
      </c>
      <c r="C408">
        <v>811</v>
      </c>
      <c r="D408">
        <v>-526</v>
      </c>
      <c r="E408">
        <v>180</v>
      </c>
      <c r="F408">
        <v>-500</v>
      </c>
      <c r="G408">
        <v>1165</v>
      </c>
      <c r="H408">
        <v>-57</v>
      </c>
      <c r="I408">
        <v>-2003</v>
      </c>
      <c r="J408">
        <v>0</v>
      </c>
      <c r="K408">
        <v>24297</v>
      </c>
    </row>
    <row r="409" spans="2:11" x14ac:dyDescent="0.25">
      <c r="B409">
        <v>1053</v>
      </c>
      <c r="C409">
        <v>31969</v>
      </c>
      <c r="D409">
        <v>1917</v>
      </c>
      <c r="E409">
        <v>-254</v>
      </c>
      <c r="F409">
        <v>-391</v>
      </c>
      <c r="G409">
        <v>97</v>
      </c>
      <c r="H409">
        <v>0</v>
      </c>
      <c r="I409">
        <v>-198</v>
      </c>
      <c r="J409">
        <v>-775</v>
      </c>
      <c r="K409">
        <v>-1052</v>
      </c>
    </row>
    <row r="410" spans="2:11" x14ac:dyDescent="0.25">
      <c r="B410">
        <v>-761</v>
      </c>
      <c r="C410">
        <v>-548</v>
      </c>
      <c r="D410">
        <v>-128</v>
      </c>
      <c r="E410">
        <v>-242</v>
      </c>
      <c r="F410">
        <v>-638</v>
      </c>
      <c r="G410">
        <v>-444</v>
      </c>
      <c r="H410">
        <v>99</v>
      </c>
      <c r="I410">
        <v>0</v>
      </c>
      <c r="J410">
        <v>-256</v>
      </c>
      <c r="K410">
        <v>-532</v>
      </c>
    </row>
    <row r="411" spans="2:11" x14ac:dyDescent="0.25">
      <c r="B411">
        <v>-1096</v>
      </c>
      <c r="C411">
        <v>1765</v>
      </c>
      <c r="D411">
        <v>514</v>
      </c>
      <c r="E411">
        <v>-18885</v>
      </c>
      <c r="F411">
        <v>-18067</v>
      </c>
      <c r="G411">
        <v>0</v>
      </c>
      <c r="H411">
        <v>543</v>
      </c>
      <c r="I411">
        <v>2531</v>
      </c>
      <c r="J411">
        <v>3853</v>
      </c>
      <c r="K411">
        <v>5060</v>
      </c>
    </row>
    <row r="412" spans="2:11" x14ac:dyDescent="0.25">
      <c r="B412">
        <v>3155</v>
      </c>
      <c r="C412">
        <v>5229</v>
      </c>
      <c r="D412">
        <v>0</v>
      </c>
      <c r="E412">
        <v>9</v>
      </c>
      <c r="F412">
        <v>187</v>
      </c>
      <c r="G412">
        <v>-273</v>
      </c>
      <c r="H412">
        <v>-266</v>
      </c>
      <c r="I412">
        <v>-55</v>
      </c>
      <c r="J412">
        <v>-1099</v>
      </c>
      <c r="K412">
        <v>-552</v>
      </c>
    </row>
    <row r="413" spans="2:11" x14ac:dyDescent="0.25">
      <c r="B413">
        <v>-1601</v>
      </c>
      <c r="C413">
        <v>121</v>
      </c>
      <c r="D413">
        <v>-1037</v>
      </c>
      <c r="E413">
        <v>460</v>
      </c>
      <c r="F413">
        <v>-1266</v>
      </c>
      <c r="G413">
        <v>-552</v>
      </c>
      <c r="H413">
        <v>-13747</v>
      </c>
      <c r="I413">
        <v>458</v>
      </c>
      <c r="J413">
        <v>-2068</v>
      </c>
      <c r="K413">
        <v>-245</v>
      </c>
    </row>
    <row r="414" spans="2:11" x14ac:dyDescent="0.25">
      <c r="B414">
        <v>-2266</v>
      </c>
      <c r="C414">
        <v>-36</v>
      </c>
      <c r="D414">
        <v>134</v>
      </c>
      <c r="E414">
        <v>-50</v>
      </c>
      <c r="F414">
        <v>503</v>
      </c>
      <c r="G414">
        <v>-164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28</v>
      </c>
      <c r="D415">
        <v>-167</v>
      </c>
      <c r="E415">
        <v>7199</v>
      </c>
      <c r="F415">
        <v>7530</v>
      </c>
      <c r="G415">
        <v>226</v>
      </c>
      <c r="H415">
        <v>58</v>
      </c>
      <c r="I415">
        <v>2920</v>
      </c>
      <c r="J415">
        <v>-12</v>
      </c>
      <c r="K415">
        <v>-316</v>
      </c>
    </row>
    <row r="416" spans="2:11" x14ac:dyDescent="0.25">
      <c r="B416">
        <v>-204</v>
      </c>
      <c r="C416">
        <v>245</v>
      </c>
      <c r="D416">
        <v>-5</v>
      </c>
      <c r="E416">
        <v>1169</v>
      </c>
      <c r="F416">
        <v>-134</v>
      </c>
      <c r="G416">
        <v>1520</v>
      </c>
      <c r="H416">
        <v>2007</v>
      </c>
      <c r="I416">
        <v>7290</v>
      </c>
      <c r="J416">
        <v>2456</v>
      </c>
      <c r="K416">
        <v>15373</v>
      </c>
    </row>
    <row r="417" spans="2:11" x14ac:dyDescent="0.25">
      <c r="B417">
        <v>12744</v>
      </c>
      <c r="C417">
        <v>945</v>
      </c>
      <c r="D417">
        <v>1234</v>
      </c>
      <c r="E417">
        <v>-438</v>
      </c>
      <c r="F417">
        <v>0</v>
      </c>
      <c r="G417">
        <v>-909</v>
      </c>
      <c r="H417">
        <v>-2033</v>
      </c>
      <c r="I417">
        <v>-2214</v>
      </c>
      <c r="J417">
        <v>-1583</v>
      </c>
      <c r="K417">
        <v>-944</v>
      </c>
    </row>
    <row r="418" spans="2:11" x14ac:dyDescent="0.25">
      <c r="B418">
        <v>-580</v>
      </c>
      <c r="C418">
        <v>-3871</v>
      </c>
      <c r="D418">
        <v>-2744</v>
      </c>
      <c r="E418">
        <v>-1560</v>
      </c>
      <c r="F418">
        <v>-443</v>
      </c>
      <c r="G418">
        <v>0</v>
      </c>
      <c r="H418">
        <v>-227</v>
      </c>
      <c r="I418">
        <v>-532</v>
      </c>
      <c r="J418">
        <v>-1894</v>
      </c>
      <c r="K418">
        <v>-6293</v>
      </c>
    </row>
    <row r="419" spans="2:11" x14ac:dyDescent="0.25">
      <c r="B419">
        <v>-7279</v>
      </c>
      <c r="C419">
        <v>1004</v>
      </c>
      <c r="D419">
        <v>811</v>
      </c>
      <c r="E419">
        <v>0</v>
      </c>
      <c r="F419">
        <v>10</v>
      </c>
      <c r="G419">
        <v>240</v>
      </c>
      <c r="H419">
        <v>620</v>
      </c>
      <c r="I419">
        <v>979</v>
      </c>
      <c r="J419">
        <v>860</v>
      </c>
      <c r="K419">
        <v>1767</v>
      </c>
    </row>
    <row r="420" spans="2:11" x14ac:dyDescent="0.25">
      <c r="B420">
        <v>0</v>
      </c>
      <c r="C420">
        <v>-1497</v>
      </c>
      <c r="D420">
        <v>-750</v>
      </c>
      <c r="E420">
        <v>-4264</v>
      </c>
      <c r="F420">
        <v>-1276</v>
      </c>
      <c r="G420">
        <v>-2869</v>
      </c>
      <c r="H420">
        <v>252</v>
      </c>
      <c r="I420">
        <v>-6398</v>
      </c>
      <c r="J420">
        <v>-2164</v>
      </c>
      <c r="K420">
        <v>-256</v>
      </c>
    </row>
    <row r="421" spans="2:11" x14ac:dyDescent="0.25">
      <c r="B421">
        <v>586</v>
      </c>
      <c r="C421">
        <v>488</v>
      </c>
      <c r="D421">
        <v>-1161</v>
      </c>
      <c r="E421">
        <v>-9978</v>
      </c>
      <c r="F421">
        <v>1520</v>
      </c>
      <c r="G421">
        <v>-4361</v>
      </c>
      <c r="H421">
        <v>-768</v>
      </c>
      <c r="I421">
        <v>921</v>
      </c>
      <c r="J421">
        <v>143</v>
      </c>
      <c r="K421">
        <v>-2288</v>
      </c>
    </row>
    <row r="422" spans="2:11" x14ac:dyDescent="0.25">
      <c r="B422">
        <v>55</v>
      </c>
      <c r="C422">
        <v>4508</v>
      </c>
      <c r="D422">
        <v>412</v>
      </c>
      <c r="E422">
        <v>-277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218</v>
      </c>
    </row>
    <row r="423" spans="2:11" x14ac:dyDescent="0.25">
      <c r="B423">
        <v>-376</v>
      </c>
      <c r="C423">
        <v>-3134</v>
      </c>
      <c r="D423">
        <v>-576</v>
      </c>
      <c r="E423">
        <v>2834</v>
      </c>
      <c r="F423">
        <v>2037</v>
      </c>
      <c r="G423">
        <v>-137</v>
      </c>
      <c r="H423">
        <v>2471</v>
      </c>
      <c r="I423">
        <v>191</v>
      </c>
      <c r="J423">
        <v>-255</v>
      </c>
      <c r="K423">
        <v>150</v>
      </c>
    </row>
    <row r="424" spans="2:11" x14ac:dyDescent="0.25">
      <c r="B424">
        <v>-6462</v>
      </c>
      <c r="C424">
        <v>24</v>
      </c>
      <c r="D424">
        <v>-8276</v>
      </c>
      <c r="E424">
        <v>-1470</v>
      </c>
      <c r="F424">
        <v>28873</v>
      </c>
      <c r="G424">
        <v>-129</v>
      </c>
      <c r="H424">
        <v>37571</v>
      </c>
      <c r="I424">
        <v>111</v>
      </c>
      <c r="J424">
        <v>28533</v>
      </c>
      <c r="K424">
        <v>545</v>
      </c>
    </row>
    <row r="425" spans="2:11" x14ac:dyDescent="0.25">
      <c r="B425">
        <v>978</v>
      </c>
      <c r="C425">
        <v>974</v>
      </c>
      <c r="D425">
        <v>352</v>
      </c>
      <c r="E425">
        <v>0</v>
      </c>
      <c r="F425">
        <v>-1176</v>
      </c>
      <c r="G425">
        <v>-2580</v>
      </c>
      <c r="H425">
        <v>-2793</v>
      </c>
      <c r="I425">
        <v>-2024</v>
      </c>
      <c r="J425">
        <v>-1127</v>
      </c>
      <c r="K425">
        <v>-171</v>
      </c>
    </row>
    <row r="426" spans="2:11" x14ac:dyDescent="0.25">
      <c r="B426">
        <v>-2016</v>
      </c>
      <c r="C426">
        <v>-1975</v>
      </c>
      <c r="D426">
        <v>-1027</v>
      </c>
      <c r="E426">
        <v>-50</v>
      </c>
      <c r="F426">
        <v>0</v>
      </c>
      <c r="G426">
        <v>-229</v>
      </c>
      <c r="H426">
        <v>-360</v>
      </c>
      <c r="I426">
        <v>-1255</v>
      </c>
      <c r="J426">
        <v>-3352</v>
      </c>
      <c r="K426">
        <v>-3924</v>
      </c>
    </row>
    <row r="427" spans="2:11" x14ac:dyDescent="0.25">
      <c r="B427">
        <v>-8100</v>
      </c>
      <c r="C427">
        <v>-4742</v>
      </c>
      <c r="D427">
        <v>0</v>
      </c>
      <c r="E427">
        <v>794</v>
      </c>
      <c r="F427">
        <v>-2409</v>
      </c>
      <c r="G427">
        <v>-6500</v>
      </c>
      <c r="H427">
        <v>-10414</v>
      </c>
      <c r="I427">
        <v>-7304</v>
      </c>
      <c r="J427">
        <v>-12986</v>
      </c>
      <c r="K427">
        <v>0</v>
      </c>
    </row>
    <row r="428" spans="2:11" x14ac:dyDescent="0.25">
      <c r="B428">
        <v>-152</v>
      </c>
      <c r="C428">
        <v>689</v>
      </c>
      <c r="D428">
        <v>-358</v>
      </c>
      <c r="E428">
        <v>-155</v>
      </c>
      <c r="F428">
        <v>-21</v>
      </c>
      <c r="G428">
        <v>-5385</v>
      </c>
      <c r="H428">
        <v>-809</v>
      </c>
      <c r="I428">
        <v>-3374</v>
      </c>
      <c r="J428">
        <v>108</v>
      </c>
      <c r="K428">
        <v>-2315</v>
      </c>
    </row>
    <row r="429" spans="2:11" x14ac:dyDescent="0.25">
      <c r="B429">
        <v>-313</v>
      </c>
      <c r="C429">
        <v>-6073</v>
      </c>
      <c r="D429">
        <v>127</v>
      </c>
      <c r="E429">
        <v>-16721</v>
      </c>
      <c r="F429">
        <v>-306</v>
      </c>
      <c r="G429">
        <v>-6198</v>
      </c>
      <c r="H429">
        <v>-88</v>
      </c>
      <c r="I429">
        <v>82</v>
      </c>
      <c r="J429">
        <v>-338</v>
      </c>
      <c r="K429">
        <v>-2582</v>
      </c>
    </row>
    <row r="430" spans="2:11" x14ac:dyDescent="0.25">
      <c r="B430">
        <v>450</v>
      </c>
      <c r="C430">
        <v>3873</v>
      </c>
      <c r="D430">
        <v>3377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-279</v>
      </c>
      <c r="K430">
        <v>-379</v>
      </c>
    </row>
    <row r="431" spans="2:11" x14ac:dyDescent="0.25">
      <c r="B431">
        <v>6823</v>
      </c>
      <c r="C431">
        <v>6886</v>
      </c>
      <c r="D431">
        <v>-34</v>
      </c>
      <c r="E431">
        <v>-451</v>
      </c>
      <c r="F431">
        <v>13289</v>
      </c>
      <c r="G431">
        <v>-157</v>
      </c>
      <c r="H431">
        <v>-143</v>
      </c>
      <c r="I431">
        <v>-330</v>
      </c>
      <c r="J431">
        <v>348</v>
      </c>
      <c r="K431">
        <v>-113</v>
      </c>
    </row>
    <row r="432" spans="2:11" x14ac:dyDescent="0.25">
      <c r="B432">
        <v>-7268</v>
      </c>
      <c r="C432">
        <v>-536</v>
      </c>
      <c r="D432">
        <v>-6497</v>
      </c>
      <c r="E432">
        <v>630</v>
      </c>
      <c r="F432">
        <v>9432</v>
      </c>
      <c r="G432">
        <v>1424</v>
      </c>
      <c r="H432">
        <v>27458</v>
      </c>
      <c r="I432">
        <v>1487</v>
      </c>
      <c r="J432">
        <v>24669</v>
      </c>
      <c r="K432">
        <v>8520</v>
      </c>
    </row>
    <row r="433" spans="2:11" x14ac:dyDescent="0.25">
      <c r="B433">
        <v>-785</v>
      </c>
      <c r="C433">
        <v>-1692</v>
      </c>
      <c r="D433">
        <v>-1903</v>
      </c>
      <c r="E433">
        <v>0</v>
      </c>
      <c r="F433">
        <v>1978</v>
      </c>
      <c r="G433">
        <v>2222</v>
      </c>
      <c r="H433">
        <v>986</v>
      </c>
      <c r="I433">
        <v>500</v>
      </c>
      <c r="J433">
        <v>803</v>
      </c>
      <c r="K433">
        <v>1181</v>
      </c>
    </row>
    <row r="434" spans="2:11" x14ac:dyDescent="0.25">
      <c r="B434">
        <v>882</v>
      </c>
      <c r="C434">
        <v>1483</v>
      </c>
      <c r="D434">
        <v>2561</v>
      </c>
      <c r="E434">
        <v>2460</v>
      </c>
      <c r="F434">
        <v>0</v>
      </c>
      <c r="G434">
        <v>-377</v>
      </c>
      <c r="H434">
        <v>-375</v>
      </c>
      <c r="I434">
        <v>-95</v>
      </c>
      <c r="J434">
        <v>765</v>
      </c>
      <c r="K434">
        <v>847</v>
      </c>
    </row>
    <row r="435" spans="2:11" x14ac:dyDescent="0.25">
      <c r="B435">
        <v>-65</v>
      </c>
      <c r="C435">
        <v>27</v>
      </c>
      <c r="D435">
        <v>0</v>
      </c>
      <c r="E435">
        <v>-157</v>
      </c>
      <c r="F435">
        <v>-52</v>
      </c>
      <c r="G435">
        <v>-92</v>
      </c>
      <c r="H435">
        <v>-217</v>
      </c>
      <c r="I435">
        <v>-132</v>
      </c>
      <c r="J435">
        <v>-156</v>
      </c>
      <c r="K435">
        <v>0</v>
      </c>
    </row>
    <row r="436" spans="2:11" x14ac:dyDescent="0.25">
      <c r="B436">
        <v>179</v>
      </c>
      <c r="C436">
        <v>325</v>
      </c>
      <c r="D436">
        <v>2188</v>
      </c>
      <c r="E436">
        <v>463</v>
      </c>
      <c r="F436">
        <v>-546</v>
      </c>
      <c r="G436">
        <v>-52</v>
      </c>
      <c r="H436">
        <v>282</v>
      </c>
      <c r="I436">
        <v>424</v>
      </c>
      <c r="J436">
        <v>-820</v>
      </c>
      <c r="K436">
        <v>-310</v>
      </c>
    </row>
    <row r="437" spans="2:11" x14ac:dyDescent="0.25">
      <c r="B437">
        <v>67415</v>
      </c>
      <c r="C437">
        <v>602</v>
      </c>
      <c r="D437">
        <v>-361</v>
      </c>
      <c r="E437">
        <v>-1101</v>
      </c>
      <c r="F437">
        <v>83364</v>
      </c>
      <c r="G437">
        <v>1466</v>
      </c>
      <c r="H437">
        <v>-36</v>
      </c>
      <c r="I437">
        <v>-6</v>
      </c>
      <c r="J437">
        <v>-2614</v>
      </c>
      <c r="K437">
        <v>167</v>
      </c>
    </row>
    <row r="438" spans="2:11" x14ac:dyDescent="0.25">
      <c r="B438">
        <v>-2600</v>
      </c>
      <c r="C438">
        <v>121</v>
      </c>
      <c r="D438">
        <v>565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57</v>
      </c>
      <c r="K438">
        <v>139</v>
      </c>
    </row>
    <row r="439" spans="2:11" x14ac:dyDescent="0.25">
      <c r="B439">
        <v>-17618</v>
      </c>
      <c r="C439">
        <v>1158</v>
      </c>
      <c r="D439">
        <v>-7071</v>
      </c>
      <c r="E439">
        <v>-7551</v>
      </c>
      <c r="F439">
        <v>-2578</v>
      </c>
      <c r="G439">
        <v>10166</v>
      </c>
      <c r="H439">
        <v>-4011</v>
      </c>
      <c r="I439">
        <v>-2041</v>
      </c>
      <c r="J439">
        <v>911</v>
      </c>
      <c r="K439">
        <v>-2071</v>
      </c>
    </row>
    <row r="440" spans="2:11" x14ac:dyDescent="0.25">
      <c r="B440">
        <v>-434</v>
      </c>
      <c r="C440">
        <v>1316</v>
      </c>
      <c r="D440">
        <v>362</v>
      </c>
      <c r="E440">
        <v>2756</v>
      </c>
      <c r="F440">
        <v>246</v>
      </c>
      <c r="G440">
        <v>3581</v>
      </c>
      <c r="H440">
        <v>194</v>
      </c>
      <c r="I440">
        <v>4586</v>
      </c>
      <c r="J440">
        <v>392</v>
      </c>
      <c r="K440">
        <v>4994</v>
      </c>
    </row>
    <row r="441" spans="2:11" x14ac:dyDescent="0.25">
      <c r="B441">
        <v>190</v>
      </c>
      <c r="C441">
        <v>-637</v>
      </c>
      <c r="D441">
        <v>-285</v>
      </c>
      <c r="E441">
        <v>188</v>
      </c>
      <c r="F441">
        <v>0</v>
      </c>
      <c r="G441">
        <v>-118</v>
      </c>
      <c r="H441">
        <v>-147</v>
      </c>
      <c r="I441">
        <v>373</v>
      </c>
      <c r="J441">
        <v>649</v>
      </c>
      <c r="K441">
        <v>102</v>
      </c>
    </row>
    <row r="442" spans="2:11" x14ac:dyDescent="0.25">
      <c r="B442">
        <v>-284</v>
      </c>
      <c r="C442">
        <v>986</v>
      </c>
      <c r="D442">
        <v>1272</v>
      </c>
      <c r="E442">
        <v>1793</v>
      </c>
      <c r="F442">
        <v>1710</v>
      </c>
      <c r="G442">
        <v>0</v>
      </c>
      <c r="H442">
        <v>-658</v>
      </c>
      <c r="I442">
        <v>-793</v>
      </c>
      <c r="J442">
        <v>-144</v>
      </c>
      <c r="K442">
        <v>322</v>
      </c>
    </row>
    <row r="443" spans="2:11" x14ac:dyDescent="0.25">
      <c r="B443">
        <v>567</v>
      </c>
      <c r="C443">
        <v>288</v>
      </c>
      <c r="D443">
        <v>231</v>
      </c>
      <c r="E443">
        <v>0</v>
      </c>
      <c r="F443">
        <v>-295</v>
      </c>
      <c r="G443">
        <v>-454</v>
      </c>
      <c r="H443">
        <v>395</v>
      </c>
      <c r="I443">
        <v>686</v>
      </c>
      <c r="J443">
        <v>264</v>
      </c>
      <c r="K443">
        <v>230</v>
      </c>
    </row>
    <row r="444" spans="2:11" x14ac:dyDescent="0.25">
      <c r="B444">
        <v>0</v>
      </c>
      <c r="C444">
        <v>85</v>
      </c>
      <c r="D444">
        <v>-665</v>
      </c>
      <c r="E444">
        <v>-58</v>
      </c>
      <c r="F444">
        <v>-2709</v>
      </c>
      <c r="G444">
        <v>-146</v>
      </c>
      <c r="H444">
        <v>-1506</v>
      </c>
      <c r="I444">
        <v>119</v>
      </c>
      <c r="J444">
        <v>-1252</v>
      </c>
      <c r="K444">
        <v>-126</v>
      </c>
    </row>
    <row r="445" spans="2:11" x14ac:dyDescent="0.25">
      <c r="B445">
        <v>329</v>
      </c>
      <c r="C445">
        <v>188</v>
      </c>
      <c r="D445">
        <v>83401</v>
      </c>
      <c r="E445">
        <v>486</v>
      </c>
      <c r="F445">
        <v>5173</v>
      </c>
      <c r="G445">
        <v>1553</v>
      </c>
      <c r="H445">
        <v>87535</v>
      </c>
      <c r="I445">
        <v>45</v>
      </c>
      <c r="J445">
        <v>-91</v>
      </c>
      <c r="K445">
        <v>-345</v>
      </c>
    </row>
    <row r="446" spans="2:11" x14ac:dyDescent="0.25">
      <c r="B446">
        <v>-1061</v>
      </c>
      <c r="C446">
        <v>-195</v>
      </c>
      <c r="D446">
        <v>952</v>
      </c>
      <c r="E446">
        <v>-4392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287</v>
      </c>
    </row>
    <row r="447" spans="2:11" x14ac:dyDescent="0.25">
      <c r="B447">
        <v>1785</v>
      </c>
      <c r="C447">
        <v>76089</v>
      </c>
      <c r="D447">
        <v>77745</v>
      </c>
      <c r="E447">
        <v>-1575</v>
      </c>
      <c r="F447">
        <v>-1954</v>
      </c>
      <c r="G447">
        <v>-36350</v>
      </c>
      <c r="H447">
        <v>1904</v>
      </c>
      <c r="I447">
        <v>-176</v>
      </c>
      <c r="J447">
        <v>-954</v>
      </c>
      <c r="K447">
        <v>1019</v>
      </c>
    </row>
    <row r="448" spans="2:11" x14ac:dyDescent="0.25">
      <c r="B448">
        <v>-393</v>
      </c>
      <c r="C448">
        <v>-703</v>
      </c>
      <c r="D448">
        <v>74</v>
      </c>
      <c r="E448">
        <v>-1522</v>
      </c>
      <c r="F448">
        <v>-17</v>
      </c>
      <c r="G448">
        <v>3883</v>
      </c>
      <c r="H448">
        <v>213</v>
      </c>
      <c r="I448">
        <v>-1100</v>
      </c>
      <c r="J448">
        <v>-20</v>
      </c>
      <c r="K448">
        <v>-1082</v>
      </c>
    </row>
    <row r="449" spans="2:11" x14ac:dyDescent="0.25">
      <c r="B449">
        <v>-488</v>
      </c>
      <c r="C449">
        <v>-975</v>
      </c>
      <c r="D449">
        <v>2504</v>
      </c>
      <c r="E449">
        <v>30357</v>
      </c>
      <c r="F449">
        <v>21891</v>
      </c>
      <c r="G449">
        <v>25948</v>
      </c>
      <c r="H449">
        <v>0</v>
      </c>
      <c r="I449">
        <v>-18785</v>
      </c>
      <c r="J449">
        <v>-39898</v>
      </c>
      <c r="K449">
        <v>-45410</v>
      </c>
    </row>
    <row r="450" spans="2:11" x14ac:dyDescent="0.25">
      <c r="B450">
        <v>-45589</v>
      </c>
      <c r="C450">
        <v>-48914</v>
      </c>
      <c r="D450">
        <v>-49285</v>
      </c>
      <c r="E450">
        <v>41871</v>
      </c>
      <c r="F450">
        <v>55721</v>
      </c>
      <c r="G450">
        <v>57655</v>
      </c>
      <c r="H450">
        <v>45967</v>
      </c>
      <c r="I450">
        <v>0</v>
      </c>
      <c r="J450">
        <v>-22895</v>
      </c>
      <c r="K450">
        <v>-43580</v>
      </c>
    </row>
    <row r="451" spans="2:11" x14ac:dyDescent="0.25">
      <c r="B451">
        <v>-56873</v>
      </c>
      <c r="C451">
        <v>-62729</v>
      </c>
      <c r="D451">
        <v>-56420</v>
      </c>
      <c r="E451">
        <v>765</v>
      </c>
      <c r="F451">
        <v>112</v>
      </c>
      <c r="G451">
        <v>0</v>
      </c>
      <c r="H451">
        <v>1832</v>
      </c>
      <c r="I451">
        <v>1617</v>
      </c>
      <c r="J451">
        <v>1633</v>
      </c>
      <c r="K451">
        <v>2178</v>
      </c>
    </row>
    <row r="452" spans="2:11" x14ac:dyDescent="0.25">
      <c r="B452">
        <v>943</v>
      </c>
      <c r="C452">
        <v>360</v>
      </c>
      <c r="D452">
        <v>0</v>
      </c>
      <c r="E452">
        <v>-15717</v>
      </c>
      <c r="F452">
        <v>-306</v>
      </c>
      <c r="G452">
        <v>-14365</v>
      </c>
      <c r="H452">
        <v>-437</v>
      </c>
      <c r="I452">
        <v>-11274</v>
      </c>
      <c r="J452">
        <v>-129</v>
      </c>
      <c r="K452">
        <v>-16385</v>
      </c>
    </row>
    <row r="453" spans="2:11" x14ac:dyDescent="0.25">
      <c r="B453">
        <v>-1242</v>
      </c>
      <c r="C453">
        <v>-7979</v>
      </c>
      <c r="D453">
        <v>31</v>
      </c>
      <c r="E453">
        <v>-7653</v>
      </c>
      <c r="F453">
        <v>-1879</v>
      </c>
      <c r="G453">
        <v>89411</v>
      </c>
      <c r="H453">
        <v>20452</v>
      </c>
      <c r="I453">
        <v>-5070</v>
      </c>
      <c r="J453">
        <v>951</v>
      </c>
      <c r="K453">
        <v>300</v>
      </c>
    </row>
    <row r="454" spans="2:11" x14ac:dyDescent="0.25">
      <c r="B454">
        <v>150</v>
      </c>
      <c r="C454">
        <v>-12293</v>
      </c>
      <c r="D454">
        <v>-579</v>
      </c>
      <c r="E454">
        <v>1420</v>
      </c>
      <c r="F454">
        <v>-98</v>
      </c>
      <c r="G454">
        <v>769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-1330</v>
      </c>
      <c r="D455">
        <v>-1167</v>
      </c>
      <c r="E455">
        <v>12114</v>
      </c>
      <c r="F455">
        <v>-11295</v>
      </c>
      <c r="G455">
        <v>-7650</v>
      </c>
      <c r="H455">
        <v>-7028</v>
      </c>
      <c r="I455">
        <v>104</v>
      </c>
      <c r="J455">
        <v>-347</v>
      </c>
      <c r="K455">
        <v>-2425</v>
      </c>
    </row>
    <row r="456" spans="2:11" x14ac:dyDescent="0.25">
      <c r="B456">
        <v>-1264</v>
      </c>
      <c r="C456">
        <v>18054</v>
      </c>
      <c r="D456">
        <v>-12187</v>
      </c>
      <c r="E456">
        <v>190</v>
      </c>
      <c r="F456">
        <v>-7364</v>
      </c>
      <c r="G456">
        <v>-191</v>
      </c>
      <c r="H456">
        <v>-22883</v>
      </c>
      <c r="I456">
        <v>-1961</v>
      </c>
      <c r="J456">
        <v>-23330</v>
      </c>
      <c r="K456">
        <v>-1273</v>
      </c>
    </row>
    <row r="457" spans="2:11" x14ac:dyDescent="0.25">
      <c r="B457">
        <v>-15879</v>
      </c>
      <c r="C457">
        <v>-950</v>
      </c>
      <c r="D457">
        <v>-18875</v>
      </c>
      <c r="E457">
        <v>-658</v>
      </c>
      <c r="F457">
        <v>-5543</v>
      </c>
      <c r="G457">
        <v>571</v>
      </c>
      <c r="H457">
        <v>4624</v>
      </c>
      <c r="I457">
        <v>2802</v>
      </c>
      <c r="J457">
        <v>5676</v>
      </c>
      <c r="K457">
        <v>0</v>
      </c>
    </row>
    <row r="458" spans="2:11" x14ac:dyDescent="0.25">
      <c r="B458">
        <v>-2223</v>
      </c>
      <c r="C458">
        <v>-3234</v>
      </c>
      <c r="D458">
        <v>-1922</v>
      </c>
      <c r="E458">
        <v>376</v>
      </c>
      <c r="F458">
        <v>1935</v>
      </c>
      <c r="G458">
        <v>1096</v>
      </c>
      <c r="H458">
        <v>18665</v>
      </c>
      <c r="I458">
        <v>23715</v>
      </c>
      <c r="J458">
        <v>23274</v>
      </c>
      <c r="K458">
        <v>18562</v>
      </c>
    </row>
    <row r="459" spans="2:11" x14ac:dyDescent="0.25">
      <c r="B459">
        <v>0</v>
      </c>
      <c r="C459">
        <v>-9084</v>
      </c>
      <c r="D459">
        <v>-15415</v>
      </c>
      <c r="E459">
        <v>-24437</v>
      </c>
      <c r="F459">
        <v>-28100</v>
      </c>
      <c r="G459">
        <v>-26333</v>
      </c>
      <c r="H459">
        <v>72307</v>
      </c>
      <c r="I459">
        <v>58086</v>
      </c>
      <c r="J459">
        <v>0</v>
      </c>
      <c r="K459">
        <v>-51436</v>
      </c>
    </row>
    <row r="460" spans="2:11" x14ac:dyDescent="0.25">
      <c r="B460">
        <v>-54804</v>
      </c>
      <c r="C460">
        <v>-57590</v>
      </c>
      <c r="D460">
        <v>-56974</v>
      </c>
      <c r="E460">
        <v>-29861</v>
      </c>
      <c r="F460">
        <v>-46348</v>
      </c>
      <c r="G460">
        <v>0</v>
      </c>
      <c r="H460">
        <v>-762</v>
      </c>
      <c r="I460">
        <v>-19143</v>
      </c>
      <c r="J460">
        <v>-172</v>
      </c>
      <c r="K460">
        <v>-20424</v>
      </c>
    </row>
    <row r="461" spans="2:11" x14ac:dyDescent="0.25">
      <c r="B461">
        <v>121</v>
      </c>
      <c r="C461">
        <v>-13684</v>
      </c>
      <c r="D461">
        <v>-683</v>
      </c>
      <c r="E461">
        <v>-22516</v>
      </c>
      <c r="F461">
        <v>-6</v>
      </c>
      <c r="G461">
        <v>-11915</v>
      </c>
      <c r="H461">
        <v>-1843</v>
      </c>
      <c r="I461">
        <v>-3229</v>
      </c>
      <c r="J461">
        <v>19455</v>
      </c>
      <c r="K461">
        <v>78164</v>
      </c>
    </row>
    <row r="462" spans="2:11" x14ac:dyDescent="0.25">
      <c r="B462">
        <v>-909</v>
      </c>
      <c r="C462">
        <v>-6135</v>
      </c>
      <c r="D462">
        <v>-71</v>
      </c>
      <c r="E462">
        <v>358</v>
      </c>
      <c r="F462">
        <v>580</v>
      </c>
      <c r="G462">
        <v>-16685</v>
      </c>
      <c r="H462">
        <v>-238</v>
      </c>
      <c r="I462">
        <v>358</v>
      </c>
      <c r="J462">
        <v>32914</v>
      </c>
      <c r="K462">
        <v>0</v>
      </c>
    </row>
    <row r="463" spans="2:11" x14ac:dyDescent="0.25">
      <c r="B463">
        <v>0</v>
      </c>
      <c r="C463">
        <v>0</v>
      </c>
      <c r="D463">
        <v>0</v>
      </c>
      <c r="E463">
        <v>0</v>
      </c>
      <c r="F463">
        <v>1359</v>
      </c>
      <c r="G463">
        <v>637</v>
      </c>
      <c r="H463">
        <v>-42797</v>
      </c>
      <c r="I463">
        <v>-49109</v>
      </c>
      <c r="J463">
        <v>13006</v>
      </c>
      <c r="K463">
        <v>13905</v>
      </c>
    </row>
    <row r="464" spans="2:11" x14ac:dyDescent="0.25">
      <c r="B464">
        <v>-8551</v>
      </c>
      <c r="C464">
        <v>-1754</v>
      </c>
      <c r="D464">
        <v>1299</v>
      </c>
      <c r="E464">
        <v>3155</v>
      </c>
      <c r="F464">
        <v>9790</v>
      </c>
      <c r="G464">
        <v>-859</v>
      </c>
      <c r="H464">
        <v>-19815</v>
      </c>
      <c r="I464">
        <v>375</v>
      </c>
      <c r="J464">
        <v>-15932</v>
      </c>
      <c r="K464">
        <v>-5801</v>
      </c>
    </row>
    <row r="465" spans="2:11" x14ac:dyDescent="0.25">
      <c r="B465">
        <v>-29393</v>
      </c>
      <c r="C465">
        <v>-4600</v>
      </c>
      <c r="D465">
        <v>-28508</v>
      </c>
      <c r="E465">
        <v>-1488</v>
      </c>
      <c r="F465">
        <v>-18443</v>
      </c>
      <c r="G465">
        <v>189</v>
      </c>
      <c r="H465">
        <v>-27917</v>
      </c>
      <c r="I465">
        <v>-1210</v>
      </c>
      <c r="J465">
        <v>-2994</v>
      </c>
      <c r="K465">
        <v>20932</v>
      </c>
    </row>
    <row r="466" spans="2:11" x14ac:dyDescent="0.25">
      <c r="B466">
        <v>-959</v>
      </c>
      <c r="C466">
        <v>-975</v>
      </c>
      <c r="D466">
        <v>-238</v>
      </c>
      <c r="E466">
        <v>0</v>
      </c>
      <c r="F466">
        <v>195</v>
      </c>
      <c r="G466">
        <v>576</v>
      </c>
      <c r="H466">
        <v>525</v>
      </c>
      <c r="I466">
        <v>525</v>
      </c>
      <c r="J466">
        <v>343</v>
      </c>
      <c r="K466">
        <v>227</v>
      </c>
    </row>
    <row r="467" spans="2:11" x14ac:dyDescent="0.25">
      <c r="B467">
        <v>471</v>
      </c>
      <c r="C467">
        <v>-212</v>
      </c>
      <c r="D467">
        <v>-540</v>
      </c>
      <c r="E467">
        <v>-500</v>
      </c>
      <c r="F467">
        <v>0</v>
      </c>
      <c r="G467">
        <v>-99</v>
      </c>
      <c r="H467">
        <v>52</v>
      </c>
      <c r="I467">
        <v>270</v>
      </c>
      <c r="J467">
        <v>688</v>
      </c>
      <c r="K467">
        <v>1059</v>
      </c>
    </row>
    <row r="468" spans="2:11" x14ac:dyDescent="0.25">
      <c r="B468">
        <v>-31840</v>
      </c>
      <c r="C468">
        <v>-11830</v>
      </c>
      <c r="D468">
        <v>0</v>
      </c>
      <c r="E468">
        <v>18349</v>
      </c>
      <c r="F468">
        <v>20800</v>
      </c>
      <c r="G468">
        <v>21664</v>
      </c>
      <c r="H468">
        <v>21732</v>
      </c>
      <c r="I468">
        <v>11596</v>
      </c>
      <c r="J468">
        <v>18149</v>
      </c>
      <c r="K468">
        <v>0</v>
      </c>
    </row>
    <row r="469" spans="2:11" x14ac:dyDescent="0.25">
      <c r="B469">
        <v>50</v>
      </c>
      <c r="C469">
        <v>-125</v>
      </c>
      <c r="D469">
        <v>64</v>
      </c>
      <c r="E469">
        <v>203</v>
      </c>
      <c r="F469">
        <v>5</v>
      </c>
      <c r="G469">
        <v>443</v>
      </c>
      <c r="H469">
        <v>105</v>
      </c>
      <c r="I469">
        <v>245</v>
      </c>
      <c r="J469">
        <v>-11</v>
      </c>
      <c r="K469">
        <v>-18</v>
      </c>
    </row>
    <row r="470" spans="2:11" x14ac:dyDescent="0.25">
      <c r="B470">
        <v>163</v>
      </c>
      <c r="C470">
        <v>-443</v>
      </c>
      <c r="D470">
        <v>-702</v>
      </c>
      <c r="E470">
        <v>-20131</v>
      </c>
      <c r="F470">
        <v>118</v>
      </c>
      <c r="G470">
        <v>70</v>
      </c>
      <c r="H470">
        <v>-26</v>
      </c>
      <c r="I470">
        <v>-227</v>
      </c>
      <c r="J470">
        <v>-11</v>
      </c>
      <c r="K470">
        <v>-888</v>
      </c>
    </row>
    <row r="471" spans="2:11" x14ac:dyDescent="0.25">
      <c r="B471">
        <v>-28</v>
      </c>
      <c r="C471">
        <v>482</v>
      </c>
      <c r="D471">
        <v>-7326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17</v>
      </c>
      <c r="K471">
        <v>281</v>
      </c>
    </row>
    <row r="472" spans="2:11" x14ac:dyDescent="0.25">
      <c r="B472">
        <v>11063</v>
      </c>
      <c r="C472">
        <v>11478</v>
      </c>
      <c r="D472">
        <v>-331</v>
      </c>
      <c r="E472">
        <v>-330</v>
      </c>
      <c r="F472">
        <v>-2145</v>
      </c>
      <c r="G472">
        <v>42</v>
      </c>
      <c r="H472">
        <v>-57</v>
      </c>
      <c r="I472">
        <v>-69</v>
      </c>
      <c r="J472">
        <v>-213</v>
      </c>
      <c r="K472">
        <v>-41</v>
      </c>
    </row>
    <row r="473" spans="2:11" x14ac:dyDescent="0.25">
      <c r="B473">
        <v>369</v>
      </c>
      <c r="C473">
        <v>34</v>
      </c>
      <c r="D473">
        <v>869</v>
      </c>
      <c r="E473">
        <v>611</v>
      </c>
      <c r="F473">
        <v>74258</v>
      </c>
      <c r="G473">
        <v>585</v>
      </c>
      <c r="H473">
        <v>8250</v>
      </c>
      <c r="I473">
        <v>316</v>
      </c>
      <c r="J473">
        <v>4960</v>
      </c>
      <c r="K473">
        <v>-334</v>
      </c>
    </row>
    <row r="474" spans="2:11" x14ac:dyDescent="0.25">
      <c r="B474">
        <v>3286</v>
      </c>
      <c r="C474">
        <v>95</v>
      </c>
      <c r="D474">
        <v>260</v>
      </c>
      <c r="E474">
        <v>-727</v>
      </c>
      <c r="F474">
        <v>-23138</v>
      </c>
      <c r="G474">
        <v>-474</v>
      </c>
      <c r="H474">
        <v>-320</v>
      </c>
      <c r="I474">
        <v>-113</v>
      </c>
      <c r="J474">
        <v>0</v>
      </c>
      <c r="K474">
        <v>257</v>
      </c>
    </row>
    <row r="475" spans="2:11" x14ac:dyDescent="0.25">
      <c r="B475">
        <v>552</v>
      </c>
      <c r="C475">
        <v>406</v>
      </c>
      <c r="D475">
        <v>267</v>
      </c>
      <c r="E475">
        <v>50</v>
      </c>
      <c r="F475">
        <v>101</v>
      </c>
      <c r="G475">
        <v>306</v>
      </c>
      <c r="H475">
        <v>-16</v>
      </c>
      <c r="I475">
        <v>-306</v>
      </c>
      <c r="J475">
        <v>-261</v>
      </c>
      <c r="K475">
        <v>0</v>
      </c>
    </row>
    <row r="476" spans="2:11" x14ac:dyDescent="0.25">
      <c r="B476">
        <v>28</v>
      </c>
      <c r="C476">
        <v>57</v>
      </c>
      <c r="D476">
        <v>262</v>
      </c>
      <c r="E476">
        <v>246</v>
      </c>
      <c r="F476">
        <v>910</v>
      </c>
      <c r="G476">
        <v>-31103</v>
      </c>
      <c r="H476">
        <v>-25680</v>
      </c>
      <c r="I476">
        <v>0</v>
      </c>
      <c r="J476">
        <v>10680</v>
      </c>
      <c r="K476">
        <v>11217</v>
      </c>
    </row>
    <row r="477" spans="2:11" x14ac:dyDescent="0.25">
      <c r="B477">
        <v>11548</v>
      </c>
      <c r="C477">
        <v>12123</v>
      </c>
      <c r="D477">
        <v>7102</v>
      </c>
      <c r="E477">
        <v>11968</v>
      </c>
      <c r="F477">
        <v>0</v>
      </c>
      <c r="G477">
        <v>19</v>
      </c>
      <c r="H477">
        <v>425</v>
      </c>
      <c r="I477">
        <v>68</v>
      </c>
      <c r="J477">
        <v>724</v>
      </c>
      <c r="K477">
        <v>-19</v>
      </c>
    </row>
    <row r="478" spans="2:11" x14ac:dyDescent="0.25">
      <c r="B478">
        <v>754</v>
      </c>
      <c r="C478">
        <v>118</v>
      </c>
      <c r="D478">
        <v>569</v>
      </c>
      <c r="E478">
        <v>-21</v>
      </c>
      <c r="F478">
        <v>-229</v>
      </c>
      <c r="G478">
        <v>126</v>
      </c>
      <c r="H478">
        <v>-1214</v>
      </c>
      <c r="I478">
        <v>-334</v>
      </c>
      <c r="J478">
        <v>-17058</v>
      </c>
      <c r="K478">
        <v>169</v>
      </c>
    </row>
    <row r="479" spans="2:11" x14ac:dyDescent="0.25">
      <c r="B479">
        <v>-638</v>
      </c>
      <c r="C479">
        <v>-46</v>
      </c>
      <c r="D479">
        <v>-628</v>
      </c>
      <c r="E479">
        <v>21</v>
      </c>
      <c r="F479">
        <v>-832</v>
      </c>
      <c r="G479">
        <v>-76</v>
      </c>
      <c r="H479">
        <v>670</v>
      </c>
      <c r="I479">
        <v>-5276</v>
      </c>
      <c r="J479">
        <v>0</v>
      </c>
      <c r="K479">
        <v>0</v>
      </c>
    </row>
    <row r="480" spans="2:11" x14ac:dyDescent="0.25">
      <c r="B480">
        <v>0</v>
      </c>
      <c r="C480">
        <v>0</v>
      </c>
      <c r="D480">
        <v>0</v>
      </c>
      <c r="E480">
        <v>-10</v>
      </c>
      <c r="F480">
        <v>133</v>
      </c>
      <c r="G480">
        <v>8955</v>
      </c>
      <c r="H480">
        <v>9242</v>
      </c>
      <c r="I480">
        <v>-298</v>
      </c>
      <c r="J480">
        <v>-298</v>
      </c>
      <c r="K480">
        <v>-572</v>
      </c>
    </row>
    <row r="481" spans="2:11" x14ac:dyDescent="0.25">
      <c r="B481">
        <v>-22</v>
      </c>
      <c r="C481">
        <v>-41</v>
      </c>
      <c r="D481">
        <v>4</v>
      </c>
      <c r="E481">
        <v>-194</v>
      </c>
      <c r="F481">
        <v>-132</v>
      </c>
      <c r="G481">
        <v>1065</v>
      </c>
      <c r="H481">
        <v>107</v>
      </c>
      <c r="I481">
        <v>1086</v>
      </c>
      <c r="J481">
        <v>518</v>
      </c>
      <c r="K481">
        <v>8136</v>
      </c>
    </row>
    <row r="482" spans="2:11" x14ac:dyDescent="0.25">
      <c r="B482">
        <v>669</v>
      </c>
      <c r="C482">
        <v>80450</v>
      </c>
      <c r="D482">
        <v>196</v>
      </c>
      <c r="E482">
        <v>8087</v>
      </c>
      <c r="F482">
        <v>-644</v>
      </c>
      <c r="G482">
        <v>6552</v>
      </c>
      <c r="H482">
        <v>82</v>
      </c>
      <c r="I482">
        <v>-471</v>
      </c>
      <c r="J482">
        <v>-374</v>
      </c>
      <c r="K482">
        <v>-19116</v>
      </c>
    </row>
    <row r="483" spans="2:11" x14ac:dyDescent="0.25">
      <c r="B483">
        <v>9914</v>
      </c>
      <c r="C483">
        <v>-224</v>
      </c>
      <c r="D483">
        <v>-192</v>
      </c>
      <c r="E483">
        <v>-80</v>
      </c>
      <c r="F483">
        <v>0</v>
      </c>
      <c r="G483">
        <v>596</v>
      </c>
      <c r="H483">
        <v>1021</v>
      </c>
      <c r="I483">
        <v>805</v>
      </c>
      <c r="J483">
        <v>667</v>
      </c>
      <c r="K483">
        <v>107</v>
      </c>
    </row>
    <row r="484" spans="2:11" x14ac:dyDescent="0.25">
      <c r="B484">
        <v>61</v>
      </c>
      <c r="C484">
        <v>525</v>
      </c>
      <c r="D484">
        <v>722</v>
      </c>
      <c r="E484">
        <v>85</v>
      </c>
      <c r="F484">
        <v>43</v>
      </c>
      <c r="G484">
        <v>0</v>
      </c>
      <c r="H484">
        <v>-119</v>
      </c>
      <c r="I484">
        <v>-211</v>
      </c>
      <c r="J484">
        <v>385</v>
      </c>
      <c r="K484">
        <v>464</v>
      </c>
    </row>
    <row r="485" spans="2:11" x14ac:dyDescent="0.25">
      <c r="B485">
        <v>392</v>
      </c>
      <c r="C485">
        <v>-23381</v>
      </c>
      <c r="D485">
        <v>-20785</v>
      </c>
      <c r="E485">
        <v>0</v>
      </c>
      <c r="F485">
        <v>-299</v>
      </c>
      <c r="G485">
        <v>2046</v>
      </c>
      <c r="H485">
        <v>3494</v>
      </c>
      <c r="I485">
        <v>5050</v>
      </c>
      <c r="J485">
        <v>3450</v>
      </c>
      <c r="K485">
        <v>6061</v>
      </c>
    </row>
    <row r="486" spans="2:11" x14ac:dyDescent="0.25">
      <c r="B486">
        <v>0</v>
      </c>
      <c r="C486">
        <v>41</v>
      </c>
      <c r="D486">
        <v>-410</v>
      </c>
      <c r="E486">
        <v>14</v>
      </c>
      <c r="F486">
        <v>373</v>
      </c>
      <c r="G486">
        <v>88</v>
      </c>
      <c r="H486">
        <v>536</v>
      </c>
      <c r="I486">
        <v>31</v>
      </c>
      <c r="J486">
        <v>203</v>
      </c>
      <c r="K486">
        <v>90</v>
      </c>
    </row>
    <row r="487" spans="2:11" x14ac:dyDescent="0.25">
      <c r="B487">
        <v>-883</v>
      </c>
      <c r="C487">
        <v>184</v>
      </c>
      <c r="D487">
        <v>-2371</v>
      </c>
      <c r="E487">
        <v>-153</v>
      </c>
      <c r="F487">
        <v>-10719</v>
      </c>
      <c r="G487">
        <v>206</v>
      </c>
      <c r="H487">
        <v>-1203</v>
      </c>
      <c r="I487">
        <v>-44</v>
      </c>
      <c r="J487">
        <v>-1009</v>
      </c>
      <c r="K487">
        <v>73</v>
      </c>
    </row>
    <row r="488" spans="2:11" x14ac:dyDescent="0.25">
      <c r="B488">
        <v>-76</v>
      </c>
      <c r="C488">
        <v>-26</v>
      </c>
      <c r="D488">
        <v>-279</v>
      </c>
      <c r="E488">
        <v>1467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-73</v>
      </c>
    </row>
    <row r="489" spans="2:11" x14ac:dyDescent="0.25">
      <c r="B489">
        <v>-7</v>
      </c>
      <c r="C489">
        <v>4658</v>
      </c>
      <c r="D489">
        <v>4822</v>
      </c>
      <c r="E489">
        <v>-65</v>
      </c>
      <c r="F489">
        <v>-94</v>
      </c>
      <c r="G489">
        <v>971</v>
      </c>
      <c r="H489">
        <v>-37</v>
      </c>
      <c r="I489">
        <v>103</v>
      </c>
      <c r="J489">
        <v>73</v>
      </c>
      <c r="K489">
        <v>116</v>
      </c>
    </row>
    <row r="490" spans="2:11" x14ac:dyDescent="0.25">
      <c r="B490">
        <v>-104</v>
      </c>
      <c r="C490">
        <v>471</v>
      </c>
      <c r="D490">
        <v>-15</v>
      </c>
      <c r="E490">
        <v>1789</v>
      </c>
      <c r="F490">
        <v>688</v>
      </c>
      <c r="G490">
        <v>4486</v>
      </c>
      <c r="H490">
        <v>573</v>
      </c>
      <c r="I490">
        <v>8724</v>
      </c>
      <c r="J490">
        <v>1103</v>
      </c>
      <c r="K490">
        <v>78790</v>
      </c>
    </row>
    <row r="491" spans="2:11" x14ac:dyDescent="0.25">
      <c r="B491">
        <v>-535</v>
      </c>
      <c r="C491">
        <v>5612</v>
      </c>
      <c r="D491">
        <v>102</v>
      </c>
      <c r="E491">
        <v>-1630</v>
      </c>
      <c r="F491">
        <v>-296</v>
      </c>
      <c r="G491">
        <v>-9580</v>
      </c>
      <c r="H491">
        <v>6925</v>
      </c>
      <c r="I491">
        <v>10493</v>
      </c>
      <c r="J491">
        <v>211</v>
      </c>
      <c r="K491">
        <v>352</v>
      </c>
    </row>
    <row r="492" spans="2:11" x14ac:dyDescent="0.25">
      <c r="B492">
        <v>-54</v>
      </c>
      <c r="C492">
        <v>0</v>
      </c>
      <c r="D492">
        <v>168</v>
      </c>
      <c r="E492">
        <v>334</v>
      </c>
      <c r="F492">
        <v>157</v>
      </c>
      <c r="G492">
        <v>42</v>
      </c>
      <c r="H492">
        <v>53</v>
      </c>
      <c r="I492">
        <v>40</v>
      </c>
      <c r="J492">
        <v>-324</v>
      </c>
      <c r="K492">
        <v>-134</v>
      </c>
    </row>
    <row r="493" spans="2:11" x14ac:dyDescent="0.25">
      <c r="B493">
        <v>-356</v>
      </c>
      <c r="C493">
        <v>-282</v>
      </c>
      <c r="D493">
        <v>0</v>
      </c>
      <c r="E493">
        <v>46</v>
      </c>
      <c r="F493">
        <v>108</v>
      </c>
      <c r="G493">
        <v>95</v>
      </c>
      <c r="H493">
        <v>-151</v>
      </c>
      <c r="I493">
        <v>452</v>
      </c>
      <c r="J493">
        <v>-22960</v>
      </c>
      <c r="K493">
        <v>-30860</v>
      </c>
    </row>
    <row r="494" spans="2:11" x14ac:dyDescent="0.25">
      <c r="B494">
        <v>0</v>
      </c>
      <c r="C494">
        <v>8912</v>
      </c>
      <c r="D494">
        <v>9341</v>
      </c>
      <c r="E494">
        <v>9639</v>
      </c>
      <c r="F494">
        <v>10102</v>
      </c>
      <c r="G494">
        <v>5901</v>
      </c>
      <c r="H494">
        <v>9940</v>
      </c>
      <c r="I494">
        <v>0</v>
      </c>
      <c r="J494">
        <v>9</v>
      </c>
      <c r="K494">
        <v>325</v>
      </c>
    </row>
    <row r="495" spans="2:11" x14ac:dyDescent="0.25">
      <c r="B495">
        <v>41</v>
      </c>
      <c r="C495">
        <v>503</v>
      </c>
      <c r="D495">
        <v>-25</v>
      </c>
      <c r="E495">
        <v>543</v>
      </c>
      <c r="F495">
        <v>75</v>
      </c>
      <c r="G495">
        <v>431</v>
      </c>
      <c r="H495">
        <v>-49</v>
      </c>
      <c r="I495">
        <v>-102</v>
      </c>
      <c r="J495">
        <v>46</v>
      </c>
      <c r="K495">
        <v>-693</v>
      </c>
    </row>
    <row r="496" spans="2:11" x14ac:dyDescent="0.25">
      <c r="B496">
        <v>-135</v>
      </c>
      <c r="C496">
        <v>-13517</v>
      </c>
      <c r="D496">
        <v>89</v>
      </c>
      <c r="E496">
        <v>-143</v>
      </c>
      <c r="F496">
        <v>-24</v>
      </c>
      <c r="G496">
        <v>-406</v>
      </c>
      <c r="H496">
        <v>39</v>
      </c>
      <c r="I496">
        <v>-588</v>
      </c>
      <c r="J496">
        <v>-74</v>
      </c>
      <c r="K496">
        <v>542</v>
      </c>
    </row>
    <row r="497" spans="2:11" x14ac:dyDescent="0.25">
      <c r="B497">
        <v>-4580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15</v>
      </c>
      <c r="I497">
        <v>44</v>
      </c>
      <c r="J497">
        <v>7458</v>
      </c>
      <c r="K497">
        <v>7645</v>
      </c>
    </row>
    <row r="498" spans="2:11" x14ac:dyDescent="0.25">
      <c r="B498">
        <v>-166</v>
      </c>
      <c r="C498">
        <v>-169</v>
      </c>
      <c r="D498">
        <v>288</v>
      </c>
      <c r="E498">
        <v>-7</v>
      </c>
      <c r="F498">
        <v>-36</v>
      </c>
      <c r="G498">
        <v>-19</v>
      </c>
      <c r="H498">
        <v>-221</v>
      </c>
      <c r="I498">
        <v>-73</v>
      </c>
      <c r="J498">
        <v>820</v>
      </c>
      <c r="K498">
        <v>57</v>
      </c>
    </row>
    <row r="499" spans="2:11" x14ac:dyDescent="0.25">
      <c r="B499">
        <v>883</v>
      </c>
      <c r="C499">
        <v>67</v>
      </c>
      <c r="D499">
        <v>5215</v>
      </c>
      <c r="E499">
        <v>-232</v>
      </c>
      <c r="F499">
        <v>67153</v>
      </c>
      <c r="G499">
        <v>-57</v>
      </c>
      <c r="H499">
        <v>6143</v>
      </c>
      <c r="I499">
        <v>-406</v>
      </c>
      <c r="J499">
        <v>3718</v>
      </c>
      <c r="K499">
        <v>18</v>
      </c>
    </row>
    <row r="500" spans="2:11" x14ac:dyDescent="0.25">
      <c r="B500">
        <v>-291</v>
      </c>
      <c r="C500">
        <v>-143</v>
      </c>
      <c r="D500">
        <v>-15555</v>
      </c>
      <c r="E500">
        <v>2057</v>
      </c>
      <c r="F500">
        <v>90934</v>
      </c>
      <c r="G500">
        <v>7203</v>
      </c>
      <c r="H500">
        <v>156</v>
      </c>
      <c r="I500">
        <v>219</v>
      </c>
      <c r="J500">
        <v>27</v>
      </c>
      <c r="K500">
        <v>0</v>
      </c>
    </row>
    <row r="501" spans="2:11" x14ac:dyDescent="0.25">
      <c r="B501">
        <v>543</v>
      </c>
      <c r="C501">
        <v>756</v>
      </c>
      <c r="D501">
        <v>622</v>
      </c>
      <c r="E501">
        <v>491</v>
      </c>
      <c r="F501">
        <v>160</v>
      </c>
      <c r="G501">
        <v>32</v>
      </c>
      <c r="H501">
        <v>489</v>
      </c>
      <c r="I501">
        <v>855</v>
      </c>
      <c r="J501">
        <v>374</v>
      </c>
      <c r="K501">
        <v>206</v>
      </c>
    </row>
    <row r="502" spans="2:11" x14ac:dyDescent="0.25">
      <c r="B502">
        <v>0</v>
      </c>
      <c r="C502">
        <v>-158</v>
      </c>
      <c r="D502">
        <v>-300</v>
      </c>
      <c r="E502">
        <v>-112</v>
      </c>
      <c r="F502">
        <v>-296</v>
      </c>
      <c r="G502">
        <v>-86</v>
      </c>
      <c r="H502">
        <v>-18224</v>
      </c>
      <c r="I502">
        <v>-29582</v>
      </c>
      <c r="J502">
        <v>0</v>
      </c>
      <c r="K502">
        <v>-710</v>
      </c>
    </row>
    <row r="503" spans="2:11" x14ac:dyDescent="0.25">
      <c r="B503">
        <v>1255</v>
      </c>
      <c r="C503">
        <v>2756</v>
      </c>
      <c r="D503">
        <v>4300</v>
      </c>
      <c r="E503">
        <v>3018</v>
      </c>
      <c r="F503">
        <v>5352</v>
      </c>
      <c r="G503">
        <v>0</v>
      </c>
      <c r="H503">
        <v>13</v>
      </c>
      <c r="I503">
        <v>-232</v>
      </c>
      <c r="J503">
        <v>-33</v>
      </c>
      <c r="K503">
        <v>209</v>
      </c>
    </row>
    <row r="504" spans="2:11" x14ac:dyDescent="0.25">
      <c r="B504">
        <v>11</v>
      </c>
      <c r="C504">
        <v>317</v>
      </c>
      <c r="D504">
        <v>3</v>
      </c>
      <c r="E504">
        <v>117</v>
      </c>
      <c r="F504">
        <v>56</v>
      </c>
      <c r="G504">
        <v>-633</v>
      </c>
      <c r="H504">
        <v>122</v>
      </c>
      <c r="I504">
        <v>-1067</v>
      </c>
      <c r="J504">
        <v>273</v>
      </c>
      <c r="K504">
        <v>-8460</v>
      </c>
    </row>
    <row r="505" spans="2:11" x14ac:dyDescent="0.25">
      <c r="B505">
        <v>151</v>
      </c>
      <c r="C505">
        <v>-503</v>
      </c>
      <c r="D505">
        <v>-20</v>
      </c>
      <c r="E505">
        <v>-735</v>
      </c>
      <c r="F505">
        <v>46</v>
      </c>
      <c r="G505">
        <v>-149</v>
      </c>
      <c r="H505">
        <v>-12</v>
      </c>
      <c r="I505">
        <v>52</v>
      </c>
      <c r="J505">
        <v>478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-23</v>
      </c>
      <c r="G506">
        <v>-117</v>
      </c>
      <c r="H506">
        <v>4342</v>
      </c>
      <c r="I506">
        <v>4384</v>
      </c>
      <c r="J506">
        <v>-89</v>
      </c>
      <c r="K506">
        <v>-90</v>
      </c>
    </row>
    <row r="507" spans="2:11" x14ac:dyDescent="0.25">
      <c r="B507">
        <v>807</v>
      </c>
      <c r="C507">
        <v>4</v>
      </c>
      <c r="D507">
        <v>72</v>
      </c>
      <c r="E507">
        <v>-18</v>
      </c>
      <c r="F507">
        <v>121</v>
      </c>
      <c r="G507">
        <v>-90</v>
      </c>
      <c r="H507">
        <v>398</v>
      </c>
      <c r="I507">
        <v>-28</v>
      </c>
      <c r="J507">
        <v>1377</v>
      </c>
      <c r="K507">
        <v>240</v>
      </c>
    </row>
    <row r="508" spans="2:11" x14ac:dyDescent="0.25">
      <c r="B508">
        <v>2285</v>
      </c>
      <c r="C508">
        <v>144</v>
      </c>
      <c r="D508">
        <v>7308</v>
      </c>
      <c r="E508">
        <v>-152</v>
      </c>
      <c r="F508">
        <v>68899</v>
      </c>
      <c r="G508">
        <v>-405</v>
      </c>
      <c r="H508">
        <v>3294</v>
      </c>
      <c r="I508">
        <v>67</v>
      </c>
      <c r="J508">
        <v>-838</v>
      </c>
      <c r="K508">
        <v>197</v>
      </c>
    </row>
    <row r="509" spans="2:11" x14ac:dyDescent="0.25">
      <c r="B509">
        <v>-8203</v>
      </c>
      <c r="C509">
        <v>-486</v>
      </c>
      <c r="D509">
        <v>8033</v>
      </c>
      <c r="E509">
        <v>82432</v>
      </c>
      <c r="F509">
        <v>10735</v>
      </c>
      <c r="G509">
        <v>-8339</v>
      </c>
      <c r="H509">
        <v>-15864</v>
      </c>
      <c r="I509">
        <v>-393</v>
      </c>
      <c r="J509">
        <v>0</v>
      </c>
      <c r="K509">
        <v>622</v>
      </c>
    </row>
    <row r="510" spans="2:11" x14ac:dyDescent="0.25">
      <c r="B510">
        <v>981</v>
      </c>
      <c r="C510">
        <v>958</v>
      </c>
      <c r="D510">
        <v>641</v>
      </c>
      <c r="E510">
        <v>379</v>
      </c>
      <c r="F510">
        <v>200</v>
      </c>
      <c r="G510">
        <v>-80</v>
      </c>
      <c r="H510">
        <v>1029</v>
      </c>
      <c r="I510">
        <v>1059</v>
      </c>
      <c r="J510">
        <v>782</v>
      </c>
      <c r="K510">
        <v>0</v>
      </c>
    </row>
    <row r="511" spans="2:11" x14ac:dyDescent="0.25">
      <c r="B511">
        <v>-229</v>
      </c>
      <c r="C511">
        <v>-384</v>
      </c>
      <c r="D511">
        <v>-498</v>
      </c>
      <c r="E511">
        <v>500</v>
      </c>
      <c r="F511">
        <v>256</v>
      </c>
      <c r="G511">
        <v>-16</v>
      </c>
      <c r="H511">
        <v>116</v>
      </c>
      <c r="I511">
        <v>0</v>
      </c>
      <c r="J511">
        <v>-50</v>
      </c>
      <c r="K511">
        <v>-33</v>
      </c>
    </row>
    <row r="512" spans="2:11" x14ac:dyDescent="0.25">
      <c r="B512">
        <v>-1</v>
      </c>
      <c r="C512">
        <v>-30</v>
      </c>
      <c r="D512">
        <v>-60</v>
      </c>
      <c r="E512">
        <v>-2</v>
      </c>
      <c r="F512">
        <v>0</v>
      </c>
      <c r="G512">
        <v>-518</v>
      </c>
      <c r="H512">
        <v>128</v>
      </c>
      <c r="I512">
        <v>-792</v>
      </c>
      <c r="J512">
        <v>195</v>
      </c>
      <c r="K512">
        <v>-36</v>
      </c>
    </row>
    <row r="513" spans="2:11" x14ac:dyDescent="0.25">
      <c r="B513">
        <v>24</v>
      </c>
      <c r="C513">
        <v>-918</v>
      </c>
      <c r="D513">
        <v>222</v>
      </c>
      <c r="E513">
        <v>424</v>
      </c>
      <c r="F513">
        <v>12</v>
      </c>
      <c r="G513">
        <v>402</v>
      </c>
      <c r="H513">
        <v>82</v>
      </c>
      <c r="I513">
        <v>4</v>
      </c>
      <c r="J513">
        <v>-83</v>
      </c>
      <c r="K513">
        <v>1259</v>
      </c>
    </row>
    <row r="514" spans="2:11" x14ac:dyDescent="0.25">
      <c r="B514">
        <v>75</v>
      </c>
      <c r="C514">
        <v>215</v>
      </c>
      <c r="D514">
        <v>36</v>
      </c>
      <c r="E514">
        <v>-241</v>
      </c>
      <c r="F514">
        <v>14</v>
      </c>
      <c r="G514">
        <v>-449</v>
      </c>
      <c r="H514">
        <v>-36</v>
      </c>
      <c r="I514">
        <v>103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-238</v>
      </c>
      <c r="F515">
        <v>-217</v>
      </c>
      <c r="G515">
        <v>-536</v>
      </c>
      <c r="H515">
        <v>37</v>
      </c>
      <c r="I515">
        <v>-78</v>
      </c>
      <c r="J515">
        <v>-441</v>
      </c>
      <c r="K515">
        <v>38</v>
      </c>
    </row>
    <row r="516" spans="2:11" x14ac:dyDescent="0.25">
      <c r="B516">
        <v>-222</v>
      </c>
      <c r="C516">
        <v>190</v>
      </c>
      <c r="D516">
        <v>-363</v>
      </c>
      <c r="E516">
        <v>283</v>
      </c>
      <c r="F516">
        <v>-227</v>
      </c>
      <c r="G516">
        <v>-57</v>
      </c>
      <c r="H516">
        <v>-191</v>
      </c>
      <c r="I516">
        <v>193</v>
      </c>
      <c r="J516">
        <v>-683</v>
      </c>
      <c r="K516">
        <v>80</v>
      </c>
    </row>
    <row r="517" spans="2:11" x14ac:dyDescent="0.25">
      <c r="B517">
        <v>16367</v>
      </c>
      <c r="C517">
        <v>538</v>
      </c>
      <c r="D517">
        <v>2626</v>
      </c>
      <c r="E517">
        <v>154</v>
      </c>
      <c r="F517">
        <v>55</v>
      </c>
      <c r="G517">
        <v>-103</v>
      </c>
      <c r="H517">
        <v>1870</v>
      </c>
      <c r="I517">
        <v>95</v>
      </c>
      <c r="J517">
        <v>-719</v>
      </c>
      <c r="K517">
        <v>-64</v>
      </c>
    </row>
    <row r="518" spans="2:11" x14ac:dyDescent="0.25">
      <c r="B518">
        <v>84</v>
      </c>
      <c r="C518">
        <v>-277</v>
      </c>
      <c r="D518">
        <v>19</v>
      </c>
      <c r="E518">
        <v>-464</v>
      </c>
      <c r="F518">
        <v>-51</v>
      </c>
      <c r="G518">
        <v>-19275</v>
      </c>
      <c r="H518">
        <v>-28775</v>
      </c>
      <c r="I518">
        <v>-1071</v>
      </c>
      <c r="J518">
        <v>0</v>
      </c>
      <c r="K518">
        <v>449</v>
      </c>
    </row>
    <row r="519" spans="2:11" x14ac:dyDescent="0.25">
      <c r="B519">
        <v>480</v>
      </c>
      <c r="C519">
        <v>311</v>
      </c>
      <c r="D519">
        <v>130</v>
      </c>
      <c r="E519">
        <v>41</v>
      </c>
      <c r="F519">
        <v>-440</v>
      </c>
      <c r="G519">
        <v>9369</v>
      </c>
      <c r="H519">
        <v>-454</v>
      </c>
      <c r="I519">
        <v>273</v>
      </c>
      <c r="J519">
        <v>665</v>
      </c>
      <c r="K519">
        <v>0</v>
      </c>
    </row>
    <row r="520" spans="2:11" x14ac:dyDescent="0.25">
      <c r="B520">
        <v>-503</v>
      </c>
      <c r="C520">
        <v>-1040</v>
      </c>
      <c r="D520">
        <v>-1783</v>
      </c>
      <c r="E520">
        <v>308</v>
      </c>
      <c r="F520">
        <v>-351</v>
      </c>
      <c r="G520">
        <v>135</v>
      </c>
      <c r="H520">
        <v>582</v>
      </c>
      <c r="I520">
        <v>0</v>
      </c>
      <c r="J520">
        <v>-131</v>
      </c>
      <c r="K520">
        <v>-180</v>
      </c>
    </row>
    <row r="521" spans="2:11" x14ac:dyDescent="0.25">
      <c r="B521">
        <v>-104</v>
      </c>
      <c r="C521">
        <v>-43</v>
      </c>
      <c r="D521">
        <v>-68</v>
      </c>
      <c r="E521">
        <v>97</v>
      </c>
      <c r="F521">
        <v>0</v>
      </c>
      <c r="G521">
        <v>-441</v>
      </c>
      <c r="H521">
        <v>-16</v>
      </c>
      <c r="I521">
        <v>-408</v>
      </c>
      <c r="J521">
        <v>-103</v>
      </c>
      <c r="K521">
        <v>-635</v>
      </c>
    </row>
    <row r="522" spans="2:11" x14ac:dyDescent="0.25">
      <c r="B522">
        <v>-133</v>
      </c>
      <c r="C522">
        <v>-1050</v>
      </c>
      <c r="D522">
        <v>-161</v>
      </c>
      <c r="E522">
        <v>-182</v>
      </c>
      <c r="F522">
        <v>-78</v>
      </c>
      <c r="G522">
        <v>-2579</v>
      </c>
      <c r="H522">
        <v>550</v>
      </c>
      <c r="I522">
        <v>-487</v>
      </c>
      <c r="J522">
        <v>313</v>
      </c>
      <c r="K522">
        <v>-10</v>
      </c>
    </row>
    <row r="523" spans="2:11" x14ac:dyDescent="0.25">
      <c r="B523">
        <v>339</v>
      </c>
      <c r="C523">
        <v>-54</v>
      </c>
      <c r="D523">
        <v>-60</v>
      </c>
      <c r="E523">
        <v>504</v>
      </c>
      <c r="F523">
        <v>-11</v>
      </c>
      <c r="G523">
        <v>74</v>
      </c>
      <c r="H523">
        <v>62</v>
      </c>
      <c r="I523">
        <v>207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-116</v>
      </c>
      <c r="F524">
        <v>184</v>
      </c>
      <c r="G524">
        <v>-228</v>
      </c>
      <c r="H524">
        <v>190</v>
      </c>
      <c r="I524">
        <v>1463</v>
      </c>
      <c r="J524">
        <v>874</v>
      </c>
      <c r="K524">
        <v>274</v>
      </c>
    </row>
    <row r="525" spans="2:11" x14ac:dyDescent="0.25">
      <c r="B525">
        <v>-739</v>
      </c>
      <c r="C525">
        <v>762</v>
      </c>
      <c r="D525">
        <v>430</v>
      </c>
      <c r="E525">
        <v>348</v>
      </c>
      <c r="F525">
        <v>-30</v>
      </c>
      <c r="G525">
        <v>-90</v>
      </c>
      <c r="H525">
        <v>332</v>
      </c>
      <c r="I525">
        <v>114</v>
      </c>
      <c r="J525">
        <v>197</v>
      </c>
      <c r="K525">
        <v>305</v>
      </c>
    </row>
    <row r="526" spans="2:11" x14ac:dyDescent="0.25">
      <c r="B526">
        <v>4571</v>
      </c>
      <c r="C526">
        <v>107</v>
      </c>
      <c r="D526">
        <v>36998</v>
      </c>
      <c r="E526">
        <v>2594</v>
      </c>
      <c r="F526">
        <v>3</v>
      </c>
      <c r="G526">
        <v>-133</v>
      </c>
      <c r="H526">
        <v>310</v>
      </c>
      <c r="I526">
        <v>274</v>
      </c>
      <c r="J526">
        <v>-1335</v>
      </c>
      <c r="K526">
        <v>485</v>
      </c>
    </row>
    <row r="527" spans="2:11" x14ac:dyDescent="0.25">
      <c r="B527">
        <v>195</v>
      </c>
      <c r="C527">
        <v>38</v>
      </c>
      <c r="D527">
        <v>-448</v>
      </c>
      <c r="E527">
        <v>-151</v>
      </c>
      <c r="F527">
        <v>-1073</v>
      </c>
      <c r="G527">
        <v>7363</v>
      </c>
      <c r="H527">
        <v>2692</v>
      </c>
      <c r="I527">
        <v>2377</v>
      </c>
      <c r="J527">
        <v>639</v>
      </c>
      <c r="K527">
        <v>0</v>
      </c>
    </row>
    <row r="528" spans="2:11" x14ac:dyDescent="0.25">
      <c r="B528">
        <v>-872</v>
      </c>
      <c r="C528">
        <v>-972</v>
      </c>
      <c r="D528">
        <v>2227</v>
      </c>
      <c r="E528">
        <v>5506</v>
      </c>
      <c r="F528">
        <v>5591</v>
      </c>
      <c r="G528">
        <v>-3117</v>
      </c>
      <c r="H528">
        <v>1916</v>
      </c>
      <c r="I528">
        <v>6558</v>
      </c>
      <c r="J528">
        <v>8588</v>
      </c>
      <c r="K528">
        <v>7613</v>
      </c>
    </row>
    <row r="529" spans="2:11" x14ac:dyDescent="0.25">
      <c r="B529">
        <v>0</v>
      </c>
      <c r="C529">
        <v>-4512</v>
      </c>
      <c r="D529">
        <v>-6600</v>
      </c>
      <c r="E529">
        <v>-10998</v>
      </c>
      <c r="F529">
        <v>-28274</v>
      </c>
      <c r="G529">
        <v>-16333</v>
      </c>
      <c r="H529">
        <v>542</v>
      </c>
      <c r="I529">
        <v>136</v>
      </c>
      <c r="J529">
        <v>0</v>
      </c>
      <c r="K529">
        <v>892</v>
      </c>
    </row>
    <row r="530" spans="2:11" x14ac:dyDescent="0.25">
      <c r="B530">
        <v>352</v>
      </c>
      <c r="C530">
        <v>152</v>
      </c>
      <c r="D530">
        <v>761</v>
      </c>
      <c r="E530">
        <v>772</v>
      </c>
      <c r="F530">
        <v>974</v>
      </c>
      <c r="G530">
        <v>0</v>
      </c>
      <c r="H530">
        <v>83</v>
      </c>
      <c r="I530">
        <v>-586</v>
      </c>
      <c r="J530">
        <v>-405</v>
      </c>
      <c r="K530">
        <v>-1202</v>
      </c>
    </row>
    <row r="531" spans="2:11" x14ac:dyDescent="0.25">
      <c r="B531">
        <v>81</v>
      </c>
      <c r="C531">
        <v>-201</v>
      </c>
      <c r="D531">
        <v>-1516</v>
      </c>
      <c r="E531">
        <v>-1997</v>
      </c>
      <c r="F531">
        <v>860</v>
      </c>
      <c r="G531">
        <v>267</v>
      </c>
      <c r="H531">
        <v>-138</v>
      </c>
      <c r="I531">
        <v>-1512</v>
      </c>
      <c r="J531">
        <v>5625</v>
      </c>
      <c r="K531">
        <v>6371</v>
      </c>
    </row>
    <row r="532" spans="2:11" x14ac:dyDescent="0.25">
      <c r="B532">
        <v>-2167</v>
      </c>
      <c r="C532">
        <v>-707</v>
      </c>
      <c r="D532">
        <v>1821</v>
      </c>
      <c r="E532">
        <v>610</v>
      </c>
      <c r="F532">
        <v>-1569</v>
      </c>
      <c r="G532">
        <v>-4</v>
      </c>
      <c r="H532">
        <v>-295</v>
      </c>
      <c r="I532">
        <v>63</v>
      </c>
      <c r="J532">
        <v>-918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1071</v>
      </c>
      <c r="G533">
        <v>-564</v>
      </c>
      <c r="H533">
        <v>-1096</v>
      </c>
      <c r="I533">
        <v>-3504</v>
      </c>
      <c r="J533">
        <v>518</v>
      </c>
      <c r="K533">
        <v>845</v>
      </c>
    </row>
    <row r="534" spans="2:11" x14ac:dyDescent="0.25">
      <c r="B534">
        <v>-1161</v>
      </c>
      <c r="C534">
        <v>5301</v>
      </c>
      <c r="D534">
        <v>114</v>
      </c>
      <c r="E534">
        <v>-2161</v>
      </c>
      <c r="F534">
        <v>5301</v>
      </c>
      <c r="G534">
        <v>858</v>
      </c>
      <c r="H534">
        <v>430</v>
      </c>
      <c r="I534">
        <v>547</v>
      </c>
      <c r="J534">
        <v>-869</v>
      </c>
      <c r="K534">
        <v>-35823</v>
      </c>
    </row>
    <row r="535" spans="2:11" x14ac:dyDescent="0.25">
      <c r="B535">
        <v>-6320</v>
      </c>
      <c r="C535">
        <v>-10350</v>
      </c>
      <c r="D535">
        <v>-2366</v>
      </c>
      <c r="E535">
        <v>-5645</v>
      </c>
      <c r="F535">
        <v>-2372</v>
      </c>
      <c r="G535">
        <v>6703</v>
      </c>
      <c r="H535">
        <v>2475</v>
      </c>
      <c r="I535">
        <v>-1248</v>
      </c>
      <c r="J535">
        <v>-399</v>
      </c>
      <c r="K535">
        <v>8056</v>
      </c>
    </row>
    <row r="536" spans="2:11" x14ac:dyDescent="0.25">
      <c r="B536">
        <v>6237</v>
      </c>
      <c r="C536">
        <v>-128</v>
      </c>
      <c r="D536">
        <v>-49</v>
      </c>
      <c r="E536">
        <v>-128</v>
      </c>
      <c r="F536">
        <v>169</v>
      </c>
      <c r="G536">
        <v>183</v>
      </c>
      <c r="H536">
        <v>620</v>
      </c>
      <c r="I536">
        <v>345</v>
      </c>
      <c r="J536">
        <v>2545</v>
      </c>
      <c r="K536">
        <v>2962</v>
      </c>
    </row>
    <row r="537" spans="2:11" x14ac:dyDescent="0.25">
      <c r="B537">
        <v>530</v>
      </c>
      <c r="C537">
        <v>0</v>
      </c>
      <c r="D537">
        <v>-668</v>
      </c>
      <c r="E537">
        <v>-769</v>
      </c>
      <c r="F537">
        <v>926</v>
      </c>
      <c r="G537">
        <v>2728</v>
      </c>
      <c r="H537">
        <v>2810</v>
      </c>
      <c r="I537">
        <v>-1891</v>
      </c>
      <c r="J537">
        <v>1166</v>
      </c>
      <c r="K537">
        <v>2483</v>
      </c>
    </row>
    <row r="538" spans="2:11" x14ac:dyDescent="0.25">
      <c r="B538">
        <v>3643</v>
      </c>
      <c r="C538">
        <v>3533</v>
      </c>
      <c r="D538">
        <v>0</v>
      </c>
      <c r="E538">
        <v>-1774</v>
      </c>
      <c r="F538">
        <v>-2590</v>
      </c>
      <c r="G538">
        <v>-4425</v>
      </c>
      <c r="H538">
        <v>-21772</v>
      </c>
      <c r="I538">
        <v>-13229</v>
      </c>
      <c r="J538">
        <v>239</v>
      </c>
      <c r="K538">
        <v>-160</v>
      </c>
    </row>
    <row r="539" spans="2:11" x14ac:dyDescent="0.25">
      <c r="B539">
        <v>0</v>
      </c>
      <c r="C539">
        <v>725</v>
      </c>
      <c r="D539">
        <v>186</v>
      </c>
      <c r="E539">
        <v>-54</v>
      </c>
      <c r="F539">
        <v>176</v>
      </c>
      <c r="G539">
        <v>330</v>
      </c>
      <c r="H539">
        <v>461</v>
      </c>
      <c r="I539">
        <v>0</v>
      </c>
      <c r="J539">
        <v>312</v>
      </c>
      <c r="K539">
        <v>-299</v>
      </c>
    </row>
    <row r="540" spans="2:11" x14ac:dyDescent="0.25">
      <c r="B540">
        <v>741</v>
      </c>
      <c r="C540">
        <v>-503</v>
      </c>
      <c r="D540">
        <v>-276</v>
      </c>
      <c r="E540">
        <v>-167</v>
      </c>
      <c r="F540">
        <v>852</v>
      </c>
      <c r="G540">
        <v>-807</v>
      </c>
      <c r="H540">
        <v>173</v>
      </c>
      <c r="I540">
        <v>166</v>
      </c>
      <c r="J540">
        <v>-695</v>
      </c>
      <c r="K540">
        <v>-916</v>
      </c>
    </row>
    <row r="541" spans="2:11" x14ac:dyDescent="0.25">
      <c r="B541">
        <v>4762</v>
      </c>
      <c r="C541">
        <v>4046</v>
      </c>
      <c r="D541">
        <v>358</v>
      </c>
      <c r="E541">
        <v>-22</v>
      </c>
      <c r="F541">
        <v>-223</v>
      </c>
      <c r="G541">
        <v>166</v>
      </c>
      <c r="H541">
        <v>-403</v>
      </c>
      <c r="I541">
        <v>-131</v>
      </c>
      <c r="J541">
        <v>208</v>
      </c>
      <c r="K541">
        <v>80</v>
      </c>
    </row>
    <row r="542" spans="2:11" x14ac:dyDescent="0.25">
      <c r="B542">
        <v>-1337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-64</v>
      </c>
      <c r="I542">
        <v>-342</v>
      </c>
      <c r="J542">
        <v>-624</v>
      </c>
      <c r="K542">
        <v>-1903</v>
      </c>
    </row>
    <row r="543" spans="2:11" x14ac:dyDescent="0.25">
      <c r="B543">
        <v>362</v>
      </c>
      <c r="C543">
        <v>-221</v>
      </c>
      <c r="D543">
        <v>-89</v>
      </c>
      <c r="E543">
        <v>-846</v>
      </c>
      <c r="F543">
        <v>308</v>
      </c>
      <c r="G543">
        <v>134</v>
      </c>
      <c r="H543">
        <v>2709</v>
      </c>
      <c r="I543">
        <v>1015</v>
      </c>
      <c r="J543">
        <v>611</v>
      </c>
      <c r="K543">
        <v>160</v>
      </c>
    </row>
    <row r="544" spans="2:11" x14ac:dyDescent="0.25">
      <c r="B544">
        <v>-653</v>
      </c>
      <c r="C544">
        <v>-9235</v>
      </c>
      <c r="D544">
        <v>-1590</v>
      </c>
      <c r="E544">
        <v>-31066</v>
      </c>
      <c r="F544">
        <v>-8937</v>
      </c>
      <c r="G544">
        <v>-6229</v>
      </c>
      <c r="H544">
        <v>-2181</v>
      </c>
      <c r="I544">
        <v>5515</v>
      </c>
      <c r="J544">
        <v>2810</v>
      </c>
      <c r="K544">
        <v>-167</v>
      </c>
    </row>
    <row r="545" spans="2:11" x14ac:dyDescent="0.25">
      <c r="B545">
        <v>18</v>
      </c>
      <c r="C545">
        <v>5071</v>
      </c>
      <c r="D545">
        <v>3642</v>
      </c>
      <c r="E545">
        <v>-236</v>
      </c>
      <c r="F545">
        <v>284</v>
      </c>
      <c r="G545">
        <v>-100</v>
      </c>
      <c r="H545">
        <v>755</v>
      </c>
      <c r="I545">
        <v>183</v>
      </c>
      <c r="J545">
        <v>-4520</v>
      </c>
      <c r="K545">
        <v>-1084</v>
      </c>
    </row>
    <row r="546" spans="2:11" x14ac:dyDescent="0.25">
      <c r="B546">
        <v>20752</v>
      </c>
      <c r="C546">
        <v>2014</v>
      </c>
      <c r="D546">
        <v>2784</v>
      </c>
      <c r="E546">
        <v>407</v>
      </c>
      <c r="F546">
        <v>0</v>
      </c>
      <c r="G546">
        <v>-153</v>
      </c>
      <c r="H546">
        <v>216</v>
      </c>
      <c r="I546">
        <v>1246</v>
      </c>
      <c r="J546">
        <v>1974</v>
      </c>
      <c r="K546">
        <v>994</v>
      </c>
    </row>
    <row r="547" spans="2:11" x14ac:dyDescent="0.25">
      <c r="B547">
        <v>-370</v>
      </c>
      <c r="C547">
        <v>112</v>
      </c>
      <c r="D547">
        <v>1772</v>
      </c>
      <c r="E547">
        <v>1882</v>
      </c>
      <c r="F547">
        <v>1401</v>
      </c>
      <c r="G547">
        <v>0</v>
      </c>
      <c r="H547">
        <v>-377</v>
      </c>
      <c r="I547">
        <v>56</v>
      </c>
      <c r="J547">
        <v>1906</v>
      </c>
      <c r="K547">
        <v>-17643</v>
      </c>
    </row>
    <row r="548" spans="2:11" x14ac:dyDescent="0.25">
      <c r="B548">
        <v>-10822</v>
      </c>
      <c r="C548">
        <v>-128</v>
      </c>
      <c r="D548">
        <v>-622</v>
      </c>
      <c r="E548">
        <v>0</v>
      </c>
      <c r="F548">
        <v>552</v>
      </c>
      <c r="G548">
        <v>393</v>
      </c>
      <c r="H548">
        <v>179</v>
      </c>
      <c r="I548">
        <v>284</v>
      </c>
      <c r="J548">
        <v>459</v>
      </c>
      <c r="K548">
        <v>854</v>
      </c>
    </row>
    <row r="549" spans="2:11" x14ac:dyDescent="0.25">
      <c r="B549">
        <v>0</v>
      </c>
      <c r="C549">
        <v>414</v>
      </c>
      <c r="D549">
        <v>109</v>
      </c>
      <c r="E549">
        <v>75</v>
      </c>
      <c r="F549">
        <v>-299</v>
      </c>
      <c r="G549">
        <v>-546</v>
      </c>
      <c r="H549">
        <v>-429</v>
      </c>
      <c r="I549">
        <v>957</v>
      </c>
      <c r="J549">
        <v>-244</v>
      </c>
      <c r="K549">
        <v>802</v>
      </c>
    </row>
    <row r="550" spans="2:11" x14ac:dyDescent="0.25">
      <c r="B550">
        <v>582</v>
      </c>
      <c r="C550">
        <v>-1215</v>
      </c>
      <c r="D550">
        <v>-450</v>
      </c>
      <c r="E550">
        <v>4182</v>
      </c>
      <c r="F550">
        <v>2956</v>
      </c>
      <c r="G550">
        <v>-670</v>
      </c>
      <c r="H550">
        <v>24</v>
      </c>
      <c r="I550">
        <v>462</v>
      </c>
      <c r="J550">
        <v>490</v>
      </c>
      <c r="K550">
        <v>-593</v>
      </c>
    </row>
    <row r="551" spans="2:11" x14ac:dyDescent="0.25">
      <c r="B551">
        <v>-465</v>
      </c>
      <c r="C551">
        <v>509</v>
      </c>
      <c r="D551">
        <v>-165</v>
      </c>
      <c r="E551">
        <v>-1372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-432</v>
      </c>
    </row>
    <row r="552" spans="2:11" x14ac:dyDescent="0.25">
      <c r="B552">
        <v>182</v>
      </c>
      <c r="C552">
        <v>-87</v>
      </c>
      <c r="D552">
        <v>-1109</v>
      </c>
      <c r="E552">
        <v>-1248</v>
      </c>
      <c r="F552">
        <v>-1054</v>
      </c>
      <c r="G552">
        <v>-23</v>
      </c>
      <c r="H552">
        <v>-564</v>
      </c>
      <c r="I552">
        <v>1095</v>
      </c>
      <c r="J552">
        <v>260</v>
      </c>
      <c r="K552">
        <v>1138</v>
      </c>
    </row>
    <row r="553" spans="2:11" x14ac:dyDescent="0.25">
      <c r="B553">
        <v>736</v>
      </c>
      <c r="C553">
        <v>550</v>
      </c>
      <c r="D553">
        <v>-281</v>
      </c>
      <c r="E553">
        <v>-835</v>
      </c>
      <c r="F553">
        <v>-8285</v>
      </c>
      <c r="G553">
        <v>-1345</v>
      </c>
      <c r="H553">
        <v>-9230</v>
      </c>
      <c r="I553">
        <v>-2141</v>
      </c>
      <c r="J553">
        <v>-45515</v>
      </c>
      <c r="K553">
        <v>-15186</v>
      </c>
    </row>
    <row r="554" spans="2:11" x14ac:dyDescent="0.25">
      <c r="B554">
        <v>5267</v>
      </c>
      <c r="C554">
        <v>2796</v>
      </c>
      <c r="D554">
        <v>-683</v>
      </c>
      <c r="E554">
        <v>213</v>
      </c>
      <c r="F554">
        <v>3747</v>
      </c>
      <c r="G554">
        <v>2068</v>
      </c>
      <c r="H554">
        <v>-191</v>
      </c>
      <c r="I554">
        <v>82</v>
      </c>
      <c r="J554">
        <v>1432</v>
      </c>
      <c r="K554">
        <v>274</v>
      </c>
    </row>
    <row r="555" spans="2:11" x14ac:dyDescent="0.25">
      <c r="B555">
        <v>2436</v>
      </c>
      <c r="C555">
        <v>-968</v>
      </c>
      <c r="D555">
        <v>-13780</v>
      </c>
      <c r="E555">
        <v>18945</v>
      </c>
      <c r="F555">
        <v>17573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workbookViewId="0">
      <selection activeCell="A8" sqref="A8:J63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266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176</v>
      </c>
      <c r="C8" t="s">
        <v>177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0.64906249999999999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25">
      <c r="B12">
        <v>12</v>
      </c>
      <c r="C12" t="s">
        <v>108</v>
      </c>
      <c r="D12" t="s">
        <v>107</v>
      </c>
      <c r="E12">
        <v>-5</v>
      </c>
    </row>
    <row r="13" spans="1:11" x14ac:dyDescent="0.25">
      <c r="B13">
        <v>13</v>
      </c>
      <c r="C13" t="s">
        <v>110</v>
      </c>
      <c r="D13" t="s">
        <v>109</v>
      </c>
      <c r="E13">
        <v>-0.27489999999999998</v>
      </c>
      <c r="F13" s="57"/>
    </row>
    <row r="14" spans="1:11" x14ac:dyDescent="0.25">
      <c r="B14">
        <v>14</v>
      </c>
      <c r="C14" t="s">
        <v>111</v>
      </c>
      <c r="D14" t="s">
        <v>107</v>
      </c>
      <c r="E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-0.4405</v>
      </c>
      <c r="F15" s="57"/>
    </row>
    <row r="16" spans="1:11" x14ac:dyDescent="0.25">
      <c r="B16">
        <v>16</v>
      </c>
      <c r="C16" t="s">
        <v>113</v>
      </c>
      <c r="D16" t="s">
        <v>109</v>
      </c>
      <c r="E16">
        <v>-0.1867</v>
      </c>
      <c r="F16" s="57"/>
    </row>
    <row r="17" spans="2:6" x14ac:dyDescent="0.25">
      <c r="B17">
        <v>17</v>
      </c>
      <c r="C17" t="s">
        <v>114</v>
      </c>
      <c r="D17" t="s">
        <v>109</v>
      </c>
      <c r="E17">
        <v>-1.6032</v>
      </c>
    </row>
    <row r="18" spans="2:6" x14ac:dyDescent="0.2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2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</row>
    <row r="21" spans="2:6" x14ac:dyDescent="0.2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25">
      <c r="B22">
        <v>22</v>
      </c>
      <c r="C22" t="s">
        <v>119</v>
      </c>
      <c r="D22" t="s">
        <v>109</v>
      </c>
      <c r="E22" s="57">
        <v>4.7E-2</v>
      </c>
    </row>
    <row r="23" spans="2:6" x14ac:dyDescent="0.25">
      <c r="B23">
        <v>23</v>
      </c>
      <c r="C23" t="s">
        <v>120</v>
      </c>
      <c r="D23" t="s">
        <v>109</v>
      </c>
      <c r="E23">
        <v>0.5978</v>
      </c>
    </row>
    <row r="24" spans="2:6" x14ac:dyDescent="0.25">
      <c r="B24">
        <v>24</v>
      </c>
      <c r="C24" t="s">
        <v>121</v>
      </c>
      <c r="D24" t="s">
        <v>109</v>
      </c>
      <c r="E24">
        <v>0.622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9.69E-2</v>
      </c>
      <c r="F26" s="57"/>
    </row>
    <row r="27" spans="2:6" x14ac:dyDescent="0.25">
      <c r="B27">
        <v>27</v>
      </c>
      <c r="C27" t="s">
        <v>124</v>
      </c>
      <c r="D27" t="s">
        <v>109</v>
      </c>
      <c r="E27">
        <v>0.11990000000000001</v>
      </c>
    </row>
    <row r="28" spans="2:6" x14ac:dyDescent="0.25">
      <c r="B28">
        <v>28</v>
      </c>
      <c r="C28" t="s">
        <v>125</v>
      </c>
      <c r="D28" t="s">
        <v>109</v>
      </c>
      <c r="E28">
        <v>1.0427999999999999</v>
      </c>
    </row>
    <row r="29" spans="2:6" x14ac:dyDescent="0.25">
      <c r="B29">
        <v>29</v>
      </c>
      <c r="C29" t="s">
        <v>126</v>
      </c>
      <c r="D29" t="s">
        <v>109</v>
      </c>
      <c r="E29">
        <v>2.1326999999999998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</row>
    <row r="31" spans="2:6" x14ac:dyDescent="0.25">
      <c r="B31">
        <v>31</v>
      </c>
      <c r="C31" t="s">
        <v>178</v>
      </c>
      <c r="D31" t="s">
        <v>109</v>
      </c>
      <c r="E31">
        <v>0.34050000000000002</v>
      </c>
    </row>
    <row r="32" spans="2:6" x14ac:dyDescent="0.25">
      <c r="B32">
        <v>32</v>
      </c>
      <c r="C32" t="s">
        <v>179</v>
      </c>
      <c r="D32" t="s">
        <v>109</v>
      </c>
      <c r="E32">
        <v>0.7208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-0.25080000000000002</v>
      </c>
    </row>
    <row r="35" spans="2:6" x14ac:dyDescent="0.25">
      <c r="B35">
        <v>35</v>
      </c>
      <c r="C35" t="s">
        <v>130</v>
      </c>
      <c r="D35" t="s">
        <v>107</v>
      </c>
      <c r="E35">
        <v>-5</v>
      </c>
    </row>
    <row r="36" spans="2:6" x14ac:dyDescent="0.25">
      <c r="B36">
        <v>36</v>
      </c>
      <c r="C36" t="s">
        <v>131</v>
      </c>
      <c r="D36" t="s">
        <v>107</v>
      </c>
      <c r="E36">
        <v>-5</v>
      </c>
    </row>
    <row r="37" spans="2:6" x14ac:dyDescent="0.25">
      <c r="B37">
        <v>37</v>
      </c>
      <c r="C37" t="s">
        <v>181</v>
      </c>
      <c r="D37" t="s">
        <v>109</v>
      </c>
      <c r="E37" s="57">
        <v>5.1999999999999998E-2</v>
      </c>
    </row>
    <row r="38" spans="2:6" x14ac:dyDescent="0.25">
      <c r="B38">
        <v>38</v>
      </c>
      <c r="C38" t="s">
        <v>135</v>
      </c>
      <c r="D38" t="s">
        <v>107</v>
      </c>
      <c r="E38">
        <v>-10</v>
      </c>
    </row>
    <row r="39" spans="2:6" x14ac:dyDescent="0.25">
      <c r="B39">
        <v>39</v>
      </c>
      <c r="C39" t="s">
        <v>136</v>
      </c>
      <c r="D39" t="s">
        <v>107</v>
      </c>
      <c r="E39">
        <v>-10</v>
      </c>
    </row>
    <row r="40" spans="2:6" x14ac:dyDescent="0.25">
      <c r="B40">
        <v>41</v>
      </c>
      <c r="C40" t="s">
        <v>138</v>
      </c>
      <c r="D40" t="s">
        <v>109</v>
      </c>
      <c r="E40" s="57">
        <v>2.5999999999999999E-3</v>
      </c>
      <c r="F40" s="57"/>
    </row>
    <row r="41" spans="2:6" x14ac:dyDescent="0.25">
      <c r="B41">
        <v>42</v>
      </c>
      <c r="C41" t="s">
        <v>139</v>
      </c>
      <c r="D41" t="s">
        <v>109</v>
      </c>
      <c r="E41" s="57">
        <v>0.12809999999999999</v>
      </c>
      <c r="F41" s="57"/>
    </row>
    <row r="42" spans="2:6" x14ac:dyDescent="0.25">
      <c r="B42">
        <v>85</v>
      </c>
      <c r="C42" t="s">
        <v>152</v>
      </c>
      <c r="D42" t="s">
        <v>107</v>
      </c>
      <c r="E42" s="57">
        <v>0.25</v>
      </c>
      <c r="F42" s="57"/>
    </row>
    <row r="43" spans="2:6" x14ac:dyDescent="0.25">
      <c r="B43">
        <v>86</v>
      </c>
      <c r="C43" t="s">
        <v>153</v>
      </c>
      <c r="D43" t="s">
        <v>107</v>
      </c>
      <c r="E43">
        <v>0.25</v>
      </c>
      <c r="F43" s="57"/>
    </row>
    <row r="44" spans="2:6" x14ac:dyDescent="0.25">
      <c r="B44">
        <v>87</v>
      </c>
      <c r="C44" t="s">
        <v>154</v>
      </c>
      <c r="D44" t="s">
        <v>107</v>
      </c>
      <c r="E44" s="57">
        <v>0.25</v>
      </c>
      <c r="F44" s="57"/>
    </row>
    <row r="45" spans="2:6" x14ac:dyDescent="0.25">
      <c r="B45">
        <v>88</v>
      </c>
      <c r="C45" t="s">
        <v>155</v>
      </c>
      <c r="D45" t="s">
        <v>107</v>
      </c>
      <c r="E45">
        <v>0.25</v>
      </c>
      <c r="F45" s="57"/>
    </row>
    <row r="46" spans="2:6" x14ac:dyDescent="0.25">
      <c r="B46">
        <v>91</v>
      </c>
      <c r="C46" t="s">
        <v>182</v>
      </c>
      <c r="D46" t="s">
        <v>109</v>
      </c>
      <c r="E46" s="57">
        <v>2</v>
      </c>
      <c r="F46" s="57"/>
    </row>
    <row r="47" spans="2:6" x14ac:dyDescent="0.25">
      <c r="B47">
        <v>92</v>
      </c>
      <c r="C47" t="s">
        <v>183</v>
      </c>
      <c r="D47" t="s">
        <v>109</v>
      </c>
      <c r="E47">
        <v>2.0366</v>
      </c>
      <c r="F47" s="57"/>
    </row>
    <row r="48" spans="2:6" x14ac:dyDescent="0.25">
      <c r="B48">
        <v>93</v>
      </c>
      <c r="C48" t="s">
        <v>158</v>
      </c>
      <c r="D48" t="s">
        <v>109</v>
      </c>
      <c r="E48" s="57">
        <v>0.16059999999999999</v>
      </c>
      <c r="F48" s="57"/>
    </row>
    <row r="49" spans="2:11" x14ac:dyDescent="0.25">
      <c r="B49">
        <v>94</v>
      </c>
      <c r="C49" t="s">
        <v>159</v>
      </c>
      <c r="D49" t="s">
        <v>109</v>
      </c>
      <c r="E49" s="57">
        <v>6.6500000000000004E-2</v>
      </c>
      <c r="F49" s="57"/>
    </row>
    <row r="50" spans="2:11" x14ac:dyDescent="0.25">
      <c r="B50">
        <v>124</v>
      </c>
      <c r="C50" t="s">
        <v>165</v>
      </c>
      <c r="D50" t="s">
        <v>109</v>
      </c>
      <c r="E50" s="57">
        <v>0.622</v>
      </c>
      <c r="F50" s="57"/>
    </row>
    <row r="51" spans="2:11" x14ac:dyDescent="0.25">
      <c r="B51">
        <v>145</v>
      </c>
      <c r="C51" t="s">
        <v>184</v>
      </c>
      <c r="D51" t="s">
        <v>109</v>
      </c>
      <c r="E51" s="57">
        <v>0.18190000000000001</v>
      </c>
      <c r="F51" s="57"/>
    </row>
    <row r="52" spans="2:11" x14ac:dyDescent="0.25">
      <c r="B52">
        <v>146</v>
      </c>
      <c r="C52" t="s">
        <v>185</v>
      </c>
      <c r="D52" t="s">
        <v>109</v>
      </c>
      <c r="E52" s="57">
        <v>-1.9103000000000001</v>
      </c>
      <c r="F52" s="57"/>
    </row>
    <row r="53" spans="2:11" x14ac:dyDescent="0.25">
      <c r="B53">
        <v>147</v>
      </c>
      <c r="C53" t="s">
        <v>186</v>
      </c>
      <c r="D53" t="s">
        <v>109</v>
      </c>
      <c r="E53" s="57">
        <v>5.8099999999999999E-2</v>
      </c>
      <c r="F53" s="57"/>
    </row>
    <row r="54" spans="2:11" x14ac:dyDescent="0.25">
      <c r="B54">
        <v>148</v>
      </c>
      <c r="C54" t="s">
        <v>187</v>
      </c>
      <c r="D54" t="s">
        <v>109</v>
      </c>
      <c r="E54" s="57">
        <v>-0.88929999999999998</v>
      </c>
      <c r="F54" s="57"/>
    </row>
    <row r="55" spans="2:11" x14ac:dyDescent="0.25">
      <c r="B55">
        <v>149</v>
      </c>
      <c r="C55" t="s">
        <v>188</v>
      </c>
      <c r="D55" t="s">
        <v>109</v>
      </c>
      <c r="E55" s="57">
        <v>4.7300000000000002E-2</v>
      </c>
      <c r="F55" s="57"/>
    </row>
    <row r="56" spans="2:11" x14ac:dyDescent="0.25">
      <c r="B56">
        <v>150</v>
      </c>
      <c r="C56" t="s">
        <v>189</v>
      </c>
      <c r="D56" t="s">
        <v>109</v>
      </c>
      <c r="E56" s="57">
        <v>-0.35170000000000001</v>
      </c>
      <c r="F56" s="57"/>
    </row>
    <row r="57" spans="2:11" x14ac:dyDescent="0.25">
      <c r="B57">
        <v>151</v>
      </c>
      <c r="C57" t="s">
        <v>190</v>
      </c>
      <c r="D57" t="s">
        <v>109</v>
      </c>
      <c r="E57">
        <v>0.15</v>
      </c>
      <c r="F57" s="57"/>
    </row>
    <row r="58" spans="2:11" x14ac:dyDescent="0.25">
      <c r="B58">
        <v>152</v>
      </c>
      <c r="C58" t="s">
        <v>191</v>
      </c>
      <c r="D58" t="s">
        <v>109</v>
      </c>
      <c r="E58" s="57">
        <v>-3.7699999999999997E-2</v>
      </c>
    </row>
    <row r="59" spans="2:11" x14ac:dyDescent="0.25">
      <c r="B59">
        <v>153</v>
      </c>
      <c r="C59" t="s">
        <v>192</v>
      </c>
      <c r="D59" t="s">
        <v>109</v>
      </c>
      <c r="E59" s="57">
        <v>1.6199999999999999E-2</v>
      </c>
      <c r="F59" s="57"/>
    </row>
    <row r="60" spans="2:11" x14ac:dyDescent="0.25">
      <c r="B60">
        <v>154</v>
      </c>
      <c r="C60" t="s">
        <v>193</v>
      </c>
      <c r="D60" t="s">
        <v>109</v>
      </c>
      <c r="E60" s="57">
        <v>-0.29959999999999998</v>
      </c>
    </row>
    <row r="61" spans="2:11" x14ac:dyDescent="0.25">
      <c r="B61">
        <v>-1</v>
      </c>
      <c r="F61" s="57"/>
    </row>
    <row r="62" spans="2:11" x14ac:dyDescent="0.25">
      <c r="B62">
        <v>587</v>
      </c>
      <c r="C62" s="57">
        <v>-2207.08016249</v>
      </c>
      <c r="D62" s="57">
        <v>-2901.9892053499998</v>
      </c>
      <c r="E62" s="57">
        <v>1</v>
      </c>
      <c r="F62" s="57"/>
    </row>
    <row r="63" spans="2:11" x14ac:dyDescent="0.25">
      <c r="B63">
        <v>0</v>
      </c>
      <c r="C63" s="87">
        <v>4.8157291666666664</v>
      </c>
      <c r="D63" t="s">
        <v>104</v>
      </c>
      <c r="E63">
        <v>7</v>
      </c>
      <c r="F63" s="57" t="s">
        <v>197</v>
      </c>
      <c r="G63">
        <v>12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77"/>
  <sheetViews>
    <sheetView tabSelected="1" topLeftCell="B1" workbookViewId="0" zoomScaleNormal="100">
      <selection activeCell="U3" sqref="U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6.42578125" collapsed="true"/>
  </cols>
  <sheetData>
    <row ht="15.75" r="1" spans="2:22" thickBot="1" x14ac:dyDescent="0.3">
      <c r="B1" s="37" t="s">
        <v>217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231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WorkTourTime!B11</f>
        <v>11</v>
      </c>
      <c r="S3" s="66" t="str">
        <f>WorkTourTime!C11</f>
        <v>arr3-5</v>
      </c>
      <c r="T3" s="66">
        <f>VLOOKUP(R3,WorkTourTime!$B$11:$E$84,4,FALSE)</f>
        <v>-2.3394698170399999</v>
      </c>
      <c r="U3" s="93">
        <f>_xlfn.IFNA(VLOOKUP(R3,$L$3:$N$45,3,FALSE),T3)</f>
        <v>-2.4917451116010807</v>
      </c>
      <c r="V3">
        <f>IF(T3=U3,0,1)</f>
        <v>1</v>
      </c>
    </row>
    <row r="4" spans="2:22" x14ac:dyDescent="0.25">
      <c r="B4" t="s">
        <v>73</v>
      </c>
      <c r="C4" s="29">
        <f>SUM(Departure_Time!B9:B16)</f>
        <v>7969.3903353057485</v>
      </c>
      <c r="D4" s="29">
        <f>SUM(Departure_Time!I9:I16)</f>
        <v>12486.75754070282</v>
      </c>
      <c r="E4" s="30">
        <f>C4/C$14</f>
        <v>1.4268510592305408E-2</v>
      </c>
      <c r="F4" s="30">
        <f>D4/D$14</f>
        <v>1.9857220345510369E-2</v>
      </c>
      <c r="G4" s="6">
        <f>E4/F4</f>
        <v>0.71855528336983254</v>
      </c>
      <c r="H4" s="6">
        <f ref="H4:H13" si="0" t="shared">$F$1</f>
        <v>1</v>
      </c>
      <c r="I4" s="31">
        <f>H4*(LN(G4)-LN($G$8))</f>
        <v>-0.44038479023618038</v>
      </c>
      <c r="L4" s="70">
        <v>21</v>
      </c>
      <c r="M4" s="71">
        <f ref="M4:M13" si="1" t="shared">VLOOKUP(L4,$R$3:$U$64,3,FALSE)</f>
        <v>-1.18600807319</v>
      </c>
      <c r="N4" s="72">
        <f>I4+M4</f>
        <v>-1.6263928634261804</v>
      </c>
      <c r="O4" s="70" t="str">
        <f>CONCATENATE("Departure ",B4)</f>
        <v>Departure 3-7 am</v>
      </c>
      <c r="R4" s="66">
        <f>WorkTourTime!B12</f>
        <v>12</v>
      </c>
      <c r="S4" s="66" t="str">
        <f>WorkTourTime!C12</f>
        <v>arr=6</v>
      </c>
      <c r="T4" s="66">
        <f>VLOOKUP(R4,WorkTourTime!$B$11:$E$84,4,FALSE)</f>
        <v>-0.67106220384299997</v>
      </c>
      <c r="U4" s="93">
        <f ref="U4:U67" si="2" t="shared">_xlfn.IFNA(VLOOKUP(R4,$L$3:$N$45,3,FALSE),T4)</f>
        <v>-0.64766026896774109</v>
      </c>
      <c r="V4">
        <f ref="V4:V67" si="3" t="shared">IF(T4=U4,0,1)</f>
        <v>1</v>
      </c>
    </row>
    <row r="5" spans="2:22" x14ac:dyDescent="0.25">
      <c r="B5" t="s">
        <v>74</v>
      </c>
      <c r="C5" s="29">
        <f>SUM(Departure_Time!B17:B22)</f>
        <v>9859.8577469029115</v>
      </c>
      <c r="D5" s="29">
        <f>SUM(Departure_Time!I17:I22)</f>
        <v>13180.067889213562</v>
      </c>
      <c r="E5" s="30">
        <f ref="E5:F14" si="4" t="shared">C5/C$14</f>
        <v>1.7653230520915535E-2</v>
      </c>
      <c r="F5" s="30">
        <f si="4" t="shared"/>
        <v>2.0959765687111158E-2</v>
      </c>
      <c r="G5" s="6">
        <f ref="G5:G14" si="5" t="shared">E5/F5</f>
        <v>0.84224369606245553</v>
      </c>
      <c r="H5" s="6">
        <f si="0" t="shared"/>
        <v>1</v>
      </c>
      <c r="I5" s="31">
        <f ref="I5:I13" si="6" t="shared">H5*(LN(G5)-LN($G$8))</f>
        <v>-0.28155803793158551</v>
      </c>
      <c r="L5" s="70">
        <v>22</v>
      </c>
      <c r="M5" s="73">
        <f si="1" t="shared"/>
        <v>-1.7640959842299999</v>
      </c>
      <c r="N5" s="72">
        <f ref="N5:N13" si="7" t="shared">I5+M5</f>
        <v>-2.0456540221615853</v>
      </c>
      <c r="O5" s="70" t="str">
        <f ref="O5:O13" si="8" t="shared">CONCATENATE("Departure ",B5)</f>
        <v>Departure 7-10 am</v>
      </c>
      <c r="R5" s="66">
        <f>WorkTourTime!B13</f>
        <v>13</v>
      </c>
      <c r="S5" s="66" t="str">
        <f>WorkTourTime!C13</f>
        <v>arr=7</v>
      </c>
      <c r="T5" s="66">
        <f>VLOOKUP(R5,WorkTourTime!$B$11:$E$84,4,FALSE)</f>
        <v>-1.81869725389E-2</v>
      </c>
      <c r="U5" s="93">
        <f si="2" t="shared"/>
        <v>2.6786393367664238E-3</v>
      </c>
      <c r="V5">
        <f si="3" t="shared"/>
        <v>1</v>
      </c>
    </row>
    <row r="6" spans="2:22" x14ac:dyDescent="0.25">
      <c r="B6" t="s">
        <v>229</v>
      </c>
      <c r="C6" s="29">
        <f>SUM(Departure_Time!B23:B28)</f>
        <v>44696.757818671897</v>
      </c>
      <c r="D6" s="29">
        <f>SUM(Departure_Time!I23:I28)</f>
        <v>58876.306370735168</v>
      </c>
      <c r="E6" s="30">
        <f si="4" t="shared"/>
        <v>8.0025715336349099E-2</v>
      </c>
      <c r="F6" s="30">
        <f si="4" t="shared"/>
        <v>9.3628773116039857E-2</v>
      </c>
      <c r="G6" s="6">
        <f si="5" t="shared"/>
        <v>0.85471284812381709</v>
      </c>
      <c r="H6" s="6">
        <f si="0" t="shared"/>
        <v>1</v>
      </c>
      <c r="I6" s="31">
        <f si="6" t="shared"/>
        <v>-0.26686187317193966</v>
      </c>
      <c r="L6" s="70">
        <v>23</v>
      </c>
      <c r="M6" s="73">
        <f si="1" t="shared"/>
        <v>-0.675435161773</v>
      </c>
      <c r="N6" s="72">
        <f si="7" t="shared"/>
        <v>-0.94229703494493966</v>
      </c>
      <c r="O6" s="70" t="str">
        <f si="8" t="shared"/>
        <v>Departure 10 am-1 pm</v>
      </c>
      <c r="R6" s="66">
        <f>WorkTourTime!B14</f>
        <v>14</v>
      </c>
      <c r="S6" s="66" t="str">
        <f>WorkTourTime!C14</f>
        <v>arr=8</v>
      </c>
      <c r="T6" s="66">
        <f>VLOOKUP(R6,WorkTourTime!$B$11:$E$84,4,FALSE)</f>
        <v>0</v>
      </c>
      <c r="U6" s="93">
        <f si="2" t="shared"/>
        <v>0</v>
      </c>
      <c r="V6">
        <f si="3" t="shared"/>
        <v>0</v>
      </c>
    </row>
    <row r="7" spans="2:22" x14ac:dyDescent="0.25">
      <c r="B7" t="s">
        <v>76</v>
      </c>
      <c r="C7" s="29">
        <f>SUM(Departure_Time!B29:B32)</f>
        <v>74713.745100775632</v>
      </c>
      <c r="D7" s="29">
        <f>SUM(Departure_Time!I29:I32)</f>
        <v>87988.727756500244</v>
      </c>
      <c r="E7" s="30">
        <f si="4" t="shared"/>
        <v>0.13376855926336351</v>
      </c>
      <c r="F7" s="30">
        <f si="4" t="shared"/>
        <v>0.13992516065812929</v>
      </c>
      <c r="G7" s="6">
        <f si="5" t="shared"/>
        <v>0.95600075521937156</v>
      </c>
      <c r="H7" s="6">
        <f si="0" t="shared"/>
        <v>1</v>
      </c>
      <c r="I7" s="31">
        <f si="6" t="shared"/>
        <v>-0.15486873252131467</v>
      </c>
      <c r="L7" s="70">
        <v>24</v>
      </c>
      <c r="M7" s="73">
        <f si="1" t="shared"/>
        <v>-0.56920924271600004</v>
      </c>
      <c r="N7" s="72">
        <f si="7" t="shared"/>
        <v>-0.72407797523731476</v>
      </c>
      <c r="O7" s="70" t="str">
        <f si="8" t="shared"/>
        <v>Departure 1-3 pm</v>
      </c>
      <c r="R7" s="66">
        <f>WorkTourTime!B15</f>
        <v>15</v>
      </c>
      <c r="S7" s="66" t="str">
        <f>WorkTourTime!C15</f>
        <v>arr=9</v>
      </c>
      <c r="T7" s="66">
        <f>VLOOKUP(R7,WorkTourTime!$B$11:$E$84,4,FALSE)</f>
        <v>-0.93649924875500001</v>
      </c>
      <c r="U7" s="93">
        <f si="2" t="shared"/>
        <v>-0.96115699341379346</v>
      </c>
      <c r="V7">
        <f si="3" t="shared"/>
        <v>1</v>
      </c>
    </row>
    <row r="8" spans="2:22" x14ac:dyDescent="0.25">
      <c r="B8" t="s">
        <v>173</v>
      </c>
      <c r="C8" s="29">
        <f>SUM(Departure_Time!B33:B36)</f>
        <v>179361.72566730232</v>
      </c>
      <c r="D8" s="29">
        <f>SUM(Departure_Time!I33:I36)</f>
        <v>180924.62016868591</v>
      </c>
      <c r="E8" s="30">
        <f si="4" t="shared"/>
        <v>0.32113180241658906</v>
      </c>
      <c r="F8" s="30">
        <f si="4" t="shared"/>
        <v>0.28771761098959819</v>
      </c>
      <c r="G8" s="6">
        <f si="5" t="shared"/>
        <v>1.1161353707618504</v>
      </c>
      <c r="H8" s="6">
        <f si="0" t="shared"/>
        <v>1</v>
      </c>
      <c r="I8" s="31">
        <f si="6" t="shared"/>
        <v>0</v>
      </c>
      <c r="L8" s="70">
        <v>25</v>
      </c>
      <c r="M8" s="73">
        <f si="1" t="shared"/>
        <v>0</v>
      </c>
      <c r="N8" s="72">
        <f si="7" t="shared"/>
        <v>0</v>
      </c>
      <c r="O8" s="70" t="str">
        <f si="8" t="shared"/>
        <v>Departure 3-5 pm</v>
      </c>
      <c r="R8" s="66">
        <f>WorkTourTime!B16</f>
        <v>16</v>
      </c>
      <c r="S8" s="66" t="str">
        <f>WorkTourTime!C16</f>
        <v>arr10-12</v>
      </c>
      <c r="T8" s="66">
        <f>VLOOKUP(R8,WorkTourTime!$B$11:$E$84,4,FALSE)</f>
        <v>-1.77743849575</v>
      </c>
      <c r="U8" s="93">
        <f si="2" t="shared"/>
        <v>-1.7599665844455008</v>
      </c>
      <c r="V8">
        <f si="3" t="shared"/>
        <v>1</v>
      </c>
    </row>
    <row r="9" spans="2:22" x14ac:dyDescent="0.25">
      <c r="B9" t="s">
        <v>77</v>
      </c>
      <c r="C9" s="29">
        <f>SUM(Departure_Time!B37:B38)</f>
        <v>94660.703008276323</v>
      </c>
      <c r="D9" s="29">
        <f>SUM(Departure_Time!I37:I38)</f>
        <v>100615.25990200043</v>
      </c>
      <c r="E9" s="30">
        <f si="4" t="shared"/>
        <v>0.16948187837719311</v>
      </c>
      <c r="F9" s="30">
        <f si="4" t="shared"/>
        <v>0.16000465929463079</v>
      </c>
      <c r="G9" s="6">
        <f si="5" t="shared"/>
        <v>1.0592308944273372</v>
      </c>
      <c r="H9" s="6">
        <f si="0" t="shared"/>
        <v>1</v>
      </c>
      <c r="I9" s="31">
        <f si="6" t="shared"/>
        <v>-5.2329083093926074E-2</v>
      </c>
      <c r="L9" s="70">
        <v>26</v>
      </c>
      <c r="M9" s="73">
        <f si="1" t="shared"/>
        <v>3.6403417091199999E-2</v>
      </c>
      <c r="N9" s="72">
        <f si="7" t="shared"/>
        <v>-1.5925666002726074E-2</v>
      </c>
      <c r="O9" s="70" t="str">
        <f si="8" t="shared"/>
        <v>Departure 5-6 pm</v>
      </c>
      <c r="R9" s="66">
        <f>WorkTourTime!B17</f>
        <v>17</v>
      </c>
      <c r="S9" s="66" t="str">
        <f>WorkTourTime!C17</f>
        <v>arr13-15</v>
      </c>
      <c r="T9" s="66">
        <f>VLOOKUP(R9,WorkTourTime!$B$11:$E$84,4,FALSE)</f>
        <v>-1.86737256636</v>
      </c>
      <c r="U9" s="93">
        <f si="2" t="shared"/>
        <v>-1.6423506613942107</v>
      </c>
      <c r="V9">
        <f si="3" t="shared"/>
        <v>1</v>
      </c>
    </row>
    <row r="10" spans="2:22" x14ac:dyDescent="0.25">
      <c r="B10" t="s">
        <v>78</v>
      </c>
      <c r="C10" s="29">
        <f>SUM(Departure_Time!B39:B40)</f>
        <v>63632.012334520834</v>
      </c>
      <c r="D10" s="29">
        <f>SUM(Departure_Time!I39:I40)</f>
        <v>71524.868309020996</v>
      </c>
      <c r="E10" s="30">
        <f si="4" t="shared"/>
        <v>0.11392766620835691</v>
      </c>
      <c r="F10" s="30">
        <f si="4" t="shared"/>
        <v>0.11374330490250718</v>
      </c>
      <c r="G10" s="6">
        <f si="5" t="shared"/>
        <v>1.0016208541329774</v>
      </c>
      <c r="H10" s="6">
        <f si="0" t="shared"/>
        <v>1</v>
      </c>
      <c r="I10" s="31">
        <f si="6" t="shared"/>
        <v>-0.10825261460207629</v>
      </c>
      <c r="L10" s="70">
        <v>27</v>
      </c>
      <c r="M10" s="73">
        <f si="1" t="shared"/>
        <v>-0.72643475765499999</v>
      </c>
      <c r="N10" s="72">
        <f si="7" t="shared"/>
        <v>-0.83468737225707623</v>
      </c>
      <c r="O10" s="70" t="str">
        <f si="8" t="shared"/>
        <v>Departure 6-7 pm</v>
      </c>
      <c r="R10" s="66">
        <f>WorkTourTime!B18</f>
        <v>18</v>
      </c>
      <c r="S10" s="66" t="str">
        <f>WorkTourTime!C18</f>
        <v>arr16-18</v>
      </c>
      <c r="T10" s="66">
        <f>VLOOKUP(R10,WorkTourTime!$B$11:$E$84,4,FALSE)</f>
        <v>-2.26568763106</v>
      </c>
      <c r="U10" s="93">
        <f si="2" t="shared"/>
        <v>-2.0887234623242033</v>
      </c>
      <c r="V10">
        <f si="3" t="shared"/>
        <v>1</v>
      </c>
    </row>
    <row r="11" spans="2:22" x14ac:dyDescent="0.25">
      <c r="B11" t="s">
        <v>79</v>
      </c>
      <c r="C11" s="29">
        <f>SUM(Departure_Time!B41:B44)</f>
        <v>50364.192201811813</v>
      </c>
      <c r="D11" s="29">
        <f>SUM(Departure_Time!I41:I44)</f>
        <v>59442.323185920715</v>
      </c>
      <c r="E11" s="30">
        <f si="4" t="shared"/>
        <v>9.0172771023755746E-2</v>
      </c>
      <c r="F11" s="30">
        <f si="4" t="shared"/>
        <v>9.4528888344654352E-2</v>
      </c>
      <c r="G11" s="6">
        <f si="5" t="shared"/>
        <v>0.95391760765221201</v>
      </c>
      <c r="H11" s="6">
        <f si="0" t="shared"/>
        <v>1</v>
      </c>
      <c r="I11" s="31">
        <f si="6" t="shared"/>
        <v>-0.15705013297665521</v>
      </c>
      <c r="L11" s="70">
        <v>28</v>
      </c>
      <c r="M11" s="73">
        <f si="1" t="shared"/>
        <v>-1.8360348878499999</v>
      </c>
      <c r="N11" s="72">
        <f si="7" t="shared"/>
        <v>-1.9930850208266551</v>
      </c>
      <c r="O11" s="70" t="str">
        <f si="8" t="shared"/>
        <v>Departure 7-9 pm</v>
      </c>
      <c r="R11" s="66">
        <f>WorkTourTime!B19</f>
        <v>19</v>
      </c>
      <c r="S11" s="66" t="str">
        <f>WorkTourTime!C19</f>
        <v>arr19-21</v>
      </c>
      <c r="T11" s="66">
        <f>VLOOKUP(R11,WorkTourTime!$B$11:$E$84,4,FALSE)</f>
        <v>-3.1613092691400002</v>
      </c>
      <c r="U11" s="93">
        <f si="2" t="shared"/>
        <v>-3.4837705628073286</v>
      </c>
      <c r="V11">
        <f si="3" t="shared"/>
        <v>1</v>
      </c>
    </row>
    <row r="12" spans="2:22" x14ac:dyDescent="0.25">
      <c r="B12" t="s">
        <v>80</v>
      </c>
      <c r="C12" s="29">
        <f>SUM(Departure_Time!B45:B50)</f>
        <v>24564.48268706413</v>
      </c>
      <c r="D12" s="29">
        <f>SUM(Departure_Time!I45:I50)</f>
        <v>31221.663867950439</v>
      </c>
      <c r="E12" s="30">
        <f si="4" t="shared"/>
        <v>4.3980601610402903E-2</v>
      </c>
      <c r="F12" s="30">
        <f si="4" t="shared"/>
        <v>4.9650636440919951E-2</v>
      </c>
      <c r="G12" s="6">
        <f si="5" t="shared"/>
        <v>0.88580136656931052</v>
      </c>
      <c r="H12" s="6">
        <f si="0" t="shared"/>
        <v>1</v>
      </c>
      <c r="I12" s="31">
        <f si="6" t="shared"/>
        <v>-0.23113470131138236</v>
      </c>
      <c r="L12" s="70">
        <v>29</v>
      </c>
      <c r="M12" s="73">
        <f si="1" t="shared"/>
        <v>-1.98923759637</v>
      </c>
      <c r="N12" s="72">
        <f si="7" t="shared"/>
        <v>-2.2203722976813824</v>
      </c>
      <c r="O12" s="70" t="str">
        <f si="8" t="shared"/>
        <v>Departure 9-12 pm</v>
      </c>
      <c r="R12" s="66">
        <f>WorkTourTime!B20</f>
        <v>20</v>
      </c>
      <c r="S12" s="66" t="str">
        <f>WorkTourTime!C20</f>
        <v>arr22-26</v>
      </c>
      <c r="T12" s="66">
        <f>VLOOKUP(R12,WorkTourTime!$B$11:$E$84,4,FALSE)</f>
        <v>-4.1209548115799999</v>
      </c>
      <c r="U12" s="93">
        <f si="2" t="shared"/>
        <v>-5.3143389545767334</v>
      </c>
      <c r="V12">
        <f si="3" t="shared"/>
        <v>1</v>
      </c>
    </row>
    <row r="13" spans="2:22" x14ac:dyDescent="0.25">
      <c r="B13" s="23" t="s">
        <v>81</v>
      </c>
      <c r="C13" s="34">
        <f>SUM(Departure_Time!B51:B57)+Departure_Time!B8</f>
        <v>8707.0710175845725</v>
      </c>
      <c r="D13" s="34">
        <f>SUM(Departure_Time!I51:I57)+Departure_Time!I8</f>
        <v>12566.467580795288</v>
      </c>
      <c r="E13" s="35">
        <f si="4" t="shared"/>
        <v>1.5589264650768861E-2</v>
      </c>
      <c r="F13" s="35">
        <f si="4" t="shared"/>
        <v>1.9983980220898846E-2</v>
      </c>
      <c r="G13" s="22">
        <f si="5" t="shared"/>
        <v>0.78008807447006578</v>
      </c>
      <c r="H13" s="6">
        <f si="0" t="shared"/>
        <v>1</v>
      </c>
      <c r="I13" s="31">
        <f si="6" t="shared"/>
        <v>-0.35822060625445507</v>
      </c>
      <c r="L13" s="74">
        <v>30</v>
      </c>
      <c r="M13" s="74">
        <f si="1" t="shared"/>
        <v>-3.3378769648</v>
      </c>
      <c r="N13" s="75">
        <f si="7" t="shared"/>
        <v>-3.6960975710544552</v>
      </c>
      <c r="O13" s="74" t="str">
        <f si="8" t="shared"/>
        <v>Departure 12-3 am</v>
      </c>
      <c r="R13" s="66">
        <f>WorkTourTime!B21</f>
        <v>21</v>
      </c>
      <c r="S13" s="66" t="str">
        <f>WorkTourTime!C21</f>
        <v>dep3-6</v>
      </c>
      <c r="T13" s="66">
        <f>VLOOKUP(R13,WorkTourTime!$B$11:$E$84,4,FALSE)</f>
        <v>-1.18600807319</v>
      </c>
      <c r="U13" s="93">
        <f si="2" t="shared"/>
        <v>-1.6263928634261804</v>
      </c>
      <c r="V13">
        <f si="3" t="shared"/>
        <v>1</v>
      </c>
    </row>
    <row ht="15.75" r="14" spans="2:22" thickBot="1" x14ac:dyDescent="0.3">
      <c r="B14" s="39" t="s">
        <v>82</v>
      </c>
      <c r="C14" s="40">
        <f>SUM(C4:C13)</f>
        <v>558529.93791821611</v>
      </c>
      <c r="D14" s="40">
        <f>SUM(D4:D13)</f>
        <v>628827.06257152557</v>
      </c>
      <c r="E14" s="41">
        <f si="4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WorkTourTime!B22</f>
        <v>22</v>
      </c>
      <c r="S14" s="66" t="str">
        <f>WorkTourTime!C22</f>
        <v>dep7-9</v>
      </c>
      <c r="T14" s="66">
        <f>VLOOKUP(R14,WorkTourTime!$B$11:$E$84,4,FALSE)</f>
        <v>-1.7640959842299999</v>
      </c>
      <c r="U14" s="93">
        <f si="2" t="shared"/>
        <v>-2.0456540221615853</v>
      </c>
      <c r="V14">
        <f si="3" t="shared"/>
        <v>1</v>
      </c>
    </row>
    <row r="15" spans="2:22" x14ac:dyDescent="0.25">
      <c r="R15" s="66">
        <f>WorkTourTime!B23</f>
        <v>23</v>
      </c>
      <c r="S15" s="66" t="str">
        <f>WorkTourTime!C23</f>
        <v>dep10-12</v>
      </c>
      <c r="T15" s="66">
        <f>VLOOKUP(R15,WorkTourTime!$B$11:$E$84,4,FALSE)</f>
        <v>-0.675435161773</v>
      </c>
      <c r="U15" s="93">
        <f si="2" t="shared"/>
        <v>-0.94229703494493966</v>
      </c>
      <c r="V15">
        <f si="3" t="shared"/>
        <v>1</v>
      </c>
    </row>
    <row r="16" spans="2:22" x14ac:dyDescent="0.25">
      <c r="R16" s="66">
        <f>WorkTourTime!B24</f>
        <v>24</v>
      </c>
      <c r="S16" s="66" t="str">
        <f>WorkTourTime!C24</f>
        <v>dep13-14</v>
      </c>
      <c r="T16" s="66">
        <f>VLOOKUP(R16,WorkTourTime!$B$11:$E$84,4,FALSE)</f>
        <v>-0.56920924271600004</v>
      </c>
      <c r="U16" s="93">
        <f si="2" t="shared"/>
        <v>-0.72407797523731476</v>
      </c>
      <c r="V16">
        <f si="3" t="shared"/>
        <v>1</v>
      </c>
    </row>
    <row ht="15.75" r="17" spans="2:22" thickBot="1" x14ac:dyDescent="0.3">
      <c r="B17" s="37" t="s">
        <v>230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WorkTourTime!B25</f>
        <v>25</v>
      </c>
      <c r="S17" s="66" t="str">
        <f>WorkTourTime!C25</f>
        <v>dep=16</v>
      </c>
      <c r="T17" s="66">
        <f>VLOOKUP(R17,WorkTourTime!$B$11:$E$84,4,FALSE)</f>
        <v>0</v>
      </c>
      <c r="U17" s="93">
        <f si="2" t="shared"/>
        <v>0</v>
      </c>
      <c r="V17">
        <f si="3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WorkTourTime!B26</f>
        <v>26</v>
      </c>
      <c r="S18" s="66" t="str">
        <f>WorkTourTime!C26</f>
        <v>dep=17</v>
      </c>
      <c r="T18" s="66">
        <f>VLOOKUP(R18,WorkTourTime!$B$11:$E$84,4,FALSE)</f>
        <v>3.6403417091199999E-2</v>
      </c>
      <c r="U18" s="93">
        <f si="2" t="shared"/>
        <v>-1.5925666002726074E-2</v>
      </c>
      <c r="V18">
        <f si="3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65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WorkTourTime!B27</f>
        <v>27</v>
      </c>
      <c r="S19" s="66" t="str">
        <f>WorkTourTime!C27</f>
        <v>dep=18</v>
      </c>
      <c r="T19" s="66">
        <f>VLOOKUP(R19,WorkTourTime!$B$11:$E$84,4,FALSE)</f>
        <v>-0.72643475765499999</v>
      </c>
      <c r="U19" s="93">
        <f si="2" t="shared"/>
        <v>-0.83468737225707623</v>
      </c>
      <c r="V19">
        <f si="3" t="shared"/>
        <v>1</v>
      </c>
    </row>
    <row r="20" spans="2:22" x14ac:dyDescent="0.25">
      <c r="B20" t="s">
        <v>221</v>
      </c>
      <c r="C20" s="29">
        <f>SUM(Arrival_Time!B9:B14)</f>
        <v>53637.51184518521</v>
      </c>
      <c r="D20" s="29">
        <f>SUM(Arrival_Time!I9:I14)</f>
        <v>69856.985572814941</v>
      </c>
      <c r="E20" s="30">
        <f>C20/C$14</f>
        <v>9.6033369393064102E-2</v>
      </c>
      <c r="F20" s="30">
        <f>D20/D$14</f>
        <v>0.11109093378892086</v>
      </c>
      <c r="G20" s="6">
        <f>E20/F20</f>
        <v>0.86445730643990271</v>
      </c>
      <c r="H20" s="6">
        <f>$F$17</f>
        <v>1</v>
      </c>
      <c r="I20" s="62">
        <f>H20*(LN(G20)-LN($G$23))</f>
        <v>-0.15227529456108094</v>
      </c>
      <c r="L20" s="70">
        <v>11</v>
      </c>
      <c r="M20" s="71">
        <f ref="M20:M29" si="9" t="shared">VLOOKUP(L20,$R$3:$U$64,3,FALSE)</f>
        <v>-2.3394698170399999</v>
      </c>
      <c r="N20" s="72">
        <f>I20+M20</f>
        <v>-2.4917451116010807</v>
      </c>
      <c r="O20" s="71" t="str">
        <f>CONCATENATE("Arrival ",B20)</f>
        <v>Arrival 3-6 am</v>
      </c>
      <c r="R20" s="66">
        <f>WorkTourTime!B28</f>
        <v>28</v>
      </c>
      <c r="S20" s="66" t="str">
        <f>WorkTourTime!C28</f>
        <v>dep19-20</v>
      </c>
      <c r="T20" s="66">
        <f>VLOOKUP(R20,WorkTourTime!$B$11:$E$84,4,FALSE)</f>
        <v>-1.8360348878499999</v>
      </c>
      <c r="U20" s="93">
        <f si="2" t="shared"/>
        <v>-1.9930850208266551</v>
      </c>
      <c r="V20">
        <f si="3" t="shared"/>
        <v>1</v>
      </c>
    </row>
    <row r="21" spans="2:22" x14ac:dyDescent="0.25">
      <c r="B21" t="s">
        <v>222</v>
      </c>
      <c r="C21" s="29">
        <f>SUM(Arrival_Time!B15:B16)</f>
        <v>77185.522110446196</v>
      </c>
      <c r="D21" s="29">
        <f>SUM(Arrival_Time!I15:I16)</f>
        <v>84329.866483688354</v>
      </c>
      <c r="E21" s="30">
        <f ref="E21:E30" si="10" t="shared">C21/C$14</f>
        <v>0.13819406422176109</v>
      </c>
      <c r="F21" s="30">
        <f ref="F21:F30" si="11" t="shared">D21/D$14</f>
        <v>0.13410661134530338</v>
      </c>
      <c r="G21" s="6">
        <f ref="G21:G30" si="12" t="shared">E21/F21</f>
        <v>1.0304791302640044</v>
      </c>
      <c r="H21" s="6">
        <f ref="H21:H29" si="13" t="shared">$F$17</f>
        <v>1</v>
      </c>
      <c r="I21" s="63">
        <f ref="I21:I29" si="14" t="shared">H21*(LN(G21)-LN($G$23))</f>
        <v>2.3401934875258931E-2</v>
      </c>
      <c r="L21" s="70">
        <v>12</v>
      </c>
      <c r="M21" s="73">
        <f si="9" t="shared"/>
        <v>-0.67106220384299997</v>
      </c>
      <c r="N21" s="72">
        <f ref="N21:N29" si="15" t="shared">I21+M21</f>
        <v>-0.64766026896774109</v>
      </c>
      <c r="O21" s="73" t="str">
        <f ref="O21:O29" si="16" t="shared">CONCATENATE("Arrival ",B21)</f>
        <v>Arrival 6-7 am</v>
      </c>
      <c r="R21" s="66">
        <f>WorkTourTime!B29</f>
        <v>29</v>
      </c>
      <c r="S21" s="66" t="str">
        <f>WorkTourTime!C29</f>
        <v>dep21-23</v>
      </c>
      <c r="T21" s="66">
        <f>VLOOKUP(R21,WorkTourTime!$B$11:$E$84,4,FALSE)</f>
        <v>-1.98923759637</v>
      </c>
      <c r="U21" s="93">
        <f si="2" t="shared"/>
        <v>-2.2203722976813824</v>
      </c>
      <c r="V21">
        <f si="3" t="shared"/>
        <v>1</v>
      </c>
    </row>
    <row r="22" spans="2:22" x14ac:dyDescent="0.25">
      <c r="B22" t="s">
        <v>223</v>
      </c>
      <c r="C22" s="29">
        <f>SUM(Arrival_Time!B17:B18)</f>
        <v>108767.21292530876</v>
      </c>
      <c r="D22" s="29">
        <f>SUM(Arrival_Time!I17:I18)</f>
        <v>119136.56599712372</v>
      </c>
      <c r="E22" s="30">
        <f si="10" t="shared"/>
        <v>0.19473837576319003</v>
      </c>
      <c r="F22" s="30">
        <f si="11" t="shared"/>
        <v>0.18945839498371239</v>
      </c>
      <c r="G22" s="6">
        <f si="12" t="shared"/>
        <v>1.0278688140471768</v>
      </c>
      <c r="H22" s="6">
        <f si="13" t="shared"/>
        <v>1</v>
      </c>
      <c r="I22" s="63">
        <f si="14" t="shared"/>
        <v>2.0865611875666424E-2</v>
      </c>
      <c r="L22" s="70">
        <v>13</v>
      </c>
      <c r="M22" s="73">
        <f si="9" t="shared"/>
        <v>-1.81869725389E-2</v>
      </c>
      <c r="N22" s="72">
        <f si="15" t="shared"/>
        <v>2.6786393367664238E-3</v>
      </c>
      <c r="O22" s="73" t="str">
        <f si="16" t="shared"/>
        <v>Arrival 7-8 am</v>
      </c>
      <c r="R22" s="66">
        <f>WorkTourTime!B30</f>
        <v>30</v>
      </c>
      <c r="S22" s="66" t="str">
        <f>WorkTourTime!C30</f>
        <v>dep24-26</v>
      </c>
      <c r="T22" s="66">
        <f>VLOOKUP(R22,WorkTourTime!$B$11:$E$84,4,FALSE)</f>
        <v>-3.3378769648</v>
      </c>
      <c r="U22" s="93">
        <f si="2" t="shared"/>
        <v>-3.6960975710544552</v>
      </c>
      <c r="V22">
        <f si="3" t="shared"/>
        <v>1</v>
      </c>
    </row>
    <row r="23" spans="2:22" x14ac:dyDescent="0.25">
      <c r="B23" t="s">
        <v>224</v>
      </c>
      <c r="C23" s="29">
        <f>SUM(Arrival_Time!B19:B20)</f>
        <v>102940.7459611276</v>
      </c>
      <c r="D23" s="29">
        <f>SUM(Arrival_Time!I19:I20)</f>
        <v>115132.04233932495</v>
      </c>
      <c r="E23" s="30">
        <f si="10" t="shared"/>
        <v>0.18430658586505511</v>
      </c>
      <c r="F23" s="30">
        <f si="11" t="shared"/>
        <v>0.18309015179547766</v>
      </c>
      <c r="G23" s="6">
        <f si="12" t="shared"/>
        <v>1.0066439077014708</v>
      </c>
      <c r="H23" s="6">
        <f si="13" t="shared"/>
        <v>1</v>
      </c>
      <c r="I23" s="63">
        <f si="14" t="shared"/>
        <v>0</v>
      </c>
      <c r="L23" s="70">
        <v>14</v>
      </c>
      <c r="M23" s="73">
        <f si="9" t="shared"/>
        <v>0</v>
      </c>
      <c r="N23" s="72">
        <f si="15" t="shared"/>
        <v>0</v>
      </c>
      <c r="O23" s="73" t="str">
        <f si="16" t="shared"/>
        <v>Arrival 8-9 am</v>
      </c>
      <c r="R23" s="88">
        <f>WorkTourTime!B31</f>
        <v>31</v>
      </c>
      <c r="S23" s="88" t="str">
        <f>WorkTourTime!C31</f>
        <v>dur0-2</v>
      </c>
      <c r="T23" s="88">
        <f>VLOOKUP(R23,WorkTourTime!$B$11:$E$84,4,FALSE)</f>
        <v>0.84759598521799995</v>
      </c>
      <c r="U23" s="93">
        <f si="2" t="shared"/>
        <v>1.0213714778290648</v>
      </c>
      <c r="V23">
        <f si="3" t="shared"/>
        <v>1</v>
      </c>
    </row>
    <row r="24" spans="2:22" x14ac:dyDescent="0.25">
      <c r="B24" t="s">
        <v>225</v>
      </c>
      <c r="C24" s="29">
        <f>SUM(Arrival_Time!B21:B22)</f>
        <v>67638.161505148251</v>
      </c>
      <c r="D24" s="29">
        <f>SUM(Arrival_Time!I21:I22)</f>
        <v>77537.075143814087</v>
      </c>
      <c r="E24" s="30">
        <f si="10" t="shared"/>
        <v>0.12110033305869507</v>
      </c>
      <c r="F24" s="30">
        <f si="11" t="shared"/>
        <v>0.12330429105060134</v>
      </c>
      <c r="G24" s="6">
        <f si="12" t="shared"/>
        <v>0.98212586137004898</v>
      </c>
      <c r="H24" s="6">
        <f si="13" t="shared"/>
        <v>1</v>
      </c>
      <c r="I24" s="63">
        <f si="14" t="shared"/>
        <v>-2.4657744658793453E-2</v>
      </c>
      <c r="L24" s="70">
        <v>15</v>
      </c>
      <c r="M24" s="73">
        <f si="9" t="shared"/>
        <v>-0.93649924875500001</v>
      </c>
      <c r="N24" s="72">
        <f si="15" t="shared"/>
        <v>-0.96115699341379346</v>
      </c>
      <c r="O24" s="73" t="str">
        <f si="16" t="shared"/>
        <v>Arrival 9-10 am</v>
      </c>
      <c r="R24" s="88">
        <f>WorkTourTime!B32</f>
        <v>32</v>
      </c>
      <c r="S24" s="88" t="str">
        <f>WorkTourTime!C32</f>
        <v>dur3-4</v>
      </c>
      <c r="T24" s="88">
        <f>VLOOKUP(R24,WorkTourTime!$B$11:$E$84,4,FALSE)</f>
        <v>1.0480844517200001</v>
      </c>
      <c r="U24" s="93">
        <f si="2" t="shared"/>
        <v>0.80202561023498387</v>
      </c>
      <c r="V24">
        <f si="3" t="shared"/>
        <v>1</v>
      </c>
    </row>
    <row r="25" spans="2:22" x14ac:dyDescent="0.25">
      <c r="B25" t="s">
        <v>229</v>
      </c>
      <c r="C25" s="29">
        <f>SUM(Arrival_Time!B23:B28)</f>
        <v>73223.409631855218</v>
      </c>
      <c r="D25" s="29">
        <f>SUM(Arrival_Time!I23:I28)</f>
        <v>80476.835515022278</v>
      </c>
      <c r="E25" s="30">
        <f si="10" t="shared"/>
        <v>0.13110024129552947</v>
      </c>
      <c r="F25" s="30">
        <f si="11" t="shared"/>
        <v>0.12797928127635011</v>
      </c>
      <c r="G25" s="6">
        <f si="12" t="shared"/>
        <v>1.0243864474628528</v>
      </c>
      <c r="H25" s="6">
        <f si="13" t="shared"/>
        <v>1</v>
      </c>
      <c r="I25" s="63">
        <f si="14" t="shared"/>
        <v>1.7471911304499207E-2</v>
      </c>
      <c r="L25" s="70">
        <v>16</v>
      </c>
      <c r="M25" s="73">
        <f si="9" t="shared"/>
        <v>-1.77743849575</v>
      </c>
      <c r="N25" s="72">
        <f si="15" t="shared"/>
        <v>-1.7599665844455008</v>
      </c>
      <c r="O25" s="73" t="str">
        <f si="16" t="shared"/>
        <v>Arrival 10 am-1 pm</v>
      </c>
      <c r="R25" s="88">
        <f>WorkTourTime!B33</f>
        <v>33</v>
      </c>
      <c r="S25" s="88" t="str">
        <f>WorkTourTime!C33</f>
        <v>dur5-6</v>
      </c>
      <c r="T25" s="88">
        <f>VLOOKUP(R25,WorkTourTime!$B$11:$E$84,4,FALSE)</f>
        <v>0.47835839518399997</v>
      </c>
      <c r="U25" s="93">
        <f si="2" t="shared"/>
        <v>0.3386948538757022</v>
      </c>
      <c r="V25">
        <f si="3" t="shared"/>
        <v>1</v>
      </c>
    </row>
    <row r="26" spans="2:22" x14ac:dyDescent="0.25">
      <c r="B26" t="s">
        <v>226</v>
      </c>
      <c r="C26" s="29">
        <f>SUM(Arrival_Time!B29:B34)</f>
        <v>41642.162831456713</v>
      </c>
      <c r="D26" s="29">
        <f>SUM(Arrival_Time!I29:I34)</f>
        <v>37189.163006782532</v>
      </c>
      <c r="E26" s="30">
        <f si="10" t="shared"/>
        <v>7.4556724723956067E-2</v>
      </c>
      <c r="F26" s="30">
        <f si="11" t="shared"/>
        <v>5.914052562353337E-2</v>
      </c>
      <c r="G26" s="6">
        <f si="12" t="shared"/>
        <v>1.2606706473756506</v>
      </c>
      <c r="H26" s="6">
        <f si="13" t="shared"/>
        <v>1</v>
      </c>
      <c r="I26" s="63">
        <f si="14" t="shared"/>
        <v>0.22502190496578925</v>
      </c>
      <c r="L26" s="70">
        <v>17</v>
      </c>
      <c r="M26" s="73">
        <f si="9" t="shared"/>
        <v>-1.86737256636</v>
      </c>
      <c r="N26" s="72">
        <f si="15" t="shared"/>
        <v>-1.6423506613942107</v>
      </c>
      <c r="O26" s="73" t="str">
        <f si="16" t="shared"/>
        <v>Arrival 1-4 pm</v>
      </c>
      <c r="R26" s="88">
        <f>WorkTourTime!B34</f>
        <v>34</v>
      </c>
      <c r="S26" s="88" t="str">
        <f>WorkTourTime!C34</f>
        <v>dur7-8</v>
      </c>
      <c r="T26" s="88">
        <f>VLOOKUP(R26,WorkTourTime!$B$11:$E$84,4,FALSE)</f>
        <v>0.615781103351</v>
      </c>
      <c r="U26" s="93">
        <f si="2" t="shared"/>
        <v>0.615781103351</v>
      </c>
      <c r="V26">
        <f si="3" t="shared"/>
        <v>0</v>
      </c>
    </row>
    <row r="27" spans="2:22" x14ac:dyDescent="0.25">
      <c r="B27" t="s">
        <v>227</v>
      </c>
      <c r="C27" s="29">
        <f>SUM(Arrival_Time!B35:B40)</f>
        <v>20442.890150988962</v>
      </c>
      <c r="D27" s="29">
        <f>SUM(Arrival_Time!I35:I40)</f>
        <v>19155.638417243958</v>
      </c>
      <c r="E27" s="30">
        <f si="10" t="shared"/>
        <v>3.660124330521089E-2</v>
      </c>
      <c r="F27" s="30">
        <f si="11" t="shared"/>
        <v>3.0462490496049717E-2</v>
      </c>
      <c r="G27" s="6">
        <f si="12" t="shared"/>
        <v>1.2015184152443881</v>
      </c>
      <c r="H27" s="6">
        <f si="13" t="shared"/>
        <v>1</v>
      </c>
      <c r="I27" s="63">
        <f si="14" t="shared"/>
        <v>0.17696416873579685</v>
      </c>
      <c r="L27" s="70">
        <v>18</v>
      </c>
      <c r="M27" s="73">
        <f si="9" t="shared"/>
        <v>-2.26568763106</v>
      </c>
      <c r="N27" s="72">
        <f si="15" t="shared"/>
        <v>-2.0887234623242033</v>
      </c>
      <c r="O27" s="73" t="str">
        <f si="16" t="shared"/>
        <v>Arrival 4-7 pm</v>
      </c>
      <c r="R27" s="88">
        <f>WorkTourTime!B35</f>
        <v>35</v>
      </c>
      <c r="S27" s="88" t="str">
        <f>WorkTourTime!C35</f>
        <v>dur=9</v>
      </c>
      <c r="T27" s="88">
        <f>VLOOKUP(R27,WorkTourTime!$B$11:$E$84,4,FALSE)</f>
        <v>0</v>
      </c>
      <c r="U27" s="93">
        <f si="2" t="shared"/>
        <v>-0.25758070543048711</v>
      </c>
      <c r="V27">
        <f si="3" t="shared"/>
        <v>1</v>
      </c>
    </row>
    <row r="28" spans="2:22" x14ac:dyDescent="0.25">
      <c r="B28" t="s">
        <v>79</v>
      </c>
      <c r="C28" s="29">
        <f>SUM(Arrival_Time!B41:B44)</f>
        <v>3754.3378455576812</v>
      </c>
      <c r="D28" s="29">
        <f>SUM(Arrival_Time!I41:I44)</f>
        <v>5796.7611961364746</v>
      </c>
      <c r="E28" s="30">
        <f si="10" t="shared"/>
        <v>6.7218202475431456E-3</v>
      </c>
      <c r="F28" s="30">
        <f si="11" t="shared"/>
        <v>9.218371061244084E-3</v>
      </c>
      <c r="G28" s="6">
        <f si="12" t="shared"/>
        <v>0.72917657608761832</v>
      </c>
      <c r="H28" s="6">
        <f si="13" t="shared"/>
        <v>1</v>
      </c>
      <c r="I28" s="63">
        <f si="14" t="shared"/>
        <v>-0.32246129366732823</v>
      </c>
      <c r="L28" s="70">
        <v>19</v>
      </c>
      <c r="M28" s="73">
        <f si="9" t="shared"/>
        <v>-3.1613092691400002</v>
      </c>
      <c r="N28" s="72">
        <f si="15" t="shared"/>
        <v>-3.4837705628073286</v>
      </c>
      <c r="O28" s="73" t="str">
        <f si="16" t="shared"/>
        <v>Arrival 7-9 pm</v>
      </c>
      <c r="R28" s="88">
        <f>WorkTourTime!B36</f>
        <v>36</v>
      </c>
      <c r="S28" s="88" t="str">
        <f>WorkTourTime!C36</f>
        <v>dur=10</v>
      </c>
      <c r="T28" s="88">
        <f>VLOOKUP(R28,WorkTourTime!$B$11:$E$84,4,FALSE)</f>
        <v>-1.0182236593</v>
      </c>
      <c r="U28" s="93">
        <f si="2" t="shared"/>
        <v>-1.541649544276827</v>
      </c>
      <c r="V28">
        <f si="3" t="shared"/>
        <v>1</v>
      </c>
    </row>
    <row r="29" spans="2:22" x14ac:dyDescent="0.25">
      <c r="B29" s="23" t="s">
        <v>228</v>
      </c>
      <c r="C29" s="34">
        <f>SUM(Arrival_Time!B45:B57)+Arrival_Time!B8</f>
        <v>992.73013624848147</v>
      </c>
      <c r="D29" s="34">
        <f>SUM(Arrival_Time!I45:I57)+Arrival_Time!I8</f>
        <v>3662.0161199569702</v>
      </c>
      <c r="E29" s="35">
        <f si="10" t="shared"/>
        <v>1.7773982536167005E-3</v>
      </c>
      <c r="F29" s="35">
        <f si="11" t="shared"/>
        <v>5.8235663474493615E-3</v>
      </c>
      <c r="G29" s="22">
        <f si="12" t="shared"/>
        <v>0.30520786534786803</v>
      </c>
      <c r="H29" s="6">
        <f si="13" t="shared"/>
        <v>1</v>
      </c>
      <c r="I29" s="36">
        <f si="14" t="shared"/>
        <v>-1.193384142996734</v>
      </c>
      <c r="L29" s="74">
        <v>20</v>
      </c>
      <c r="M29" s="74">
        <f si="9" t="shared"/>
        <v>-4.1209548115799999</v>
      </c>
      <c r="N29" s="75">
        <f si="15" t="shared"/>
        <v>-5.3143389545767334</v>
      </c>
      <c r="O29" s="74" t="str">
        <f si="16" t="shared"/>
        <v>Arrival 9 pm-3 am</v>
      </c>
      <c r="R29" s="88">
        <f>WorkTourTime!B37</f>
        <v>37</v>
      </c>
      <c r="S29" s="88" t="str">
        <f>WorkTourTime!C37</f>
        <v>dur=11</v>
      </c>
      <c r="T29" s="88">
        <f>VLOOKUP(R29,WorkTourTime!$B$11:$E$84,4,FALSE)</f>
        <v>-2.1140498405399999</v>
      </c>
      <c r="U29" s="93">
        <f si="2" t="shared"/>
        <v>-2.8263169032390234</v>
      </c>
      <c r="V29">
        <f si="3" t="shared"/>
        <v>1</v>
      </c>
    </row>
    <row ht="15.75" r="30" spans="2:22" thickBot="1" x14ac:dyDescent="0.3">
      <c r="B30" s="39" t="s">
        <v>82</v>
      </c>
      <c r="C30" s="40">
        <f>SUM(C20:C29)</f>
        <v>550224.68494332314</v>
      </c>
      <c r="D30" s="40">
        <f>SUM(D20:D29)</f>
        <v>612272.94979190826</v>
      </c>
      <c r="E30" s="41">
        <f si="10" t="shared"/>
        <v>0.98513015612762178</v>
      </c>
      <c r="F30" s="41">
        <f si="11" t="shared"/>
        <v>0.97367461776864228</v>
      </c>
      <c r="G30" s="42">
        <f si="12" t="shared"/>
        <v>1.0117652634154437</v>
      </c>
      <c r="H30" s="42"/>
      <c r="I30" s="1"/>
      <c r="R30" s="88">
        <f>WorkTourTime!B38</f>
        <v>38</v>
      </c>
      <c r="S30" s="88" t="str">
        <f>WorkTourTime!C38</f>
        <v>dur12-13</v>
      </c>
      <c r="T30" s="88">
        <f>VLOOKUP(R30,WorkTourTime!$B$11:$E$84,4,FALSE)</f>
        <v>-3.34290713603</v>
      </c>
      <c r="U30" s="93">
        <f si="2" t="shared"/>
        <v>-4.0775820744919722</v>
      </c>
      <c r="V30">
        <f si="3" t="shared"/>
        <v>1</v>
      </c>
    </row>
    <row r="31" spans="2:22" x14ac:dyDescent="0.25">
      <c r="R31" s="88">
        <f>WorkTourTime!B39</f>
        <v>39</v>
      </c>
      <c r="S31" s="88" t="str">
        <f>WorkTourTime!C39</f>
        <v>dur14-17</v>
      </c>
      <c r="T31" s="88">
        <f>VLOOKUP(R31,WorkTourTime!$B$11:$E$84,4,FALSE)</f>
        <v>-6.0292706169499999</v>
      </c>
      <c r="U31" s="93">
        <f si="2" t="shared"/>
        <v>-6.9097883466006929</v>
      </c>
      <c r="V31">
        <f si="3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WorkTourTime!B40</f>
        <v>40</v>
      </c>
      <c r="S32" s="88" t="str">
        <f>WorkTourTime!C40</f>
        <v>dur18-23</v>
      </c>
      <c r="T32" s="88">
        <f>VLOOKUP(R32,WorkTourTime!$B$11:$E$84,4,FALSE)</f>
        <v>-9.4983340385999995</v>
      </c>
      <c r="U32" s="93">
        <f si="2" t="shared"/>
        <v>-13.725841015908768</v>
      </c>
      <c r="V32">
        <f si="3" t="shared"/>
        <v>1</v>
      </c>
    </row>
    <row ht="15.75" r="33" spans="2:22" thickBot="1" x14ac:dyDescent="0.3">
      <c r="B33" s="37" t="s">
        <v>218</v>
      </c>
      <c r="C33" s="1"/>
      <c r="D33" s="1"/>
      <c r="E33" s="1" t="s">
        <v>86</v>
      </c>
      <c r="F33" s="38">
        <v>1</v>
      </c>
      <c r="G33" s="1"/>
      <c r="H33" s="1"/>
      <c r="I33" s="1"/>
      <c r="M33" s="76"/>
      <c r="N33" s="76"/>
      <c r="O33" s="76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93">
        <f si="2" t="shared"/>
        <v>4.0037136956699998E-2</v>
      </c>
      <c r="V33">
        <f si="3" t="shared"/>
        <v>0</v>
      </c>
    </row>
    <row ht="15.75" r="34" spans="2:22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93">
        <f si="2" t="shared"/>
        <v>-2.9029788634599998E-2</v>
      </c>
      <c r="V34">
        <f si="3" t="shared"/>
        <v>0</v>
      </c>
    </row>
    <row r="35" spans="2:22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67" t="s">
        <v>89</v>
      </c>
      <c r="N35" s="68" t="s">
        <v>91</v>
      </c>
      <c r="O35" s="89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93">
        <f si="2" t="shared"/>
        <v>6.0083727421699998E-2</v>
      </c>
      <c r="V35">
        <f si="3" t="shared"/>
        <v>0</v>
      </c>
    </row>
    <row r="36" spans="2:22" x14ac:dyDescent="0.25">
      <c r="B36" t="s">
        <v>62</v>
      </c>
      <c r="C36" s="29">
        <f>SUM(Duration!B8:B13)</f>
        <v>70762.432192869994</v>
      </c>
      <c r="D36" s="29">
        <f>SUM(Duration!I7:I12)</f>
        <v>53242.396975517273</v>
      </c>
      <c r="E36" s="30">
        <f ref="E36:E46" si="17" t="shared">C36/C$46</f>
        <v>0.12836547005849036</v>
      </c>
      <c r="F36" s="30">
        <f ref="F36:F46" si="18" t="shared">D36/D$46</f>
        <v>8.6610247171724913E-2</v>
      </c>
      <c r="G36" s="6">
        <f>E36/F36</f>
        <v>1.4821048807767057</v>
      </c>
      <c r="H36" s="6">
        <f>$F$33</f>
        <v>1</v>
      </c>
      <c r="I36" s="62">
        <f ref="I36:I45" si="19" t="shared">H36*(LN(G36)-LN($G$39))</f>
        <v>0.17377549261106479</v>
      </c>
      <c r="L36">
        <v>31</v>
      </c>
      <c r="M36" s="71">
        <f ref="M36:M45" si="20" t="shared">VLOOKUP(L36,$R$3:$U$64,3,FALSE)</f>
        <v>0.84759598521799995</v>
      </c>
      <c r="N36" s="72">
        <f>I36+M36</f>
        <v>1.0213714778290648</v>
      </c>
      <c r="O36" s="73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93">
        <f si="2" t="shared"/>
        <v>-0.13634249725200001</v>
      </c>
      <c r="V36">
        <f si="3" t="shared"/>
        <v>0</v>
      </c>
    </row>
    <row r="37" spans="2:22" x14ac:dyDescent="0.25">
      <c r="B37" t="s">
        <v>63</v>
      </c>
      <c r="C37" s="29">
        <f>SUM(Duration!B14:B17)</f>
        <v>49949.548766704611</v>
      </c>
      <c r="D37" s="29">
        <f>SUM(Duration!I13:I16)</f>
        <v>57189.743845939636</v>
      </c>
      <c r="E37" s="30">
        <f si="17" t="shared"/>
        <v>9.0610188315341372E-2</v>
      </c>
      <c r="F37" s="30">
        <f si="18" t="shared"/>
        <v>9.3031458603603609E-2</v>
      </c>
      <c r="G37" s="6">
        <f ref="G37:G46" si="21" t="shared">E37/F37</f>
        <v>0.97397363940536508</v>
      </c>
      <c r="H37" s="6">
        <f ref="H37:H45" si="22" t="shared">$F$33</f>
        <v>1</v>
      </c>
      <c r="I37" s="63">
        <f si="19" t="shared"/>
        <v>-0.24605884148501628</v>
      </c>
      <c r="L37" s="5">
        <v>32</v>
      </c>
      <c r="M37" s="73">
        <f si="20" t="shared"/>
        <v>1.0480844517200001</v>
      </c>
      <c r="N37" s="72">
        <f ref="N37:N45" si="23" t="shared">I37+M37</f>
        <v>0.80202561023498387</v>
      </c>
      <c r="O37" s="73" t="str">
        <f ref="O37:O45" si="24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93">
        <f si="2" t="shared"/>
        <v>0.103738819739</v>
      </c>
      <c r="V37">
        <f si="3" t="shared"/>
        <v>0</v>
      </c>
    </row>
    <row r="38" spans="2:22" x14ac:dyDescent="0.25">
      <c r="B38" t="s">
        <v>64</v>
      </c>
      <c r="C38" s="29">
        <f>SUM(Duration!B18:B21)</f>
        <v>70461.152582468902</v>
      </c>
      <c r="D38" s="29">
        <f>SUM(Duration!I17:I20)</f>
        <v>72531.96332359314</v>
      </c>
      <c r="E38" s="30">
        <f si="17" t="shared"/>
        <v>0.12781893855003731</v>
      </c>
      <c r="F38" s="30">
        <f si="18" t="shared"/>
        <v>0.11798888908393018</v>
      </c>
      <c r="G38" s="6">
        <f si="21" t="shared"/>
        <v>1.0833133487604467</v>
      </c>
      <c r="H38" s="6">
        <f si="22" t="shared"/>
        <v>1</v>
      </c>
      <c r="I38" s="63">
        <f si="19" t="shared"/>
        <v>-0.13966354130829778</v>
      </c>
      <c r="L38" s="5">
        <v>33</v>
      </c>
      <c r="M38" s="73">
        <f si="20" t="shared"/>
        <v>0.47835839518399997</v>
      </c>
      <c r="N38" s="72">
        <f si="23" t="shared"/>
        <v>0.3386948538757022</v>
      </c>
      <c r="O38" s="73" t="str">
        <f si="24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93">
        <f si="2" t="shared"/>
        <v>1.35703205954E-2</v>
      </c>
      <c r="V38">
        <f si="3" t="shared"/>
        <v>0</v>
      </c>
    </row>
    <row r="39" spans="2:22" x14ac:dyDescent="0.25">
      <c r="B39" t="s">
        <v>65</v>
      </c>
      <c r="C39" s="29">
        <f>SUM(Duration!B22:B25)</f>
        <v>159876.11734589547</v>
      </c>
      <c r="D39" s="29">
        <f>SUM(Duration!I21:I24)</f>
        <v>143122.58700656891</v>
      </c>
      <c r="E39" s="30">
        <f si="17" t="shared"/>
        <v>0.29002074007710671</v>
      </c>
      <c r="F39" s="30">
        <f si="18" t="shared"/>
        <v>0.23281977034572091</v>
      </c>
      <c r="G39" s="6">
        <f si="21" t="shared"/>
        <v>1.2456877680381113</v>
      </c>
      <c r="H39" s="6">
        <f si="22" t="shared"/>
        <v>1</v>
      </c>
      <c r="I39" s="63">
        <f si="19" t="shared"/>
        <v>0</v>
      </c>
      <c r="L39" s="5">
        <v>34</v>
      </c>
      <c r="M39" s="73">
        <f si="20" t="shared"/>
        <v>0.615781103351</v>
      </c>
      <c r="N39" s="72">
        <f si="23" t="shared"/>
        <v>0.615781103351</v>
      </c>
      <c r="O39" s="73" t="str">
        <f si="24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93">
        <f si="2" t="shared"/>
        <v>0.19068824550399999</v>
      </c>
      <c r="V39">
        <f si="3" t="shared"/>
        <v>0</v>
      </c>
    </row>
    <row r="40" spans="2:22" x14ac:dyDescent="0.25">
      <c r="B40" t="s">
        <v>66</v>
      </c>
      <c r="C40" s="29">
        <f>SUM(Duration!B26:B27)</f>
        <v>90442.340609719977</v>
      </c>
      <c r="D40" s="29">
        <f>SUM(Duration!I25:I26)</f>
        <v>104751.98398685455</v>
      </c>
      <c r="E40" s="30">
        <f si="17" t="shared"/>
        <v>0.16406549641925089</v>
      </c>
      <c r="F40" s="30">
        <f si="18" t="shared"/>
        <v>0.17040170503596863</v>
      </c>
      <c r="G40" s="6">
        <f si="21" t="shared"/>
        <v>0.96281604919751074</v>
      </c>
      <c r="H40" s="6">
        <f si="22" t="shared"/>
        <v>1</v>
      </c>
      <c r="I40" s="63">
        <f si="19" t="shared"/>
        <v>-0.25758070543048711</v>
      </c>
      <c r="L40" s="5">
        <v>35</v>
      </c>
      <c r="M40" s="73">
        <f si="20" t="shared"/>
        <v>0</v>
      </c>
      <c r="N40" s="72">
        <f si="23" t="shared"/>
        <v>-0.25758070543048711</v>
      </c>
      <c r="O40" s="73" t="str">
        <f si="24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93">
        <f si="2" t="shared"/>
        <v>-4.7658902528499997E-2</v>
      </c>
      <c r="V40">
        <f si="3" t="shared"/>
        <v>0</v>
      </c>
    </row>
    <row r="41" spans="2:22" x14ac:dyDescent="0.25">
      <c r="B41" t="s">
        <v>67</v>
      </c>
      <c r="C41" s="29">
        <f>SUM(Duration!B28:B29)</f>
        <v>59682.950360611001</v>
      </c>
      <c r="D41" s="29">
        <f>SUM(Duration!I27:I28)</f>
        <v>90177.012302398682</v>
      </c>
      <c r="E41" s="30">
        <f si="17" t="shared"/>
        <v>0.10826691141191895</v>
      </c>
      <c r="F41" s="30">
        <f si="18" t="shared"/>
        <v>0.14669236864579663</v>
      </c>
      <c r="G41" s="6">
        <f si="21" t="shared"/>
        <v>0.73805414972431338</v>
      </c>
      <c r="H41" s="6">
        <f si="22" t="shared"/>
        <v>1</v>
      </c>
      <c r="I41" s="63">
        <f si="19" t="shared"/>
        <v>-0.52342588497682696</v>
      </c>
      <c r="L41" s="5">
        <v>36</v>
      </c>
      <c r="M41" s="73">
        <f si="20" t="shared"/>
        <v>-1.0182236593</v>
      </c>
      <c r="N41" s="72">
        <f si="23" t="shared"/>
        <v>-1.541649544276827</v>
      </c>
      <c r="O41" s="73" t="str">
        <f si="24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93">
        <f si="2" t="shared"/>
        <v>1.74365636267E-2</v>
      </c>
      <c r="V41">
        <f si="3" t="shared"/>
        <v>0</v>
      </c>
    </row>
    <row r="42" spans="2:22" x14ac:dyDescent="0.25">
      <c r="B42" t="s">
        <v>68</v>
      </c>
      <c r="C42" s="29">
        <f>SUM(Duration!B30:B31)</f>
        <v>29079.105600208655</v>
      </c>
      <c r="D42" s="29">
        <f>SUM(Duration!I29:I30)</f>
        <v>53068.802096366882</v>
      </c>
      <c r="E42" s="30">
        <f si="17" t="shared"/>
        <v>5.2750491236328287E-2</v>
      </c>
      <c r="F42" s="30">
        <f si="18" t="shared"/>
        <v>8.6327857642983841E-2</v>
      </c>
      <c r="G42" s="6">
        <f si="21" t="shared"/>
        <v>0.61104830672947319</v>
      </c>
      <c r="H42" s="6">
        <f si="22" t="shared"/>
        <v>1</v>
      </c>
      <c r="I42" s="63">
        <f si="19" t="shared"/>
        <v>-0.71226706269902351</v>
      </c>
      <c r="L42" s="5">
        <v>37</v>
      </c>
      <c r="M42" s="73">
        <f si="20" t="shared"/>
        <v>-2.1140498405399999</v>
      </c>
      <c r="N42" s="72">
        <f si="23" t="shared"/>
        <v>-2.8263169032390234</v>
      </c>
      <c r="O42" s="73" t="str">
        <f si="24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93">
        <f si="2" t="shared"/>
        <v>-1.1076555783700001E-2</v>
      </c>
      <c r="V42">
        <f si="3" t="shared"/>
        <v>0</v>
      </c>
    </row>
    <row r="43" spans="2:22" x14ac:dyDescent="0.25">
      <c r="B43" t="s">
        <v>69</v>
      </c>
      <c r="C43" s="29">
        <f>SUM(Duration!B32:B35)</f>
        <v>17550.926580221807</v>
      </c>
      <c r="D43" s="29">
        <f>SUM(Duration!I31:I34)</f>
        <v>32755.927879333496</v>
      </c>
      <c r="E43" s="30">
        <f si="17" t="shared"/>
        <v>3.1837980558548834E-2</v>
      </c>
      <c r="F43" s="30">
        <f si="18" t="shared"/>
        <v>5.3284584675495003E-2</v>
      </c>
      <c r="G43" s="6">
        <f si="21" t="shared"/>
        <v>0.59750828034868353</v>
      </c>
      <c r="H43" s="6">
        <f si="22" t="shared"/>
        <v>1</v>
      </c>
      <c r="I43" s="63">
        <f si="19" t="shared"/>
        <v>-0.73467493846197196</v>
      </c>
      <c r="L43" s="5">
        <v>38</v>
      </c>
      <c r="M43" s="73">
        <f si="20" t="shared"/>
        <v>-3.34290713603</v>
      </c>
      <c r="N43" s="72">
        <f si="23" t="shared"/>
        <v>-4.0775820744919722</v>
      </c>
      <c r="O43" s="73" t="str">
        <f si="24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93">
        <f si="2" t="shared"/>
        <v>-4.5799393531799999E-3</v>
      </c>
      <c r="V43">
        <f si="3" t="shared"/>
        <v>0</v>
      </c>
    </row>
    <row r="44" spans="2:22" x14ac:dyDescent="0.25">
      <c r="B44" t="s">
        <v>90</v>
      </c>
      <c r="C44" s="29">
        <f>SUM(Duration!B36:B43)</f>
        <v>3445.5446820623129</v>
      </c>
      <c r="D44" s="29">
        <f>SUM(Duration!I35:I42)</f>
        <v>7440.2317361831665</v>
      </c>
      <c r="E44" s="30">
        <f si="17" t="shared"/>
        <v>6.250335792796922E-3</v>
      </c>
      <c r="F44" s="30">
        <f si="18" t="shared"/>
        <v>1.2103142350673167E-2</v>
      </c>
      <c r="G44" s="6">
        <f si="21" t="shared"/>
        <v>0.51642256297591038</v>
      </c>
      <c r="H44" s="6">
        <f si="22" t="shared"/>
        <v>1</v>
      </c>
      <c r="I44" s="63">
        <f si="19" t="shared"/>
        <v>-0.88051772965069275</v>
      </c>
      <c r="L44" s="5">
        <v>39</v>
      </c>
      <c r="M44" s="73">
        <f si="20" t="shared"/>
        <v>-6.0292706169499999</v>
      </c>
      <c r="N44" s="72">
        <f si="23" t="shared"/>
        <v>-6.9097883466006929</v>
      </c>
      <c r="O44" s="73" t="str">
        <f si="24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93">
        <f si="2" t="shared"/>
        <v>1.7562242850300001E-3</v>
      </c>
      <c r="V44">
        <f si="3" t="shared"/>
        <v>0</v>
      </c>
    </row>
    <row r="45" spans="2:22" x14ac:dyDescent="0.25">
      <c r="B45" s="23" t="s">
        <v>70</v>
      </c>
      <c r="C45" s="34">
        <f>SUM(Duration!B44:B55)</f>
        <v>7.4130798587865847</v>
      </c>
      <c r="D45" s="34">
        <f>SUM(Duration!I43:I54)</f>
        <v>454.88981819152832</v>
      </c>
      <c r="E45" s="35">
        <f si="17" t="shared"/>
        <v>1.3447580180124851E-5</v>
      </c>
      <c r="F45" s="35">
        <f si="18" t="shared"/>
        <v>7.3997644410310666E-4</v>
      </c>
      <c r="G45" s="22">
        <f si="21" t="shared"/>
        <v>1.8172984136574886E-2</v>
      </c>
      <c r="H45" s="22">
        <f si="22" t="shared"/>
        <v>1</v>
      </c>
      <c r="I45" s="36">
        <f si="19" t="shared"/>
        <v>-4.227506977308769</v>
      </c>
      <c r="L45" s="23">
        <v>40</v>
      </c>
      <c r="M45" s="74">
        <f si="20" t="shared"/>
        <v>-9.4983340385999995</v>
      </c>
      <c r="N45" s="75">
        <f si="23" t="shared"/>
        <v>-13.725841015908768</v>
      </c>
      <c r="O45" s="74" t="str">
        <f si="24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93">
        <f si="2" t="shared"/>
        <v>1.4622136722300001</v>
      </c>
      <c r="V45">
        <f si="3" t="shared"/>
        <v>0</v>
      </c>
    </row>
    <row ht="15.75" r="46" spans="2:22" thickBot="1" x14ac:dyDescent="0.3">
      <c r="B46" s="3" t="s">
        <v>82</v>
      </c>
      <c r="C46" s="44">
        <f>SUM(C36:C45)</f>
        <v>551257.53180062165</v>
      </c>
      <c r="D46" s="44">
        <f>SUM(D36:D45)</f>
        <v>614735.53897094727</v>
      </c>
      <c r="E46" s="45">
        <f si="17" t="shared"/>
        <v>1</v>
      </c>
      <c r="F46" s="45">
        <f si="18" t="shared"/>
        <v>1</v>
      </c>
      <c r="G46" s="46">
        <f si="21" t="shared"/>
        <v>1</v>
      </c>
      <c r="H46" s="46"/>
      <c r="I46" s="1"/>
      <c r="M46" s="76"/>
      <c r="N46" s="76"/>
      <c r="O46" s="76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93">
        <f si="2" t="shared"/>
        <v>0.24430192177099999</v>
      </c>
      <c r="V46">
        <f si="3" t="shared"/>
        <v>0</v>
      </c>
    </row>
    <row r="47" spans="2:22" x14ac:dyDescent="0.25">
      <c r="M47" s="76"/>
      <c r="N47" s="76"/>
      <c r="O47" s="76"/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93">
        <f si="2" t="shared"/>
        <v>3.9458577753300004E-3</v>
      </c>
      <c r="V47">
        <f si="3" t="shared"/>
        <v>0</v>
      </c>
    </row>
    <row r="48" spans="2:22" x14ac:dyDescent="0.25"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93">
        <f si="2" t="shared"/>
        <v>-4.5842264627900003E-2</v>
      </c>
      <c r="V48">
        <f si="3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93">
        <f si="2" t="shared"/>
        <v>-6.5425870724599995E-4</v>
      </c>
      <c r="V49">
        <f si="3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93">
        <f si="2" t="shared"/>
        <v>-4.2823263761100003E-2</v>
      </c>
      <c r="V50">
        <f si="3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93">
        <f si="2" t="shared"/>
        <v>-1.43005534112E-2</v>
      </c>
      <c r="V51">
        <f si="3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93">
        <f si="2" t="shared"/>
        <v>4.5097327600000001E-2</v>
      </c>
      <c r="V52">
        <f si="3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93">
        <f si="2" t="shared"/>
        <v>1.3563955105100001E-2</v>
      </c>
      <c r="V53">
        <f si="3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93">
        <f si="2" t="shared"/>
        <v>0.16495387210699999</v>
      </c>
      <c r="V54">
        <f si="3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93">
        <f si="2" t="shared"/>
        <v>-1.2851468616399999</v>
      </c>
      <c r="V55">
        <f si="3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93">
        <f si="2" t="shared"/>
        <v>-0.473472396189</v>
      </c>
      <c r="V56">
        <f si="3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93">
        <f si="2" t="shared"/>
        <v>-0.81108460731200005</v>
      </c>
      <c r="V57">
        <f si="3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93">
        <f si="2" t="shared"/>
        <v>2.0980899153400001</v>
      </c>
      <c r="V58">
        <f si="3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93">
        <f si="2" t="shared"/>
        <v>5</v>
      </c>
      <c r="V59">
        <f si="3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93">
        <f si="2" t="shared"/>
        <v>-0.64054936577699995</v>
      </c>
      <c r="V60">
        <f si="3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93">
        <f si="2" t="shared"/>
        <v>0.5</v>
      </c>
      <c r="V61">
        <f si="3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93">
        <f si="2" t="shared"/>
        <v>0.5</v>
      </c>
      <c r="V62">
        <f si="3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93">
        <f si="2" t="shared"/>
        <v>0.5</v>
      </c>
      <c r="V63">
        <f si="3" t="shared"/>
        <v>0</v>
      </c>
    </row>
    <row r="64" spans="2:22" x14ac:dyDescent="0.2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93">
        <f si="2" t="shared"/>
        <v>0.5</v>
      </c>
      <c r="V64">
        <f si="3" t="shared"/>
        <v>0</v>
      </c>
    </row>
    <row r="65" spans="18:22" x14ac:dyDescent="0.2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93">
        <f si="2" t="shared"/>
        <v>-2.9770165213499999</v>
      </c>
      <c r="V65">
        <f si="3" t="shared"/>
        <v>0</v>
      </c>
    </row>
    <row r="66" spans="18:22" x14ac:dyDescent="0.2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93">
        <f si="2" t="shared"/>
        <v>3.1461924511900001</v>
      </c>
      <c r="V66">
        <f si="3" t="shared"/>
        <v>0</v>
      </c>
    </row>
    <row r="67" spans="18:22" x14ac:dyDescent="0.2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93">
        <f si="2" t="shared"/>
        <v>5</v>
      </c>
      <c r="V67">
        <f si="3" t="shared"/>
        <v>0</v>
      </c>
    </row>
    <row r="68" spans="18:22" x14ac:dyDescent="0.2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93">
        <f ref="U68:U76" si="25" t="shared">_xlfn.IFNA(VLOOKUP(R68,$L$3:$N$45,3,FALSE),T68)</f>
        <v>-0.240163130498</v>
      </c>
      <c r="V68">
        <f ref="V68:V76" si="26" t="shared">IF(T68=U68,0,1)</f>
        <v>0</v>
      </c>
    </row>
    <row r="69" spans="18:22" x14ac:dyDescent="0.2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93">
        <f si="25" t="shared"/>
        <v>-0.24977007544900001</v>
      </c>
      <c r="V69">
        <f si="26" t="shared"/>
        <v>0</v>
      </c>
    </row>
    <row r="70" spans="18:22" x14ac:dyDescent="0.2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93">
        <f si="25" t="shared"/>
        <v>-1.72821922101</v>
      </c>
      <c r="V70">
        <f si="26" t="shared"/>
        <v>0</v>
      </c>
    </row>
    <row r="71" spans="18:22" x14ac:dyDescent="0.2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93">
        <f si="25" t="shared"/>
        <v>1.9500749384399999E-2</v>
      </c>
      <c r="V71">
        <f si="26" t="shared"/>
        <v>0</v>
      </c>
    </row>
    <row r="72" spans="18:22" x14ac:dyDescent="0.2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93">
        <f si="25" t="shared"/>
        <v>-100.45727126200001</v>
      </c>
      <c r="V72">
        <f si="26" t="shared"/>
        <v>0</v>
      </c>
    </row>
    <row r="73" spans="18:22" x14ac:dyDescent="0.2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93">
        <f si="25" t="shared"/>
        <v>-23.747958025900001</v>
      </c>
      <c r="V73">
        <f si="26" t="shared"/>
        <v>0</v>
      </c>
    </row>
    <row r="74" spans="18:22" x14ac:dyDescent="0.2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93">
        <f si="25" t="shared"/>
        <v>-0.58740415466499996</v>
      </c>
      <c r="V74">
        <f si="26" t="shared"/>
        <v>0</v>
      </c>
    </row>
    <row r="75" spans="18:22" x14ac:dyDescent="0.2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93">
        <f si="25" t="shared"/>
        <v>-0.99452973540199996</v>
      </c>
      <c r="V75">
        <f si="26" t="shared"/>
        <v>0</v>
      </c>
    </row>
    <row r="76" spans="18:22" x14ac:dyDescent="0.2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93">
        <f si="25" t="shared"/>
        <v>-0.12591233227500001</v>
      </c>
      <c r="V76">
        <f si="26" t="shared"/>
        <v>0</v>
      </c>
    </row>
    <row r="77" spans="18:22" x14ac:dyDescent="0.25">
      <c r="R77">
        <f>WorkTourTime!B85</f>
        <v>-1</v>
      </c>
      <c r="S77" s="88"/>
      <c r="T77" s="88"/>
      <c r="U77" s="97"/>
      <c r="V77" s="88"/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conditionalFormatting sqref="V3:V7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65"/>
  <sheetViews>
    <sheetView topLeftCell="B56" workbookViewId="0">
      <selection activeCell="E91" sqref="E91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5.42578125" collapsed="true"/>
  </cols>
  <sheetData>
    <row ht="15.75" r="1" spans="2:22" thickBot="1" x14ac:dyDescent="0.3">
      <c r="B1" s="37" t="s">
        <v>71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172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SchoolTourTime!B11</f>
        <v>11</v>
      </c>
      <c r="S3" s="66" t="str">
        <f>SchoolTourTime!C11</f>
        <v>arr3-5</v>
      </c>
      <c r="T3" s="66">
        <f>VLOOKUP(R3,SchoolTourTime!$B$11:$E$72,4,FALSE)</f>
        <v>-10</v>
      </c>
      <c r="U3" s="93">
        <f>_xlfn.IFNA(VLOOKUP(R3,$L$3:$N$46,3,FALSE),T3)</f>
        <v>-9.5554786431254026</v>
      </c>
      <c r="V3">
        <f>IF(T3=U3,0,1)</f>
        <v>1</v>
      </c>
    </row>
    <row r="4" spans="2:22" x14ac:dyDescent="0.25">
      <c r="B4" t="s">
        <v>73</v>
      </c>
      <c r="C4" s="29">
        <f>SUM(Departure_Time!C9:C16)</f>
        <v>100.05900502916145</v>
      </c>
      <c r="D4" s="29">
        <f>SUM(Departure_Time!J9:J16)</f>
        <v>497.03066635131836</v>
      </c>
      <c r="E4" s="30">
        <f>C4/C$14</f>
        <v>4.5288338980086282E-4</v>
      </c>
      <c r="F4" s="30">
        <f>D4/D$14</f>
        <v>2.3403867042121932E-3</v>
      </c>
      <c r="G4" s="6">
        <f>E4/F4</f>
        <v>0.19350793139687986</v>
      </c>
      <c r="H4" s="6">
        <f ref="H4:H13" si="0" t="shared">$F$1</f>
        <v>1</v>
      </c>
      <c r="I4" s="31">
        <f>H4*(LN(G4)-LN($G$8))</f>
        <v>-1.9366064005268329</v>
      </c>
      <c r="L4" s="70">
        <v>21</v>
      </c>
      <c r="M4" s="71">
        <f>VLOOKUP(L4,$R$3:$U$64,3,FALSE)</f>
        <v>-10</v>
      </c>
      <c r="N4" s="72">
        <f>I4+M4</f>
        <v>-11.936606400526832</v>
      </c>
      <c r="O4" s="70" t="str">
        <f>CONCATENATE("Departure ",B4)</f>
        <v>Departure 3-7 am</v>
      </c>
      <c r="R4" s="66">
        <f>SchoolTourTime!B12</f>
        <v>12</v>
      </c>
      <c r="S4" s="66" t="str">
        <f>SchoolTourTime!C12</f>
        <v>arr=6</v>
      </c>
      <c r="T4" s="66">
        <f>VLOOKUP(R4,SchoolTourTime!$B$11:$E$72,4,FALSE)</f>
        <v>-3.25373144395</v>
      </c>
      <c r="U4" s="93">
        <f ref="U4:U64" si="1" t="shared">_xlfn.IFNA(VLOOKUP(R4,$L$3:$N$46,3,FALSE),T4)</f>
        <v>-2.905277285565333</v>
      </c>
      <c r="V4">
        <f ref="V4:V64" si="2" t="shared">IF(T4=U4,0,1)</f>
        <v>1</v>
      </c>
    </row>
    <row r="5" spans="2:22" x14ac:dyDescent="0.25">
      <c r="B5" t="s">
        <v>74</v>
      </c>
      <c r="C5" s="29">
        <f>SUM(Departure_Time!C17:C22)</f>
        <v>1923.3589021759913</v>
      </c>
      <c r="D5" s="29">
        <f>SUM(Departure_Time!J17:J22)</f>
        <v>5065.7066946029663</v>
      </c>
      <c r="E5" s="30">
        <f ref="E5:E14" si="3" t="shared">C5/C$14</f>
        <v>8.7054363489549574E-3</v>
      </c>
      <c r="F5" s="30">
        <f ref="F5:F14" si="4" t="shared">D5/D$14</f>
        <v>2.3853080701277E-2</v>
      </c>
      <c r="G5" s="6">
        <f ref="G5:G14" si="5" t="shared">E5/F5</f>
        <v>0.36496067145276134</v>
      </c>
      <c r="H5" s="6">
        <f si="0" t="shared"/>
        <v>1</v>
      </c>
      <c r="I5" s="31">
        <f ref="I5:I13" si="6" t="shared">H5*(LN(G5)-LN($G$8))</f>
        <v>-1.3021353029551863</v>
      </c>
      <c r="L5" s="70">
        <v>22</v>
      </c>
      <c r="M5" s="73">
        <f ref="M5:M13" si="7" t="shared">VLOOKUP(L5,$R$3:$U$64,3,FALSE)</f>
        <v>-0.70079802289699999</v>
      </c>
      <c r="N5" s="72">
        <f ref="N5:N13" si="8" t="shared">I5+M5</f>
        <v>-2.0029333258521862</v>
      </c>
      <c r="O5" s="70" t="str">
        <f ref="O5:O13" si="9" t="shared">CONCATENATE("Departure ",B5)</f>
        <v>Departure 7-10 am</v>
      </c>
      <c r="R5" s="66">
        <f>SchoolTourTime!B13</f>
        <v>13</v>
      </c>
      <c r="S5" s="66" t="str">
        <f>SchoolTourTime!C13</f>
        <v>arr=7</v>
      </c>
      <c r="T5" s="66">
        <f>VLOOKUP(R5,SchoolTourTime!$B$11:$E$72,4,FALSE)</f>
        <v>-0.21597678247800001</v>
      </c>
      <c r="U5" s="93">
        <f si="1" t="shared"/>
        <v>-8.5810422515265883E-3</v>
      </c>
      <c r="V5">
        <f si="2" t="shared"/>
        <v>1</v>
      </c>
    </row>
    <row r="6" spans="2:22" x14ac:dyDescent="0.25">
      <c r="B6" t="s">
        <v>75</v>
      </c>
      <c r="C6" s="29">
        <f>SUM(Departure_Time!C23:C28)</f>
        <v>15497.248682641391</v>
      </c>
      <c r="D6" s="29">
        <f>SUM(Departure_Time!J23:J28)</f>
        <v>32159.982964515686</v>
      </c>
      <c r="E6" s="30">
        <f si="3" t="shared"/>
        <v>7.0143077216649474E-2</v>
      </c>
      <c r="F6" s="30">
        <f si="4" t="shared"/>
        <v>0.15143290270271167</v>
      </c>
      <c r="G6" s="6">
        <f si="5" t="shared"/>
        <v>0.46319575181327777</v>
      </c>
      <c r="H6" s="6">
        <f si="0" t="shared"/>
        <v>1</v>
      </c>
      <c r="I6" s="31">
        <f si="6" t="shared"/>
        <v>-1.0637751464586414</v>
      </c>
      <c r="L6" s="70">
        <v>23</v>
      </c>
      <c r="M6" s="73">
        <f si="7" t="shared"/>
        <v>0.90244483450400004</v>
      </c>
      <c r="N6" s="72">
        <f si="8" t="shared"/>
        <v>-0.16133031195464131</v>
      </c>
      <c r="O6" s="70" t="str">
        <f si="9" t="shared"/>
        <v>Departure 10 am - 1 pm</v>
      </c>
      <c r="R6" s="66">
        <f>SchoolTourTime!B14</f>
        <v>14</v>
      </c>
      <c r="S6" s="66" t="str">
        <f>SchoolTourTime!C14</f>
        <v>arr=8</v>
      </c>
      <c r="T6" s="66">
        <f>VLOOKUP(R6,SchoolTourTime!$B$11:$E$72,4,FALSE)</f>
        <v>0</v>
      </c>
      <c r="U6" s="93">
        <f si="1" t="shared"/>
        <v>0</v>
      </c>
      <c r="V6">
        <f si="2" t="shared"/>
        <v>0</v>
      </c>
    </row>
    <row r="7" spans="2:22" x14ac:dyDescent="0.25">
      <c r="B7" t="s">
        <v>76</v>
      </c>
      <c r="C7" s="29">
        <f>SUM(Departure_Time!C29:C32)</f>
        <v>71701.81652485751</v>
      </c>
      <c r="D7" s="29">
        <f>SUM(Departure_Time!J29:J32)</f>
        <v>66136.953990936279</v>
      </c>
      <c r="E7" s="30">
        <f si="3" t="shared"/>
        <v>0.32453412577101987</v>
      </c>
      <c r="F7" s="30">
        <f si="4" t="shared"/>
        <v>0.31142152437747717</v>
      </c>
      <c r="G7" s="6">
        <f si="5" t="shared"/>
        <v>1.0421056361462311</v>
      </c>
      <c r="H7" s="6">
        <f si="0" t="shared"/>
        <v>1</v>
      </c>
      <c r="I7" s="31">
        <f si="6" t="shared"/>
        <v>-0.25292630585357734</v>
      </c>
      <c r="L7" s="70">
        <v>24</v>
      </c>
      <c r="M7" s="73">
        <f si="7" t="shared"/>
        <v>1.61170533928</v>
      </c>
      <c r="N7" s="72">
        <f si="8" t="shared"/>
        <v>1.3587790334264227</v>
      </c>
      <c r="O7" s="70" t="str">
        <f si="9" t="shared"/>
        <v>Departure 1-3 pm</v>
      </c>
      <c r="R7" s="66">
        <f>SchoolTourTime!B15</f>
        <v>15</v>
      </c>
      <c r="S7" s="66" t="str">
        <f>SchoolTourTime!C15</f>
        <v>arr=9</v>
      </c>
      <c r="T7" s="66">
        <f>VLOOKUP(R7,SchoolTourTime!$B$11:$E$72,4,FALSE)</f>
        <v>-1.2614952667399999</v>
      </c>
      <c r="U7" s="93">
        <f si="1" t="shared"/>
        <v>-1.5478958621411336</v>
      </c>
      <c r="V7">
        <f si="2" t="shared"/>
        <v>1</v>
      </c>
    </row>
    <row r="8" spans="2:22" x14ac:dyDescent="0.25">
      <c r="B8" t="s">
        <v>173</v>
      </c>
      <c r="C8" s="29">
        <f>SUM(Departure_Time!C33:C36)</f>
        <v>95288.635054747312</v>
      </c>
      <c r="D8" s="29">
        <f>SUM(Departure_Time!J33:J36)</f>
        <v>68251.254405021667</v>
      </c>
      <c r="E8" s="30">
        <f si="3" t="shared"/>
        <v>0.43129191660974631</v>
      </c>
      <c r="F8" s="30">
        <f si="4" t="shared"/>
        <v>0.3213772090320296</v>
      </c>
      <c r="G8" s="6">
        <f si="5" t="shared"/>
        <v>1.342011519450224</v>
      </c>
      <c r="H8" s="6">
        <f si="0" t="shared"/>
        <v>1</v>
      </c>
      <c r="I8" s="31">
        <f si="6" t="shared"/>
        <v>0</v>
      </c>
      <c r="L8" s="70">
        <v>25</v>
      </c>
      <c r="M8" s="73">
        <f si="7" t="shared"/>
        <v>0</v>
      </c>
      <c r="N8" s="72">
        <f si="8" t="shared"/>
        <v>0</v>
      </c>
      <c r="O8" s="70" t="str">
        <f si="9" t="shared"/>
        <v>Departure 3-5 pm</v>
      </c>
      <c r="R8" s="66">
        <f>SchoolTourTime!B16</f>
        <v>16</v>
      </c>
      <c r="S8" s="66" t="str">
        <f>SchoolTourTime!C16</f>
        <v>arr10-12</v>
      </c>
      <c r="T8" s="66">
        <f>VLOOKUP(R8,SchoolTourTime!$B$11:$E$72,4,FALSE)</f>
        <v>-2.25578381447</v>
      </c>
      <c r="U8" s="93">
        <f si="1" t="shared"/>
        <v>-2.8889756402622502</v>
      </c>
      <c r="V8">
        <f si="2" t="shared"/>
        <v>1</v>
      </c>
    </row>
    <row r="9" spans="2:22" x14ac:dyDescent="0.25">
      <c r="B9" t="s">
        <v>77</v>
      </c>
      <c r="C9" s="29">
        <f>SUM(Departure_Time!C37:C38)</f>
        <v>18804.648441504451</v>
      </c>
      <c r="D9" s="29">
        <f>SUM(Departure_Time!J37:J38)</f>
        <v>17414.247917175293</v>
      </c>
      <c r="E9" s="30">
        <f si="3" t="shared"/>
        <v>8.51129084055956E-2</v>
      </c>
      <c r="F9" s="30">
        <f si="4" t="shared"/>
        <v>8.1999114035358409E-2</v>
      </c>
      <c r="G9" s="6">
        <f si="5" t="shared"/>
        <v>1.0379735123588592</v>
      </c>
      <c r="H9" s="6">
        <f si="0" t="shared"/>
        <v>1</v>
      </c>
      <c r="I9" s="31">
        <f si="6" t="shared"/>
        <v>-0.25689935584626455</v>
      </c>
      <c r="L9" s="70">
        <v>26</v>
      </c>
      <c r="M9" s="73">
        <f si="7" t="shared"/>
        <v>-1.05359289906E-2</v>
      </c>
      <c r="N9" s="72">
        <f si="8" t="shared"/>
        <v>-0.26743528483686457</v>
      </c>
      <c r="O9" s="70" t="str">
        <f si="9" t="shared"/>
        <v>Departure 5-6 pm</v>
      </c>
      <c r="R9" s="66">
        <f>SchoolTourTime!B17</f>
        <v>17</v>
      </c>
      <c r="S9" s="66" t="str">
        <f>SchoolTourTime!C17</f>
        <v>arr13-15</v>
      </c>
      <c r="T9" s="66">
        <f>VLOOKUP(R9,SchoolTourTime!$B$11:$E$72,4,FALSE)</f>
        <v>-2.9429385107799999</v>
      </c>
      <c r="U9" s="93">
        <f si="1" t="shared"/>
        <v>-3.169328678461131</v>
      </c>
      <c r="V9">
        <f si="2" t="shared"/>
        <v>1</v>
      </c>
    </row>
    <row r="10" spans="2:22" x14ac:dyDescent="0.25">
      <c r="B10" t="s">
        <v>78</v>
      </c>
      <c r="C10" s="29">
        <f>SUM(Departure_Time!C39:C40)</f>
        <v>8036.3539866408955</v>
      </c>
      <c r="D10" s="29">
        <f>SUM(Departure_Time!J39:J40)</f>
        <v>9419.0208702087402</v>
      </c>
      <c r="E10" s="30">
        <f si="3" t="shared"/>
        <v>3.6373849950325735E-2</v>
      </c>
      <c r="F10" s="30">
        <f si="4" t="shared"/>
        <v>4.4351692367714253E-2</v>
      </c>
      <c r="G10" s="6">
        <f si="5" t="shared"/>
        <v>0.82012315671642833</v>
      </c>
      <c r="H10" s="6">
        <f si="0" t="shared"/>
        <v>1</v>
      </c>
      <c r="I10" s="31">
        <f si="6" t="shared"/>
        <v>-0.4924703811894624</v>
      </c>
      <c r="L10" s="70">
        <v>27</v>
      </c>
      <c r="M10" s="73">
        <f si="7" t="shared"/>
        <v>-0.91968486870199995</v>
      </c>
      <c r="N10" s="72">
        <f si="8" t="shared"/>
        <v>-1.4121552498914625</v>
      </c>
      <c r="O10" s="70" t="str">
        <f si="9" t="shared"/>
        <v>Departure 6-7 pm</v>
      </c>
      <c r="R10" s="66">
        <f>SchoolTourTime!B18</f>
        <v>18</v>
      </c>
      <c r="S10" s="66" t="str">
        <f>SchoolTourTime!C18</f>
        <v>arr16-18</v>
      </c>
      <c r="T10" s="66">
        <f>VLOOKUP(R10,SchoolTourTime!$B$11:$E$72,4,FALSE)</f>
        <v>-2.0422750131099998</v>
      </c>
      <c r="U10" s="93">
        <f si="1" t="shared"/>
        <v>-1.8001828801470774</v>
      </c>
      <c r="V10">
        <f si="2" t="shared"/>
        <v>1</v>
      </c>
    </row>
    <row r="11" spans="2:22" x14ac:dyDescent="0.25">
      <c r="B11" t="s">
        <v>79</v>
      </c>
      <c r="C11" s="29">
        <f>SUM(Departure_Time!C41:C44)</f>
        <v>6692.3752700099913</v>
      </c>
      <c r="D11" s="29">
        <f>SUM(Departure_Time!J41:J44)</f>
        <v>7670.3468074798584</v>
      </c>
      <c r="E11" s="30">
        <f si="3" t="shared"/>
        <v>3.0290782895735033E-2</v>
      </c>
      <c r="F11" s="30">
        <f si="4" t="shared"/>
        <v>3.61176460533192E-2</v>
      </c>
      <c r="G11" s="6">
        <f si="5" t="shared"/>
        <v>0.83866990808365049</v>
      </c>
      <c r="H11" s="6">
        <f si="0" t="shared"/>
        <v>1</v>
      </c>
      <c r="I11" s="31">
        <f si="6" t="shared"/>
        <v>-0.47010770717844036</v>
      </c>
      <c r="L11" s="70">
        <v>28</v>
      </c>
      <c r="M11" s="73">
        <f si="7" t="shared"/>
        <v>-1.4875374540999999</v>
      </c>
      <c r="N11" s="72">
        <f si="8" t="shared"/>
        <v>-1.9576451612784402</v>
      </c>
      <c r="O11" s="70" t="str">
        <f si="9" t="shared"/>
        <v>Departure 7-9 pm</v>
      </c>
      <c r="R11" s="66">
        <f>SchoolTourTime!B19</f>
        <v>19</v>
      </c>
      <c r="S11" s="66" t="str">
        <f>SchoolTourTime!C19</f>
        <v>arr19-21</v>
      </c>
      <c r="T11" s="66">
        <f>VLOOKUP(R11,SchoolTourTime!$B$11:$E$72,4,FALSE)</f>
        <v>-3.4674414305300001</v>
      </c>
      <c r="U11" s="93">
        <f si="1" t="shared"/>
        <v>-3.7837594967519395</v>
      </c>
      <c r="V11">
        <f si="2" t="shared"/>
        <v>1</v>
      </c>
    </row>
    <row r="12" spans="2:22" x14ac:dyDescent="0.25">
      <c r="B12" t="s">
        <v>80</v>
      </c>
      <c r="C12" s="29">
        <f>SUM(Departure_Time!C45:C50)</f>
        <v>2808.5362773983561</v>
      </c>
      <c r="D12" s="29">
        <f>SUM(Departure_Time!J45:J50)</f>
        <v>4887.948917388916</v>
      </c>
      <c r="E12" s="30">
        <f si="3" t="shared"/>
        <v>1.2711893640319197E-2</v>
      </c>
      <c r="F12" s="30">
        <f si="4" t="shared"/>
        <v>2.3016066073153395E-2</v>
      </c>
      <c r="G12" s="6">
        <f si="5" t="shared"/>
        <v>0.55230522887430866</v>
      </c>
      <c r="H12" s="6">
        <f si="0" t="shared"/>
        <v>1</v>
      </c>
      <c r="I12" s="31">
        <f si="6" t="shared"/>
        <v>-0.88782405697244382</v>
      </c>
      <c r="L12" s="70">
        <v>29</v>
      </c>
      <c r="M12" s="73">
        <f si="7" t="shared"/>
        <v>-2.2302075813600002</v>
      </c>
      <c r="N12" s="72">
        <f si="8" t="shared"/>
        <v>-3.118031638332444</v>
      </c>
      <c r="O12" s="70" t="str">
        <f si="9" t="shared"/>
        <v>Departure 9-12 pm</v>
      </c>
      <c r="R12" s="66">
        <f>SchoolTourTime!B20</f>
        <v>20</v>
      </c>
      <c r="S12" s="66" t="str">
        <f>SchoolTourTime!C20</f>
        <v>arr22-26</v>
      </c>
      <c r="T12" s="66">
        <f>VLOOKUP(R12,SchoolTourTime!$B$11:$E$72,4,FALSE)</f>
        <v>-10</v>
      </c>
      <c r="U12" s="93">
        <f si="1" t="shared"/>
        <v>-10</v>
      </c>
      <c r="V12">
        <f si="2" t="shared"/>
        <v>0</v>
      </c>
    </row>
    <row r="13" spans="2:22" x14ac:dyDescent="0.25">
      <c r="B13" s="23" t="s">
        <v>81</v>
      </c>
      <c r="C13" s="34">
        <f>SUM(Departure_Time!C51:C57)+Departure_Time!C8</f>
        <v>84.646918822717666</v>
      </c>
      <c r="D13" s="34">
        <f>SUM(Departure_Time!J51:J57)+Departure_Time!J8</f>
        <v>868.67835807800293</v>
      </c>
      <c r="E13" s="35">
        <f si="3" t="shared"/>
        <v>3.8312577185290153E-4</v>
      </c>
      <c r="F13" s="35">
        <f si="4" t="shared"/>
        <v>4.0903779527471087E-3</v>
      </c>
      <c r="G13" s="22">
        <f si="5" t="shared"/>
        <v>9.3665127349807184E-2</v>
      </c>
      <c r="H13" s="6">
        <f si="0" t="shared"/>
        <v>1</v>
      </c>
      <c r="I13" s="31">
        <f si="6" t="shared"/>
        <v>-2.6621989547450271</v>
      </c>
      <c r="L13" s="74">
        <v>30</v>
      </c>
      <c r="M13" s="74">
        <f si="7" t="shared"/>
        <v>-10</v>
      </c>
      <c r="N13" s="75">
        <f si="8" t="shared"/>
        <v>-12.662198954745026</v>
      </c>
      <c r="O13" s="74" t="str">
        <f si="9" t="shared"/>
        <v>Departure 12-3 am</v>
      </c>
      <c r="R13" s="66">
        <f>SchoolTourTime!B21</f>
        <v>21</v>
      </c>
      <c r="S13" s="66" t="str">
        <f>SchoolTourTime!C21</f>
        <v>dep3-6</v>
      </c>
      <c r="T13" s="66">
        <f>VLOOKUP(R13,SchoolTourTime!$B$11:$E$72,4,FALSE)</f>
        <v>-10</v>
      </c>
      <c r="U13" s="93">
        <f si="1" t="shared"/>
        <v>-11.936606400526832</v>
      </c>
      <c r="V13">
        <f si="2" t="shared"/>
        <v>1</v>
      </c>
    </row>
    <row ht="15.75" r="14" spans="2:22" thickBot="1" x14ac:dyDescent="0.3">
      <c r="B14" s="39" t="s">
        <v>82</v>
      </c>
      <c r="C14" s="40">
        <f>SUM(C4:C13)</f>
        <v>220937.67906382779</v>
      </c>
      <c r="D14" s="40">
        <f>SUM(D4:D13)</f>
        <v>212371.17159175873</v>
      </c>
      <c r="E14" s="41">
        <f si="3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SchoolTourTime!B22</f>
        <v>22</v>
      </c>
      <c r="S14" s="66" t="str">
        <f>SchoolTourTime!C22</f>
        <v>dep7-9</v>
      </c>
      <c r="T14" s="66">
        <f>VLOOKUP(R14,SchoolTourTime!$B$11:$E$72,4,FALSE)</f>
        <v>-0.70079802289699999</v>
      </c>
      <c r="U14" s="93">
        <f si="1" t="shared"/>
        <v>-2.0029333258521862</v>
      </c>
      <c r="V14">
        <f si="2" t="shared"/>
        <v>1</v>
      </c>
    </row>
    <row r="15" spans="2:22" x14ac:dyDescent="0.25">
      <c r="R15" s="66">
        <f>SchoolTourTime!B23</f>
        <v>23</v>
      </c>
      <c r="S15" s="66" t="str">
        <f>SchoolTourTime!C23</f>
        <v>dep10-12</v>
      </c>
      <c r="T15" s="66">
        <f>VLOOKUP(R15,SchoolTourTime!$B$11:$E$72,4,FALSE)</f>
        <v>0.90244483450400004</v>
      </c>
      <c r="U15" s="93">
        <f si="1" t="shared"/>
        <v>-0.16133031195464131</v>
      </c>
      <c r="V15">
        <f si="2" t="shared"/>
        <v>1</v>
      </c>
    </row>
    <row r="16" spans="2:22" x14ac:dyDescent="0.25">
      <c r="R16" s="66">
        <f>SchoolTourTime!B24</f>
        <v>24</v>
      </c>
      <c r="S16" s="66" t="str">
        <f>SchoolTourTime!C24</f>
        <v>dep13-14</v>
      </c>
      <c r="T16" s="66">
        <f>VLOOKUP(R16,SchoolTourTime!$B$11:$E$72,4,FALSE)</f>
        <v>1.61170533928</v>
      </c>
      <c r="U16" s="93">
        <f si="1" t="shared"/>
        <v>1.3587790334264227</v>
      </c>
      <c r="V16">
        <f si="2" t="shared"/>
        <v>1</v>
      </c>
    </row>
    <row ht="15.75" r="17" spans="2:22" thickBot="1" x14ac:dyDescent="0.3">
      <c r="B17" s="37" t="s">
        <v>220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SchoolTourTime!B25</f>
        <v>25</v>
      </c>
      <c r="S17" s="66" t="str">
        <f>SchoolTourTime!C25</f>
        <v>dep=16</v>
      </c>
      <c r="T17" s="66">
        <f>VLOOKUP(R17,SchoolTourTime!$B$11:$E$72,4,FALSE)</f>
        <v>0</v>
      </c>
      <c r="U17" s="93">
        <f si="1" t="shared"/>
        <v>0</v>
      </c>
      <c r="V17">
        <f si="2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SchoolTourTime!B26</f>
        <v>26</v>
      </c>
      <c r="S18" s="66" t="str">
        <f>SchoolTourTime!C26</f>
        <v>dep=17</v>
      </c>
      <c r="T18" s="66">
        <f>VLOOKUP(R18,SchoolTourTime!$B$11:$E$72,4,FALSE)</f>
        <v>-1.05359289906E-2</v>
      </c>
      <c r="U18" s="93">
        <f si="1" t="shared"/>
        <v>-0.26743528483686457</v>
      </c>
      <c r="V18">
        <f si="2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SchoolTourTime!B27</f>
        <v>27</v>
      </c>
      <c r="S19" s="66" t="str">
        <f>SchoolTourTime!C27</f>
        <v>dep=18</v>
      </c>
      <c r="T19" s="66">
        <f>VLOOKUP(R19,SchoolTourTime!$B$11:$E$72,4,FALSE)</f>
        <v>-0.91968486870199995</v>
      </c>
      <c r="U19" s="93">
        <f si="1" t="shared"/>
        <v>-1.4121552498914625</v>
      </c>
      <c r="V19">
        <f si="2" t="shared"/>
        <v>1</v>
      </c>
    </row>
    <row r="20" spans="2:22" x14ac:dyDescent="0.25">
      <c r="B20" t="s">
        <v>221</v>
      </c>
      <c r="C20" s="29">
        <f>SUM(Arrival_Time!C9:C14)</f>
        <v>17213.493759508019</v>
      </c>
      <c r="D20" s="29">
        <f>SUM(Arrival_Time!J9:J14)</f>
        <v>11121.514328956604</v>
      </c>
      <c r="E20" s="30">
        <f>C20/C$14</f>
        <v>7.7911082584221081E-2</v>
      </c>
      <c r="F20" s="30">
        <f>D20/D$14</f>
        <v>5.2368286362027984E-2</v>
      </c>
      <c r="G20" s="6">
        <f>E20/F20</f>
        <v>1.4877531421519661</v>
      </c>
      <c r="H20" s="6">
        <f>$F$17</f>
        <v>1</v>
      </c>
      <c r="I20" s="31">
        <f>H20*(LN(G20)-LN($G$23))</f>
        <v>0.4445213568745966</v>
      </c>
      <c r="L20" s="70">
        <v>11</v>
      </c>
      <c r="M20" s="71">
        <f>VLOOKUP(L20,$R$3:$U$64,3,FALSE)</f>
        <v>-10</v>
      </c>
      <c r="N20" s="72">
        <f>I20+M20</f>
        <v>-9.5554786431254026</v>
      </c>
      <c r="O20" s="71" t="str">
        <f>CONCATENATE("Arrival ",B20)</f>
        <v>Arrival 3-6 am</v>
      </c>
      <c r="R20" s="66">
        <f>SchoolTourTime!B28</f>
        <v>28</v>
      </c>
      <c r="S20" s="66" t="str">
        <f>SchoolTourTime!C28</f>
        <v>dep19-20</v>
      </c>
      <c r="T20" s="66">
        <f>VLOOKUP(R20,SchoolTourTime!$B$11:$E$72,4,FALSE)</f>
        <v>-1.4875374540999999</v>
      </c>
      <c r="U20" s="93">
        <f si="1" t="shared"/>
        <v>-1.9576451612784402</v>
      </c>
      <c r="V20">
        <f si="2" t="shared"/>
        <v>1</v>
      </c>
    </row>
    <row r="21" spans="2:22" x14ac:dyDescent="0.25">
      <c r="B21" t="s">
        <v>222</v>
      </c>
      <c r="C21" s="29">
        <f>SUM(Arrival_Time!C15:C16)</f>
        <v>40643.658231132067</v>
      </c>
      <c r="D21" s="29">
        <f>SUM(Arrival_Time!J15:J16)</f>
        <v>28907.407475471497</v>
      </c>
      <c r="E21" s="30">
        <f ref="E21:E30" si="10" t="shared">C21/C$14</f>
        <v>0.18395983158395685</v>
      </c>
      <c r="F21" s="30">
        <f ref="F21:F30" si="11" t="shared">D21/D$14</f>
        <v>0.13611738005118806</v>
      </c>
      <c r="G21" s="6">
        <f ref="G21:G30" si="12" t="shared">E21/F21</f>
        <v>1.3514793740136435</v>
      </c>
      <c r="H21" s="6">
        <f ref="H21:H29" si="13" t="shared">$F$17</f>
        <v>1</v>
      </c>
      <c r="I21" s="31">
        <f ref="I21:I29" si="14" t="shared">H21*(LN(G21)-LN($G$23))</f>
        <v>0.34845415838466698</v>
      </c>
      <c r="L21" s="70">
        <v>12</v>
      </c>
      <c r="M21" s="73">
        <f ref="M21:M29" si="15" t="shared">VLOOKUP(L21,$R$3:$U$64,3,FALSE)</f>
        <v>-3.25373144395</v>
      </c>
      <c r="N21" s="72">
        <f ref="N21:N29" si="16" t="shared">I21+M21</f>
        <v>-2.905277285565333</v>
      </c>
      <c r="O21" s="73" t="str">
        <f ref="O21:O29" si="17" t="shared">CONCATENATE("Arrival ",B21)</f>
        <v>Arrival 6-7 am</v>
      </c>
      <c r="R21" s="66">
        <f>SchoolTourTime!B29</f>
        <v>29</v>
      </c>
      <c r="S21" s="66" t="str">
        <f>SchoolTourTime!C29</f>
        <v>dep21-23</v>
      </c>
      <c r="T21" s="66">
        <f>VLOOKUP(R21,SchoolTourTime!$B$11:$E$72,4,FALSE)</f>
        <v>-2.2302075813600002</v>
      </c>
      <c r="U21" s="93">
        <f si="1" t="shared"/>
        <v>-3.118031638332444</v>
      </c>
      <c r="V21">
        <f si="2" t="shared"/>
        <v>1</v>
      </c>
    </row>
    <row r="22" spans="2:22" x14ac:dyDescent="0.25">
      <c r="B22" t="s">
        <v>223</v>
      </c>
      <c r="C22" s="29">
        <f>SUM(Arrival_Time!C17:C18)</f>
        <v>61272.723983724325</v>
      </c>
      <c r="D22" s="29">
        <f>SUM(Arrival_Time!J17:J18)</f>
        <v>50181.591896057129</v>
      </c>
      <c r="E22" s="30">
        <f si="10" t="shared"/>
        <v>0.27733035054660343</v>
      </c>
      <c r="F22" s="30">
        <f si="11" t="shared"/>
        <v>0.23629192003762753</v>
      </c>
      <c r="G22" s="6">
        <f si="12" t="shared"/>
        <v>1.1736768252695262</v>
      </c>
      <c r="H22" s="6">
        <f si="13" t="shared"/>
        <v>1</v>
      </c>
      <c r="I22" s="31">
        <f si="14" t="shared"/>
        <v>0.20739574022647342</v>
      </c>
      <c r="L22" s="70">
        <v>13</v>
      </c>
      <c r="M22" s="73">
        <f si="15" t="shared"/>
        <v>-0.21597678247800001</v>
      </c>
      <c r="N22" s="72">
        <f si="16" t="shared"/>
        <v>-8.5810422515265883E-3</v>
      </c>
      <c r="O22" s="73" t="str">
        <f si="17" t="shared"/>
        <v>Arrival 7-8 am</v>
      </c>
      <c r="R22" s="66">
        <f>SchoolTourTime!B30</f>
        <v>30</v>
      </c>
      <c r="S22" s="66" t="str">
        <f>SchoolTourTime!C30</f>
        <v>dep24-26</v>
      </c>
      <c r="T22" s="66">
        <f>VLOOKUP(R22,SchoolTourTime!$B$11:$E$72,4,FALSE)</f>
        <v>-10</v>
      </c>
      <c r="U22" s="93">
        <f si="1" t="shared"/>
        <v>-12.662198954745026</v>
      </c>
      <c r="V22">
        <f si="2" t="shared"/>
        <v>1</v>
      </c>
    </row>
    <row r="23" spans="2:22" x14ac:dyDescent="0.25">
      <c r="B23" t="s">
        <v>224</v>
      </c>
      <c r="C23" s="29">
        <f>SUM(Arrival_Time!C19:C20)</f>
        <v>50983.309028264579</v>
      </c>
      <c r="D23" s="29">
        <f>SUM(Arrival_Time!J19:J20)</f>
        <v>51377.869493484497</v>
      </c>
      <c r="E23" s="30">
        <f si="10" t="shared"/>
        <v>0.23075877887508611</v>
      </c>
      <c r="F23" s="30">
        <f si="11" t="shared"/>
        <v>0.24192487666004037</v>
      </c>
      <c r="G23" s="6">
        <f si="12" t="shared"/>
        <v>0.95384477223214559</v>
      </c>
      <c r="H23" s="6">
        <f si="13" t="shared"/>
        <v>1</v>
      </c>
      <c r="I23" s="31">
        <f si="14" t="shared"/>
        <v>0</v>
      </c>
      <c r="L23" s="70">
        <v>14</v>
      </c>
      <c r="M23" s="73">
        <f si="15" t="shared"/>
        <v>0</v>
      </c>
      <c r="N23" s="72">
        <f si="16" t="shared"/>
        <v>0</v>
      </c>
      <c r="O23" s="73" t="str">
        <f si="17" t="shared"/>
        <v>Arrival 8-9 am</v>
      </c>
      <c r="R23" s="88">
        <f>SchoolTourTime!B31</f>
        <v>31</v>
      </c>
      <c r="S23" s="88" t="str">
        <f>SchoolTourTime!C31</f>
        <v>dur0-2</v>
      </c>
      <c r="T23" s="88">
        <f>VLOOKUP(R23,SchoolTourTime!$B$11:$E$72,4,FALSE)</f>
        <v>-1.4047801438400001</v>
      </c>
      <c r="U23" s="93">
        <f si="1" t="shared"/>
        <v>-1.8028989011486003</v>
      </c>
      <c r="V23">
        <f si="2" t="shared"/>
        <v>1</v>
      </c>
    </row>
    <row r="24" spans="2:22" x14ac:dyDescent="0.25">
      <c r="B24" t="s">
        <v>225</v>
      </c>
      <c r="C24" s="29">
        <f>SUM(Arrival_Time!C21:C22)</f>
        <v>24233.717990465324</v>
      </c>
      <c r="D24" s="29">
        <f>SUM(Arrival_Time!J21:J22)</f>
        <v>32519.983722686768</v>
      </c>
      <c r="E24" s="30">
        <f si="10" t="shared"/>
        <v>0.1096857633933247</v>
      </c>
      <c r="F24" s="30">
        <f si="11" t="shared"/>
        <v>0.15312805160391524</v>
      </c>
      <c r="G24" s="6">
        <f si="12" t="shared"/>
        <v>0.71630091445975275</v>
      </c>
      <c r="H24" s="6">
        <f si="13" t="shared"/>
        <v>1</v>
      </c>
      <c r="I24" s="31">
        <f si="14" t="shared"/>
        <v>-0.28640059540113372</v>
      </c>
      <c r="L24" s="70">
        <v>15</v>
      </c>
      <c r="M24" s="73">
        <f si="15" t="shared"/>
        <v>-1.2614952667399999</v>
      </c>
      <c r="N24" s="72">
        <f si="16" t="shared"/>
        <v>-1.5478958621411336</v>
      </c>
      <c r="O24" s="73" t="str">
        <f si="17" t="shared"/>
        <v>Arrival 9-10 am</v>
      </c>
      <c r="R24" s="88">
        <f>SchoolTourTime!B32</f>
        <v>32</v>
      </c>
      <c r="S24" s="88" t="str">
        <f>SchoolTourTime!C32</f>
        <v>dur3-4</v>
      </c>
      <c r="T24" s="88">
        <f>VLOOKUP(R24,SchoolTourTime!$B$11:$E$72,4,FALSE)</f>
        <v>-0.89502122791100003</v>
      </c>
      <c r="U24" s="93">
        <f si="1" t="shared"/>
        <v>-1.5896681693560901</v>
      </c>
      <c r="V24">
        <f si="2" t="shared"/>
        <v>1</v>
      </c>
    </row>
    <row r="25" spans="2:22" x14ac:dyDescent="0.25">
      <c r="B25" t="s">
        <v>229</v>
      </c>
      <c r="C25" s="29">
        <f>SUM(Arrival_Time!C23:C28)</f>
        <v>12191.863771012764</v>
      </c>
      <c r="D25" s="29">
        <f>SUM(Arrival_Time!J23:J28)</f>
        <v>23142.479565620422</v>
      </c>
      <c r="E25" s="30">
        <f si="10" t="shared"/>
        <v>5.5182365555178102E-2</v>
      </c>
      <c r="F25" s="30">
        <f si="11" t="shared"/>
        <v>0.10897185052078175</v>
      </c>
      <c r="G25" s="6">
        <f si="12" t="shared"/>
        <v>0.50639101099466433</v>
      </c>
      <c r="H25" s="6">
        <f si="13" t="shared"/>
        <v>1</v>
      </c>
      <c r="I25" s="31">
        <f si="14" t="shared"/>
        <v>-0.63319182579225031</v>
      </c>
      <c r="L25" s="70">
        <v>16</v>
      </c>
      <c r="M25" s="73">
        <f si="15" t="shared"/>
        <v>-2.25578381447</v>
      </c>
      <c r="N25" s="72">
        <f si="16" t="shared"/>
        <v>-2.8889756402622502</v>
      </c>
      <c r="O25" s="73" t="str">
        <f si="17" t="shared"/>
        <v>Arrival 10 am-1 pm</v>
      </c>
      <c r="R25" s="88">
        <f>SchoolTourTime!B33</f>
        <v>33</v>
      </c>
      <c r="S25" s="88" t="str">
        <f>SchoolTourTime!C33</f>
        <v>dur5-6</v>
      </c>
      <c r="T25" s="88">
        <f>VLOOKUP(R25,SchoolTourTime!$B$11:$E$72,4,FALSE)</f>
        <v>-0.63804899990300001</v>
      </c>
      <c r="U25" s="93">
        <f si="1" t="shared"/>
        <v>-0.55235766577020384</v>
      </c>
      <c r="V25">
        <f si="2" t="shared"/>
        <v>1</v>
      </c>
    </row>
    <row r="26" spans="2:22" x14ac:dyDescent="0.25">
      <c r="B26" t="s">
        <v>226</v>
      </c>
      <c r="C26" s="29">
        <f>SUM(Arrival_Time!C29:C34)</f>
        <v>4793.1723304842235</v>
      </c>
      <c r="D26" s="29">
        <f>SUM(Arrival_Time!J29:J34)</f>
        <v>6057.4678230285645</v>
      </c>
      <c r="E26" s="30">
        <f si="10" t="shared"/>
        <v>2.1694680376811146E-2</v>
      </c>
      <c r="F26" s="30">
        <f si="11" t="shared"/>
        <v>2.8523023052643131E-2</v>
      </c>
      <c r="G26" s="6">
        <f si="12" t="shared"/>
        <v>0.76060242060494965</v>
      </c>
      <c r="H26" s="6">
        <f si="13" t="shared"/>
        <v>1</v>
      </c>
      <c r="I26" s="31">
        <f si="14" t="shared"/>
        <v>-0.22639016768113093</v>
      </c>
      <c r="L26" s="70">
        <v>17</v>
      </c>
      <c r="M26" s="73">
        <f si="15" t="shared"/>
        <v>-2.9429385107799999</v>
      </c>
      <c r="N26" s="72">
        <f si="16" t="shared"/>
        <v>-3.169328678461131</v>
      </c>
      <c r="O26" s="73" t="str">
        <f si="17" t="shared"/>
        <v>Arrival 1-4 pm</v>
      </c>
      <c r="R26" s="88">
        <f>SchoolTourTime!B34</f>
        <v>34</v>
      </c>
      <c r="S26" s="88" t="str">
        <f>SchoolTourTime!C34</f>
        <v>dur7-8</v>
      </c>
      <c r="T26" s="88">
        <f>VLOOKUP(R26,SchoolTourTime!$B$11:$E$72,4,FALSE)</f>
        <v>-0.160162876372</v>
      </c>
      <c r="U26" s="93">
        <f si="1" t="shared"/>
        <v>0.24984542989857933</v>
      </c>
      <c r="V26">
        <f si="2" t="shared"/>
        <v>1</v>
      </c>
    </row>
    <row r="27" spans="2:22" x14ac:dyDescent="0.25">
      <c r="B27" t="s">
        <v>227</v>
      </c>
      <c r="C27" s="29">
        <f>SUM(Arrival_Time!C35:C40)</f>
        <v>8047.8219740002187</v>
      </c>
      <c r="D27" s="29">
        <f>SUM(Arrival_Time!J35:J40)</f>
        <v>6366.3008050918579</v>
      </c>
      <c r="E27" s="30">
        <f si="10" t="shared"/>
        <v>3.6425755933080312E-2</v>
      </c>
      <c r="F27" s="30">
        <f si="11" t="shared"/>
        <v>2.9977236351691854E-2</v>
      </c>
      <c r="G27" s="6">
        <f si="12" t="shared"/>
        <v>1.2151138786022386</v>
      </c>
      <c r="H27" s="6">
        <f si="13" t="shared"/>
        <v>1</v>
      </c>
      <c r="I27" s="31">
        <f si="14" t="shared"/>
        <v>0.24209213296292242</v>
      </c>
      <c r="L27" s="70">
        <v>18</v>
      </c>
      <c r="M27" s="73">
        <f si="15" t="shared"/>
        <v>-2.0422750131099998</v>
      </c>
      <c r="N27" s="72">
        <f si="16" t="shared"/>
        <v>-1.8001828801470774</v>
      </c>
      <c r="O27" s="73" t="str">
        <f si="17" t="shared"/>
        <v>Arrival 4-7 pm</v>
      </c>
      <c r="R27" s="88">
        <f>SchoolTourTime!B35</f>
        <v>35</v>
      </c>
      <c r="S27" s="88" t="str">
        <f>SchoolTourTime!C35</f>
        <v>dur=9</v>
      </c>
      <c r="T27" s="88">
        <f>VLOOKUP(R27,SchoolTourTime!$B$11:$E$72,4,FALSE)</f>
        <v>0</v>
      </c>
      <c r="U27" s="93">
        <f si="1" t="shared"/>
        <v>0</v>
      </c>
      <c r="V27">
        <f si="2" t="shared"/>
        <v>0</v>
      </c>
    </row>
    <row r="28" spans="2:22" x14ac:dyDescent="0.25">
      <c r="B28" t="s">
        <v>79</v>
      </c>
      <c r="C28" s="29">
        <f>SUM(Arrival_Time!C41:C44)</f>
        <v>1436.5068325992249</v>
      </c>
      <c r="D28" s="29">
        <f>SUM(Arrival_Time!J41:J44)</f>
        <v>1986.236499786377</v>
      </c>
      <c r="E28" s="30">
        <f si="10" t="shared"/>
        <v>6.5018644112045066E-3</v>
      </c>
      <c r="F28" s="30">
        <f si="11" t="shared"/>
        <v>9.3526653589523952E-3</v>
      </c>
      <c r="G28" s="6">
        <f si="12" t="shared"/>
        <v>0.69518839407430577</v>
      </c>
      <c r="H28" s="6">
        <f si="13" t="shared"/>
        <v>1</v>
      </c>
      <c r="I28" s="31">
        <f si="14" t="shared"/>
        <v>-0.31631806622193936</v>
      </c>
      <c r="L28" s="70">
        <v>19</v>
      </c>
      <c r="M28" s="73">
        <f si="15" t="shared"/>
        <v>-3.4674414305300001</v>
      </c>
      <c r="N28" s="72">
        <f si="16" t="shared"/>
        <v>-3.7837594967519395</v>
      </c>
      <c r="O28" s="73" t="str">
        <f si="17" t="shared"/>
        <v>Arrival 7-9 pm</v>
      </c>
      <c r="R28" s="88">
        <f>SchoolTourTime!B36</f>
        <v>36</v>
      </c>
      <c r="S28" s="88" t="str">
        <f>SchoolTourTime!C36</f>
        <v>dur=10</v>
      </c>
      <c r="T28" s="88">
        <f>VLOOKUP(R28,SchoolTourTime!$B$11:$E$72,4,FALSE)</f>
        <v>-0.74881714483899997</v>
      </c>
      <c r="U28" s="93">
        <f si="1" t="shared"/>
        <v>-1.0802425795395907</v>
      </c>
      <c r="V28">
        <f si="2" t="shared"/>
        <v>1</v>
      </c>
    </row>
    <row r="29" spans="2:22" x14ac:dyDescent="0.25">
      <c r="B29" s="23" t="s">
        <v>228</v>
      </c>
      <c r="C29" s="34">
        <f>SUM(Arrival_Time!C45:C57)+Arrival_Time!C8</f>
        <v>113.31008407949928</v>
      </c>
      <c r="D29" s="34">
        <f>SUM(Arrival_Time!J45:J57)+Arrival_Time!J8</f>
        <v>694.57410144805908</v>
      </c>
      <c r="E29" s="35">
        <f si="10" t="shared"/>
        <v>5.1285993661028982E-4</v>
      </c>
      <c r="F29" s="35">
        <f si="11" t="shared"/>
        <v>3.2705667922915613E-3</v>
      </c>
      <c r="G29" s="22">
        <f si="12" t="shared"/>
        <v>0.15681072094875287</v>
      </c>
      <c r="H29" s="6">
        <v>0</v>
      </c>
      <c r="I29" s="31">
        <f si="14" t="shared"/>
        <v>0</v>
      </c>
      <c r="L29" s="74">
        <v>20</v>
      </c>
      <c r="M29" s="74">
        <f si="15" t="shared"/>
        <v>-10</v>
      </c>
      <c r="N29" s="75">
        <f si="16" t="shared"/>
        <v>-10</v>
      </c>
      <c r="O29" s="74" t="str">
        <f si="17" t="shared"/>
        <v>Arrival 9 pm-3 am</v>
      </c>
      <c r="R29" s="88">
        <f>SchoolTourTime!B37</f>
        <v>37</v>
      </c>
      <c r="S29" s="88" t="str">
        <f>SchoolTourTime!C37</f>
        <v>dur=11</v>
      </c>
      <c r="T29" s="88">
        <f>VLOOKUP(R29,SchoolTourTime!$B$11:$E$72,4,FALSE)</f>
        <v>-1.76817044484</v>
      </c>
      <c r="U29" s="93">
        <f si="1" t="shared"/>
        <v>-2.2186823124695132</v>
      </c>
      <c r="V29">
        <f si="2" t="shared"/>
        <v>1</v>
      </c>
    </row>
    <row ht="15.75" r="30" spans="2:22" thickBot="1" x14ac:dyDescent="0.3">
      <c r="B30" s="39" t="s">
        <v>82</v>
      </c>
      <c r="C30" s="40">
        <f>SUM(C20:C29)</f>
        <v>220929.57798527024</v>
      </c>
      <c r="D30" s="40">
        <f>SUM(D20:D29)</f>
        <v>212355.42571163177</v>
      </c>
      <c r="E30" s="41">
        <f si="10" t="shared"/>
        <v>0.99996333319607644</v>
      </c>
      <c r="F30" s="41">
        <f si="11" t="shared"/>
        <v>0.99992585679115986</v>
      </c>
      <c r="G30" s="42">
        <f si="12" t="shared"/>
        <v>1.0000374791837436</v>
      </c>
      <c r="H30" s="42"/>
      <c r="I30" s="43"/>
      <c r="R30" s="88">
        <f>SchoolTourTime!B38</f>
        <v>38</v>
      </c>
      <c r="S30" s="88" t="str">
        <f>SchoolTourTime!C38</f>
        <v>dur12-13</v>
      </c>
      <c r="T30" s="88">
        <f>VLOOKUP(R30,SchoolTourTime!$B$11:$E$72,4,FALSE)</f>
        <v>-3.06070281512</v>
      </c>
      <c r="U30" s="93">
        <f si="1" t="shared"/>
        <v>-3.3574743380268344</v>
      </c>
      <c r="V30">
        <f si="2" t="shared"/>
        <v>1</v>
      </c>
    </row>
    <row r="31" spans="2:22" x14ac:dyDescent="0.25">
      <c r="R31" s="88">
        <f>SchoolTourTime!B39</f>
        <v>39</v>
      </c>
      <c r="S31" s="88" t="str">
        <f>SchoolTourTime!C39</f>
        <v>dur14-17</v>
      </c>
      <c r="T31" s="88">
        <f>VLOOKUP(R31,SchoolTourTime!$B$11:$E$72,4,FALSE)</f>
        <v>-4.2862035546200001</v>
      </c>
      <c r="U31" s="93">
        <f si="1" t="shared"/>
        <v>-4.2459747515521178</v>
      </c>
      <c r="V31">
        <f si="2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SchoolTourTime!B40</f>
        <v>40</v>
      </c>
      <c r="S32" s="88" t="str">
        <f>SchoolTourTime!C40</f>
        <v>dur18-23</v>
      </c>
      <c r="T32" s="88">
        <f>VLOOKUP(R32,SchoolTourTime!$B$11:$E$72,4,FALSE)</f>
        <v>-10</v>
      </c>
      <c r="U32" s="93">
        <f si="1" t="shared"/>
        <v>-10</v>
      </c>
      <c r="V32">
        <f si="2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93">
        <f si="1" t="shared"/>
        <v>0.28932022582700001</v>
      </c>
      <c r="V33">
        <f si="2" t="shared"/>
        <v>0</v>
      </c>
    </row>
    <row ht="15.75" r="34" spans="2:22" thickBot="1" x14ac:dyDescent="0.3">
      <c r="B34" s="37" t="s">
        <v>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93">
        <f si="1" t="shared"/>
        <v>-0.126020317947</v>
      </c>
      <c r="V34">
        <f si="2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93">
        <f si="1" t="shared"/>
        <v>0.21889169970399999</v>
      </c>
      <c r="V35">
        <f si="2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93">
        <f si="1" t="shared"/>
        <v>-0.130191110389</v>
      </c>
      <c r="V36">
        <f si="2" t="shared"/>
        <v>0</v>
      </c>
    </row>
    <row r="37" spans="2:22" x14ac:dyDescent="0.25">
      <c r="B37" t="s">
        <v>62</v>
      </c>
      <c r="C37" s="29">
        <f>SUM(Duration!C8:C13)</f>
        <v>15414.475230096143</v>
      </c>
      <c r="D37" s="29">
        <f>SUM(Duration!J7:J12)</f>
        <v>23921.982155799866</v>
      </c>
      <c r="E37" s="30">
        <f ref="E37:E47" si="18" t="shared">C37/C$47</f>
        <v>7.0643608305091213E-2</v>
      </c>
      <c r="F37" s="30">
        <f ref="F37:F47" si="19" t="shared">D37/D$47</f>
        <v>0.11085364685640385</v>
      </c>
      <c r="G37" s="6">
        <f>E37/F37</f>
        <v>0.6372691409656609</v>
      </c>
      <c r="H37" s="6">
        <f>$F$34</f>
        <v>1</v>
      </c>
      <c r="I37" s="31">
        <f>H37*(LN(G37)-LN($G$41))</f>
        <v>-0.3981187573086003</v>
      </c>
      <c r="L37">
        <v>31</v>
      </c>
      <c r="M37" s="71">
        <f>VLOOKUP(L37,$R$3:$U$64,3,FALSE)</f>
        <v>-1.4047801438400001</v>
      </c>
      <c r="N37" s="72">
        <f>I37+M37</f>
        <v>-1.8028989011486003</v>
      </c>
      <c r="O37" s="73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93">
        <f si="1" t="shared"/>
        <v>0.16568715041199999</v>
      </c>
      <c r="V37">
        <f si="2" t="shared"/>
        <v>0</v>
      </c>
    </row>
    <row r="38" spans="2:22" x14ac:dyDescent="0.25">
      <c r="B38" t="s">
        <v>63</v>
      </c>
      <c r="C38" s="29">
        <f>SUM(Duration!C14:C17)</f>
        <v>13443.609479073635</v>
      </c>
      <c r="D38" s="29">
        <f>SUM(Duration!J13:J16)</f>
        <v>28064.987958908081</v>
      </c>
      <c r="E38" s="30">
        <f si="18" t="shared"/>
        <v>6.1611249690292941E-2</v>
      </c>
      <c r="F38" s="30">
        <f si="19" t="shared"/>
        <v>0.13005219400147983</v>
      </c>
      <c r="G38" s="6">
        <f ref="G38:G47" si="20" t="shared">E38/F38</f>
        <v>0.47374248595599922</v>
      </c>
      <c r="H38" s="6">
        <f ref="H38:H46" si="21" t="shared">$F$34</f>
        <v>1</v>
      </c>
      <c r="I38" s="31">
        <f ref="I38:I46" si="22" t="shared">H38*(LN(G38)-LN($G$41))</f>
        <v>-0.69464694144508998</v>
      </c>
      <c r="L38" s="5">
        <v>32</v>
      </c>
      <c r="M38" s="73">
        <f ref="M38:M46" si="23" t="shared">VLOOKUP(L38,$R$3:$U$64,3,FALSE)</f>
        <v>-0.89502122791100003</v>
      </c>
      <c r="N38" s="72">
        <f ref="N38:N46" si="24" t="shared">I38+M38</f>
        <v>-1.5896681693560901</v>
      </c>
      <c r="O38" s="73" t="str">
        <f ref="O38:O46" si="25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93">
        <f si="1" t="shared"/>
        <v>-7.5649381697400001E-2</v>
      </c>
      <c r="V38">
        <f si="2" t="shared"/>
        <v>0</v>
      </c>
    </row>
    <row r="39" spans="2:22" x14ac:dyDescent="0.25">
      <c r="B39" t="s">
        <v>64</v>
      </c>
      <c r="C39" s="29">
        <f>SUM(Duration!C18:C21)</f>
        <v>57497.883006767501</v>
      </c>
      <c r="D39" s="29">
        <f>SUM(Duration!J17:J20)</f>
        <v>55005.259732246399</v>
      </c>
      <c r="E39" s="30">
        <f si="18" t="shared"/>
        <v>0.26350932256009785</v>
      </c>
      <c r="F39" s="30">
        <f si="19" t="shared"/>
        <v>0.25489249167945188</v>
      </c>
      <c r="G39" s="6">
        <f si="20" t="shared"/>
        <v>1.0338057461946832</v>
      </c>
      <c r="H39" s="6">
        <f si="21" t="shared"/>
        <v>1</v>
      </c>
      <c r="I39" s="31">
        <f si="22" t="shared"/>
        <v>8.5691334132796226E-2</v>
      </c>
      <c r="L39" s="5">
        <v>33</v>
      </c>
      <c r="M39" s="73">
        <f si="23" t="shared"/>
        <v>-0.63804899990300001</v>
      </c>
      <c r="N39" s="72">
        <f si="24" t="shared"/>
        <v>-0.55235766577020384</v>
      </c>
      <c r="O39" s="73" t="str">
        <f si="25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93">
        <f si="1" t="shared"/>
        <v>-6.2615357102599994E-2</v>
      </c>
      <c r="V39">
        <f si="2" t="shared"/>
        <v>0</v>
      </c>
    </row>
    <row r="40" spans="2:22" x14ac:dyDescent="0.25">
      <c r="B40" t="s">
        <v>65</v>
      </c>
      <c r="C40" s="29">
        <f>SUM(Duration!C22:C25)</f>
        <v>97766.842186114067</v>
      </c>
      <c r="D40" s="29">
        <f>SUM(Duration!J21:J24)</f>
        <v>67623.069712638855</v>
      </c>
      <c r="E40" s="30">
        <f si="18" t="shared"/>
        <v>0.44805952856161108</v>
      </c>
      <c r="F40" s="30">
        <f si="19" t="shared"/>
        <v>0.31336299142976259</v>
      </c>
      <c r="G40" s="6">
        <f si="20" t="shared"/>
        <v>1.4298418792764156</v>
      </c>
      <c r="H40" s="6">
        <f si="21" t="shared"/>
        <v>1</v>
      </c>
      <c r="I40" s="31">
        <f si="22" t="shared"/>
        <v>0.41000830627057933</v>
      </c>
      <c r="L40" s="5">
        <v>34</v>
      </c>
      <c r="M40" s="73">
        <f si="23" t="shared"/>
        <v>-0.160162876372</v>
      </c>
      <c r="N40" s="72">
        <f si="24" t="shared"/>
        <v>0.24984542989857933</v>
      </c>
      <c r="O40" s="73" t="str">
        <f si="25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93">
        <f si="1" t="shared"/>
        <v>5.8936801301500003E-2</v>
      </c>
      <c r="V40">
        <f si="2" t="shared"/>
        <v>0</v>
      </c>
    </row>
    <row r="41" spans="2:22" x14ac:dyDescent="0.25">
      <c r="B41" t="s">
        <v>66</v>
      </c>
      <c r="C41" s="29">
        <f>SUM(Duration!C26:C27)</f>
        <v>21053.527077697403</v>
      </c>
      <c r="D41" s="29">
        <f>SUM(Duration!J25:J26)</f>
        <v>21942.823087692261</v>
      </c>
      <c r="E41" s="30">
        <f si="18" t="shared"/>
        <v>9.6487042089736477E-2</v>
      </c>
      <c r="F41" s="30">
        <f si="19" t="shared"/>
        <v>0.1016822914486557</v>
      </c>
      <c r="G41" s="6">
        <f si="20" t="shared"/>
        <v>0.94890703892582362</v>
      </c>
      <c r="H41" s="6">
        <f si="21" t="shared"/>
        <v>1</v>
      </c>
      <c r="I41" s="31">
        <f si="22" t="shared"/>
        <v>0</v>
      </c>
      <c r="L41" s="5">
        <v>35</v>
      </c>
      <c r="M41" s="73">
        <f si="23" t="shared"/>
        <v>0</v>
      </c>
      <c r="N41" s="72">
        <f si="24" t="shared"/>
        <v>0</v>
      </c>
      <c r="O41" s="73" t="str">
        <f si="25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93">
        <f si="1" t="shared"/>
        <v>1.3894069452699999E-2</v>
      </c>
      <c r="V41">
        <f si="2" t="shared"/>
        <v>0</v>
      </c>
    </row>
    <row r="42" spans="2:22" x14ac:dyDescent="0.25">
      <c r="B42" t="s">
        <v>67</v>
      </c>
      <c r="C42" s="29">
        <f>SUM(Duration!C28:C29)</f>
        <v>8090.9415583027458</v>
      </c>
      <c r="D42" s="29">
        <f>SUM(Duration!J27:J28)</f>
        <v>11746.350080490112</v>
      </c>
      <c r="E42" s="30">
        <f si="18" t="shared"/>
        <v>3.7080296132829066E-2</v>
      </c>
      <c r="F42" s="30">
        <f si="19" t="shared"/>
        <v>5.4432184389814141E-2</v>
      </c>
      <c r="G42" s="6">
        <f si="20" t="shared"/>
        <v>0.68122006398420187</v>
      </c>
      <c r="H42" s="6">
        <f si="21" t="shared"/>
        <v>1</v>
      </c>
      <c r="I42" s="31">
        <f si="22" t="shared"/>
        <v>-0.33142543470059083</v>
      </c>
      <c r="L42" s="5">
        <v>36</v>
      </c>
      <c r="M42" s="73">
        <f si="23" t="shared"/>
        <v>-0.74881714483899997</v>
      </c>
      <c r="N42" s="72">
        <f si="24" t="shared"/>
        <v>-1.0802425795395907</v>
      </c>
      <c r="O42" s="73" t="str">
        <f si="25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93">
        <f si="1" t="shared"/>
        <v>-3.35065604818E-2</v>
      </c>
      <c r="V42">
        <f si="2" t="shared"/>
        <v>0</v>
      </c>
    </row>
    <row r="43" spans="2:22" x14ac:dyDescent="0.25">
      <c r="B43" t="s">
        <v>68</v>
      </c>
      <c r="C43" s="29">
        <f>SUM(Duration!C30:C31)</f>
        <v>3026.5551988072025</v>
      </c>
      <c r="D43" s="29">
        <f>SUM(Duration!J29:J30)</f>
        <v>4949.6108570098877</v>
      </c>
      <c r="E43" s="30">
        <f si="18" t="shared"/>
        <v>1.3870519546511991E-2</v>
      </c>
      <c r="F43" s="30">
        <f si="19" t="shared"/>
        <v>2.2936327368113553E-2</v>
      </c>
      <c r="G43" s="6">
        <f si="20" t="shared"/>
        <v>0.60474021511373299</v>
      </c>
      <c r="H43" s="6">
        <f si="21" t="shared"/>
        <v>1</v>
      </c>
      <c r="I43" s="31">
        <f si="22" t="shared"/>
        <v>-0.45051186762951334</v>
      </c>
      <c r="L43" s="5">
        <v>37</v>
      </c>
      <c r="M43" s="73">
        <f si="23" t="shared"/>
        <v>-1.76817044484</v>
      </c>
      <c r="N43" s="72">
        <f si="24" t="shared"/>
        <v>-2.2186823124695132</v>
      </c>
      <c r="O43" s="73" t="str">
        <f si="25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93">
        <f si="1" t="shared"/>
        <v>-5.4867372478100002E-3</v>
      </c>
      <c r="V43">
        <f si="2" t="shared"/>
        <v>0</v>
      </c>
    </row>
    <row r="44" spans="2:22" x14ac:dyDescent="0.25">
      <c r="B44" t="s">
        <v>69</v>
      </c>
      <c r="C44" s="29">
        <f>SUM(Duration!C32:C35)</f>
        <v>1560.0771452771855</v>
      </c>
      <c r="D44" s="29">
        <f>SUM(Duration!J31:J34)</f>
        <v>2187.7613611221313</v>
      </c>
      <c r="E44" s="30">
        <f si="18" t="shared"/>
        <v>7.1497392633585602E-3</v>
      </c>
      <c r="F44" s="30">
        <f si="19" t="shared"/>
        <v>1.0138011296573058E-2</v>
      </c>
      <c r="G44" s="6">
        <f si="20" t="shared"/>
        <v>0.70524080652537635</v>
      </c>
      <c r="H44" s="6">
        <f si="21" t="shared"/>
        <v>1</v>
      </c>
      <c r="I44" s="31">
        <f si="22" t="shared"/>
        <v>-0.29677152290683451</v>
      </c>
      <c r="L44" s="5">
        <v>38</v>
      </c>
      <c r="M44" s="73">
        <f si="23" t="shared"/>
        <v>-3.06070281512</v>
      </c>
      <c r="N44" s="72">
        <f si="24" t="shared"/>
        <v>-3.3574743380268344</v>
      </c>
      <c r="O44" s="73" t="str">
        <f si="25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93">
        <f si="1" t="shared"/>
        <v>-3.6193574736200003E-2</v>
      </c>
      <c r="V44">
        <f si="2" t="shared"/>
        <v>0</v>
      </c>
    </row>
    <row r="45" spans="2:22" x14ac:dyDescent="0.25">
      <c r="B45" t="s">
        <v>90</v>
      </c>
      <c r="C45" s="29">
        <f>SUM(Duration!C36:C43)</f>
        <v>346.56171982867045</v>
      </c>
      <c r="D45" s="29">
        <f>SUM(Duration!J35:J42)</f>
        <v>346.95814037322998</v>
      </c>
      <c r="E45" s="30">
        <f si="18" t="shared"/>
        <v>1.5882714152548323E-3</v>
      </c>
      <c r="F45" s="30">
        <f si="19" t="shared"/>
        <v>1.607792151854091E-3</v>
      </c>
      <c r="G45" s="6">
        <f si="20" t="shared"/>
        <v>0.98785866905946296</v>
      </c>
      <c r="H45" s="6">
        <f si="21" t="shared"/>
        <v>1</v>
      </c>
      <c r="I45" s="31">
        <f si="22" t="shared"/>
        <v>4.0228803067882665E-2</v>
      </c>
      <c r="L45" s="5">
        <v>39</v>
      </c>
      <c r="M45" s="73">
        <f si="23" t="shared"/>
        <v>-4.2862035546200001</v>
      </c>
      <c r="N45" s="99">
        <f si="24" t="shared"/>
        <v>-4.2459747515521178</v>
      </c>
      <c r="O45" s="73" t="str">
        <f si="25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93">
        <f si="1" t="shared"/>
        <v>-2.12729108975E-2</v>
      </c>
      <c r="V45">
        <f si="2" t="shared"/>
        <v>0</v>
      </c>
    </row>
    <row r="46" spans="2:22" x14ac:dyDescent="0.25">
      <c r="B46" s="23" t="s">
        <v>70</v>
      </c>
      <c r="C46" s="34">
        <f>SUM(Duration!C44:C55)</f>
        <v>9.2175602697372447E-2</v>
      </c>
      <c r="D46" s="34">
        <f>SUM(Duration!J43:J54)</f>
        <v>9.0784826278686523</v>
      </c>
      <c r="E46" s="35">
        <f si="18" t="shared"/>
        <v>4.2243521592776749E-7</v>
      </c>
      <c r="F46" s="35">
        <f si="19" t="shared"/>
        <v>4.2069377891319595E-5</v>
      </c>
      <c r="G46" s="22">
        <f si="20" t="shared"/>
        <v>1.0041394408518953E-2</v>
      </c>
      <c r="H46" s="22">
        <v>0</v>
      </c>
      <c r="I46" s="36">
        <f si="22" t="shared"/>
        <v>0</v>
      </c>
      <c r="L46" s="23">
        <v>40</v>
      </c>
      <c r="M46" s="74">
        <f si="23" t="shared"/>
        <v>-10</v>
      </c>
      <c r="N46" s="75">
        <f si="24" t="shared"/>
        <v>-10</v>
      </c>
      <c r="O46" s="74" t="str">
        <f si="25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93">
        <f si="1" t="shared"/>
        <v>3.8531785887300003E-2</v>
      </c>
      <c r="V46">
        <f si="2" t="shared"/>
        <v>0</v>
      </c>
    </row>
    <row ht="15.75" r="47" spans="2:22" thickBot="1" x14ac:dyDescent="0.3">
      <c r="B47" s="3" t="s">
        <v>82</v>
      </c>
      <c r="C47" s="44">
        <f>SUM(C37:C46)</f>
        <v>218200.56477756726</v>
      </c>
      <c r="D47" s="44">
        <f>SUM(D37:D46)</f>
        <v>215797.88156890869</v>
      </c>
      <c r="E47" s="45">
        <f si="18" t="shared"/>
        <v>1</v>
      </c>
      <c r="F47" s="45">
        <f si="19" t="shared"/>
        <v>1</v>
      </c>
      <c r="G47" s="46">
        <f si="20" t="shared"/>
        <v>1</v>
      </c>
      <c r="H47" s="46"/>
      <c r="I47" s="1"/>
      <c r="M47" s="76"/>
      <c r="N47" s="76"/>
      <c r="O47" s="76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93">
        <f si="1" t="shared"/>
        <v>0.25</v>
      </c>
      <c r="V47">
        <f si="2" t="shared"/>
        <v>0</v>
      </c>
    </row>
    <row r="48" spans="2:22" x14ac:dyDescent="0.25">
      <c r="M48" s="76"/>
      <c r="N48" s="76"/>
      <c r="O48" s="76"/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93">
        <f si="1" t="shared"/>
        <v>0.25</v>
      </c>
      <c r="V48">
        <f si="2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93">
        <f si="1" t="shared"/>
        <v>0.25</v>
      </c>
      <c r="V49">
        <f si="2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93">
        <f si="1" t="shared"/>
        <v>0.25</v>
      </c>
      <c r="V50">
        <f si="2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93">
        <f si="1" t="shared"/>
        <v>4.3984912551099997</v>
      </c>
      <c r="V51">
        <f si="2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93">
        <f si="1" t="shared"/>
        <v>1.2976531666</v>
      </c>
      <c r="V52">
        <f si="2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93">
        <f si="1" t="shared"/>
        <v>-0.13712603030000001</v>
      </c>
      <c r="V53">
        <f si="2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93">
        <f si="1" t="shared"/>
        <v>-0.117727254534</v>
      </c>
      <c r="V54">
        <f si="2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93">
        <f si="1" t="shared"/>
        <v>-8.0903295982399995E-2</v>
      </c>
      <c r="V55">
        <f si="2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93">
        <f si="1" t="shared"/>
        <v>-2.0259430948599999E-2</v>
      </c>
      <c r="V56">
        <f si="2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93">
        <f si="1" t="shared"/>
        <v>-88.147824057299999</v>
      </c>
      <c r="V57">
        <f si="2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93">
        <f si="1" t="shared"/>
        <v>-0.515327957738</v>
      </c>
      <c r="V58">
        <f si="2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93">
        <f si="1" t="shared"/>
        <v>-1.48342258525</v>
      </c>
      <c r="V59">
        <f si="2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93">
        <f si="1" t="shared"/>
        <v>1.6847908809200001</v>
      </c>
      <c r="V60">
        <f si="2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93">
        <f si="1" t="shared"/>
        <v>0.28553018058200003</v>
      </c>
      <c r="V61">
        <f si="2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93">
        <f si="1" t="shared"/>
        <v>0.115396426521</v>
      </c>
      <c r="V62">
        <f si="2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93">
        <f si="1" t="shared"/>
        <v>0.10498530294699999</v>
      </c>
      <c r="V63">
        <f si="2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93">
        <f si="1" t="shared"/>
        <v>0.15534523906299999</v>
      </c>
      <c r="V64">
        <f si="2" t="shared"/>
        <v>0</v>
      </c>
    </row>
    <row r="65" spans="18:18" x14ac:dyDescent="0.25">
      <c r="R65">
        <f>SchoolTourTime!B73</f>
        <v>-1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conditionalFormatting sqref="V3:V6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1"/>
  <sheetViews>
    <sheetView topLeftCell="B70" workbookViewId="0">
      <selection activeCell="R98" sqref="R98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4" max="4" bestFit="true" customWidth="true" width="10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1.7109375" collapsed="true"/>
    <col min="21" max="21" bestFit="true" customWidth="true" width="16.42578125" collapsed="true"/>
  </cols>
  <sheetData>
    <row ht="15.75" r="1" spans="2:22" thickBot="1" x14ac:dyDescent="0.3">
      <c r="B1" s="37" t="s">
        <v>259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258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92" t="s">
        <v>89</v>
      </c>
      <c r="N3" s="68" t="s">
        <v>91</v>
      </c>
      <c r="O3" s="69" t="s">
        <v>195</v>
      </c>
      <c r="R3" s="66">
        <f>OtherTourTime!B11</f>
        <v>11</v>
      </c>
      <c r="S3" s="66" t="str">
        <f>OtherTourTime!C11</f>
        <v>arr3-5</v>
      </c>
      <c r="T3" s="66">
        <f>VLOOKUP(R3,OtherTourTime!$B$11:$E$105,4,FALSE)</f>
        <v>-4.7382847432800004</v>
      </c>
      <c r="U3" s="93">
        <f>_xlfn.IFNA(VLOOKUP(R3,$L$3:$N$46,3,FALSE),T3)</f>
        <v>-5.0352288020919556</v>
      </c>
      <c r="V3">
        <f>IF(T3=U3,0,1)</f>
        <v>1</v>
      </c>
    </row>
    <row r="4" spans="2:22" x14ac:dyDescent="0.25">
      <c r="B4" t="s">
        <v>73</v>
      </c>
      <c r="C4" s="29">
        <f>SUM(Departure_Time!D9:D16)</f>
        <v>21327.719367013833</v>
      </c>
      <c r="D4" s="29">
        <f>SUM(Departure_Time!K9:K16)</f>
        <v>35024.84411239624</v>
      </c>
      <c r="E4" s="30">
        <f>C4/C$14</f>
        <v>3.3455211081756218E-2</v>
      </c>
      <c r="F4" s="30">
        <f>D4/D$14</f>
        <v>3.887560485085121E-2</v>
      </c>
      <c r="G4" s="6">
        <f>E4/F4</f>
        <v>0.86057081838621718</v>
      </c>
      <c r="H4" s="6">
        <f>$F$1</f>
        <v>1</v>
      </c>
      <c r="I4" s="31">
        <f>H4*(LN(G4)-LN($G$8))</f>
        <v>-0.1867596818920198</v>
      </c>
      <c r="L4" s="70">
        <v>21</v>
      </c>
      <c r="M4" s="71">
        <f>VLOOKUP(L4,$R$3:$U$97,3,FALSE)</f>
        <v>-0.83847255197600001</v>
      </c>
      <c r="N4" s="72">
        <f>I4+M4</f>
        <v>-1.0252322338680198</v>
      </c>
      <c r="O4" s="70" t="str">
        <f>CONCATENATE("Departure ",B4)</f>
        <v>Departure 3-7 am</v>
      </c>
      <c r="R4" s="66">
        <f>OtherTourTime!B12</f>
        <v>12</v>
      </c>
      <c r="S4" s="66" t="str">
        <f>OtherTourTime!C12</f>
        <v>arr=6</v>
      </c>
      <c r="T4" s="66">
        <f>VLOOKUP(R4,OtherTourTime!$B$11:$E$105,4,FALSE)</f>
        <v>-2.2031235173399999</v>
      </c>
      <c r="U4" s="93">
        <f ref="U4:U67" si="0" t="shared">_xlfn.IFNA(VLOOKUP(R4,$L$3:$N$46,3,FALSE),T4)</f>
        <v>-2.0566706535975809</v>
      </c>
      <c r="V4">
        <f ref="V4:V67" si="1" t="shared">IF(T4=U4,0,1)</f>
        <v>1</v>
      </c>
    </row>
    <row r="5" spans="2:22" x14ac:dyDescent="0.25">
      <c r="B5" t="s">
        <v>74</v>
      </c>
      <c r="C5" s="29">
        <f>SUM(Departure_Time!D17:D22)</f>
        <v>73212.136279343147</v>
      </c>
      <c r="D5" s="29">
        <f>SUM(Departure_Time!K17:K22)</f>
        <v>98622.822067260742</v>
      </c>
      <c r="E5" s="30">
        <f ref="E5:F14" si="2" t="shared">C5/C$14</f>
        <v>0.11484244662183334</v>
      </c>
      <c r="F5" s="30">
        <f si="2" t="shared"/>
        <v>0.10946577942385968</v>
      </c>
      <c r="G5" s="6">
        <f ref="G5:G14" si="3" t="shared">E5/F5</f>
        <v>1.0491173335289998</v>
      </c>
      <c r="H5" s="6">
        <f ref="H5:H13" si="4" t="shared">$F$1</f>
        <v>1</v>
      </c>
      <c r="I5" s="31">
        <f ref="I5:I13" si="5" t="shared">H5*(LN(G5)-LN($G$8))</f>
        <v>1.1348861616139565E-2</v>
      </c>
      <c r="L5" s="70">
        <v>22</v>
      </c>
      <c r="M5" s="73">
        <f ref="M5:M12" si="6" t="shared">VLOOKUP(L5,$R$3:$U$97,3,FALSE)</f>
        <v>-0.52238609078099996</v>
      </c>
      <c r="N5" s="72">
        <f ref="N5:N13" si="7" t="shared">I5+M5</f>
        <v>-0.51103722916486038</v>
      </c>
      <c r="O5" s="70" t="str">
        <f ref="O5:O13" si="8" t="shared">CONCATENATE("Departure ",B5)</f>
        <v>Departure 7-10 am</v>
      </c>
      <c r="R5" s="66">
        <f>OtherTourTime!B13</f>
        <v>13</v>
      </c>
      <c r="S5" s="66" t="str">
        <f>OtherTourTime!C13</f>
        <v>arr=7</v>
      </c>
      <c r="T5" s="66">
        <f>VLOOKUP(R5,OtherTourTime!$B$11:$E$105,4,FALSE)</f>
        <v>-0.842404611395</v>
      </c>
      <c r="U5" s="93">
        <f si="0" t="shared"/>
        <v>-0.73320931802543077</v>
      </c>
      <c r="V5">
        <f si="1" t="shared"/>
        <v>1</v>
      </c>
    </row>
    <row r="6" spans="2:22" x14ac:dyDescent="0.25">
      <c r="B6" t="s">
        <v>75</v>
      </c>
      <c r="C6" s="29">
        <f>SUM(Departure_Time!D23:D28)</f>
        <v>97529.311205537932</v>
      </c>
      <c r="D6" s="29">
        <f>SUM(Departure_Time!K23:K28)</f>
        <v>158303.24215698242</v>
      </c>
      <c r="E6" s="30">
        <f si="2" t="shared"/>
        <v>0.15298699485356218</v>
      </c>
      <c r="F6" s="30">
        <f si="2" t="shared"/>
        <v>0.17570768534913606</v>
      </c>
      <c r="G6" s="6">
        <f si="3" t="shared"/>
        <v>0.87069040007881704</v>
      </c>
      <c r="H6" s="6">
        <f si="4" t="shared"/>
        <v>1</v>
      </c>
      <c r="I6" s="31">
        <f si="5" t="shared"/>
        <v>-0.17506913301689125</v>
      </c>
      <c r="L6" s="70">
        <v>23</v>
      </c>
      <c r="M6" s="73">
        <f si="6" t="shared"/>
        <v>-0.22382580412899999</v>
      </c>
      <c r="N6" s="72">
        <f si="7" t="shared"/>
        <v>-0.39889493714589125</v>
      </c>
      <c r="O6" s="70" t="str">
        <f si="8" t="shared"/>
        <v>Departure 10 am - 1 pm</v>
      </c>
      <c r="R6" s="66">
        <f>OtherTourTime!B14</f>
        <v>14</v>
      </c>
      <c r="S6" s="66" t="str">
        <f>OtherTourTime!C14</f>
        <v>arr=8</v>
      </c>
      <c r="T6" s="66">
        <f>VLOOKUP(R6,OtherTourTime!$B$11:$E$105,4,FALSE)</f>
        <v>0</v>
      </c>
      <c r="U6" s="93">
        <f si="0" t="shared"/>
        <v>0</v>
      </c>
      <c r="V6">
        <f si="1" t="shared"/>
        <v>0</v>
      </c>
    </row>
    <row r="7" spans="2:22" x14ac:dyDescent="0.25">
      <c r="B7" t="s">
        <v>76</v>
      </c>
      <c r="C7" s="29">
        <f>SUM(Departure_Time!D29:D32)</f>
        <v>89640.216421648365</v>
      </c>
      <c r="D7" s="29">
        <f>SUM(Departure_Time!K29:K32)</f>
        <v>122391.91201972961</v>
      </c>
      <c r="E7" s="30">
        <f si="2" t="shared"/>
        <v>0.14061195715275612</v>
      </c>
      <c r="F7" s="30">
        <f si="2" t="shared"/>
        <v>0.13584813092530365</v>
      </c>
      <c r="G7" s="6">
        <f si="3" t="shared"/>
        <v>1.0350672931236122</v>
      </c>
      <c r="H7" s="6">
        <f si="4" t="shared"/>
        <v>1</v>
      </c>
      <c r="I7" s="31">
        <f si="5" t="shared"/>
        <v>-2.1338721729650678E-3</v>
      </c>
      <c r="L7" s="70">
        <v>24</v>
      </c>
      <c r="M7" s="73">
        <f si="6" t="shared"/>
        <v>9.0900054794600005E-2</v>
      </c>
      <c r="N7" s="72">
        <f si="7" t="shared"/>
        <v>8.8766182621634937E-2</v>
      </c>
      <c r="O7" s="70" t="str">
        <f si="8" t="shared"/>
        <v>Departure 1-3 pm</v>
      </c>
      <c r="R7" s="66">
        <f>OtherTourTime!B15</f>
        <v>15</v>
      </c>
      <c r="S7" s="66" t="str">
        <f>OtherTourTime!C15</f>
        <v>arr=9</v>
      </c>
      <c r="T7" s="66">
        <f>VLOOKUP(R7,OtherTourTime!$B$11:$E$105,4,FALSE)</f>
        <v>-4.1434446652899998E-2</v>
      </c>
      <c r="U7" s="93">
        <f si="0" t="shared"/>
        <v>-0.14176867596343073</v>
      </c>
      <c r="V7">
        <f si="1" t="shared"/>
        <v>1</v>
      </c>
    </row>
    <row r="8" spans="2:22" x14ac:dyDescent="0.25">
      <c r="B8" t="s">
        <v>173</v>
      </c>
      <c r="C8" s="29">
        <f>SUM(Departure_Time!D33:D36)</f>
        <v>92393.088394415667</v>
      </c>
      <c r="D8" s="29">
        <f>SUM(Departure_Time!K33:K36)</f>
        <v>125881.69396686554</v>
      </c>
      <c r="E8" s="30">
        <f si="2" t="shared"/>
        <v>0.14493018318270018</v>
      </c>
      <c r="F8" s="30">
        <f si="2" t="shared"/>
        <v>0.13972159239046042</v>
      </c>
      <c r="G8" s="6">
        <f si="3" t="shared"/>
        <v>1.0372783526377516</v>
      </c>
      <c r="H8" s="6">
        <f si="4" t="shared"/>
        <v>1</v>
      </c>
      <c r="I8" s="31">
        <f si="5" t="shared"/>
        <v>0</v>
      </c>
      <c r="L8" s="70">
        <v>25</v>
      </c>
      <c r="M8" s="73">
        <f si="6" t="shared"/>
        <v>0</v>
      </c>
      <c r="N8" s="72">
        <f si="7" t="shared"/>
        <v>0</v>
      </c>
      <c r="O8" s="70" t="str">
        <f si="8" t="shared"/>
        <v>Departure 3-5 pm</v>
      </c>
      <c r="R8" s="66">
        <f>OtherTourTime!B16</f>
        <v>16</v>
      </c>
      <c r="S8" s="66" t="str">
        <f>OtherTourTime!C16</f>
        <v>arr10-12</v>
      </c>
      <c r="T8" s="66">
        <f>VLOOKUP(R8,OtherTourTime!$B$11:$E$105,4,FALSE)</f>
        <v>0.381838665041</v>
      </c>
      <c r="U8" s="93">
        <f si="0" t="shared"/>
        <v>0.19152014657932442</v>
      </c>
      <c r="V8">
        <f si="1" t="shared"/>
        <v>1</v>
      </c>
    </row>
    <row r="9" spans="2:22" x14ac:dyDescent="0.25">
      <c r="B9" t="s">
        <v>77</v>
      </c>
      <c r="C9" s="29">
        <f>SUM(Departure_Time!D37:D38)</f>
        <v>44537.103694788158</v>
      </c>
      <c r="D9" s="29">
        <f>SUM(Departure_Time!K37:K38)</f>
        <v>58209.809568405151</v>
      </c>
      <c r="E9" s="30">
        <f si="2" t="shared"/>
        <v>6.9862050387988692E-2</v>
      </c>
      <c r="F9" s="30">
        <f si="2" t="shared"/>
        <v>6.4609611051022503E-2</v>
      </c>
      <c r="G9" s="6">
        <f si="3" t="shared"/>
        <v>1.0812950155793124</v>
      </c>
      <c r="H9" s="6">
        <f si="4" t="shared"/>
        <v>1</v>
      </c>
      <c r="I9" s="31">
        <f si="5" t="shared"/>
        <v>4.155909701556193E-2</v>
      </c>
      <c r="L9" s="70">
        <v>26</v>
      </c>
      <c r="M9" s="73">
        <f si="6" t="shared"/>
        <v>-0.28099912158000001</v>
      </c>
      <c r="N9" s="72">
        <f si="7" t="shared"/>
        <v>-0.23944002456443808</v>
      </c>
      <c r="O9" s="70" t="str">
        <f si="8" t="shared"/>
        <v>Departure 5-6 pm</v>
      </c>
      <c r="R9" s="66">
        <f>OtherTourTime!B17</f>
        <v>17</v>
      </c>
      <c r="S9" s="66" t="str">
        <f>OtherTourTime!C17</f>
        <v>arr13-15</v>
      </c>
      <c r="T9" s="66">
        <f>VLOOKUP(R9,OtherTourTime!$B$11:$E$105,4,FALSE)</f>
        <v>0.43605973451500002</v>
      </c>
      <c r="U9" s="93">
        <f si="0" t="shared"/>
        <v>0.36075494889124948</v>
      </c>
      <c r="V9">
        <f si="1" t="shared"/>
        <v>1</v>
      </c>
    </row>
    <row r="10" spans="2:22" x14ac:dyDescent="0.25">
      <c r="B10" t="s">
        <v>78</v>
      </c>
      <c r="C10" s="29">
        <f>SUM(Departure_Time!D39:D40)</f>
        <v>49499.573954111125</v>
      </c>
      <c r="D10" s="29">
        <f>SUM(Departure_Time!K39:K40)</f>
        <v>58900.010566711426</v>
      </c>
      <c r="E10" s="30">
        <f si="2" t="shared"/>
        <v>7.7646309321429088E-2</v>
      </c>
      <c r="F10" s="30">
        <f si="2" t="shared"/>
        <v>6.5375695296585809E-2</v>
      </c>
      <c r="G10" s="6">
        <f si="3" t="shared"/>
        <v>1.1876938206037573</v>
      </c>
      <c r="H10" s="6">
        <f si="4" t="shared"/>
        <v>1</v>
      </c>
      <c r="I10" s="31">
        <f si="5" t="shared"/>
        <v>0.13541314667120191</v>
      </c>
      <c r="L10" s="70">
        <v>27</v>
      </c>
      <c r="M10" s="73">
        <f si="6" t="shared"/>
        <v>-0.40209891544900001</v>
      </c>
      <c r="N10" s="72">
        <f si="7" t="shared"/>
        <v>-0.26668576877779809</v>
      </c>
      <c r="O10" s="70" t="str">
        <f si="8" t="shared"/>
        <v>Departure 6-7 pm</v>
      </c>
      <c r="R10" s="66">
        <f>OtherTourTime!B18</f>
        <v>18</v>
      </c>
      <c r="S10" s="66" t="str">
        <f>OtherTourTime!C18</f>
        <v>arr16-18</v>
      </c>
      <c r="T10" s="66">
        <f>VLOOKUP(R10,OtherTourTime!$B$11:$E$105,4,FALSE)</f>
        <v>0.74100262054300003</v>
      </c>
      <c r="U10" s="93">
        <f si="0" t="shared"/>
        <v>0.91869619878539632</v>
      </c>
      <c r="V10">
        <f si="1" t="shared"/>
        <v>1</v>
      </c>
    </row>
    <row r="11" spans="2:22" x14ac:dyDescent="0.25">
      <c r="B11" t="s">
        <v>79</v>
      </c>
      <c r="C11" s="29">
        <f>SUM(Departure_Time!D41:D44)</f>
        <v>101732.44339211557</v>
      </c>
      <c r="D11" s="29">
        <f>SUM(Departure_Time!K41:K44)</f>
        <v>117488.47204399109</v>
      </c>
      <c r="E11" s="30">
        <f si="2" t="shared"/>
        <v>0.15958013648707225</v>
      </c>
      <c r="F11" s="30">
        <f si="2" t="shared"/>
        <v>0.13040558864603019</v>
      </c>
      <c r="G11" s="6">
        <f si="3" t="shared"/>
        <v>1.2237216069031578</v>
      </c>
      <c r="H11" s="6">
        <f si="4" t="shared"/>
        <v>1</v>
      </c>
      <c r="I11" s="31">
        <f si="5" t="shared"/>
        <v>0.16529639859247564</v>
      </c>
      <c r="L11" s="70">
        <v>28</v>
      </c>
      <c r="M11" s="73">
        <f si="6" t="shared"/>
        <v>-0.26728246917800003</v>
      </c>
      <c r="N11" s="72">
        <f si="7" t="shared"/>
        <v>-0.10198607058552439</v>
      </c>
      <c r="O11" s="70" t="str">
        <f si="8" t="shared"/>
        <v>Departure 7-9 pm</v>
      </c>
      <c r="R11" s="66">
        <f>OtherTourTime!B19</f>
        <v>19</v>
      </c>
      <c r="S11" s="66" t="str">
        <f>OtherTourTime!C19</f>
        <v>arr19-21</v>
      </c>
      <c r="T11" s="66">
        <f>VLOOKUP(R11,OtherTourTime!$B$11:$E$105,4,FALSE)</f>
        <v>0.29206963900499999</v>
      </c>
      <c r="U11" s="93">
        <f si="0" t="shared"/>
        <v>0.26422038411522936</v>
      </c>
      <c r="V11">
        <f si="1" t="shared"/>
        <v>1</v>
      </c>
    </row>
    <row r="12" spans="2:22" x14ac:dyDescent="0.25">
      <c r="B12" t="s">
        <v>80</v>
      </c>
      <c r="C12" s="29">
        <f>SUM(Departure_Time!D45:D50)</f>
        <v>62360.957158011122</v>
      </c>
      <c r="D12" s="29">
        <f>SUM(Departure_Time!K45:K50)</f>
        <v>103414.91623497009</v>
      </c>
      <c r="E12" s="30">
        <f si="2" t="shared"/>
        <v>9.7821006975943176E-2</v>
      </c>
      <c r="F12" s="30">
        <f si="2" t="shared"/>
        <v>0.11478473412567383</v>
      </c>
      <c r="G12" s="6">
        <f si="3" t="shared"/>
        <v>0.8522126894404124</v>
      </c>
      <c r="H12" s="6">
        <f si="4" t="shared"/>
        <v>1</v>
      </c>
      <c r="I12" s="31">
        <f si="5" t="shared"/>
        <v>-0.19651946210062188</v>
      </c>
      <c r="L12" s="70">
        <v>29</v>
      </c>
      <c r="M12" s="73">
        <f si="6" t="shared"/>
        <v>-0.341568298986</v>
      </c>
      <c r="N12" s="72">
        <f si="7" t="shared"/>
        <v>-0.53808776108662193</v>
      </c>
      <c r="O12" s="70" t="str">
        <f si="8" t="shared"/>
        <v>Departure 9-12 pm</v>
      </c>
      <c r="R12" s="66">
        <f>OtherTourTime!B20</f>
        <v>20</v>
      </c>
      <c r="S12" s="66" t="str">
        <f>OtherTourTime!C20</f>
        <v>arr22-26</v>
      </c>
      <c r="T12" s="66">
        <f>VLOOKUP(R12,OtherTourTime!$B$11:$E$105,4,FALSE)</f>
        <v>-1.2273424938399999</v>
      </c>
      <c r="U12" s="93">
        <f si="0" t="shared"/>
        <v>-2.0524405118832103</v>
      </c>
      <c r="V12">
        <f si="1" t="shared"/>
        <v>1</v>
      </c>
    </row>
    <row r="13" spans="2:22" x14ac:dyDescent="0.25">
      <c r="B13" s="23" t="s">
        <v>81</v>
      </c>
      <c r="C13" s="34">
        <f>SUM(Departure_Time!D51:D57)+Departure_Time!D8</f>
        <v>5268.1167674052722</v>
      </c>
      <c r="D13" s="34">
        <f>SUM(Departure_Time!K51:K57)+Departure_Time!K8</f>
        <v>22708.879811286926</v>
      </c>
      <c r="E13" s="35">
        <f si="2" t="shared"/>
        <v>8.2637039349584898E-3</v>
      </c>
      <c r="F13" s="35">
        <f si="2" t="shared"/>
        <v>2.520557794107665E-2</v>
      </c>
      <c r="G13" s="22">
        <f si="3" t="shared"/>
        <v>0.32785219026822709</v>
      </c>
      <c r="H13" s="6">
        <f si="4" t="shared"/>
        <v>1</v>
      </c>
      <c r="I13" s="31">
        <f si="5" t="shared"/>
        <v>-1.1517927258800784</v>
      </c>
      <c r="L13" s="74">
        <v>30</v>
      </c>
      <c r="M13" s="74">
        <f>VLOOKUP(L13,$R$3:$U$97,3,FALSE)</f>
        <v>-1.7070994934899999</v>
      </c>
      <c r="N13" s="75">
        <f si="7" t="shared"/>
        <v>-2.8588922193700785</v>
      </c>
      <c r="O13" s="74" t="str">
        <f si="8" t="shared"/>
        <v>Departure 12-3 am</v>
      </c>
      <c r="R13" s="66">
        <f>OtherTourTime!B21</f>
        <v>21</v>
      </c>
      <c r="S13" s="66" t="str">
        <f>OtherTourTime!C21</f>
        <v>dep3-6</v>
      </c>
      <c r="T13" s="66">
        <f>VLOOKUP(R13,OtherTourTime!$B$11:$E$105,4,FALSE)</f>
        <v>-0.83847255197600001</v>
      </c>
      <c r="U13" s="93">
        <f si="0" t="shared"/>
        <v>-1.0252322338680198</v>
      </c>
      <c r="V13">
        <f si="1" t="shared"/>
        <v>1</v>
      </c>
    </row>
    <row ht="15.75" r="14" spans="2:22" thickBot="1" x14ac:dyDescent="0.3">
      <c r="B14" s="39" t="s">
        <v>82</v>
      </c>
      <c r="C14" s="40">
        <f>SUM(C4:C13)</f>
        <v>637500.66663439036</v>
      </c>
      <c r="D14" s="40">
        <f>SUM(D4:D13)</f>
        <v>900946.60254859924</v>
      </c>
      <c r="E14" s="41">
        <f si="2" t="shared"/>
        <v>1</v>
      </c>
      <c r="F14" s="41">
        <f si="2" t="shared"/>
        <v>1</v>
      </c>
      <c r="G14" s="42">
        <f si="3" t="shared"/>
        <v>1</v>
      </c>
      <c r="H14" s="42"/>
      <c r="I14" s="43"/>
      <c r="R14" s="66">
        <f>OtherTourTime!B22</f>
        <v>22</v>
      </c>
      <c r="S14" s="66" t="str">
        <f>OtherTourTime!C22</f>
        <v>dep7-9</v>
      </c>
      <c r="T14" s="66">
        <f>VLOOKUP(R14,OtherTourTime!$B$11:$E$105,4,FALSE)</f>
        <v>-0.52238609078099996</v>
      </c>
      <c r="U14" s="93">
        <f si="0" t="shared"/>
        <v>-0.51103722916486038</v>
      </c>
      <c r="V14">
        <f si="1" t="shared"/>
        <v>1</v>
      </c>
    </row>
    <row r="15" spans="2:22" x14ac:dyDescent="0.25">
      <c r="R15" s="66">
        <f>OtherTourTime!B23</f>
        <v>23</v>
      </c>
      <c r="S15" s="66" t="str">
        <f>OtherTourTime!C23</f>
        <v>dep10-12</v>
      </c>
      <c r="T15" s="66">
        <f>VLOOKUP(R15,OtherTourTime!$B$11:$E$105,4,FALSE)</f>
        <v>-0.22382580412899999</v>
      </c>
      <c r="U15" s="93">
        <f si="0" t="shared"/>
        <v>-0.39889493714589125</v>
      </c>
      <c r="V15">
        <f si="1" t="shared"/>
        <v>1</v>
      </c>
    </row>
    <row r="16" spans="2:22" x14ac:dyDescent="0.25">
      <c r="R16" s="66">
        <f>OtherTourTime!B24</f>
        <v>24</v>
      </c>
      <c r="S16" s="66" t="str">
        <f>OtherTourTime!C24</f>
        <v>dep13-14</v>
      </c>
      <c r="T16" s="66">
        <f>VLOOKUP(R16,OtherTourTime!$B$11:$E$105,4,FALSE)</f>
        <v>9.0900054794600005E-2</v>
      </c>
      <c r="U16" s="93">
        <f si="0" t="shared"/>
        <v>8.8766182621634937E-2</v>
      </c>
      <c r="V16">
        <f si="1" t="shared"/>
        <v>1</v>
      </c>
    </row>
    <row ht="15.75" r="17" spans="2:22" thickBot="1" x14ac:dyDescent="0.3">
      <c r="B17" s="37" t="s">
        <v>260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OtherTourTime!B25</f>
        <v>25</v>
      </c>
      <c r="S17" s="66" t="str">
        <f>OtherTourTime!C25</f>
        <v>dep=16</v>
      </c>
      <c r="T17" s="66">
        <f>VLOOKUP(R17,OtherTourTime!$B$11:$E$105,4,FALSE)</f>
        <v>0</v>
      </c>
      <c r="U17" s="93">
        <f si="0" t="shared"/>
        <v>0</v>
      </c>
      <c r="V17">
        <f si="1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OtherTourTime!B26</f>
        <v>26</v>
      </c>
      <c r="S18" s="66" t="str">
        <f>OtherTourTime!C26</f>
        <v>dep=17</v>
      </c>
      <c r="T18" s="66">
        <f>VLOOKUP(R18,OtherTourTime!$B$11:$E$105,4,FALSE)</f>
        <v>-0.28099912158000001</v>
      </c>
      <c r="U18" s="93">
        <f si="0" t="shared"/>
        <v>-0.23944002456443808</v>
      </c>
      <c r="V18">
        <f si="1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2" t="s">
        <v>89</v>
      </c>
      <c r="N19" s="68" t="s">
        <v>91</v>
      </c>
      <c r="O19" s="69" t="s">
        <v>195</v>
      </c>
      <c r="R19" s="66">
        <f>OtherTourTime!B27</f>
        <v>27</v>
      </c>
      <c r="S19" s="66" t="str">
        <f>OtherTourTime!C27</f>
        <v>dep=18</v>
      </c>
      <c r="T19" s="66">
        <f>VLOOKUP(R19,OtherTourTime!$B$11:$E$105,4,FALSE)</f>
        <v>-0.40209891544900001</v>
      </c>
      <c r="U19" s="93">
        <f si="0" t="shared"/>
        <v>-0.26668576877779809</v>
      </c>
      <c r="V19">
        <f si="1" t="shared"/>
        <v>1</v>
      </c>
    </row>
    <row r="20" spans="2:22" x14ac:dyDescent="0.25">
      <c r="B20" t="s">
        <v>221</v>
      </c>
      <c r="C20" s="29">
        <f>SUM(Arrival_Time!D9:D14)</f>
        <v>10025.467987125492</v>
      </c>
      <c r="D20" s="29">
        <f>SUM(Arrival_Time!K9:K14)</f>
        <v>17909.511780738831</v>
      </c>
      <c r="E20" s="30">
        <f>C20/C$14</f>
        <v>1.5726207848618841E-2</v>
      </c>
      <c r="F20" s="30">
        <f>D20/D$14</f>
        <v>1.9878549661074666E-2</v>
      </c>
      <c r="G20" s="6">
        <f>E20/F20</f>
        <v>0.79111444832483102</v>
      </c>
      <c r="H20" s="6">
        <f>$F$17</f>
        <v>1</v>
      </c>
      <c r="I20" s="31">
        <f>H20*(LN(G20)-LN($G$23))</f>
        <v>-0.29694405881195524</v>
      </c>
      <c r="L20" s="70">
        <v>11</v>
      </c>
      <c r="M20" s="71">
        <f>VLOOKUP(L20,$R$3:$U$97,3,FALSE)</f>
        <v>-4.7382847432800004</v>
      </c>
      <c r="N20" s="72">
        <f>I20+M20</f>
        <v>-5.0352288020919556</v>
      </c>
      <c r="O20" s="71" t="str">
        <f>CONCATENATE("Arrival ",B20)</f>
        <v>Arrival 3-6 am</v>
      </c>
      <c r="R20" s="66">
        <f>OtherTourTime!B28</f>
        <v>28</v>
      </c>
      <c r="S20" s="66" t="str">
        <f>OtherTourTime!C28</f>
        <v>dep19-20</v>
      </c>
      <c r="T20" s="66">
        <f>VLOOKUP(R20,OtherTourTime!$B$11:$E$105,4,FALSE)</f>
        <v>-0.26728246917800003</v>
      </c>
      <c r="U20" s="93">
        <f si="0" t="shared"/>
        <v>-0.10198607058552439</v>
      </c>
      <c r="V20">
        <f si="1" t="shared"/>
        <v>1</v>
      </c>
    </row>
    <row r="21" spans="2:22" x14ac:dyDescent="0.25">
      <c r="B21" t="s">
        <v>222</v>
      </c>
      <c r="C21" s="29">
        <f>SUM(Arrival_Time!D15:D16)</f>
        <v>17535.194989839267</v>
      </c>
      <c r="D21" s="29">
        <f>SUM(Arrival_Time!K15:K16)</f>
        <v>20105.961899757385</v>
      </c>
      <c r="E21" s="30">
        <f ref="E21:F30" si="9" t="shared">C21/C$14</f>
        <v>2.7506159456137141E-2</v>
      </c>
      <c r="F21" s="30">
        <f si="9" t="shared"/>
        <v>2.2316485619549048E-2</v>
      </c>
      <c r="G21" s="6">
        <f ref="G21:G30" si="10" t="shared">E21/F21</f>
        <v>1.2325488844911128</v>
      </c>
      <c r="H21" s="6">
        <f ref="H21:H28" si="11" t="shared">$F$17</f>
        <v>1</v>
      </c>
      <c r="I21" s="31">
        <f ref="I21:I29" si="12" t="shared">H21*(LN(G21)-LN($G$23))</f>
        <v>0.146452863742419</v>
      </c>
      <c r="L21" s="70">
        <v>12</v>
      </c>
      <c r="M21" s="73">
        <f ref="M21:M29" si="13" t="shared">VLOOKUP(L21,$R$3:$U$97,3,FALSE)</f>
        <v>-2.2031235173399999</v>
      </c>
      <c r="N21" s="72">
        <f ref="N21:N29" si="14" t="shared">I21+M21</f>
        <v>-2.0566706535975809</v>
      </c>
      <c r="O21" s="73" t="str">
        <f ref="O21:O29" si="15" t="shared">CONCATENATE("Arrival ",B21)</f>
        <v>Arrival 6-7 am</v>
      </c>
      <c r="R21" s="66">
        <f>OtherTourTime!B29</f>
        <v>29</v>
      </c>
      <c r="S21" s="66" t="str">
        <f>OtherTourTime!C29</f>
        <v>dep21-23</v>
      </c>
      <c r="T21" s="66">
        <f>VLOOKUP(R21,OtherTourTime!$B$11:$E$105,4,FALSE)</f>
        <v>-0.341568298986</v>
      </c>
      <c r="U21" s="93">
        <f si="0" t="shared"/>
        <v>-0.53808776108662193</v>
      </c>
      <c r="V21">
        <f si="1" t="shared"/>
        <v>1</v>
      </c>
    </row>
    <row r="22" spans="2:22" x14ac:dyDescent="0.25">
      <c r="B22" t="s">
        <v>223</v>
      </c>
      <c r="C22" s="29">
        <f>SUM(Arrival_Time!D17:D18)</f>
        <v>29968.212919422425</v>
      </c>
      <c r="D22" s="29">
        <f>SUM(Arrival_Time!K17:K18)</f>
        <v>35666.119351387024</v>
      </c>
      <c r="E22" s="30">
        <f si="9" t="shared"/>
        <v>4.7008912284964462E-2</v>
      </c>
      <c r="F22" s="30">
        <f si="9" t="shared"/>
        <v>3.9587384258395163E-2</v>
      </c>
      <c r="G22" s="6">
        <f si="10" t="shared"/>
        <v>1.1874720486235573</v>
      </c>
      <c r="H22" s="6">
        <f si="11" t="shared"/>
        <v>1</v>
      </c>
      <c r="I22" s="31">
        <f>H22*(LN(G22)-LN($G$23))</f>
        <v>0.10919529336956921</v>
      </c>
      <c r="L22" s="70">
        <v>13</v>
      </c>
      <c r="M22" s="73">
        <f si="13" t="shared"/>
        <v>-0.842404611395</v>
      </c>
      <c r="N22" s="72">
        <f si="14" t="shared"/>
        <v>-0.73320931802543077</v>
      </c>
      <c r="O22" s="73" t="str">
        <f si="15" t="shared"/>
        <v>Arrival 7-8 am</v>
      </c>
      <c r="R22" s="66">
        <f>OtherTourTime!B30</f>
        <v>30</v>
      </c>
      <c r="S22" s="66" t="str">
        <f>OtherTourTime!C30</f>
        <v>dep24-26</v>
      </c>
      <c r="T22" s="66">
        <f>VLOOKUP(R22,OtherTourTime!$B$11:$E$105,4,FALSE)</f>
        <v>-1.7070994934899999</v>
      </c>
      <c r="U22" s="93">
        <f si="0" t="shared"/>
        <v>-2.8588922193700785</v>
      </c>
      <c r="V22">
        <f si="1" t="shared"/>
        <v>1</v>
      </c>
    </row>
    <row r="23" spans="2:22" x14ac:dyDescent="0.25">
      <c r="B23" t="s">
        <v>224</v>
      </c>
      <c r="C23" s="29">
        <f>SUM(Arrival_Time!D19:D20)</f>
        <v>36565.083735990018</v>
      </c>
      <c r="D23" s="29">
        <f>SUM(Arrival_Time!K19:K20)</f>
        <v>48538.292959213257</v>
      </c>
      <c r="E23" s="30">
        <f>C23/C$14</f>
        <v>5.7356934117466993E-2</v>
      </c>
      <c r="F23" s="30">
        <f si="9" t="shared"/>
        <v>5.3874772180624302E-2</v>
      </c>
      <c r="G23" s="6">
        <f>E23/F23</f>
        <v>1.0646343695926574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R23" s="88">
        <f>OtherTourTime!B31</f>
        <v>31</v>
      </c>
      <c r="S23" s="88" t="str">
        <f>OtherTourTime!C31</f>
        <v>dur0-0</v>
      </c>
      <c r="T23" s="88">
        <f>VLOOKUP(R23,OtherTourTime!$B$11:$E$105,4,FALSE)</f>
        <v>-0.383569882744</v>
      </c>
      <c r="U23" s="93">
        <f si="0" t="shared"/>
        <v>0.10600634505877987</v>
      </c>
      <c r="V23">
        <f si="1" t="shared"/>
        <v>1</v>
      </c>
    </row>
    <row r="24" spans="2:22" x14ac:dyDescent="0.25">
      <c r="B24" t="s">
        <v>225</v>
      </c>
      <c r="C24" s="29">
        <f>SUM(Arrival_Time!D21:D22)</f>
        <v>38029.34931623585</v>
      </c>
      <c r="D24" s="29">
        <f>SUM(Arrival_Time!K21:K22)</f>
        <v>55809.922967910767</v>
      </c>
      <c r="E24" s="30">
        <f si="9" t="shared"/>
        <v>5.9653818900311614E-2</v>
      </c>
      <c r="F24" s="30">
        <f si="9" t="shared"/>
        <v>6.1945872052833723E-2</v>
      </c>
      <c r="G24" s="6">
        <f si="10" t="shared"/>
        <v>0.96299909781611903</v>
      </c>
      <c r="H24" s="6">
        <f si="11" t="shared"/>
        <v>1</v>
      </c>
      <c r="I24" s="31">
        <f si="12" t="shared"/>
        <v>-0.10033422931053074</v>
      </c>
      <c r="L24" s="70">
        <v>15</v>
      </c>
      <c r="M24" s="73">
        <f si="13" t="shared"/>
        <v>-4.1434446652899998E-2</v>
      </c>
      <c r="N24" s="72">
        <f si="14" t="shared"/>
        <v>-0.14176867596343073</v>
      </c>
      <c r="O24" s="73" t="str">
        <f si="15" t="shared"/>
        <v>Arrival 9-10 am</v>
      </c>
      <c r="R24" s="88">
        <f>OtherTourTime!B32</f>
        <v>32</v>
      </c>
      <c r="S24" s="88" t="str">
        <f>OtherTourTime!C32</f>
        <v>dur1-1</v>
      </c>
      <c r="T24" s="88">
        <f>VLOOKUP(R24,OtherTourTime!$B$11:$E$105,4,FALSE)</f>
        <v>0.16772900587199999</v>
      </c>
      <c r="U24" s="93">
        <f si="0" t="shared"/>
        <v>-5.1205494382089184E-2</v>
      </c>
      <c r="V24">
        <f si="1" t="shared"/>
        <v>1</v>
      </c>
    </row>
    <row r="25" spans="2:22" x14ac:dyDescent="0.25">
      <c r="B25" t="s">
        <v>229</v>
      </c>
      <c r="C25" s="29">
        <f>SUM(Arrival_Time!D23:D28)</f>
        <v>111821.94386710032</v>
      </c>
      <c r="D25" s="29">
        <f>SUM(Arrival_Time!K23:K28)</f>
        <v>179555.72061157227</v>
      </c>
      <c r="E25" s="30">
        <f si="9" t="shared"/>
        <v>0.17540678734886833</v>
      </c>
      <c r="F25" s="30">
        <f si="9" t="shared"/>
        <v>0.19929673978862314</v>
      </c>
      <c r="G25" s="6">
        <f si="10" t="shared"/>
        <v>0.88012873434310657</v>
      </c>
      <c r="H25" s="6">
        <f si="11" t="shared"/>
        <v>1</v>
      </c>
      <c r="I25" s="31">
        <f si="12" t="shared"/>
        <v>-0.19031851846167558</v>
      </c>
      <c r="L25" s="70">
        <v>16</v>
      </c>
      <c r="M25" s="73">
        <f si="13" t="shared"/>
        <v>0.381838665041</v>
      </c>
      <c r="N25" s="72">
        <f si="14" t="shared"/>
        <v>0.19152014657932442</v>
      </c>
      <c r="O25" s="73" t="str">
        <f si="15" t="shared"/>
        <v>Arrival 10 am-1 pm</v>
      </c>
      <c r="R25" s="88">
        <f>OtherTourTime!B33</f>
        <v>33</v>
      </c>
      <c r="S25" s="88" t="str">
        <f>OtherTourTime!C33</f>
        <v>dur2-2</v>
      </c>
      <c r="T25" s="88">
        <f>VLOOKUP(R25,OtherTourTime!$B$11:$E$105,4,FALSE)</f>
        <v>0</v>
      </c>
      <c r="U25" s="93">
        <f si="0" t="shared"/>
        <v>0</v>
      </c>
      <c r="V25">
        <f si="1" t="shared"/>
        <v>0</v>
      </c>
    </row>
    <row r="26" spans="2:22" x14ac:dyDescent="0.25">
      <c r="B26" t="s">
        <v>226</v>
      </c>
      <c r="C26" s="29">
        <f>SUM(Arrival_Time!D29:D34)</f>
        <v>127055.98848268922</v>
      </c>
      <c r="D26" s="29">
        <f>SUM(Arrival_Time!K29:K34)</f>
        <v>181851.76411437988</v>
      </c>
      <c r="E26" s="30">
        <f si="9" t="shared"/>
        <v>0.19930330293373077</v>
      </c>
      <c r="F26" s="30">
        <f si="9" t="shared"/>
        <v>0.201845218795384</v>
      </c>
      <c r="G26" s="6">
        <f si="10" t="shared"/>
        <v>0.98740660850515349</v>
      </c>
      <c r="H26" s="6">
        <f si="11" t="shared"/>
        <v>1</v>
      </c>
      <c r="I26" s="31">
        <f si="12" t="shared"/>
        <v>-7.530478562375055E-2</v>
      </c>
      <c r="L26" s="70">
        <v>17</v>
      </c>
      <c r="M26" s="73">
        <f si="13" t="shared"/>
        <v>0.43605973451500002</v>
      </c>
      <c r="N26" s="72">
        <f si="14" t="shared"/>
        <v>0.36075494889124948</v>
      </c>
      <c r="O26" s="73" t="str">
        <f si="15" t="shared"/>
        <v>Arrival 1-4 pm</v>
      </c>
      <c r="R26" s="88">
        <f>OtherTourTime!B34</f>
        <v>34</v>
      </c>
      <c r="S26" s="88" t="str">
        <f>OtherTourTime!C34</f>
        <v>dur3-4</v>
      </c>
      <c r="T26" s="88">
        <f>VLOOKUP(R26,OtherTourTime!$B$11:$E$105,4,FALSE)</f>
        <v>-0.529618870651</v>
      </c>
      <c r="U26" s="93">
        <f si="0" t="shared"/>
        <v>-0.15384094424338896</v>
      </c>
      <c r="V26">
        <f si="1" t="shared"/>
        <v>1</v>
      </c>
    </row>
    <row r="27" spans="2:22" x14ac:dyDescent="0.25">
      <c r="B27" t="s">
        <v>227</v>
      </c>
      <c r="C27" s="29">
        <f>SUM(Arrival_Time!D35:D40)</f>
        <v>171415.05692425143</v>
      </c>
      <c r="D27" s="29">
        <f>SUM(Arrival_Time!K35:K40)</f>
        <v>190500.25134277344</v>
      </c>
      <c r="E27" s="30">
        <f si="9" t="shared"/>
        <v>0.26888608262830066</v>
      </c>
      <c r="F27" s="30">
        <f si="9" t="shared"/>
        <v>0.21144455265593545</v>
      </c>
      <c r="G27" s="6">
        <f si="10" t="shared"/>
        <v>1.2716623779182177</v>
      </c>
      <c r="H27" s="6">
        <f si="11" t="shared"/>
        <v>1</v>
      </c>
      <c r="I27" s="31">
        <f si="12" t="shared"/>
        <v>0.17769357824239626</v>
      </c>
      <c r="L27" s="70">
        <v>18</v>
      </c>
      <c r="M27" s="73">
        <f si="13" t="shared"/>
        <v>0.74100262054300003</v>
      </c>
      <c r="N27" s="72">
        <f si="14" t="shared"/>
        <v>0.91869619878539632</v>
      </c>
      <c r="O27" s="73" t="str">
        <f si="15" t="shared"/>
        <v>Arrival 4-7 pm</v>
      </c>
      <c r="R27" s="88">
        <f>OtherTourTime!B35</f>
        <v>35</v>
      </c>
      <c r="S27" s="88" t="str">
        <f>OtherTourTime!C35</f>
        <v>dur5-6</v>
      </c>
      <c r="T27" s="88">
        <f>VLOOKUP(R27,OtherTourTime!$B$11:$E$105,4,FALSE)</f>
        <v>-1.0084892723600001</v>
      </c>
      <c r="U27" s="93">
        <f si="0" t="shared"/>
        <v>-0.57415817393689195</v>
      </c>
      <c r="V27">
        <f si="1" t="shared"/>
        <v>1</v>
      </c>
    </row>
    <row r="28" spans="2:22" x14ac:dyDescent="0.25">
      <c r="B28" t="s">
        <v>79</v>
      </c>
      <c r="C28" s="29">
        <f>SUM(Arrival_Time!D41:D44)</f>
        <v>74015.958725130389</v>
      </c>
      <c r="D28" s="29">
        <f>SUM(Arrival_Time!K41:K44)</f>
        <v>101027.14332008362</v>
      </c>
      <c r="E28" s="30">
        <f si="9" t="shared"/>
        <v>0.11610334325748853</v>
      </c>
      <c r="F28" s="30">
        <f si="9" t="shared"/>
        <v>0.11213444063643491</v>
      </c>
      <c r="G28" s="6">
        <f si="10" t="shared"/>
        <v>1.0353941447295545</v>
      </c>
      <c r="H28" s="6">
        <f si="11" t="shared"/>
        <v>1</v>
      </c>
      <c r="I28" s="31">
        <f si="12" t="shared"/>
        <v>-2.7849254889770622E-2</v>
      </c>
      <c r="L28" s="70">
        <v>19</v>
      </c>
      <c r="M28" s="73">
        <f si="13" t="shared"/>
        <v>0.29206963900499999</v>
      </c>
      <c r="N28" s="72">
        <f si="14" t="shared"/>
        <v>0.26422038411522936</v>
      </c>
      <c r="O28" s="73" t="str">
        <f si="15" t="shared"/>
        <v>Arrival 7-9 pm</v>
      </c>
      <c r="R28" s="88">
        <f>OtherTourTime!B36</f>
        <v>36</v>
      </c>
      <c r="S28" s="88" t="str">
        <f>OtherTourTime!C36</f>
        <v>dur7-8</v>
      </c>
      <c r="T28" s="88">
        <f>VLOOKUP(R28,OtherTourTime!$B$11:$E$105,4,FALSE)</f>
        <v>-1.18987158071</v>
      </c>
      <c r="U28" s="93">
        <f si="0" t="shared"/>
        <v>-0.86332527800284087</v>
      </c>
      <c r="V28">
        <f si="1" t="shared"/>
        <v>1</v>
      </c>
    </row>
    <row r="29" spans="2:22" x14ac:dyDescent="0.25">
      <c r="B29" s="23" t="s">
        <v>228</v>
      </c>
      <c r="C29" s="34">
        <f>SUM(Arrival_Time!D45:D57)+Arrival_Time!D8</f>
        <v>19324.02786737054</v>
      </c>
      <c r="D29" s="34">
        <f>SUM(Arrival_Time!K45:K57)+Arrival_Time!K8</f>
        <v>58539.781574249268</v>
      </c>
      <c r="E29" s="35">
        <f si="9" t="shared"/>
        <v>3.031216887880207E-2</v>
      </c>
      <c r="F29" s="35">
        <f si="9" t="shared"/>
        <v>6.4975861398058263E-2</v>
      </c>
      <c r="G29" s="22">
        <f si="10" t="shared"/>
        <v>0.46651430587587284</v>
      </c>
      <c r="H29" s="6">
        <f>$F$17</f>
        <v>1</v>
      </c>
      <c r="I29" s="31">
        <f si="12" t="shared"/>
        <v>-0.82509801804321015</v>
      </c>
      <c r="L29" s="74">
        <v>20</v>
      </c>
      <c r="M29" s="74">
        <f si="13" t="shared"/>
        <v>-1.2273424938399999</v>
      </c>
      <c r="N29" s="75">
        <f si="14" t="shared"/>
        <v>-2.0524405118832103</v>
      </c>
      <c r="O29" s="74" t="str">
        <f si="15" t="shared"/>
        <v>Arrival 9 pm-3 am</v>
      </c>
      <c r="R29" s="88">
        <f>OtherTourTime!B37</f>
        <v>37</v>
      </c>
      <c r="S29" s="88" t="str">
        <f>OtherTourTime!C37</f>
        <v>dur9-11</v>
      </c>
      <c r="T29" s="88">
        <f>VLOOKUP(R29,OtherTourTime!$B$11:$E$105,4,FALSE)</f>
        <v>-1.3876928348499999</v>
      </c>
      <c r="U29" s="93">
        <f si="0" t="shared"/>
        <v>-1.2225070604300701</v>
      </c>
      <c r="V29">
        <f si="1" t="shared"/>
        <v>1</v>
      </c>
    </row>
    <row ht="15.75" r="30" spans="2:22" thickBot="1" x14ac:dyDescent="0.3">
      <c r="B30" s="39" t="s">
        <v>82</v>
      </c>
      <c r="C30" s="40">
        <f>SUM(C20:C29)</f>
        <v>635756.28481515497</v>
      </c>
      <c r="D30" s="40">
        <f>SUM(D20:D29)</f>
        <v>889504.46992206573</v>
      </c>
      <c r="E30" s="41">
        <f si="9" t="shared"/>
        <v>0.99726371765468946</v>
      </c>
      <c r="F30" s="41">
        <f si="9" t="shared"/>
        <v>0.98729987704691269</v>
      </c>
      <c r="G30" s="42">
        <f si="10" t="shared"/>
        <v>1.0100920103804523</v>
      </c>
      <c r="H30" s="42"/>
      <c r="I30" s="43"/>
      <c r="R30" s="88">
        <f>OtherTourTime!B38</f>
        <v>38</v>
      </c>
      <c r="S30" s="88" t="str">
        <f>OtherTourTime!C38</f>
        <v>dur12-13</v>
      </c>
      <c r="T30" s="88">
        <f>VLOOKUP(R30,OtherTourTime!$B$11:$E$105,4,FALSE)</f>
        <v>-3.1822650000500001</v>
      </c>
      <c r="U30" s="93">
        <f si="0" t="shared"/>
        <v>-2.8222848972472527</v>
      </c>
      <c r="V30">
        <f si="1" t="shared"/>
        <v>1</v>
      </c>
    </row>
    <row r="31" spans="2:22" x14ac:dyDescent="0.25">
      <c r="R31" s="88">
        <f>OtherTourTime!B39</f>
        <v>39</v>
      </c>
      <c r="S31" s="88" t="str">
        <f>OtherTourTime!C39</f>
        <v>dur14-17</v>
      </c>
      <c r="T31" s="88">
        <f>VLOOKUP(R31,OtherTourTime!$B$11:$E$105,4,FALSE)</f>
        <v>-1.57537570335</v>
      </c>
      <c r="U31" s="93">
        <f si="0" t="shared"/>
        <v>-1.4193832063627057</v>
      </c>
      <c r="V31">
        <f si="1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OtherTourTime!B40</f>
        <v>40</v>
      </c>
      <c r="S32" s="88" t="str">
        <f>OtherTourTime!C40</f>
        <v>dur18-23</v>
      </c>
      <c r="T32" s="88">
        <f>VLOOKUP(R32,OtherTourTime!$B$11:$E$105,4,FALSE)</f>
        <v>-11.107699999999999</v>
      </c>
      <c r="U32" s="93">
        <f si="0" t="shared"/>
        <v>-11.107699999999999</v>
      </c>
      <c r="V32">
        <f si="1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 s="88">
        <f>OtherTourTime!B41</f>
        <v>41</v>
      </c>
      <c r="S33" s="88" t="str">
        <f>OtherTourTime!C41</f>
        <v>ptwk-arr</v>
      </c>
      <c r="T33" s="88">
        <f>VLOOKUP(R33,OtherTourTime!$B$11:$E$105,4,FALSE)</f>
        <v>5.0576983353500002E-4</v>
      </c>
      <c r="U33" s="93">
        <f si="0" t="shared"/>
        <v>5.0576983353500002E-4</v>
      </c>
      <c r="V33">
        <f si="1" t="shared"/>
        <v>0</v>
      </c>
    </row>
    <row ht="15.75" r="34" spans="2:22" thickBot="1" x14ac:dyDescent="0.3">
      <c r="B34" s="37" t="s">
        <v>261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 s="88">
        <f>OtherTourTime!B42</f>
        <v>42</v>
      </c>
      <c r="S34" s="88" t="str">
        <f>OtherTourTime!C42</f>
        <v>ptwk-dur</v>
      </c>
      <c r="T34" s="88">
        <f>VLOOKUP(R34,OtherTourTime!$B$11:$E$105,4,FALSE)</f>
        <v>-1.6211137320399999E-2</v>
      </c>
      <c r="U34" s="93">
        <f si="0" t="shared"/>
        <v>-1.6211137320399999E-2</v>
      </c>
      <c r="V34">
        <f si="1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 s="88">
        <f>OtherTourTime!B43</f>
        <v>43</v>
      </c>
      <c r="S35" s="88" t="str">
        <f>OtherTourTime!C43</f>
        <v>nwad-arr</v>
      </c>
      <c r="T35" s="88">
        <f>VLOOKUP(R35,OtherTourTime!$B$11:$E$105,4,FALSE)</f>
        <v>-3.7181351246900001E-3</v>
      </c>
      <c r="U35" s="93">
        <f si="0" t="shared"/>
        <v>-3.7181351246900001E-3</v>
      </c>
      <c r="V35">
        <f si="1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 s="88">
        <f>OtherTourTime!B44</f>
        <v>44</v>
      </c>
      <c r="S36" s="88" t="str">
        <f>OtherTourTime!C44</f>
        <v>nwad-dur</v>
      </c>
      <c r="T36" s="88">
        <f>VLOOKUP(R36,OtherTourTime!$B$11:$E$105,4,FALSE)</f>
        <v>-1.4200299384399999E-2</v>
      </c>
      <c r="U36" s="93">
        <f si="0" t="shared"/>
        <v>-1.4200299384399999E-2</v>
      </c>
      <c r="V36">
        <f si="1" t="shared"/>
        <v>0</v>
      </c>
    </row>
    <row r="37" spans="2:22" x14ac:dyDescent="0.25">
      <c r="B37" t="s">
        <v>62</v>
      </c>
      <c r="C37" s="29">
        <f>SUM(Duration!D8:D13)</f>
        <v>791871.81244001572</v>
      </c>
      <c r="D37" s="29">
        <f>SUM(Duration!K7:K12)</f>
        <v>985768.51085853577</v>
      </c>
      <c r="E37" s="30">
        <f ref="E37:F47" si="16" t="shared">C37/C$47</f>
        <v>0.91273955561534559</v>
      </c>
      <c r="F37" s="30">
        <f si="16" t="shared"/>
        <v>0.84971847347095231</v>
      </c>
      <c r="G37" s="6">
        <f>E37/F37</f>
        <v>1.0741670142664583</v>
      </c>
      <c r="H37" s="6">
        <f>$F$34</f>
        <v>1</v>
      </c>
      <c r="I37" s="31">
        <f>H37*(LN(G37)-LN($G$39))</f>
        <v>0.48957622780277987</v>
      </c>
      <c r="L37">
        <v>31</v>
      </c>
      <c r="M37" s="71">
        <f>VLOOKUP(L37,$R$3:$U$64,3,FALSE)</f>
        <v>-0.383569882744</v>
      </c>
      <c r="N37" s="72">
        <f>I37+M37</f>
        <v>0.10600634505877987</v>
      </c>
      <c r="O37" s="73" t="str">
        <f>CONCATENATE("Duration ",B37)</f>
        <v>Duration 0-3 hrs</v>
      </c>
      <c r="R37" s="88">
        <f>OtherTourTime!B45</f>
        <v>45</v>
      </c>
      <c r="S37" s="88" t="str">
        <f>OtherTourTime!C45</f>
        <v>univ-arr</v>
      </c>
      <c r="T37" s="88">
        <f>VLOOKUP(R37,OtherTourTime!$B$11:$E$105,4,FALSE)</f>
        <v>4.3422590167900003E-2</v>
      </c>
      <c r="U37" s="93">
        <f si="0" t="shared"/>
        <v>4.3422590167900003E-2</v>
      </c>
      <c r="V37">
        <f si="1" t="shared"/>
        <v>0</v>
      </c>
    </row>
    <row r="38" spans="2:22" x14ac:dyDescent="0.25">
      <c r="B38" t="s">
        <v>63</v>
      </c>
      <c r="C38" s="29">
        <f>SUM(Duration!D14:D17)</f>
        <v>52890.421791739478</v>
      </c>
      <c r="D38" s="29">
        <f>SUM(Duration!K13:K16)</f>
        <v>133720.92958927155</v>
      </c>
      <c r="E38" s="30">
        <f si="16" t="shared"/>
        <v>6.0963377309452248E-2</v>
      </c>
      <c r="F38" s="30">
        <f si="16" t="shared"/>
        <v>0.11526554450674521</v>
      </c>
      <c r="G38" s="6">
        <f ref="G38:G47" si="17" t="shared">E38/F38</f>
        <v>0.52889506200948666</v>
      </c>
      <c r="H38" s="6">
        <f ref="H38:H46" si="18" t="shared">$F$34</f>
        <v>1</v>
      </c>
      <c r="I38" s="31">
        <f ref="I38:I46" si="19" t="shared">H38*(LN(G38)-LN($G$39))</f>
        <v>-0.21893450025408917</v>
      </c>
      <c r="L38" s="5">
        <v>32</v>
      </c>
      <c r="M38" s="73">
        <f ref="M38:M46" si="20" t="shared">VLOOKUP(L38,$R$3:$U$64,3,FALSE)</f>
        <v>0.16772900587199999</v>
      </c>
      <c r="N38" s="72">
        <f ref="N38:N46" si="21" t="shared">I38+M38</f>
        <v>-5.1205494382089184E-2</v>
      </c>
      <c r="O38" s="73" t="str">
        <f ref="O38:O46" si="22" t="shared">CONCATENATE("Duration ",B38)</f>
        <v>Duration 3-5 hrs</v>
      </c>
      <c r="R38" s="88">
        <f>OtherTourTime!B46</f>
        <v>46</v>
      </c>
      <c r="S38" s="88" t="str">
        <f>OtherTourTime!C46</f>
        <v>univ-dur</v>
      </c>
      <c r="T38" s="88">
        <f>VLOOKUP(R38,OtherTourTime!$B$11:$E$105,4,FALSE)</f>
        <v>3.8450046376200003E-2</v>
      </c>
      <c r="U38" s="93">
        <f si="0" t="shared"/>
        <v>3.8450046376200003E-2</v>
      </c>
      <c r="V38">
        <f si="1" t="shared"/>
        <v>0</v>
      </c>
    </row>
    <row r="39" spans="2:22" x14ac:dyDescent="0.25">
      <c r="B39" t="s">
        <v>64</v>
      </c>
      <c r="C39" s="29">
        <f>SUM(Duration!D18:D21)</f>
        <v>13564.9406223976</v>
      </c>
      <c r="D39" s="29">
        <f>SUM(Duration!K17:K20)</f>
        <v>27552.322186470032</v>
      </c>
      <c r="E39" s="30">
        <f si="16" t="shared"/>
        <v>1.5635431999385146E-2</v>
      </c>
      <c r="F39" s="30">
        <f si="16" t="shared"/>
        <v>2.3749710901677299E-2</v>
      </c>
      <c r="G39" s="6">
        <f si="17" t="shared"/>
        <v>0.65834199262951487</v>
      </c>
      <c r="H39" s="6">
        <f si="18" t="shared"/>
        <v>1</v>
      </c>
      <c r="I39" s="31">
        <f si="19" t="shared"/>
        <v>0</v>
      </c>
      <c r="L39" s="5">
        <v>33</v>
      </c>
      <c r="M39" s="73">
        <f si="20" t="shared"/>
        <v>0</v>
      </c>
      <c r="N39" s="72">
        <f si="21" t="shared"/>
        <v>0</v>
      </c>
      <c r="O39" s="73" t="str">
        <f si="22" t="shared"/>
        <v>Duration 5-7 hrs</v>
      </c>
      <c r="R39" s="88">
        <f>OtherTourTime!B47</f>
        <v>47</v>
      </c>
      <c r="S39" s="88" t="str">
        <f>OtherTourTime!C47</f>
        <v>reti-arr</v>
      </c>
      <c r="T39" s="88">
        <f>VLOOKUP(R39,OtherTourTime!$B$11:$E$105,4,FALSE)</f>
        <v>-2.6287452014900001E-2</v>
      </c>
      <c r="U39" s="93">
        <f si="0" t="shared"/>
        <v>-2.6287452014900001E-2</v>
      </c>
      <c r="V39">
        <f si="1" t="shared"/>
        <v>0</v>
      </c>
    </row>
    <row r="40" spans="2:22" x14ac:dyDescent="0.25">
      <c r="B40" t="s">
        <v>65</v>
      </c>
      <c r="C40" s="29">
        <f>SUM(Duration!D22:D25)</f>
        <v>5864.8315970719777</v>
      </c>
      <c r="D40" s="29">
        <f>SUM(Duration!K21:K24)</f>
        <v>8180.8339490890503</v>
      </c>
      <c r="E40" s="30">
        <f si="16" t="shared"/>
        <v>6.7600130495563118E-3</v>
      </c>
      <c r="F40" s="30">
        <f si="16" t="shared"/>
        <v>7.0517628209538765E-3</v>
      </c>
      <c r="G40" s="6">
        <f si="17" t="shared"/>
        <v>0.9586273987362921</v>
      </c>
      <c r="H40" s="6">
        <f si="18" t="shared"/>
        <v>1</v>
      </c>
      <c r="I40" s="31">
        <f si="19" t="shared"/>
        <v>0.37577792640761104</v>
      </c>
      <c r="L40" s="5">
        <v>34</v>
      </c>
      <c r="M40" s="73">
        <f si="20" t="shared"/>
        <v>-0.529618870651</v>
      </c>
      <c r="N40" s="72">
        <f si="21" t="shared"/>
        <v>-0.15384094424338896</v>
      </c>
      <c r="O40" s="73" t="str">
        <f si="22" t="shared"/>
        <v>Duration 7-9 hrs</v>
      </c>
      <c r="R40" s="88">
        <f>OtherTourTime!B48</f>
        <v>48</v>
      </c>
      <c r="S40" s="88" t="str">
        <f>OtherTourTime!C48</f>
        <v>reti-dur</v>
      </c>
      <c r="T40" s="88">
        <f>VLOOKUP(R40,OtherTourTime!$B$11:$E$105,4,FALSE)</f>
        <v>-1.9450180422700001E-2</v>
      </c>
      <c r="U40" s="93">
        <f si="0" t="shared"/>
        <v>-1.9450180422700001E-2</v>
      </c>
      <c r="V40">
        <f si="1" t="shared"/>
        <v>0</v>
      </c>
    </row>
    <row r="41" spans="2:22" x14ac:dyDescent="0.25">
      <c r="B41" t="s">
        <v>66</v>
      </c>
      <c r="C41" s="29">
        <f>SUM(Duration!D26:D27)</f>
        <v>1476.214168807604</v>
      </c>
      <c r="D41" s="29">
        <f>SUM(Duration!K25:K26)</f>
        <v>1942.0574865341187</v>
      </c>
      <c r="E41" s="30">
        <f si="16" t="shared"/>
        <v>1.7015368437964125E-3</v>
      </c>
      <c r="F41" s="30">
        <f si="16" t="shared"/>
        <v>1.6740260057743117E-3</v>
      </c>
      <c r="G41" s="6">
        <f si="17" t="shared"/>
        <v>1.0164339370638247</v>
      </c>
      <c r="H41" s="6">
        <f si="18" t="shared"/>
        <v>1</v>
      </c>
      <c r="I41" s="31">
        <f si="19" t="shared"/>
        <v>0.43433109842310813</v>
      </c>
      <c r="L41" s="5">
        <v>35</v>
      </c>
      <c r="M41" s="73">
        <f si="20" t="shared"/>
        <v>-1.0084892723600001</v>
      </c>
      <c r="N41" s="72">
        <f si="21" t="shared"/>
        <v>-0.57415817393689195</v>
      </c>
      <c r="O41" s="73" t="str">
        <f si="22" t="shared"/>
        <v>Duration 9-10 hrs</v>
      </c>
      <c r="R41" s="88">
        <f>OtherTourTime!B49</f>
        <v>49</v>
      </c>
      <c r="S41" s="88" t="str">
        <f>OtherTourTime!C49</f>
        <v>dkid-arr</v>
      </c>
      <c r="T41" s="88">
        <f>VLOOKUP(R41,OtherTourTime!$B$11:$E$105,4,FALSE)</f>
        <v>5.27603068215E-2</v>
      </c>
      <c r="U41" s="93">
        <f si="0" t="shared"/>
        <v>5.27603068215E-2</v>
      </c>
      <c r="V41">
        <f si="1" t="shared"/>
        <v>0</v>
      </c>
    </row>
    <row r="42" spans="2:22" x14ac:dyDescent="0.25">
      <c r="B42" t="s">
        <v>67</v>
      </c>
      <c r="C42" s="29">
        <f>SUM(Duration!D28:D29)</f>
        <v>845.67790284432317</v>
      </c>
      <c r="D42" s="29">
        <f>SUM(Duration!K27:K28)</f>
        <v>1239.1618566513062</v>
      </c>
      <c r="E42" s="30">
        <f si="16" t="shared"/>
        <v>9.7475836506595581E-4</v>
      </c>
      <c r="F42" s="30">
        <f si="16" t="shared"/>
        <v>1.0681399432206883E-3</v>
      </c>
      <c r="G42" s="6">
        <f si="17" t="shared"/>
        <v>0.91257552088805383</v>
      </c>
      <c r="H42" s="6">
        <f si="18" t="shared"/>
        <v>1</v>
      </c>
      <c r="I42" s="31">
        <f si="19" t="shared"/>
        <v>0.32654630270715918</v>
      </c>
      <c r="L42" s="5">
        <v>36</v>
      </c>
      <c r="M42" s="73">
        <f si="20" t="shared"/>
        <v>-1.18987158071</v>
      </c>
      <c r="N42" s="72">
        <f si="21" t="shared"/>
        <v>-0.86332527800284087</v>
      </c>
      <c r="O42" s="73" t="str">
        <f si="22" t="shared"/>
        <v>Duration 10-11 hrs</v>
      </c>
      <c r="R42" s="88">
        <f>OtherTourTime!B50</f>
        <v>50</v>
      </c>
      <c r="S42" s="88" t="str">
        <f>OtherTourTime!C50</f>
        <v>dkid-dur</v>
      </c>
      <c r="T42" s="88">
        <f>VLOOKUP(R42,OtherTourTime!$B$11:$E$105,4,FALSE)</f>
        <v>4.1454233655100002E-2</v>
      </c>
      <c r="U42" s="93">
        <f si="0" t="shared"/>
        <v>4.1454233655100002E-2</v>
      </c>
      <c r="V42">
        <f si="1" t="shared"/>
        <v>0</v>
      </c>
    </row>
    <row r="43" spans="2:22" x14ac:dyDescent="0.25">
      <c r="B43" t="s">
        <v>68</v>
      </c>
      <c r="C43" s="29">
        <f>SUM(Duration!D30:D31)</f>
        <v>447.86606707836637</v>
      </c>
      <c r="D43" s="29">
        <f>SUM(Duration!K29:K30)</f>
        <v>771.16835498809814</v>
      </c>
      <c r="E43" s="30">
        <f si="16" t="shared"/>
        <v>5.1622632428435648E-4</v>
      </c>
      <c r="F43" s="30">
        <f si="16" t="shared"/>
        <v>6.6473618316220348E-4</v>
      </c>
      <c r="G43" s="6">
        <f si="17" t="shared"/>
        <v>0.77658827270185049</v>
      </c>
      <c r="H43" s="6">
        <f si="18" t="shared"/>
        <v>1</v>
      </c>
      <c r="I43" s="31">
        <f si="19" t="shared"/>
        <v>0.16518577441992988</v>
      </c>
      <c r="L43" s="5">
        <v>37</v>
      </c>
      <c r="M43" s="73">
        <f si="20" t="shared"/>
        <v>-1.3876928348499999</v>
      </c>
      <c r="N43" s="72">
        <f si="21" t="shared"/>
        <v>-1.2225070604300701</v>
      </c>
      <c r="O43" s="73" t="str">
        <f si="22" t="shared"/>
        <v>Duration 11-12 hrs</v>
      </c>
      <c r="R43" s="88">
        <f>OtherTourTime!B51</f>
        <v>55</v>
      </c>
      <c r="S43" s="88" t="str">
        <f>OtherTourTime!C51</f>
        <v>hprs-arr</v>
      </c>
      <c r="T43" s="88">
        <f>VLOOKUP(R43,OtherTourTime!$B$11:$E$105,4,FALSE)</f>
        <v>-0.10651634683699999</v>
      </c>
      <c r="U43" s="93">
        <f si="0" t="shared"/>
        <v>-0.10651634683699999</v>
      </c>
      <c r="V43">
        <f si="1" t="shared"/>
        <v>0</v>
      </c>
    </row>
    <row r="44" spans="2:22" x14ac:dyDescent="0.25">
      <c r="B44" t="s">
        <v>69</v>
      </c>
      <c r="C44" s="29">
        <f>SUM(Duration!D32:D35)</f>
        <v>442.8495942335864</v>
      </c>
      <c r="D44" s="29">
        <f>SUM(Duration!K31:K34)</f>
        <v>627.56568717956543</v>
      </c>
      <c r="E44" s="30">
        <f si="16" t="shared"/>
        <v>5.1044415964208642E-4</v>
      </c>
      <c r="F44" s="30">
        <f si="16" t="shared"/>
        <v>5.4095272048053377E-4</v>
      </c>
      <c r="G44" s="6">
        <f si="17" t="shared"/>
        <v>0.94360216765090621</v>
      </c>
      <c r="H44" s="6">
        <f si="18" t="shared"/>
        <v>1</v>
      </c>
      <c r="I44" s="31">
        <f si="19" t="shared"/>
        <v>0.3599801028027475</v>
      </c>
      <c r="L44" s="5">
        <v>38</v>
      </c>
      <c r="M44" s="73">
        <f si="20" t="shared"/>
        <v>-3.1822650000500001</v>
      </c>
      <c r="N44" s="72">
        <f si="21" t="shared"/>
        <v>-2.8222848972472527</v>
      </c>
      <c r="O44" s="73" t="str">
        <f si="22" t="shared"/>
        <v>Duration 12-14 hrs</v>
      </c>
      <c r="R44" s="88">
        <f>OtherTourTime!B52</f>
        <v>56</v>
      </c>
      <c r="S44" s="88" t="str">
        <f>OtherTourTime!C52</f>
        <v>hprs-dur</v>
      </c>
      <c r="T44" s="88">
        <f>VLOOKUP(R44,OtherTourTime!$B$11:$E$105,4,FALSE)</f>
        <v>-3.5467685075500001E-2</v>
      </c>
      <c r="U44" s="93">
        <f si="0" t="shared"/>
        <v>-3.5467685075500001E-2</v>
      </c>
      <c r="V44">
        <f si="1" t="shared"/>
        <v>0</v>
      </c>
    </row>
    <row r="45" spans="2:22" x14ac:dyDescent="0.25">
      <c r="B45" t="s">
        <v>90</v>
      </c>
      <c r="C45" s="29">
        <f>SUM(Duration!D36:D43)</f>
        <v>171.9015058953876</v>
      </c>
      <c r="D45" s="29">
        <f>SUM(Duration!K35:K42)</f>
        <v>298.72619819641113</v>
      </c>
      <c r="E45" s="30">
        <f si="16" t="shared"/>
        <v>1.9813977671095606E-4</v>
      </c>
      <c r="F45" s="30">
        <f si="16" t="shared"/>
        <v>2.5749774548607216E-4</v>
      </c>
      <c r="G45" s="6">
        <f si="17" t="shared"/>
        <v>0.76948159812790784</v>
      </c>
      <c r="H45" s="6">
        <f si="18" t="shared"/>
        <v>1</v>
      </c>
      <c r="I45" s="31">
        <f si="19" t="shared"/>
        <v>0.15599249698729439</v>
      </c>
      <c r="L45" s="5">
        <v>39</v>
      </c>
      <c r="M45" s="73">
        <f si="20" t="shared"/>
        <v>-1.57537570335</v>
      </c>
      <c r="N45" s="72">
        <f si="21" t="shared"/>
        <v>-1.4193832063627057</v>
      </c>
      <c r="O45" s="73" t="str">
        <f si="22" t="shared"/>
        <v>Duration 14-18 hrs</v>
      </c>
      <c r="R45" s="88">
        <f>OtherTourTime!B53</f>
        <v>57</v>
      </c>
      <c r="S45" s="88" t="str">
        <f>OtherTourTime!C53</f>
        <v>lprs-arr</v>
      </c>
      <c r="T45" s="88">
        <f>VLOOKUP(R45,OtherTourTime!$B$11:$E$105,4,FALSE)</f>
        <v>9.5689722634499999E-3</v>
      </c>
      <c r="U45" s="93">
        <f si="0" t="shared"/>
        <v>9.5689722634499999E-3</v>
      </c>
      <c r="V45">
        <f si="1" t="shared"/>
        <v>0</v>
      </c>
    </row>
    <row r="46" spans="2:22" x14ac:dyDescent="0.25">
      <c r="B46" s="23" t="s">
        <v>70</v>
      </c>
      <c r="C46" s="34">
        <f>SUM(Duration!D44:D55)</f>
        <v>0.44815274647426601</v>
      </c>
      <c r="D46" s="34">
        <f>SUM(Duration!K43:K54)</f>
        <v>10.621638298034668</v>
      </c>
      <c r="E46" s="35">
        <f si="16" t="shared"/>
        <v>5.1655676113070821E-7</v>
      </c>
      <c r="F46" s="35">
        <f si="16" t="shared"/>
        <v>9.1557015475226787E-6</v>
      </c>
      <c r="G46" s="22">
        <f si="17" t="shared"/>
        <v>5.6419134945533099E-2</v>
      </c>
      <c r="H46" s="22">
        <f si="18" t="shared"/>
        <v>1</v>
      </c>
      <c r="I46" s="36">
        <f si="19" t="shared"/>
        <v>-2.4569161688937222</v>
      </c>
      <c r="L46" s="23">
        <v>40</v>
      </c>
      <c r="M46" s="74">
        <f si="20" t="shared"/>
        <v>-11.107699999999999</v>
      </c>
      <c r="N46" s="75">
        <f>M46</f>
        <v>-11.107699999999999</v>
      </c>
      <c r="O46" s="74" t="str">
        <f si="22" t="shared"/>
        <v>Duration 18-24 hrs</v>
      </c>
      <c r="R46" s="88">
        <f>OtherTourTime!B54</f>
        <v>58</v>
      </c>
      <c r="S46" s="88" t="str">
        <f>OtherTourTime!C54</f>
        <v>lprs-dur</v>
      </c>
      <c r="T46" s="88">
        <f>VLOOKUP(R46,OtherTourTime!$B$11:$E$105,4,FALSE)</f>
        <v>-0.158919580162</v>
      </c>
      <c r="U46" s="93">
        <f si="0" t="shared"/>
        <v>-0.158919580162</v>
      </c>
      <c r="V46">
        <f si="1" t="shared"/>
        <v>0</v>
      </c>
    </row>
    <row ht="15.75" r="47" spans="2:22" thickBot="1" x14ac:dyDescent="0.3">
      <c r="B47" s="3" t="s">
        <v>82</v>
      </c>
      <c r="C47" s="44">
        <f>SUM(C37:C46)</f>
        <v>867576.96384283039</v>
      </c>
      <c r="D47" s="44">
        <f>SUM(D37:D46)</f>
        <v>1160111.8978052139</v>
      </c>
      <c r="E47" s="45">
        <f si="16" t="shared"/>
        <v>1</v>
      </c>
      <c r="F47" s="45">
        <f si="16" t="shared"/>
        <v>1</v>
      </c>
      <c r="G47" s="46">
        <f si="17" t="shared"/>
        <v>1</v>
      </c>
      <c r="H47" s="46"/>
      <c r="I47" s="1"/>
      <c r="M47" s="76"/>
      <c r="N47" s="76"/>
      <c r="O47" s="76"/>
      <c r="R47" s="88">
        <f>OtherTourTime!B55</f>
        <v>59</v>
      </c>
      <c r="S47" s="88" t="str">
        <f>OtherTourTime!C55</f>
        <v>only-arr</v>
      </c>
      <c r="T47" s="88">
        <f>VLOOKUP(R47,OtherTourTime!$B$11:$E$105,4,FALSE)</f>
        <v>1.32654783179E-2</v>
      </c>
      <c r="U47" s="93">
        <f si="0" t="shared"/>
        <v>1.32654783179E-2</v>
      </c>
      <c r="V47">
        <f si="1" t="shared"/>
        <v>0</v>
      </c>
    </row>
    <row r="48" spans="2:22" x14ac:dyDescent="0.25">
      <c r="M48" s="76"/>
      <c r="N48" s="76"/>
      <c r="O48" s="76"/>
      <c r="R48" s="88">
        <f>OtherTourTime!B56</f>
        <v>60</v>
      </c>
      <c r="S48" s="88" t="str">
        <f>OtherTourTime!C56</f>
        <v>only-dur</v>
      </c>
      <c r="T48" s="88">
        <f>VLOOKUP(R48,OtherTourTime!$B$11:$E$105,4,FALSE)</f>
        <v>-1.04749346131E-2</v>
      </c>
      <c r="U48" s="93">
        <f si="0" t="shared"/>
        <v>-1.04749346131E-2</v>
      </c>
      <c r="V48">
        <f si="1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 s="88">
        <f>OtherTourTime!B57</f>
        <v>61</v>
      </c>
      <c r="S49" s="88" t="str">
        <f>OtherTourTime!C57</f>
        <v>ns*ot-arr</v>
      </c>
      <c r="T49" s="88">
        <f>VLOOKUP(R49,OtherTourTime!$B$11:$E$105,4,FALSE)</f>
        <v>-2.3365535996E-4</v>
      </c>
      <c r="U49" s="93">
        <f si="0" t="shared"/>
        <v>-2.3365535996E-4</v>
      </c>
      <c r="V49">
        <f si="1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 s="88">
        <f>OtherTourTime!B58</f>
        <v>62</v>
      </c>
      <c r="S50" s="88" t="str">
        <f>OtherTourTime!C58</f>
        <v>ns*ot-dur</v>
      </c>
      <c r="T50" s="88">
        <f>VLOOKUP(R50,OtherTourTime!$B$11:$E$105,4,FALSE)</f>
        <v>1.1947685293899999E-4</v>
      </c>
      <c r="U50" s="93">
        <f si="0" t="shared"/>
        <v>1.1947685293899999E-4</v>
      </c>
      <c r="V50">
        <f si="1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 s="88">
        <f>OtherTourTime!B59</f>
        <v>63</v>
      </c>
      <c r="S51" s="88" t="str">
        <f>OtherTourTime!C59</f>
        <v>ns*mt-arr</v>
      </c>
      <c r="T51" s="88">
        <f>VLOOKUP(R51,OtherTourTime!$B$11:$E$105,4,FALSE)</f>
        <v>2.1049357425800001E-3</v>
      </c>
      <c r="U51" s="93">
        <f si="0" t="shared"/>
        <v>2.1049357425800001E-3</v>
      </c>
      <c r="V51">
        <f si="1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 s="88">
        <f>OtherTourTime!B60</f>
        <v>64</v>
      </c>
      <c r="S52" s="88" t="str">
        <f>OtherTourTime!C60</f>
        <v>ns*mt-dur</v>
      </c>
      <c r="T52" s="88">
        <f>VLOOKUP(R52,OtherTourTime!$B$11:$E$105,4,FALSE)</f>
        <v>-1.0412642702400001E-2</v>
      </c>
      <c r="U52" s="93">
        <f si="0" t="shared"/>
        <v>-1.0412642702400001E-2</v>
      </c>
      <c r="V52">
        <f si="1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 s="88">
        <f>OtherTourTime!B61</f>
        <v>67</v>
      </c>
      <c r="S53" s="88" t="str">
        <f>OtherTourTime!C61</f>
        <v>iescs-arr</v>
      </c>
      <c r="T53" s="88">
        <f>VLOOKUP(R53,OtherTourTime!$B$11:$E$105,4,FALSE)</f>
        <v>-5.0326774775899998E-3</v>
      </c>
      <c r="U53" s="93">
        <f si="0" t="shared"/>
        <v>-5.0326774775899998E-3</v>
      </c>
      <c r="V53">
        <f si="1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 s="88">
        <f>OtherTourTime!B62</f>
        <v>68</v>
      </c>
      <c r="S54" s="88" t="str">
        <f>OtherTourTime!C62</f>
        <v>iescs-dur</v>
      </c>
      <c r="T54" s="88">
        <f>VLOOKUP(R54,OtherTourTime!$B$11:$E$105,4,FALSE)</f>
        <v>4.5124098001999999E-2</v>
      </c>
      <c r="U54" s="93">
        <f si="0" t="shared"/>
        <v>4.5124098001999999E-2</v>
      </c>
      <c r="V54">
        <f si="1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 s="88">
        <f>OtherTourTime!B63</f>
        <v>84</v>
      </c>
      <c r="S55" s="88" t="str">
        <f>OtherTourTime!C63</f>
        <v>lprd-x&lt;4</v>
      </c>
      <c r="T55" s="88">
        <f>VLOOKUP(R55,OtherTourTime!$B$11:$E$105,4,FALSE)</f>
        <v>1.07433111093</v>
      </c>
      <c r="U55" s="93">
        <f si="0" t="shared"/>
        <v>1.07433111093</v>
      </c>
      <c r="V55">
        <f si="1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 s="88">
        <f>OtherTourTime!B64</f>
        <v>85</v>
      </c>
      <c r="S56" s="88" t="str">
        <f>OtherTourTime!C64</f>
        <v>ctim-out</v>
      </c>
      <c r="T56" s="88">
        <f>VLOOKUP(R56,OtherTourTime!$B$11:$E$105,4,FALSE)</f>
        <v>0.5</v>
      </c>
      <c r="U56" s="93">
        <f si="0" t="shared"/>
        <v>0.5</v>
      </c>
      <c r="V56">
        <f si="1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 s="88">
        <f>OtherTourTime!B65</f>
        <v>86</v>
      </c>
      <c r="S57" s="88" t="str">
        <f>OtherTourTime!C65</f>
        <v>ctim-ret</v>
      </c>
      <c r="T57" s="88">
        <f>VLOOKUP(R57,OtherTourTime!$B$11:$E$105,4,FALSE)</f>
        <v>0.5</v>
      </c>
      <c r="U57" s="93">
        <f si="0" t="shared"/>
        <v>0.5</v>
      </c>
      <c r="V57">
        <f si="1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 s="88">
        <f>OtherTourTime!B66</f>
        <v>87</v>
      </c>
      <c r="S58" s="88" t="str">
        <f>OtherTourTime!C66</f>
        <v>ttim-out</v>
      </c>
      <c r="T58" s="88">
        <f>VLOOKUP(R58,OtherTourTime!$B$11:$E$105,4,FALSE)</f>
        <v>0.5</v>
      </c>
      <c r="U58" s="93">
        <f si="0" t="shared"/>
        <v>0.5</v>
      </c>
      <c r="V58">
        <f si="1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 s="88">
        <f>OtherTourTime!B67</f>
        <v>88</v>
      </c>
      <c r="S59" s="88" t="str">
        <f>OtherTourTime!C67</f>
        <v>ttim-ret</v>
      </c>
      <c r="T59" s="88">
        <f>VLOOKUP(R59,OtherTourTime!$B$11:$E$105,4,FALSE)</f>
        <v>0.5</v>
      </c>
      <c r="U59" s="93">
        <f si="0" t="shared"/>
        <v>0.5</v>
      </c>
      <c r="V59">
        <f si="1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 s="88">
        <f>OtherTourTime!B68</f>
        <v>89</v>
      </c>
      <c r="S60" s="88" t="str">
        <f>OtherTourTime!C68</f>
        <v>ttim-mis</v>
      </c>
      <c r="T60" s="88">
        <f>VLOOKUP(R60,OtherTourTime!$B$11:$E$105,4,FALSE)</f>
        <v>-5</v>
      </c>
      <c r="U60" s="93">
        <f si="0" t="shared"/>
        <v>-5</v>
      </c>
      <c r="V60">
        <f si="1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 s="88">
        <f>OtherTourTime!B69</f>
        <v>91</v>
      </c>
      <c r="S61" s="88" t="str">
        <f>OtherTourTime!C69</f>
        <v>arravail</v>
      </c>
      <c r="T61" s="88">
        <f>VLOOKUP(R61,OtherTourTime!$B$11:$E$105,4,FALSE)</f>
        <v>2.3628588955100001</v>
      </c>
      <c r="U61" s="93">
        <f si="0" t="shared"/>
        <v>2.3628588955100001</v>
      </c>
      <c r="V61">
        <f si="1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 s="88">
        <f>OtherTourTime!B70</f>
        <v>92</v>
      </c>
      <c r="S62" s="88" t="str">
        <f>OtherTourTime!C70</f>
        <v>depavail</v>
      </c>
      <c r="T62" s="88">
        <f>VLOOKUP(R62,OtherTourTime!$B$11:$E$105,4,FALSE)</f>
        <v>0.75577013676600002</v>
      </c>
      <c r="U62" s="93">
        <f si="0" t="shared"/>
        <v>0.75577013676600002</v>
      </c>
      <c r="V62">
        <f si="1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 s="88">
        <f>OtherTourTime!B71</f>
        <v>93</v>
      </c>
      <c r="S63" s="88" t="str">
        <f>OtherTourTime!C71</f>
        <v>cempbef1</v>
      </c>
      <c r="T63" s="88">
        <f>VLOOKUP(R63,OtherTourTime!$B$11:$E$105,4,FALSE)</f>
        <v>5.7788755051700003E-2</v>
      </c>
      <c r="U63" s="93">
        <f si="0" t="shared"/>
        <v>5.7788755051700003E-2</v>
      </c>
      <c r="V63">
        <f si="1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 s="88">
        <f>OtherTourTime!B72</f>
        <v>94</v>
      </c>
      <c r="S64" s="88" t="str">
        <f>OtherTourTime!C72</f>
        <v>cempaft1</v>
      </c>
      <c r="T64" s="88">
        <f>VLOOKUP(R64,OtherTourTime!$B$11:$E$105,4,FALSE)</f>
        <v>0.159274345431</v>
      </c>
      <c r="U64" s="93">
        <f si="0" t="shared"/>
        <v>0.159274345431</v>
      </c>
      <c r="V64">
        <f si="1" t="shared"/>
        <v>0</v>
      </c>
    </row>
    <row r="65" spans="18:22" x14ac:dyDescent="0.25">
      <c r="R65" s="88">
        <f>OtherTourTime!B73</f>
        <v>95</v>
      </c>
      <c r="S65" s="88" t="str">
        <f>OtherTourTime!C73</f>
        <v>cempbef2</v>
      </c>
      <c r="T65" s="88">
        <f>VLOOKUP(R65,OtherTourTime!$B$11:$E$105,4,FALSE)</f>
        <v>-1.88254083655E-2</v>
      </c>
      <c r="U65" s="93">
        <f si="0" t="shared"/>
        <v>-1.88254083655E-2</v>
      </c>
      <c r="V65">
        <f si="1" t="shared"/>
        <v>0</v>
      </c>
    </row>
    <row r="66" spans="18:22" x14ac:dyDescent="0.25">
      <c r="R66" s="88">
        <f>OtherTourTime!B74</f>
        <v>96</v>
      </c>
      <c r="S66" s="88" t="str">
        <f>OtherTourTime!C74</f>
        <v>cempaft2</v>
      </c>
      <c r="T66" s="88">
        <f>VLOOKUP(R66,OtherTourTime!$B$11:$E$105,4,FALSE)</f>
        <v>2.5800216652499999E-2</v>
      </c>
      <c r="U66" s="93">
        <f si="0" t="shared"/>
        <v>2.5800216652499999E-2</v>
      </c>
      <c r="V66">
        <f si="1" t="shared"/>
        <v>0</v>
      </c>
    </row>
    <row r="67" spans="18:22" x14ac:dyDescent="0.25">
      <c r="R67" s="88">
        <f>OtherTourTime!B75</f>
        <v>97</v>
      </c>
      <c r="S67" s="88" t="str">
        <f>OtherTourTime!C75</f>
        <v>toursdtwin</v>
      </c>
      <c r="T67" s="88">
        <f>VLOOKUP(R67,OtherTourTime!$B$11:$E$105,4,FALSE)</f>
        <v>-183.093900617</v>
      </c>
      <c r="U67" s="93">
        <f si="0" t="shared"/>
        <v>-183.093900617</v>
      </c>
      <c r="V67">
        <f si="1" t="shared"/>
        <v>0</v>
      </c>
    </row>
    <row r="68" spans="18:22" x14ac:dyDescent="0.25">
      <c r="R68" s="88">
        <f>OtherTourTime!B76</f>
        <v>98</v>
      </c>
      <c r="S68" s="88" t="str">
        <f>OtherTourTime!C76</f>
        <v>toursdmwin</v>
      </c>
      <c r="T68" s="88">
        <f>VLOOKUP(R68,OtherTourTime!$B$11:$E$105,4,FALSE)</f>
        <v>-19.730423228199999</v>
      </c>
      <c r="U68" s="93">
        <f ref="U68:U97" si="23" t="shared">_xlfn.IFNA(VLOOKUP(R68,$L$3:$N$46,3,FALSE),T68)</f>
        <v>-19.730423228199999</v>
      </c>
      <c r="V68">
        <f ref="V68:V98" si="24" t="shared">IF(T68=U68,0,1)</f>
        <v>0</v>
      </c>
    </row>
    <row r="69" spans="18:22" x14ac:dyDescent="0.25">
      <c r="R69" s="88">
        <f>OtherTourTime!B77</f>
        <v>99</v>
      </c>
      <c r="S69" s="88" t="str">
        <f>OtherTourTime!C77</f>
        <v>toursdbwin</v>
      </c>
      <c r="T69" s="88">
        <f>VLOOKUP(R69,OtherTourTime!$B$11:$E$105,4,FALSE)</f>
        <v>-8.6390785751099999E-2</v>
      </c>
      <c r="U69" s="93">
        <f si="23" t="shared"/>
        <v>-8.6390785751099999E-2</v>
      </c>
      <c r="V69">
        <f si="24" t="shared"/>
        <v>0</v>
      </c>
    </row>
    <row r="70" spans="18:22" x14ac:dyDescent="0.25">
      <c r="R70" s="88">
        <f>OtherTourTime!B78</f>
        <v>100</v>
      </c>
      <c r="S70" s="88" t="str">
        <f>OtherTourTime!C78</f>
        <v>toursdawin</v>
      </c>
      <c r="T70" s="88">
        <f>VLOOKUP(R70,OtherTourTime!$B$11:$E$105,4,FALSE)</f>
        <v>-0.135799733108</v>
      </c>
      <c r="U70" s="93">
        <f si="23" t="shared"/>
        <v>-0.135799733108</v>
      </c>
      <c r="V70">
        <f si="24" t="shared"/>
        <v>0</v>
      </c>
    </row>
    <row r="71" spans="18:22" x14ac:dyDescent="0.25">
      <c r="R71" s="88">
        <f>OtherTourTime!B79</f>
        <v>124</v>
      </c>
      <c r="S71" s="88" t="str">
        <f>OtherTourTime!C79</f>
        <v>dep15</v>
      </c>
      <c r="T71" s="88">
        <f>VLOOKUP(R71,OtherTourTime!$B$11:$E$105,4,FALSE)</f>
        <v>0.428165987769</v>
      </c>
      <c r="U71" s="93">
        <f si="23" t="shared"/>
        <v>0.428165987769</v>
      </c>
      <c r="V71">
        <f si="24" t="shared"/>
        <v>0</v>
      </c>
    </row>
    <row r="72" spans="18:22" x14ac:dyDescent="0.25">
      <c r="R72" s="88">
        <f>OtherTourTime!B80</f>
        <v>141</v>
      </c>
      <c r="S72" s="88" t="str">
        <f>OtherTourTime!C80</f>
        <v>pkid-arr</v>
      </c>
      <c r="T72" s="88">
        <f>VLOOKUP(R72,OtherTourTime!$B$11:$E$105,4,FALSE)</f>
        <v>2.3187717806499999E-2</v>
      </c>
      <c r="U72" s="93">
        <f si="23" t="shared"/>
        <v>2.3187717806499999E-2</v>
      </c>
      <c r="V72">
        <f si="24" t="shared"/>
        <v>0</v>
      </c>
    </row>
    <row r="73" spans="18:22" x14ac:dyDescent="0.25">
      <c r="R73" s="88">
        <f>OtherTourTime!B81</f>
        <v>142</v>
      </c>
      <c r="S73" s="88" t="str">
        <f>OtherTourTime!C81</f>
        <v>pkid-dur</v>
      </c>
      <c r="T73" s="88">
        <f>VLOOKUP(R73,OtherTourTime!$B$11:$E$105,4,FALSE)</f>
        <v>3.2240018708099998E-2</v>
      </c>
      <c r="U73" s="93">
        <f si="23" t="shared"/>
        <v>3.2240018708099998E-2</v>
      </c>
      <c r="V73">
        <f si="24" t="shared"/>
        <v>0</v>
      </c>
    </row>
    <row r="74" spans="18:22" x14ac:dyDescent="0.25">
      <c r="R74" s="88">
        <f>OtherTourTime!B82</f>
        <v>143</v>
      </c>
      <c r="S74" s="88" t="str">
        <f>OtherTourTime!C82</f>
        <v>pres-arr</v>
      </c>
      <c r="T74" s="88">
        <f>VLOOKUP(R74,OtherTourTime!$B$11:$E$105,4,FALSE)</f>
        <v>-6.3472658248500003E-3</v>
      </c>
      <c r="U74" s="93">
        <f si="23" t="shared"/>
        <v>-6.3472658248500003E-3</v>
      </c>
      <c r="V74">
        <f si="24" t="shared"/>
        <v>0</v>
      </c>
    </row>
    <row r="75" spans="18:22" x14ac:dyDescent="0.25">
      <c r="R75" s="88">
        <f>OtherTourTime!B83</f>
        <v>144</v>
      </c>
      <c r="S75" s="88" t="str">
        <f>OtherTourTime!C83</f>
        <v>pres-dur</v>
      </c>
      <c r="T75" s="88">
        <f>VLOOKUP(R75,OtherTourTime!$B$11:$E$105,4,FALSE)</f>
        <v>4.9914262554399999E-2</v>
      </c>
      <c r="U75" s="93">
        <f si="23" t="shared"/>
        <v>4.9914262554399999E-2</v>
      </c>
      <c r="V75">
        <f si="24" t="shared"/>
        <v>0</v>
      </c>
    </row>
    <row r="76" spans="18:22" x14ac:dyDescent="0.25">
      <c r="R76" s="88">
        <f>OtherTourTime!B84</f>
        <v>145</v>
      </c>
      <c r="S76" s="88" t="str">
        <f>OtherTourTime!C84</f>
        <v>esco-arr</v>
      </c>
      <c r="T76" s="88">
        <f>VLOOKUP(R76,OtherTourTime!$B$11:$E$105,4,FALSE)</f>
        <v>-1.1516184281700001E-2</v>
      </c>
      <c r="U76" s="93">
        <f si="23" t="shared"/>
        <v>-1.1516184281700001E-2</v>
      </c>
      <c r="V76">
        <f si="24" t="shared"/>
        <v>0</v>
      </c>
    </row>
    <row r="77" spans="18:22" x14ac:dyDescent="0.25">
      <c r="R77" s="88">
        <f>OtherTourTime!B85</f>
        <v>146</v>
      </c>
      <c r="S77" s="88" t="str">
        <f>OtherTourTime!C85</f>
        <v>esco-dur</v>
      </c>
      <c r="T77" s="88">
        <f>VLOOKUP(R77,OtherTourTime!$B$11:$E$105,4,FALSE)</f>
        <v>-0.566339795782</v>
      </c>
      <c r="U77" s="93">
        <f si="23" t="shared"/>
        <v>-0.566339795782</v>
      </c>
      <c r="V77">
        <f si="24" t="shared"/>
        <v>0</v>
      </c>
    </row>
    <row r="78" spans="18:22" x14ac:dyDescent="0.25">
      <c r="R78" s="88">
        <f>OtherTourTime!B86</f>
        <v>147</v>
      </c>
      <c r="S78" s="88" t="str">
        <f>OtherTourTime!C86</f>
        <v>shop-arr</v>
      </c>
      <c r="T78" s="88">
        <f>VLOOKUP(R78,OtherTourTime!$B$11:$E$105,4,FALSE)</f>
        <v>2.4576426927299999E-2</v>
      </c>
      <c r="U78" s="93">
        <f si="23" t="shared"/>
        <v>2.4576426927299999E-2</v>
      </c>
      <c r="V78">
        <f si="24" t="shared"/>
        <v>0</v>
      </c>
    </row>
    <row r="79" spans="18:22" x14ac:dyDescent="0.25">
      <c r="R79" s="88">
        <f>OtherTourTime!B87</f>
        <v>148</v>
      </c>
      <c r="S79" s="88" t="str">
        <f>OtherTourTime!C87</f>
        <v>shop-dur</v>
      </c>
      <c r="T79" s="88">
        <f>VLOOKUP(R79,OtherTourTime!$B$11:$E$105,4,FALSE)</f>
        <v>8.47108584148E-2</v>
      </c>
      <c r="U79" s="93">
        <f si="23" t="shared"/>
        <v>8.47108584148E-2</v>
      </c>
      <c r="V79">
        <f si="24" t="shared"/>
        <v>0</v>
      </c>
    </row>
    <row r="80" spans="18:22" x14ac:dyDescent="0.25">
      <c r="R80" s="88">
        <f>OtherTourTime!B88</f>
        <v>149</v>
      </c>
      <c r="S80" s="88" t="str">
        <f>OtherTourTime!C88</f>
        <v>meal-arr</v>
      </c>
      <c r="T80" s="88">
        <f>VLOOKUP(R80,OtherTourTime!$B$11:$E$105,4,FALSE)</f>
        <v>7.4163199003900004E-2</v>
      </c>
      <c r="U80" s="93">
        <f si="23" t="shared"/>
        <v>7.4163199003900004E-2</v>
      </c>
      <c r="V80">
        <f si="24" t="shared"/>
        <v>0</v>
      </c>
    </row>
    <row r="81" spans="18:22" x14ac:dyDescent="0.25">
      <c r="R81" s="88">
        <f>OtherTourTime!B89</f>
        <v>150</v>
      </c>
      <c r="S81" s="88" t="str">
        <f>OtherTourTime!C89</f>
        <v>meal-dur</v>
      </c>
      <c r="T81" s="88">
        <f>VLOOKUP(R81,OtherTourTime!$B$11:$E$105,4,FALSE)</f>
        <v>3.2023808782099997E-2</v>
      </c>
      <c r="U81" s="93">
        <f si="23" t="shared"/>
        <v>3.2023808782099997E-2</v>
      </c>
      <c r="V81">
        <f si="24" t="shared"/>
        <v>0</v>
      </c>
    </row>
    <row r="82" spans="18:22" x14ac:dyDescent="0.25">
      <c r="R82" s="88">
        <f>OtherTourTime!B90</f>
        <v>151</v>
      </c>
      <c r="S82" s="88" t="str">
        <f>OtherTourTime!C90</f>
        <v>srec-arr</v>
      </c>
      <c r="T82" s="88">
        <f>VLOOKUP(R82,OtherTourTime!$B$11:$E$105,4,FALSE)</f>
        <v>2.77003652052E-2</v>
      </c>
      <c r="U82" s="93">
        <f si="23" t="shared"/>
        <v>2.77003652052E-2</v>
      </c>
      <c r="V82">
        <f si="24" t="shared"/>
        <v>0</v>
      </c>
    </row>
    <row r="83" spans="18:22" x14ac:dyDescent="0.25">
      <c r="R83" s="88">
        <f>OtherTourTime!B91</f>
        <v>152</v>
      </c>
      <c r="S83" s="88" t="str">
        <f>OtherTourTime!C91</f>
        <v>srec-dur</v>
      </c>
      <c r="T83" s="88">
        <f>VLOOKUP(R83,OtherTourTime!$B$11:$E$105,4,FALSE)</f>
        <v>0.13122747996699999</v>
      </c>
      <c r="U83" s="93">
        <f si="23" t="shared"/>
        <v>0.13122747996699999</v>
      </c>
      <c r="V83">
        <f si="24" t="shared"/>
        <v>0</v>
      </c>
    </row>
    <row r="84" spans="18:22" x14ac:dyDescent="0.25">
      <c r="R84" s="88">
        <f>OtherTourTime!B92</f>
        <v>155</v>
      </c>
      <c r="S84" s="88" t="str">
        <f>OtherTourTime!C92</f>
        <v>hprd-arr</v>
      </c>
      <c r="T84" s="88">
        <f>VLOOKUP(R84,OtherTourTime!$B$11:$E$105,4,FALSE)</f>
        <v>2.39605722228E-2</v>
      </c>
      <c r="U84" s="93">
        <f si="23" t="shared"/>
        <v>2.39605722228E-2</v>
      </c>
      <c r="V84">
        <f si="24" t="shared"/>
        <v>0</v>
      </c>
    </row>
    <row r="85" spans="18:22" x14ac:dyDescent="0.25">
      <c r="R85" s="88">
        <f>OtherTourTime!B93</f>
        <v>156</v>
      </c>
      <c r="S85" s="88" t="str">
        <f>OtherTourTime!C93</f>
        <v>hprd-dur</v>
      </c>
      <c r="T85" s="88">
        <f>VLOOKUP(R85,OtherTourTime!$B$11:$E$105,4,FALSE)</f>
        <v>6.3389970068799997E-2</v>
      </c>
      <c r="U85" s="93">
        <f si="23" t="shared"/>
        <v>6.3389970068799997E-2</v>
      </c>
      <c r="V85">
        <f si="24" t="shared"/>
        <v>0</v>
      </c>
    </row>
    <row r="86" spans="18:22" x14ac:dyDescent="0.25">
      <c r="R86" s="88">
        <f>OtherTourTime!B94</f>
        <v>157</v>
      </c>
      <c r="S86" s="88" t="str">
        <f>OtherTourTime!C94</f>
        <v>lprd-arr</v>
      </c>
      <c r="T86" s="88">
        <f>VLOOKUP(R86,OtherTourTime!$B$11:$E$105,4,FALSE)</f>
        <v>-7.4943228457399994E-2</v>
      </c>
      <c r="U86" s="93">
        <f si="23" t="shared"/>
        <v>-7.4943228457399994E-2</v>
      </c>
      <c r="V86">
        <f si="24" t="shared"/>
        <v>0</v>
      </c>
    </row>
    <row r="87" spans="18:22" x14ac:dyDescent="0.25">
      <c r="R87" s="88">
        <f>OtherTourTime!B95</f>
        <v>158</v>
      </c>
      <c r="S87" s="88" t="str">
        <f>OtherTourTime!C95</f>
        <v>lprd-dur</v>
      </c>
      <c r="T87" s="88">
        <f>VLOOKUP(R87,OtherTourTime!$B$11:$E$105,4,FALSE)</f>
        <v>-0.102301405774</v>
      </c>
      <c r="U87" s="93">
        <f si="23" t="shared"/>
        <v>-0.102301405774</v>
      </c>
      <c r="V87">
        <f si="24" t="shared"/>
        <v>0</v>
      </c>
    </row>
    <row r="88" spans="18:22" x14ac:dyDescent="0.25">
      <c r="R88" s="88">
        <f>OtherTourTime!B96</f>
        <v>169</v>
      </c>
      <c r="S88" s="88" t="str">
        <f>OtherTourTime!C96</f>
        <v>esco-x=0</v>
      </c>
      <c r="T88" s="88">
        <f>VLOOKUP(R88,OtherTourTime!$B$11:$E$105,4,FALSE)</f>
        <v>1.6569526073600001</v>
      </c>
      <c r="U88" s="93">
        <f si="23" t="shared"/>
        <v>1.6569526073600001</v>
      </c>
      <c r="V88">
        <f si="24" t="shared"/>
        <v>0</v>
      </c>
    </row>
    <row r="89" spans="18:22" x14ac:dyDescent="0.25">
      <c r="R89" s="88">
        <f>OtherTourTime!B97</f>
        <v>170</v>
      </c>
      <c r="S89" s="88" t="str">
        <f>OtherTourTime!C97</f>
        <v>shop-x=0</v>
      </c>
      <c r="T89" s="88">
        <f>VLOOKUP(R89,OtherTourTime!$B$11:$E$105,4,FALSE)</f>
        <v>2.8634214338400001</v>
      </c>
      <c r="U89" s="93">
        <f si="23" t="shared"/>
        <v>2.8634214338400001</v>
      </c>
      <c r="V89">
        <f si="24" t="shared"/>
        <v>0</v>
      </c>
    </row>
    <row r="90" spans="18:22" x14ac:dyDescent="0.25">
      <c r="R90" s="88">
        <f>OtherTourTime!B98</f>
        <v>171</v>
      </c>
      <c r="S90" s="88" t="str">
        <f>OtherTourTime!C98</f>
        <v>meal-x=0</v>
      </c>
      <c r="T90" s="88">
        <f>VLOOKUP(R90,OtherTourTime!$B$11:$E$105,4,FALSE)</f>
        <v>9.1835589381599997E-2</v>
      </c>
      <c r="U90" s="93">
        <f si="23" t="shared"/>
        <v>9.1835589381599997E-2</v>
      </c>
      <c r="V90">
        <f si="24" t="shared"/>
        <v>0</v>
      </c>
    </row>
    <row r="91" spans="18:22" x14ac:dyDescent="0.25">
      <c r="R91" s="88">
        <f>OtherTourTime!B99</f>
        <v>173</v>
      </c>
      <c r="S91" s="88" t="str">
        <f>OtherTourTime!C99</f>
        <v>shop-x=1</v>
      </c>
      <c r="T91" s="88">
        <f>VLOOKUP(R91,OtherTourTime!$B$11:$E$105,4,FALSE)</f>
        <v>1.8868020316</v>
      </c>
      <c r="U91" s="93">
        <f si="23" t="shared"/>
        <v>1.8868020316</v>
      </c>
      <c r="V91">
        <f si="24" t="shared"/>
        <v>0</v>
      </c>
    </row>
    <row r="92" spans="18:22" x14ac:dyDescent="0.25">
      <c r="R92" s="88">
        <f>OtherTourTime!B100</f>
        <v>174</v>
      </c>
      <c r="S92" s="88" t="str">
        <f>OtherTourTime!C100</f>
        <v>meal-x=1</v>
      </c>
      <c r="T92" s="88">
        <f>VLOOKUP(R92,OtherTourTime!$B$11:$E$105,4,FALSE)</f>
        <v>0.76901323301799995</v>
      </c>
      <c r="U92" s="93">
        <f si="23" t="shared"/>
        <v>0.76901323301799995</v>
      </c>
      <c r="V92">
        <f si="24" t="shared"/>
        <v>0</v>
      </c>
    </row>
    <row r="93" spans="18:22" x14ac:dyDescent="0.25">
      <c r="R93" s="88">
        <f>OtherTourTime!B101</f>
        <v>176</v>
      </c>
      <c r="S93" s="88" t="str">
        <f>OtherTourTime!C101</f>
        <v>shop-a&lt;7</v>
      </c>
      <c r="T93" s="88">
        <f>VLOOKUP(R93,OtherTourTime!$B$11:$E$105,4,FALSE)</f>
        <v>-1.3256547957</v>
      </c>
      <c r="U93" s="93">
        <f si="23" t="shared"/>
        <v>-1.3256547957</v>
      </c>
      <c r="V93">
        <f si="24" t="shared"/>
        <v>0</v>
      </c>
    </row>
    <row r="94" spans="18:22" x14ac:dyDescent="0.25">
      <c r="R94" s="88">
        <f>OtherTourTime!B102</f>
        <v>177</v>
      </c>
      <c r="S94" s="88" t="str">
        <f>OtherTourTime!C102</f>
        <v>meal-a&lt;7</v>
      </c>
      <c r="T94" s="88">
        <f>VLOOKUP(R94,OtherTourTime!$B$11:$E$105,4,FALSE)</f>
        <v>1.0736213565199999</v>
      </c>
      <c r="U94" s="93">
        <f si="23" t="shared"/>
        <v>1.0736213565199999</v>
      </c>
      <c r="V94">
        <f si="24" t="shared"/>
        <v>0</v>
      </c>
    </row>
    <row r="95" spans="18:22" x14ac:dyDescent="0.25">
      <c r="R95" s="88">
        <f>OtherTourTime!B103</f>
        <v>178</v>
      </c>
      <c r="S95" s="88" t="str">
        <f>OtherTourTime!C103</f>
        <v>esco-d&gt;21</v>
      </c>
      <c r="T95" s="88">
        <f>VLOOKUP(R95,OtherTourTime!$B$11:$E$105,4,FALSE)</f>
        <v>0.10530978107199999</v>
      </c>
      <c r="U95" s="93">
        <f si="23" t="shared"/>
        <v>0.10530978107199999</v>
      </c>
      <c r="V95">
        <f si="24" t="shared"/>
        <v>0</v>
      </c>
    </row>
    <row r="96" spans="18:22" x14ac:dyDescent="0.25">
      <c r="R96" s="88">
        <f>OtherTourTime!B104</f>
        <v>179</v>
      </c>
      <c r="S96" s="88" t="str">
        <f>OtherTourTime!C104</f>
        <v>shop-d&lt;21</v>
      </c>
      <c r="T96" s="88">
        <f>VLOOKUP(R96,OtherTourTime!$B$11:$E$105,4,FALSE)</f>
        <v>-1.0571978499400001</v>
      </c>
      <c r="U96" s="93">
        <f si="23" t="shared"/>
        <v>-1.0571978499400001</v>
      </c>
      <c r="V96">
        <f si="24" t="shared"/>
        <v>0</v>
      </c>
    </row>
    <row r="97" spans="18:22" x14ac:dyDescent="0.25">
      <c r="R97" s="88">
        <f>OtherTourTime!B105</f>
        <v>180</v>
      </c>
      <c r="S97" s="88" t="str">
        <f>OtherTourTime!C105</f>
        <v>meal-d&lt;21</v>
      </c>
      <c r="T97" s="88">
        <f>VLOOKUP(R97,OtherTourTime!$B$11:$E$105,4,FALSE)</f>
        <v>-0.66776923780300002</v>
      </c>
      <c r="U97" s="93">
        <f si="23" t="shared"/>
        <v>-0.66776923780300002</v>
      </c>
      <c r="V97">
        <f si="24" t="shared"/>
        <v>0</v>
      </c>
    </row>
    <row r="98" spans="18:22" x14ac:dyDescent="0.25">
      <c r="R98" s="88">
        <f>OtherTourTime!B106</f>
        <v>-1</v>
      </c>
      <c r="S98" s="88"/>
      <c r="T98" s="88"/>
      <c r="U98" s="90"/>
      <c r="V98">
        <f si="24" t="shared"/>
        <v>0</v>
      </c>
    </row>
    <row r="99" spans="18:22" x14ac:dyDescent="0.25">
      <c r="R99" s="88"/>
    </row>
    <row r="100" spans="18:22" x14ac:dyDescent="0.25">
      <c r="R100" s="88"/>
    </row>
    <row r="101" spans="18:22" x14ac:dyDescent="0.25">
      <c r="R101" s="88"/>
    </row>
  </sheetData>
  <mergeCells count="8">
    <mergeCell ref="C50:D50"/>
    <mergeCell ref="E50:F50"/>
    <mergeCell ref="C2:D2"/>
    <mergeCell ref="E2:F2"/>
    <mergeCell ref="C18:D18"/>
    <mergeCell ref="E18:F18"/>
    <mergeCell ref="C35:D35"/>
    <mergeCell ref="E35:F35"/>
  </mergeCells>
  <conditionalFormatting sqref="V3:V9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59"/>
  <sheetViews>
    <sheetView topLeftCell="A26" workbookViewId="0">
      <selection activeCell="Q52" sqref="Q52:Q5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9.7109375" collapsed="true"/>
    <col min="20" max="20" bestFit="true" customWidth="true" width="15.42578125" collapsed="true"/>
  </cols>
  <sheetData>
    <row ht="15.75" r="1" spans="2:21" thickBot="1" x14ac:dyDescent="0.3">
      <c r="B1" s="37" t="s">
        <v>174</v>
      </c>
      <c r="C1" s="1"/>
      <c r="D1" s="1"/>
      <c r="E1" s="1" t="s">
        <v>86</v>
      </c>
      <c r="F1" s="38">
        <v>1</v>
      </c>
      <c r="G1" s="1"/>
      <c r="H1" s="1"/>
      <c r="I1" s="1"/>
      <c r="Q1" s="58" t="s">
        <v>194</v>
      </c>
      <c r="R1" s="59"/>
      <c r="S1" s="59"/>
      <c r="T1" s="59"/>
    </row>
    <row ht="15.75" r="2" spans="2:21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Q2" s="59"/>
      <c r="R2" s="59"/>
      <c r="S2" s="60" t="s">
        <v>170</v>
      </c>
      <c r="T2" s="60" t="s">
        <v>171</v>
      </c>
      <c r="U2" s="98" t="s">
        <v>267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33" t="s">
        <v>88</v>
      </c>
      <c r="M3" s="33" t="s">
        <v>89</v>
      </c>
      <c r="N3" s="32" t="s">
        <v>91</v>
      </c>
      <c r="Q3" s="66">
        <f>WorkBasedSubtourTime!B11</f>
        <v>11</v>
      </c>
      <c r="R3" s="66" t="str">
        <f>WorkBasedSubtourTime!C11</f>
        <v>arr3-5</v>
      </c>
      <c r="S3" s="66">
        <f>VLOOKUP(Q3,WorkBasedSubtourTime!$B$11:$E$60,4,FALSE)</f>
        <v>-0.45190000000000002</v>
      </c>
      <c r="T3" s="93">
        <f ref="T3:T34" si="0" t="shared">_xlfn.IFNA(VLOOKUP(Q3,$L$3:$N$45,3,FALSE),S3)</f>
        <v>-1.8749390632303702</v>
      </c>
      <c r="U3">
        <f>IF(S3=T3,0,1)</f>
        <v>1</v>
      </c>
    </row>
    <row r="4" spans="2:21" x14ac:dyDescent="0.25">
      <c r="B4" t="s">
        <v>73</v>
      </c>
      <c r="C4" s="29">
        <f>SUM(Departure_Time!E9:E16)</f>
        <v>295.62554822549248</v>
      </c>
      <c r="D4" s="29">
        <f>SUM(Departure_Time!L9:L16)</f>
        <v>1641.6451063156128</v>
      </c>
      <c r="E4" s="30">
        <f ref="E4:E14" si="1" t="shared">C4/C$14</f>
        <v>3.549425637128999E-3</v>
      </c>
      <c r="F4" s="30">
        <f ref="F4:F14" si="2" t="shared">D4/D$14</f>
        <v>1.4965879883073201E-2</v>
      </c>
      <c r="G4" s="6">
        <f>E4/F4</f>
        <v>0.23716785547260016</v>
      </c>
      <c r="H4" s="6">
        <f>$F$1</f>
        <v>1</v>
      </c>
      <c r="I4" s="62">
        <f ref="I4:I12" si="3" t="shared">H4*(LN(G4)-LN($G$8))</f>
        <v>-0.97102817167375233</v>
      </c>
      <c r="L4">
        <v>21</v>
      </c>
      <c r="M4" s="61">
        <f>VLOOKUP(L4,$Q$3:$T$64,3,FALSE)</f>
        <v>2.5150000000000001</v>
      </c>
      <c r="N4" s="31">
        <f>I4+M4</f>
        <v>1.5439718283262478</v>
      </c>
      <c r="Q4" s="66">
        <f>WorkBasedSubtourTime!B12</f>
        <v>12</v>
      </c>
      <c r="R4" s="66" t="str">
        <f>WorkBasedSubtourTime!C12</f>
        <v>arr=6</v>
      </c>
      <c r="S4" s="66">
        <f>VLOOKUP(Q4,WorkBasedSubtourTime!$B$11:$E$60,4,FALSE)</f>
        <v>-5</v>
      </c>
      <c r="T4" s="93">
        <f si="0" t="shared"/>
        <v>-5.1912904256897168</v>
      </c>
      <c r="U4">
        <f ref="U4:U52" si="4" t="shared">IF(S4=T4,0,1)</f>
        <v>1</v>
      </c>
    </row>
    <row r="5" spans="2:21" x14ac:dyDescent="0.25">
      <c r="B5" t="s">
        <v>74</v>
      </c>
      <c r="C5" s="29">
        <f>SUM(Departure_Time!E17:E22)</f>
        <v>4801.2639778020948</v>
      </c>
      <c r="D5" s="29">
        <f>SUM(Departure_Time!L17:L22)</f>
        <v>10318.98305606842</v>
      </c>
      <c r="E5" s="30">
        <f si="1" t="shared"/>
        <v>5.7646335222813344E-2</v>
      </c>
      <c r="F5" s="30">
        <f si="2" t="shared"/>
        <v>9.4071891871431862E-2</v>
      </c>
      <c r="G5" s="6">
        <f ref="G5:G14" si="5" t="shared">E5/F5</f>
        <v>0.61279021901248298</v>
      </c>
      <c r="H5" s="6">
        <f ref="H5:H13" si="6" t="shared">$F$1</f>
        <v>1</v>
      </c>
      <c r="I5" s="63">
        <f si="3" t="shared"/>
        <v>-2.177365589929775E-2</v>
      </c>
      <c r="L5" s="5">
        <v>22</v>
      </c>
      <c r="M5" s="5">
        <f ref="M5:M13" si="7" t="shared">VLOOKUP(L5,$Q$3:$T$64,3,FALSE)</f>
        <v>4.7E-2</v>
      </c>
      <c r="N5" s="31">
        <f ref="N5:N13" si="8" t="shared">I5+M5</f>
        <v>2.522634410070225E-2</v>
      </c>
      <c r="Q5" s="66">
        <f>WorkBasedSubtourTime!B13</f>
        <v>13</v>
      </c>
      <c r="R5" s="66" t="str">
        <f>WorkBasedSubtourTime!C13</f>
        <v>arr=7</v>
      </c>
      <c r="S5" s="66">
        <f>VLOOKUP(Q5,WorkBasedSubtourTime!$B$11:$E$60,4,FALSE)</f>
        <v>-0.27489999999999998</v>
      </c>
      <c r="T5" s="93">
        <f si="0" t="shared"/>
        <v>-0.32814211331443072</v>
      </c>
      <c r="U5">
        <f si="4" t="shared"/>
        <v>1</v>
      </c>
    </row>
    <row r="6" spans="2:21" x14ac:dyDescent="0.25">
      <c r="B6" t="s">
        <v>75</v>
      </c>
      <c r="C6" s="29">
        <f>SUM(Departure_Time!E23:E28)</f>
        <v>40107.168074063971</v>
      </c>
      <c r="D6" s="29">
        <f>SUM(Departure_Time!L23:L28)</f>
        <v>40118.089158058167</v>
      </c>
      <c r="E6" s="30">
        <f si="1" t="shared"/>
        <v>0.48154637327264849</v>
      </c>
      <c r="F6" s="30">
        <f si="2" t="shared"/>
        <v>0.36573221652359378</v>
      </c>
      <c r="G6" s="6">
        <f si="5" t="shared"/>
        <v>1.3166638089745191</v>
      </c>
      <c r="H6" s="6">
        <f si="6" t="shared"/>
        <v>1</v>
      </c>
      <c r="I6" s="63">
        <f si="3" t="shared"/>
        <v>0.74306008576881366</v>
      </c>
      <c r="L6" s="5">
        <v>23</v>
      </c>
      <c r="M6" s="5">
        <f si="7" t="shared"/>
        <v>0.5978</v>
      </c>
      <c r="N6" s="31">
        <f si="8" t="shared"/>
        <v>1.3408600857688135</v>
      </c>
      <c r="Q6" s="66">
        <f>WorkBasedSubtourTime!B14</f>
        <v>14</v>
      </c>
      <c r="R6" s="66" t="str">
        <f>WorkBasedSubtourTime!C14</f>
        <v>arr=8</v>
      </c>
      <c r="S6" s="66">
        <f>VLOOKUP(Q6,WorkBasedSubtourTime!$B$11:$E$60,4,FALSE)</f>
        <v>0</v>
      </c>
      <c r="T6" s="93">
        <f si="0" t="shared"/>
        <v>0</v>
      </c>
      <c r="U6">
        <f si="4" t="shared"/>
        <v>0</v>
      </c>
    </row>
    <row r="7" spans="2:21" x14ac:dyDescent="0.25">
      <c r="B7" t="s">
        <v>76</v>
      </c>
      <c r="C7" s="29">
        <f>SUM(Departure_Time!E29:E32)</f>
        <v>27939.719749316399</v>
      </c>
      <c r="D7" s="29">
        <f>SUM(Departure_Time!L29:L32)</f>
        <v>28660.774919509888</v>
      </c>
      <c r="E7" s="30">
        <f si="1" t="shared"/>
        <v>0.33545800817180987</v>
      </c>
      <c r="F7" s="30">
        <f si="2" t="shared"/>
        <v>0.26128285166569842</v>
      </c>
      <c r="G7" s="6">
        <f si="5" t="shared"/>
        <v>1.283888345650084</v>
      </c>
      <c r="H7" s="6">
        <f si="6" t="shared"/>
        <v>1</v>
      </c>
      <c r="I7" s="63">
        <f si="3" t="shared"/>
        <v>0.71785220919558668</v>
      </c>
      <c r="L7" s="5">
        <v>24</v>
      </c>
      <c r="M7" s="5">
        <f si="7" t="shared"/>
        <v>0.622</v>
      </c>
      <c r="N7" s="31">
        <f si="8" t="shared"/>
        <v>1.3398522091955867</v>
      </c>
      <c r="Q7" s="66">
        <f>WorkBasedSubtourTime!B15</f>
        <v>15</v>
      </c>
      <c r="R7" s="66" t="str">
        <f>WorkBasedSubtourTime!C15</f>
        <v>arr=9</v>
      </c>
      <c r="S7" s="66">
        <f>VLOOKUP(Q7,WorkBasedSubtourTime!$B$11:$E$60,4,FALSE)</f>
        <v>-0.4405</v>
      </c>
      <c r="T7" s="93">
        <f si="0" t="shared"/>
        <v>-0.15292677551009404</v>
      </c>
      <c r="U7">
        <f si="4" t="shared"/>
        <v>1</v>
      </c>
    </row>
    <row r="8" spans="2:21" x14ac:dyDescent="0.25">
      <c r="B8" t="s">
        <v>173</v>
      </c>
      <c r="C8" s="29">
        <f>SUM(Departure_Time!E33:E36)</f>
        <v>7892.4346060375374</v>
      </c>
      <c r="D8" s="29">
        <f>SUM(Departure_Time!L33:L36)</f>
        <v>16597.249719619751</v>
      </c>
      <c r="E8" s="30">
        <f si="1" t="shared"/>
        <v>9.4760449149902212E-2</v>
      </c>
      <c r="F8" s="30">
        <f si="2" t="shared"/>
        <v>0.1513070302086626</v>
      </c>
      <c r="G8" s="6">
        <f si="5" t="shared"/>
        <v>0.6262792219186456</v>
      </c>
      <c r="H8" s="6">
        <f si="6" t="shared"/>
        <v>1</v>
      </c>
      <c r="I8" s="63">
        <f si="3" t="shared"/>
        <v>0</v>
      </c>
      <c r="L8" s="5">
        <v>25</v>
      </c>
      <c r="M8" s="5">
        <f si="7" t="shared"/>
        <v>0</v>
      </c>
      <c r="N8" s="31">
        <f si="8" t="shared"/>
        <v>0</v>
      </c>
      <c r="Q8" s="66">
        <f>WorkBasedSubtourTime!B16</f>
        <v>16</v>
      </c>
      <c r="R8" s="66" t="str">
        <f>WorkBasedSubtourTime!C16</f>
        <v>arr10-12</v>
      </c>
      <c r="S8" s="66">
        <f>VLOOKUP(Q8,WorkBasedSubtourTime!$B$11:$E$60,4,FALSE)</f>
        <v>-0.1867</v>
      </c>
      <c r="T8" s="93">
        <f si="0" t="shared"/>
        <v>0.79055199500819417</v>
      </c>
      <c r="U8">
        <f si="4" t="shared"/>
        <v>1</v>
      </c>
    </row>
    <row r="9" spans="2:21" x14ac:dyDescent="0.25">
      <c r="B9" t="s">
        <v>77</v>
      </c>
      <c r="C9" s="29">
        <f>SUM(Departure_Time!E37:E38)</f>
        <v>1132.9090999652281</v>
      </c>
      <c r="D9" s="29">
        <f>SUM(Departure_Time!L37:L38)</f>
        <v>3780.4399013519287</v>
      </c>
      <c r="E9" s="30">
        <f si="1" t="shared"/>
        <v>1.3602263498843855E-2</v>
      </c>
      <c r="F9" s="30">
        <f si="2" t="shared"/>
        <v>3.4463971080685447E-2</v>
      </c>
      <c r="G9" s="6">
        <f si="5" t="shared"/>
        <v>0.3946806787586627</v>
      </c>
      <c r="H9" s="6">
        <f si="6" t="shared"/>
        <v>1</v>
      </c>
      <c r="I9" s="63">
        <f si="3" t="shared"/>
        <v>-0.46171928329970996</v>
      </c>
      <c r="L9" s="5">
        <v>26</v>
      </c>
      <c r="M9" s="5">
        <f si="7" t="shared"/>
        <v>9.69E-2</v>
      </c>
      <c r="N9" s="31">
        <f si="8" t="shared"/>
        <v>-0.36481928329970997</v>
      </c>
      <c r="Q9" s="66">
        <f>WorkBasedSubtourTime!B17</f>
        <v>17</v>
      </c>
      <c r="R9" s="66" t="str">
        <f>WorkBasedSubtourTime!C17</f>
        <v>arr13-15</v>
      </c>
      <c r="S9" s="66">
        <f>VLOOKUP(Q9,WorkBasedSubtourTime!$B$11:$E$60,4,FALSE)</f>
        <v>-1.6032</v>
      </c>
      <c r="T9" s="93">
        <f si="0" t="shared"/>
        <v>-0.84628309567220639</v>
      </c>
      <c r="U9">
        <f si="4" t="shared"/>
        <v>1</v>
      </c>
    </row>
    <row r="10" spans="2:21" x14ac:dyDescent="0.25">
      <c r="B10" t="s">
        <v>78</v>
      </c>
      <c r="C10" s="29">
        <f>SUM(Departure_Time!E39:E40)</f>
        <v>509.05119251087092</v>
      </c>
      <c r="D10" s="29">
        <f>SUM(Departure_Time!L39:L40)</f>
        <v>2341.0104265213013</v>
      </c>
      <c r="E10" s="30">
        <f si="1" t="shared"/>
        <v>6.1119188248607761E-3</v>
      </c>
      <c r="F10" s="30">
        <f si="2" t="shared"/>
        <v>2.1341568109669182E-2</v>
      </c>
      <c r="G10" s="6">
        <f si="5" t="shared"/>
        <v>0.28638564858276094</v>
      </c>
      <c r="H10" s="6">
        <f si="6" t="shared"/>
        <v>1</v>
      </c>
      <c r="I10" s="63">
        <f si="3" t="shared"/>
        <v>-0.78245698892289539</v>
      </c>
      <c r="L10" s="5">
        <v>27</v>
      </c>
      <c r="M10" s="5">
        <f si="7" t="shared"/>
        <v>0.11990000000000001</v>
      </c>
      <c r="N10" s="31">
        <f si="8" t="shared"/>
        <v>-0.66255698892289538</v>
      </c>
      <c r="Q10" s="66">
        <f>WorkBasedSubtourTime!B18</f>
        <v>18</v>
      </c>
      <c r="R10" s="66" t="str">
        <f>WorkBasedSubtourTime!C18</f>
        <v>arr16-18</v>
      </c>
      <c r="S10" s="66">
        <f>VLOOKUP(Q10,WorkBasedSubtourTime!$B$11:$E$60,4,FALSE)</f>
        <v>-2.6232000000000002</v>
      </c>
      <c r="T10" s="93">
        <f si="0" t="shared"/>
        <v>-2.8269162128173697</v>
      </c>
      <c r="U10">
        <f si="4" t="shared"/>
        <v>1</v>
      </c>
    </row>
    <row r="11" spans="2:21" x14ac:dyDescent="0.25">
      <c r="B11" t="s">
        <v>79</v>
      </c>
      <c r="C11" s="29">
        <f>SUM(Departure_Time!E41:E44)</f>
        <v>482.50719794342137</v>
      </c>
      <c r="D11" s="29">
        <f>SUM(Departure_Time!L41:L44)</f>
        <v>3297.8271474838257</v>
      </c>
      <c r="E11" s="30">
        <f si="1" t="shared"/>
        <v>5.7932185792458277E-3</v>
      </c>
      <c r="F11" s="30">
        <f si="2" t="shared"/>
        <v>3.006428415892478E-2</v>
      </c>
      <c r="G11" s="6">
        <f si="5" t="shared"/>
        <v>0.19269437943780454</v>
      </c>
      <c r="H11" s="6">
        <f si="6" t="shared"/>
        <v>1</v>
      </c>
      <c r="I11" s="63">
        <f si="3" t="shared"/>
        <v>-1.178690905483722</v>
      </c>
      <c r="L11" s="5">
        <v>28</v>
      </c>
      <c r="M11" s="5">
        <f si="7" t="shared"/>
        <v>1.0427999999999999</v>
      </c>
      <c r="N11" s="31">
        <f si="8" t="shared"/>
        <v>-0.13589090548372207</v>
      </c>
      <c r="Q11" s="66">
        <f>WorkBasedSubtourTime!B19</f>
        <v>19</v>
      </c>
      <c r="R11" s="66" t="str">
        <f>WorkBasedSubtourTime!C19</f>
        <v>arr19-21</v>
      </c>
      <c r="S11" s="66">
        <f>VLOOKUP(Q11,WorkBasedSubtourTime!$B$11:$E$60,4,FALSE)</f>
        <v>-4.4149000000000003</v>
      </c>
      <c r="T11" s="93">
        <f si="0" t="shared"/>
        <v>-5.7106893811199013</v>
      </c>
      <c r="U11">
        <f si="4" t="shared"/>
        <v>1</v>
      </c>
    </row>
    <row r="12" spans="2:21" x14ac:dyDescent="0.25">
      <c r="B12" t="s">
        <v>80</v>
      </c>
      <c r="C12" s="29">
        <f>SUM(Departure_Time!E45:E50)</f>
        <v>124.09471736757564</v>
      </c>
      <c r="D12" s="29">
        <f>SUM(Departure_Time!L45:L50)</f>
        <v>2713.9084959030151</v>
      </c>
      <c r="E12" s="30">
        <f si="1" t="shared"/>
        <v>1.4899421714417572E-3</v>
      </c>
      <c r="F12" s="30">
        <f si="2" t="shared"/>
        <v>2.4741052988299036E-2</v>
      </c>
      <c r="G12" s="6">
        <f si="5" t="shared"/>
        <v>6.0221453474369351E-2</v>
      </c>
      <c r="H12" s="6">
        <f si="6" t="shared"/>
        <v>1</v>
      </c>
      <c r="I12" s="63">
        <f si="3" t="shared"/>
        <v>-2.341767654220587</v>
      </c>
      <c r="L12" s="5">
        <v>29</v>
      </c>
      <c r="M12" s="5">
        <f si="7" t="shared"/>
        <v>2.1326999999999998</v>
      </c>
      <c r="N12" s="31">
        <f si="8" t="shared"/>
        <v>-0.20906765422058715</v>
      </c>
      <c r="Q12" s="66">
        <f>WorkBasedSubtourTime!B20</f>
        <v>20</v>
      </c>
      <c r="R12" s="66" t="str">
        <f>WorkBasedSubtourTime!C20</f>
        <v>arr22-26</v>
      </c>
      <c r="S12" s="66">
        <f>VLOOKUP(Q12,WorkBasedSubtourTime!$B$11:$E$60,4,FALSE)</f>
        <v>-10</v>
      </c>
      <c r="T12" s="93">
        <f si="0" t="shared"/>
        <v>-12.794317132332743</v>
      </c>
      <c r="U12">
        <f si="4" t="shared"/>
        <v>1</v>
      </c>
    </row>
    <row r="13" spans="2:21" x14ac:dyDescent="0.25">
      <c r="B13" s="23" t="s">
        <v>81</v>
      </c>
      <c r="C13" s="34">
        <f>SUM(Departure_Time!E51:E57)+Departure_Time!E8</f>
        <v>3.503560656628609</v>
      </c>
      <c r="D13" s="34">
        <f>SUM(Departure_Time!L51:L57)+Departure_Time!L8</f>
        <v>222.59393501281738</v>
      </c>
      <c r="E13" s="35">
        <f si="1" t="shared"/>
        <v>4.2065471304897661E-5</v>
      </c>
      <c r="F13" s="35">
        <f si="2" t="shared"/>
        <v>2.029253509961713E-3</v>
      </c>
      <c r="G13" s="22">
        <f si="5" t="shared"/>
        <v>2.0729529897765869E-2</v>
      </c>
      <c r="H13" s="6">
        <f si="6" t="shared"/>
        <v>1</v>
      </c>
      <c r="I13" s="36">
        <f>H13*IF(G13&gt;0,(LN(G13)-LN($G$8)),0)</f>
        <v>-3.4082370642533153</v>
      </c>
      <c r="L13" s="23">
        <v>30</v>
      </c>
      <c r="M13" s="23">
        <f si="7" t="shared"/>
        <v>-10</v>
      </c>
      <c r="N13" s="36">
        <f si="8" t="shared"/>
        <v>-13.408237064253315</v>
      </c>
      <c r="Q13" s="66">
        <f>WorkBasedSubtourTime!B21</f>
        <v>21</v>
      </c>
      <c r="R13" s="66" t="str">
        <f>WorkBasedSubtourTime!C21</f>
        <v>dep3-6</v>
      </c>
      <c r="S13" s="66">
        <f>VLOOKUP(Q13,WorkBasedSubtourTime!$B$11:$E$60,4,FALSE)</f>
        <v>2.5150000000000001</v>
      </c>
      <c r="T13" s="93">
        <f si="0" t="shared"/>
        <v>1.5439718283262478</v>
      </c>
      <c r="U13">
        <f si="4" t="shared"/>
        <v>1</v>
      </c>
    </row>
    <row ht="15.75" r="14" spans="2:21" thickBot="1" x14ac:dyDescent="0.3">
      <c r="B14" s="39" t="s">
        <v>82</v>
      </c>
      <c r="C14" s="40">
        <f>SUM(C4:C13)</f>
        <v>83288.277723889216</v>
      </c>
      <c r="D14" s="40">
        <f>SUM(D4:D13)</f>
        <v>109692.52186584473</v>
      </c>
      <c r="E14" s="41">
        <f si="1" t="shared"/>
        <v>1</v>
      </c>
      <c r="F14" s="41">
        <f si="2" t="shared"/>
        <v>1</v>
      </c>
      <c r="G14" s="42">
        <f si="5" t="shared"/>
        <v>1</v>
      </c>
      <c r="H14" s="42"/>
      <c r="I14" s="43"/>
      <c r="Q14" s="66">
        <f>WorkBasedSubtourTime!B22</f>
        <v>22</v>
      </c>
      <c r="R14" s="66" t="str">
        <f>WorkBasedSubtourTime!C22</f>
        <v>dep7-9</v>
      </c>
      <c r="S14" s="66">
        <f>VLOOKUP(Q14,WorkBasedSubtourTime!$B$11:$E$60,4,FALSE)</f>
        <v>4.7E-2</v>
      </c>
      <c r="T14" s="93">
        <f si="0" t="shared"/>
        <v>2.522634410070225E-2</v>
      </c>
      <c r="U14">
        <f si="4" t="shared"/>
        <v>1</v>
      </c>
    </row>
    <row r="15" spans="2:21" x14ac:dyDescent="0.25">
      <c r="Q15" s="66">
        <f>WorkBasedSubtourTime!B23</f>
        <v>23</v>
      </c>
      <c r="R15" s="66" t="str">
        <f>WorkBasedSubtourTime!C23</f>
        <v>dep10-12</v>
      </c>
      <c r="S15" s="66">
        <f>VLOOKUP(Q15,WorkBasedSubtourTime!$B$11:$E$60,4,FALSE)</f>
        <v>0.5978</v>
      </c>
      <c r="T15" s="93">
        <f si="0" t="shared"/>
        <v>1.3408600857688135</v>
      </c>
      <c r="U15">
        <f si="4" t="shared"/>
        <v>1</v>
      </c>
    </row>
    <row r="16" spans="2:21" x14ac:dyDescent="0.25">
      <c r="Q16" s="66">
        <f>WorkBasedSubtourTime!B24</f>
        <v>24</v>
      </c>
      <c r="R16" s="66" t="str">
        <f>WorkBasedSubtourTime!C24</f>
        <v>dep13-14</v>
      </c>
      <c r="S16" s="66">
        <f>VLOOKUP(Q16,WorkBasedSubtourTime!$B$11:$E$60,4,FALSE)</f>
        <v>0.622</v>
      </c>
      <c r="T16" s="93">
        <f si="0" t="shared"/>
        <v>1.3398522091955867</v>
      </c>
      <c r="U16">
        <f si="4" t="shared"/>
        <v>1</v>
      </c>
    </row>
    <row ht="15.75" r="17" spans="2:21" thickBot="1" x14ac:dyDescent="0.3">
      <c r="B17" s="37" t="s">
        <v>232</v>
      </c>
      <c r="C17" s="1"/>
      <c r="D17" s="1"/>
      <c r="E17" s="1" t="s">
        <v>86</v>
      </c>
      <c r="F17" s="38">
        <v>1</v>
      </c>
      <c r="G17" s="1"/>
      <c r="H17" s="1"/>
      <c r="I17" s="1"/>
      <c r="Q17" s="66">
        <f>WorkBasedSubtourTime!B25</f>
        <v>25</v>
      </c>
      <c r="R17" s="66" t="str">
        <f>WorkBasedSubtourTime!C25</f>
        <v>dep=16</v>
      </c>
      <c r="S17" s="66">
        <f>VLOOKUP(Q17,WorkBasedSubtourTime!$B$11:$E$60,4,FALSE)</f>
        <v>0</v>
      </c>
      <c r="T17" s="93">
        <f si="0" t="shared"/>
        <v>0</v>
      </c>
      <c r="U17">
        <f si="4" t="shared"/>
        <v>0</v>
      </c>
    </row>
    <row ht="15.75" r="18" spans="2:21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Q18" s="66">
        <f>WorkBasedSubtourTime!B26</f>
        <v>26</v>
      </c>
      <c r="R18" s="66" t="str">
        <f>WorkBasedSubtourTime!C26</f>
        <v>dep=17</v>
      </c>
      <c r="S18" s="66">
        <f>VLOOKUP(Q18,WorkBasedSubtourTime!$B$11:$E$60,4,FALSE)</f>
        <v>9.69E-2</v>
      </c>
      <c r="T18" s="93">
        <f si="0" t="shared"/>
        <v>-0.36481928329970997</v>
      </c>
      <c r="U18">
        <f si="4" t="shared"/>
        <v>1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1" t="s">
        <v>89</v>
      </c>
      <c r="N19" s="68" t="s">
        <v>91</v>
      </c>
      <c r="O19" s="69" t="s">
        <v>195</v>
      </c>
      <c r="Q19" s="66">
        <f>WorkBasedSubtourTime!B27</f>
        <v>27</v>
      </c>
      <c r="R19" s="66" t="str">
        <f>WorkBasedSubtourTime!C27</f>
        <v>dep=18</v>
      </c>
      <c r="S19" s="66">
        <f>VLOOKUP(Q19,WorkBasedSubtourTime!$B$11:$E$60,4,FALSE)</f>
        <v>0.11990000000000001</v>
      </c>
      <c r="T19" s="93">
        <f si="0" t="shared"/>
        <v>-0.66255698892289538</v>
      </c>
      <c r="U19">
        <f si="4" t="shared"/>
        <v>1</v>
      </c>
    </row>
    <row r="20" spans="2:21" x14ac:dyDescent="0.25">
      <c r="B20" t="s">
        <v>221</v>
      </c>
      <c r="C20" s="29">
        <f>SUM(Arrival_Time!E9:E14)</f>
        <v>120.15411339847375</v>
      </c>
      <c r="D20" s="29">
        <f>SUM(Arrival_Time!L9:L14)</f>
        <v>1301.7106580734253</v>
      </c>
      <c r="E20" s="30">
        <f>C20/C$14</f>
        <v>1.4426293433128642E-3</v>
      </c>
      <c r="F20" s="30">
        <f>D20/D$14</f>
        <v>1.1866904287836806E-2</v>
      </c>
      <c r="G20" s="6">
        <f>E20/F20</f>
        <v>0.12156745418360816</v>
      </c>
      <c r="H20" s="6">
        <f>$F$17</f>
        <v>1</v>
      </c>
      <c r="I20" s="31">
        <f>H20*(LN(G20)-LN($G$23))</f>
        <v>-1.4230390632303702</v>
      </c>
      <c r="L20" s="70">
        <v>11</v>
      </c>
      <c r="M20" s="73">
        <f>VLOOKUP(L20,$Q$3:$U$64,3,FALSE)</f>
        <v>-0.45190000000000002</v>
      </c>
      <c r="N20" s="72">
        <f>I20+M20</f>
        <v>-1.8749390632303702</v>
      </c>
      <c r="O20" s="71" t="str">
        <f>CONCATENATE("Arrival ",B20)</f>
        <v>Arrival 3-6 am</v>
      </c>
      <c r="Q20" s="66">
        <f>WorkBasedSubtourTime!B28</f>
        <v>28</v>
      </c>
      <c r="R20" s="66" t="str">
        <f>WorkBasedSubtourTime!C28</f>
        <v>dep19-20</v>
      </c>
      <c r="S20" s="66">
        <f>VLOOKUP(Q20,WorkBasedSubtourTime!$B$11:$E$60,4,FALSE)</f>
        <v>1.0427999999999999</v>
      </c>
      <c r="T20" s="93">
        <f si="0" t="shared"/>
        <v>-0.13589090548372207</v>
      </c>
      <c r="U20">
        <f si="4" t="shared"/>
        <v>1</v>
      </c>
    </row>
    <row r="21" spans="2:21" x14ac:dyDescent="0.25">
      <c r="B21" t="s">
        <v>222</v>
      </c>
      <c r="C21" s="29">
        <f>SUM(Arrival_Time!E15:E16)</f>
        <v>404.14750067490672</v>
      </c>
      <c r="D21" s="29">
        <f>SUM(Arrival_Time!L15:L16)</f>
        <v>1277.5387401580811</v>
      </c>
      <c r="E21" s="30">
        <f ref="E21:F30" si="9" t="shared">C21/C$14</f>
        <v>4.8523935386766536E-3</v>
      </c>
      <c r="F21" s="30">
        <f si="9" t="shared"/>
        <v>1.1646543615074565E-2</v>
      </c>
      <c r="G21" s="6">
        <f ref="G21:G30" si="10" t="shared">E21/F21</f>
        <v>0.41663807727436114</v>
      </c>
      <c r="H21" s="6">
        <f ref="H21:H29" si="11" t="shared">$F$17</f>
        <v>1</v>
      </c>
      <c r="I21" s="31">
        <f ref="I21:I29" si="12" t="shared">H21*(LN(G21)-LN($G$23))</f>
        <v>-0.19129042568971688</v>
      </c>
      <c r="L21" s="70">
        <v>12</v>
      </c>
      <c r="M21" s="73">
        <f ref="M21:M29" si="13" t="shared">VLOOKUP(L21,$Q$3:$U$64,3,FALSE)</f>
        <v>-5</v>
      </c>
      <c r="N21" s="72">
        <f ref="N21:N29" si="14" t="shared">I21+M21</f>
        <v>-5.1912904256897168</v>
      </c>
      <c r="O21" s="73" t="str">
        <f ref="O21:O29" si="15" t="shared">CONCATENATE("Arrival ",B21)</f>
        <v>Arrival 6-7 am</v>
      </c>
      <c r="Q21" s="66">
        <f>WorkBasedSubtourTime!B29</f>
        <v>29</v>
      </c>
      <c r="R21" s="66" t="str">
        <f>WorkBasedSubtourTime!C29</f>
        <v>dep21-23</v>
      </c>
      <c r="S21" s="66">
        <f>VLOOKUP(Q21,WorkBasedSubtourTime!$B$11:$E$60,4,FALSE)</f>
        <v>2.1326999999999998</v>
      </c>
      <c r="T21" s="93">
        <f si="0" t="shared"/>
        <v>-0.20906765422058715</v>
      </c>
      <c r="U21">
        <f si="4" t="shared"/>
        <v>1</v>
      </c>
    </row>
    <row r="22" spans="2:21" x14ac:dyDescent="0.25">
      <c r="B22" t="s">
        <v>223</v>
      </c>
      <c r="C22" s="29">
        <f>SUM(Arrival_Time!E17:E18)</f>
        <v>1064.2488186176377</v>
      </c>
      <c r="D22" s="29">
        <f>SUM(Arrival_Time!L17:L18)</f>
        <v>2930.3786239624023</v>
      </c>
      <c r="E22" s="30">
        <f si="9" t="shared"/>
        <v>1.2777894413254073E-2</v>
      </c>
      <c r="F22" s="30">
        <f si="9" t="shared"/>
        <v>2.6714479475148638E-2</v>
      </c>
      <c r="G22" s="6">
        <f si="10" t="shared"/>
        <v>0.47831343392413139</v>
      </c>
      <c r="H22" s="6">
        <f si="11" t="shared"/>
        <v>1</v>
      </c>
      <c r="I22" s="31">
        <f si="12" t="shared"/>
        <v>-5.3242113314430739E-2</v>
      </c>
      <c r="L22" s="70">
        <v>13</v>
      </c>
      <c r="M22" s="73">
        <f si="13" t="shared"/>
        <v>-0.27489999999999998</v>
      </c>
      <c r="N22" s="72">
        <f si="14" t="shared"/>
        <v>-0.32814211331443072</v>
      </c>
      <c r="O22" s="73" t="str">
        <f si="15" t="shared"/>
        <v>Arrival 7-8 am</v>
      </c>
      <c r="Q22" s="66">
        <f>WorkBasedSubtourTime!B30</f>
        <v>30</v>
      </c>
      <c r="R22" s="66" t="str">
        <f>WorkBasedSubtourTime!C30</f>
        <v>dep24-26</v>
      </c>
      <c r="S22" s="66">
        <f>VLOOKUP(Q22,WorkBasedSubtourTime!$B$11:$E$60,4,FALSE)</f>
        <v>-10</v>
      </c>
      <c r="T22" s="93">
        <f si="0" t="shared"/>
        <v>-13.408237064253315</v>
      </c>
      <c r="U22">
        <f si="4" t="shared"/>
        <v>1</v>
      </c>
    </row>
    <row r="23" spans="2:21" x14ac:dyDescent="0.25">
      <c r="B23" t="s">
        <v>224</v>
      </c>
      <c r="C23" s="29">
        <f>SUM(Arrival_Time!E19:E20)</f>
        <v>2220.2479443374186</v>
      </c>
      <c r="D23" s="29">
        <f>SUM(Arrival_Time!L19:L20)</f>
        <v>5796.4124622344971</v>
      </c>
      <c r="E23" s="30">
        <f si="9" t="shared"/>
        <v>2.6657388110459083E-2</v>
      </c>
      <c r="F23" s="30">
        <f si="9" t="shared"/>
        <v>5.2842366677680899E-2</v>
      </c>
      <c r="G23" s="6">
        <f si="10" t="shared"/>
        <v>0.50446998850485625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Q23" s="66">
        <f>WorkBasedSubtourTime!B31</f>
        <v>31</v>
      </c>
      <c r="R23" s="66" t="str">
        <f>WorkBasedSubtourTime!C31</f>
        <v>dur0-0</v>
      </c>
      <c r="S23" s="66">
        <f>VLOOKUP(Q23,WorkBasedSubtourTime!$B$11:$E$60,4,FALSE)</f>
        <v>0.34050000000000002</v>
      </c>
      <c r="T23" s="93">
        <f si="0" t="shared"/>
        <v>2.8717972186379712</v>
      </c>
      <c r="U23">
        <f si="4" t="shared"/>
        <v>1</v>
      </c>
    </row>
    <row r="24" spans="2:21" x14ac:dyDescent="0.25">
      <c r="B24" t="s">
        <v>225</v>
      </c>
      <c r="C24" s="29">
        <f>SUM(Arrival_Time!E21:E22)</f>
        <v>4927.6375705883502</v>
      </c>
      <c r="D24" s="29">
        <f>SUM(Arrival_Time!L21:L22)</f>
        <v>9649.5063924789429</v>
      </c>
      <c r="E24" s="30">
        <f si="9" t="shared"/>
        <v>5.9163638692638944E-2</v>
      </c>
      <c r="F24" s="30">
        <f si="9" t="shared"/>
        <v>8.7968680347055975E-2</v>
      </c>
      <c r="G24" s="6">
        <f si="10" t="shared"/>
        <v>0.67255344128416217</v>
      </c>
      <c r="H24" s="6">
        <f si="11" t="shared"/>
        <v>1</v>
      </c>
      <c r="I24" s="31">
        <f si="12" t="shared"/>
        <v>0.28757322448990597</v>
      </c>
      <c r="L24" s="70">
        <v>15</v>
      </c>
      <c r="M24" s="73">
        <f si="13" t="shared"/>
        <v>-0.4405</v>
      </c>
      <c r="N24" s="72">
        <f si="14" t="shared"/>
        <v>-0.15292677551009404</v>
      </c>
      <c r="O24" s="73" t="str">
        <f si="15" t="shared"/>
        <v>Arrival 9-10 am</v>
      </c>
      <c r="Q24" s="66">
        <f>WorkBasedSubtourTime!B32</f>
        <v>32</v>
      </c>
      <c r="R24" s="66" t="str">
        <f>WorkBasedSubtourTime!C32</f>
        <v>dur1-1</v>
      </c>
      <c r="S24" s="66">
        <f>VLOOKUP(Q24,WorkBasedSubtourTime!$B$11:$E$60,4,FALSE)</f>
        <v>0.7208</v>
      </c>
      <c r="T24" s="93">
        <f si="0" t="shared"/>
        <v>1.7573796947866422</v>
      </c>
      <c r="U24">
        <f si="4" t="shared"/>
        <v>1</v>
      </c>
    </row>
    <row r="25" spans="2:21" x14ac:dyDescent="0.25">
      <c r="B25" t="s">
        <v>229</v>
      </c>
      <c r="C25" s="29">
        <f>SUM(Arrival_Time!E23:E28)</f>
        <v>48346.709226885469</v>
      </c>
      <c r="D25" s="29">
        <f>SUM(Arrival_Time!L23:L28)</f>
        <v>47501.746176719666</v>
      </c>
      <c r="E25" s="30">
        <f si="9" t="shared"/>
        <v>0.58047435423218496</v>
      </c>
      <c r="F25" s="30">
        <f si="9" t="shared"/>
        <v>0.43304452636082952</v>
      </c>
      <c r="G25" s="6">
        <f si="10" t="shared"/>
        <v>1.3404495817331061</v>
      </c>
      <c r="H25" s="6">
        <f si="11" t="shared"/>
        <v>1</v>
      </c>
      <c r="I25" s="31">
        <f si="12" t="shared"/>
        <v>0.97725199500819415</v>
      </c>
      <c r="L25" s="70">
        <v>16</v>
      </c>
      <c r="M25" s="73">
        <f si="13" t="shared"/>
        <v>-0.1867</v>
      </c>
      <c r="N25" s="72">
        <f si="14" t="shared"/>
        <v>0.79055199500819417</v>
      </c>
      <c r="O25" s="73" t="str">
        <f si="15" t="shared"/>
        <v>Arrival 10 am-1 pm</v>
      </c>
      <c r="Q25" s="66">
        <f>WorkBasedSubtourTime!B33</f>
        <v>33</v>
      </c>
      <c r="R25" s="66" t="str">
        <f>WorkBasedSubtourTime!C33</f>
        <v>dur2-2</v>
      </c>
      <c r="S25" s="66">
        <f>VLOOKUP(Q25,WorkBasedSubtourTime!$B$11:$E$60,4,FALSE)</f>
        <v>0</v>
      </c>
      <c r="T25" s="93">
        <f si="0" t="shared"/>
        <v>0</v>
      </c>
      <c r="U25">
        <f si="4" t="shared"/>
        <v>0</v>
      </c>
    </row>
    <row r="26" spans="2:21" x14ac:dyDescent="0.25">
      <c r="B26" t="s">
        <v>226</v>
      </c>
      <c r="C26" s="29">
        <f>SUM(Arrival_Time!E29:E34)</f>
        <v>23168.503405294534</v>
      </c>
      <c r="D26" s="29">
        <f>SUM(Arrival_Time!L29:L34)</f>
        <v>28374.678604125977</v>
      </c>
      <c r="E26" s="30">
        <f si="9" t="shared"/>
        <v>0.27817243960910015</v>
      </c>
      <c r="F26" s="30">
        <f si="9" t="shared"/>
        <v>0.258674685580012</v>
      </c>
      <c r="G26" s="6">
        <f si="10" t="shared"/>
        <v>1.0753755783460968</v>
      </c>
      <c r="H26" s="6">
        <f si="11" t="shared"/>
        <v>1</v>
      </c>
      <c r="I26" s="31">
        <f si="12" t="shared"/>
        <v>0.75691690432779357</v>
      </c>
      <c r="L26" s="70">
        <v>17</v>
      </c>
      <c r="M26" s="73">
        <f si="13" t="shared"/>
        <v>-1.6032</v>
      </c>
      <c r="N26" s="72">
        <f si="14" t="shared"/>
        <v>-0.84628309567220639</v>
      </c>
      <c r="O26" s="73" t="str">
        <f si="15" t="shared"/>
        <v>Arrival 1-4 pm</v>
      </c>
      <c r="Q26" s="66">
        <f>WorkBasedSubtourTime!B34</f>
        <v>34</v>
      </c>
      <c r="R26" s="66" t="str">
        <f>WorkBasedSubtourTime!C34</f>
        <v>dur3-4</v>
      </c>
      <c r="S26" s="66">
        <f>VLOOKUP(Q26,WorkBasedSubtourTime!$B$11:$E$60,4,FALSE)</f>
        <v>-0.25080000000000002</v>
      </c>
      <c r="T26" s="93">
        <f si="0" t="shared"/>
        <v>0.30126124327922799</v>
      </c>
      <c r="U26">
        <f si="4" t="shared"/>
        <v>1</v>
      </c>
    </row>
    <row r="27" spans="2:21" x14ac:dyDescent="0.25">
      <c r="B27" t="s">
        <v>227</v>
      </c>
      <c r="C27" s="29">
        <f>SUM(Arrival_Time!E35:E40)</f>
        <v>2740.4652119103462</v>
      </c>
      <c r="D27" s="29">
        <f>SUM(Arrival_Time!L35:L40)</f>
        <v>8771.1174278259277</v>
      </c>
      <c r="E27" s="30">
        <f si="9" t="shared"/>
        <v>3.2903372320836337E-2</v>
      </c>
      <c r="F27" s="30">
        <f si="9" t="shared"/>
        <v>7.9960942447408673E-2</v>
      </c>
      <c r="G27" s="6">
        <f si="10" t="shared"/>
        <v>0.41149305290488919</v>
      </c>
      <c r="H27" s="6">
        <f si="11" t="shared"/>
        <v>1</v>
      </c>
      <c r="I27" s="31">
        <f si="12" t="shared"/>
        <v>-0.20371621281736929</v>
      </c>
      <c r="L27" s="70">
        <v>18</v>
      </c>
      <c r="M27" s="73">
        <f si="13" t="shared"/>
        <v>-2.6232000000000002</v>
      </c>
      <c r="N27" s="72">
        <f si="14" t="shared"/>
        <v>-2.8269162128173697</v>
      </c>
      <c r="O27" s="73" t="str">
        <f si="15" t="shared"/>
        <v>Arrival 4-7 pm</v>
      </c>
      <c r="Q27" s="66">
        <f>WorkBasedSubtourTime!B35</f>
        <v>35</v>
      </c>
      <c r="R27" s="66" t="str">
        <f>WorkBasedSubtourTime!C35</f>
        <v>dur5-6</v>
      </c>
      <c r="S27" s="66">
        <f>VLOOKUP(Q27,WorkBasedSubtourTime!$B$11:$E$60,4,FALSE)</f>
        <v>-5</v>
      </c>
      <c r="T27" s="93">
        <f si="0" t="shared"/>
        <v>-5.4669320671427819</v>
      </c>
      <c r="U27">
        <f si="4" t="shared"/>
        <v>1</v>
      </c>
    </row>
    <row r="28" spans="2:21" x14ac:dyDescent="0.25">
      <c r="B28" t="s">
        <v>79</v>
      </c>
      <c r="C28" s="29">
        <f>SUM(Arrival_Time!E41:E44)</f>
        <v>259.63722868266865</v>
      </c>
      <c r="D28" s="29">
        <f>SUM(Arrival_Time!L41:L44)</f>
        <v>2476.731614112854</v>
      </c>
      <c r="E28" s="30">
        <f si="9" t="shared"/>
        <v>3.117332183808599E-3</v>
      </c>
      <c r="F28" s="30">
        <f si="9" t="shared"/>
        <v>2.2578855622828388E-2</v>
      </c>
      <c r="G28" s="6">
        <f si="10" t="shared"/>
        <v>0.13806422415212288</v>
      </c>
      <c r="H28" s="6">
        <f si="11" t="shared"/>
        <v>1</v>
      </c>
      <c r="I28" s="31">
        <f si="12" t="shared"/>
        <v>-1.2957893811199013</v>
      </c>
      <c r="L28" s="70">
        <v>19</v>
      </c>
      <c r="M28" s="73">
        <f si="13" t="shared"/>
        <v>-4.4149000000000003</v>
      </c>
      <c r="N28" s="72">
        <f si="14" t="shared"/>
        <v>-5.7106893811199013</v>
      </c>
      <c r="O28" s="73" t="str">
        <f si="15" t="shared"/>
        <v>Arrival 7-9 pm</v>
      </c>
      <c r="Q28" s="66">
        <f>WorkBasedSubtourTime!B36</f>
        <v>36</v>
      </c>
      <c r="R28" s="66" t="str">
        <f>WorkBasedSubtourTime!C36</f>
        <v>dur7-8</v>
      </c>
      <c r="S28" s="66">
        <f>VLOOKUP(Q28,WorkBasedSubtourTime!$B$11:$E$60,4,FALSE)</f>
        <v>-5</v>
      </c>
      <c r="T28" s="93">
        <f si="0" t="shared"/>
        <v>-7.2721525339045314</v>
      </c>
      <c r="U28">
        <f si="4" t="shared"/>
        <v>1</v>
      </c>
    </row>
    <row r="29" spans="2:21" x14ac:dyDescent="0.25">
      <c r="B29" s="23" t="s">
        <v>228</v>
      </c>
      <c r="C29" s="34">
        <f>SUM(Arrival_Time!E45:E57)+Arrival_Time!E8</f>
        <v>36.484245056808469</v>
      </c>
      <c r="D29" s="34">
        <f>SUM(Arrival_Time!L45:L57)+Arrival_Time!L8</f>
        <v>1557.4699649810791</v>
      </c>
      <c r="E29" s="35">
        <f si="9" t="shared"/>
        <v>4.3804777879737392E-4</v>
      </c>
      <c r="F29" s="35">
        <f si="9" t="shared"/>
        <v>1.4198506320110715E-2</v>
      </c>
      <c r="G29" s="22">
        <f si="10" t="shared"/>
        <v>3.0851680375486017E-2</v>
      </c>
      <c r="H29" s="6">
        <f si="11" t="shared"/>
        <v>1</v>
      </c>
      <c r="I29" s="31">
        <f si="12" t="shared"/>
        <v>-2.7943171323327443</v>
      </c>
      <c r="L29" s="74">
        <v>20</v>
      </c>
      <c r="M29" s="74">
        <f si="13" t="shared"/>
        <v>-10</v>
      </c>
      <c r="N29" s="75">
        <f si="14" t="shared"/>
        <v>-12.794317132332743</v>
      </c>
      <c r="O29" s="74" t="str">
        <f si="15" t="shared"/>
        <v>Arrival 9 pm-3 am</v>
      </c>
      <c r="Q29" s="66">
        <f>WorkBasedSubtourTime!B37</f>
        <v>37</v>
      </c>
      <c r="R29" s="66" t="str">
        <f>WorkBasedSubtourTime!C37</f>
        <v>dur9-11</v>
      </c>
      <c r="S29" s="66">
        <f>VLOOKUP(Q29,WorkBasedSubtourTime!$B$11:$E$60,4,FALSE)</f>
        <v>5.1999999999999998E-2</v>
      </c>
      <c r="T29" s="93">
        <f si="0" t="shared"/>
        <v>-5.6336570911468016</v>
      </c>
      <c r="U29">
        <f si="4" t="shared"/>
        <v>1</v>
      </c>
    </row>
    <row ht="15.75" r="30" spans="2:21" thickBot="1" x14ac:dyDescent="0.3">
      <c r="B30" s="39" t="s">
        <v>82</v>
      </c>
      <c r="C30" s="40">
        <f>SUM(C20:C29)</f>
        <v>83288.235265446609</v>
      </c>
      <c r="D30" s="40">
        <f>SUM(D20:D29)</f>
        <v>109637.29066467285</v>
      </c>
      <c r="E30" s="41">
        <f si="9" t="shared"/>
        <v>0.999999490223069</v>
      </c>
      <c r="F30" s="41">
        <f si="9" t="shared"/>
        <v>0.99949649073398616</v>
      </c>
      <c r="G30" s="42">
        <f si="10" t="shared"/>
        <v>1.0005032528815718</v>
      </c>
      <c r="H30" s="42"/>
      <c r="I30" s="43"/>
      <c r="Q30" s="66">
        <f>WorkBasedSubtourTime!B38</f>
        <v>38</v>
      </c>
      <c r="R30" s="66" t="str">
        <f>WorkBasedSubtourTime!C38</f>
        <v>dur12-13</v>
      </c>
      <c r="S30" s="66">
        <f>VLOOKUP(Q30,WorkBasedSubtourTime!$B$11:$E$60,4,FALSE)</f>
        <v>-10</v>
      </c>
      <c r="T30" s="93">
        <f si="0" t="shared"/>
        <v>-10</v>
      </c>
      <c r="U30">
        <f si="4" t="shared"/>
        <v>0</v>
      </c>
    </row>
    <row r="31" spans="2:21" x14ac:dyDescent="0.25">
      <c r="Q31" s="66">
        <f>WorkBasedSubtourTime!B39</f>
        <v>39</v>
      </c>
      <c r="R31" s="66" t="str">
        <f>WorkBasedSubtourTime!C39</f>
        <v>dur14-17</v>
      </c>
      <c r="S31" s="66">
        <f>VLOOKUP(Q31,WorkBasedSubtourTime!$B$11:$E$60,4,FALSE)</f>
        <v>-10</v>
      </c>
      <c r="T31" s="93">
        <f si="0" t="shared"/>
        <v>-10</v>
      </c>
      <c r="U31">
        <f si="4" t="shared"/>
        <v>0</v>
      </c>
    </row>
    <row r="32" spans="2:21" x14ac:dyDescent="0.2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93">
        <f si="0" t="shared"/>
        <v>2.5999999999999999E-3</v>
      </c>
      <c r="U32">
        <f si="4" t="shared"/>
        <v>0</v>
      </c>
    </row>
    <row ht="15.75" r="33" spans="2:21" thickBot="1" x14ac:dyDescent="0.3">
      <c r="B33" s="37" t="s">
        <v>175</v>
      </c>
      <c r="C33" s="1"/>
      <c r="D33" s="1"/>
      <c r="E33" s="1" t="s">
        <v>86</v>
      </c>
      <c r="F33" s="38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93">
        <f si="0" t="shared"/>
        <v>0.12809999999999999</v>
      </c>
      <c r="U33">
        <f si="4" t="shared"/>
        <v>0</v>
      </c>
    </row>
    <row ht="15.75" r="34" spans="2:21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93">
        <f si="0" t="shared"/>
        <v>0.25</v>
      </c>
      <c r="U34">
        <f si="4" t="shared"/>
        <v>0</v>
      </c>
    </row>
    <row r="35" spans="2:21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65" t="s">
        <v>85</v>
      </c>
      <c r="L35" s="33" t="s">
        <v>88</v>
      </c>
      <c r="M35" s="33" t="s">
        <v>89</v>
      </c>
      <c r="N35" s="32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93">
        <f ref="T35:T52" si="16" t="shared">_xlfn.IFNA(VLOOKUP(Q35,$L$3:$N$45,3,FALSE),S35)</f>
        <v>0.25</v>
      </c>
      <c r="U35">
        <f si="4" t="shared"/>
        <v>0</v>
      </c>
    </row>
    <row r="36" spans="2:21" x14ac:dyDescent="0.25">
      <c r="B36" t="s">
        <v>62</v>
      </c>
      <c r="C36" s="29">
        <f>SUM(Duration!E8:E13)</f>
        <v>117538.63311974388</v>
      </c>
      <c r="D36" s="29">
        <f>SUM(Duration!L7:L12)</f>
        <v>134798.49266529083</v>
      </c>
      <c r="E36" s="30">
        <f ref="E36:E46" si="17" t="shared">C36/C$46</f>
        <v>0.97417303475066519</v>
      </c>
      <c r="F36" s="30">
        <f ref="F36:F46" si="18" t="shared">D36/D$46</f>
        <v>0.88183043672854144</v>
      </c>
      <c r="G36" s="6">
        <f>IFERROR(E36/F36,1)</f>
        <v>1.1047169548430431</v>
      </c>
      <c r="H36" s="6">
        <f>$F$33</f>
        <v>1</v>
      </c>
      <c r="I36" s="62">
        <f ref="I36:I45" si="19" t="shared">IFERROR(H36*(LN(G36)-LN($G$38)),0)</f>
        <v>2.5312972186379712</v>
      </c>
      <c r="L36">
        <v>31</v>
      </c>
      <c r="M36" s="61">
        <f>VLOOKUP(L36,$Q$3:$T$64,3,FALSE)</f>
        <v>0.34050000000000002</v>
      </c>
      <c r="N36" s="31">
        <f>I36+M36</f>
        <v>2.8717972186379712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93">
        <f si="16" t="shared"/>
        <v>0.25</v>
      </c>
      <c r="U36">
        <f si="4" t="shared"/>
        <v>0</v>
      </c>
    </row>
    <row r="37" spans="2:21" x14ac:dyDescent="0.25">
      <c r="B37" t="s">
        <v>63</v>
      </c>
      <c r="C37" s="29">
        <f>SUM(Duration!E14:E17)</f>
        <v>2852.9465790926988</v>
      </c>
      <c r="D37" s="29">
        <f>SUM(Duration!L13:L16)</f>
        <v>14586.315808296204</v>
      </c>
      <c r="E37" s="30">
        <f si="17" t="shared"/>
        <v>2.3645532989181994E-2</v>
      </c>
      <c r="F37" s="30">
        <f si="18" t="shared"/>
        <v>9.5421372933514007E-2</v>
      </c>
      <c r="G37" s="6">
        <f ref="G37:G46" si="20" t="shared">IFERROR(E37/F37,1)</f>
        <v>0.24780122379560923</v>
      </c>
      <c r="H37" s="6">
        <f ref="H37:H45" si="21" t="shared">$F$33</f>
        <v>1</v>
      </c>
      <c r="I37" s="63">
        <f si="19" t="shared"/>
        <v>1.0365796947866421</v>
      </c>
      <c r="L37" s="5">
        <v>32</v>
      </c>
      <c r="M37" s="5">
        <f ref="M37:M44" si="22" t="shared">VLOOKUP(L37,$Q$3:$T$64,3,FALSE)</f>
        <v>0.7208</v>
      </c>
      <c r="N37" s="31">
        <f ref="N37:N44" si="23" t="shared">I37+M37</f>
        <v>1.7573796947866422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93">
        <f si="16" t="shared"/>
        <v>0.25</v>
      </c>
      <c r="U37">
        <f si="4" t="shared"/>
        <v>0</v>
      </c>
    </row>
    <row r="38" spans="2:21" x14ac:dyDescent="0.25">
      <c r="B38" t="s">
        <v>64</v>
      </c>
      <c r="C38" s="29">
        <f>SUM(Duration!E18:E21)</f>
        <v>196.39570351227854</v>
      </c>
      <c r="D38" s="29">
        <f>SUM(Duration!L17:L20)</f>
        <v>2831.1624965667725</v>
      </c>
      <c r="E38" s="30">
        <f si="17" t="shared"/>
        <v>1.6277490508812985E-3</v>
      </c>
      <c r="F38" s="30">
        <f si="18" t="shared"/>
        <v>1.8521017642208353E-2</v>
      </c>
      <c r="G38" s="6">
        <f si="20" t="shared"/>
        <v>8.7886588217039999E-2</v>
      </c>
      <c r="H38" s="6">
        <f si="21" t="shared"/>
        <v>1</v>
      </c>
      <c r="I38" s="63">
        <f si="19" t="shared"/>
        <v>0</v>
      </c>
      <c r="L38" s="5">
        <v>33</v>
      </c>
      <c r="M38" s="5">
        <f si="22" t="shared"/>
        <v>0</v>
      </c>
      <c r="N38" s="31">
        <f si="23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93">
        <f si="16" t="shared"/>
        <v>2</v>
      </c>
      <c r="U38">
        <f si="4" t="shared"/>
        <v>0</v>
      </c>
    </row>
    <row r="39" spans="2:21" x14ac:dyDescent="0.25">
      <c r="B39" t="s">
        <v>65</v>
      </c>
      <c r="C39" s="29">
        <f>SUM(Duration!E22:E25)</f>
        <v>63.650327986793513</v>
      </c>
      <c r="D39" s="29">
        <f>SUM(Duration!L21:L24)</f>
        <v>528.29476642608643</v>
      </c>
      <c r="E39" s="30">
        <f si="17" t="shared"/>
        <v>5.2754087343010055E-4</v>
      </c>
      <c r="F39" s="30">
        <f si="18" t="shared"/>
        <v>3.4560208752161675E-3</v>
      </c>
      <c r="G39" s="6">
        <f si="20" t="shared"/>
        <v>0.15264400664162767</v>
      </c>
      <c r="H39" s="6">
        <f si="21" t="shared"/>
        <v>1</v>
      </c>
      <c r="I39" s="63">
        <f si="19" t="shared"/>
        <v>0.55206124327922801</v>
      </c>
      <c r="L39" s="5">
        <v>34</v>
      </c>
      <c r="M39" s="5">
        <f si="22" t="shared"/>
        <v>-0.25080000000000002</v>
      </c>
      <c r="N39" s="31">
        <f si="23" t="shared"/>
        <v>0.30126124327922799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93">
        <f si="16" t="shared"/>
        <v>2.0366</v>
      </c>
      <c r="U39">
        <f si="4" t="shared"/>
        <v>0</v>
      </c>
    </row>
    <row r="40" spans="2:21" x14ac:dyDescent="0.25">
      <c r="B40" t="s">
        <v>66</v>
      </c>
      <c r="C40" s="29">
        <f>SUM(Duration!E26:E27)</f>
        <v>2.9582901639366148</v>
      </c>
      <c r="D40" s="29">
        <f>SUM(Duration!L25:L26)</f>
        <v>68.023598670959473</v>
      </c>
      <c r="E40" s="30">
        <f si="17" t="shared"/>
        <v>2.4518632131268863E-5</v>
      </c>
      <c r="F40" s="30">
        <f si="18" t="shared"/>
        <v>4.4499963269474145E-4</v>
      </c>
      <c r="G40" s="6">
        <f si="20" t="shared"/>
        <v>5.5098095211435889E-2</v>
      </c>
      <c r="H40" s="6">
        <f si="21" t="shared"/>
        <v>1</v>
      </c>
      <c r="I40" s="63">
        <f si="19" t="shared"/>
        <v>-0.4669320671427819</v>
      </c>
      <c r="L40" s="5">
        <v>35</v>
      </c>
      <c r="M40" s="5">
        <f si="22" t="shared"/>
        <v>-5</v>
      </c>
      <c r="N40" s="31">
        <f si="23" t="shared"/>
        <v>-5.4669320671427819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93">
        <f si="16" t="shared"/>
        <v>0.16059999999999999</v>
      </c>
      <c r="U40">
        <f si="4" t="shared"/>
        <v>0</v>
      </c>
    </row>
    <row r="41" spans="2:21" x14ac:dyDescent="0.25">
      <c r="B41" t="s">
        <v>67</v>
      </c>
      <c r="C41" s="29">
        <f>SUM(Duration!E28:E29)</f>
        <v>0.19286283682918545</v>
      </c>
      <c r="D41" s="29">
        <f>SUM(Duration!L27:L28)</f>
        <v>26.968989372253418</v>
      </c>
      <c r="E41" s="30">
        <f si="17" t="shared"/>
        <v>1.5984682657752465E-6</v>
      </c>
      <c r="F41" s="30">
        <f si="18" t="shared"/>
        <v>1.7642686654748666E-4</v>
      </c>
      <c r="G41" s="6">
        <f si="20" t="shared"/>
        <v>9.0602315682175669E-3</v>
      </c>
      <c r="H41" s="6">
        <f si="21" t="shared"/>
        <v>1</v>
      </c>
      <c r="I41" s="63">
        <f si="19" t="shared"/>
        <v>-2.2721525339045314</v>
      </c>
      <c r="L41" s="5">
        <v>36</v>
      </c>
      <c r="M41" s="5">
        <f si="22" t="shared"/>
        <v>-5</v>
      </c>
      <c r="N41" s="31">
        <f si="23" t="shared"/>
        <v>-7.2721525339045314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93">
        <f si="16" t="shared"/>
        <v>6.6500000000000004E-2</v>
      </c>
      <c r="U41">
        <f si="4" t="shared"/>
        <v>0</v>
      </c>
    </row>
    <row r="42" spans="2:21" x14ac:dyDescent="0.25">
      <c r="B42" t="s">
        <v>68</v>
      </c>
      <c r="C42" s="29">
        <f>SUM(Duration!E30:E31)</f>
        <v>3.0447769975662231E-3</v>
      </c>
      <c r="D42" s="29">
        <f>SUM(Duration!L29:L30)</f>
        <v>12.931169509887695</v>
      </c>
      <c r="E42" s="30">
        <f si="17" t="shared"/>
        <v>2.5235444458813097E-8</v>
      </c>
      <c r="F42" s="30">
        <f si="18" t="shared"/>
        <v>8.4593667413101871E-5</v>
      </c>
      <c r="G42" s="6">
        <f si="20" t="shared"/>
        <v>2.9831363541172858E-4</v>
      </c>
      <c r="H42" s="6">
        <f si="21" t="shared"/>
        <v>1</v>
      </c>
      <c r="I42" s="63">
        <f si="19" t="shared"/>
        <v>-5.6856570911468012</v>
      </c>
      <c r="L42" s="5">
        <v>37</v>
      </c>
      <c r="M42" s="5">
        <f si="22" t="shared"/>
        <v>5.1999999999999998E-2</v>
      </c>
      <c r="N42" s="31">
        <f si="23" t="shared"/>
        <v>-5.6336570911468016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93">
        <f si="16" t="shared"/>
        <v>0.622</v>
      </c>
      <c r="U42">
        <f si="4" t="shared"/>
        <v>0</v>
      </c>
    </row>
    <row r="43" spans="2:21" x14ac:dyDescent="0.25">
      <c r="B43" t="s">
        <v>69</v>
      </c>
      <c r="C43" s="29">
        <f>SUM(Duration!E32:E35)</f>
        <v>0</v>
      </c>
      <c r="D43" s="29">
        <f>SUM(Duration!L31:L34)</f>
        <v>9.4363365173339844</v>
      </c>
      <c r="E43" s="30">
        <f si="17" t="shared"/>
        <v>0</v>
      </c>
      <c r="F43" s="30">
        <f si="18" t="shared"/>
        <v>6.1731022266399156E-5</v>
      </c>
      <c r="G43" s="6">
        <f si="20" t="shared"/>
        <v>0</v>
      </c>
      <c r="H43" s="6">
        <f si="21" t="shared"/>
        <v>1</v>
      </c>
      <c r="I43" s="63">
        <f si="19" t="shared"/>
        <v>0</v>
      </c>
      <c r="L43" s="5">
        <v>38</v>
      </c>
      <c r="M43" s="5">
        <f si="22" t="shared"/>
        <v>-10</v>
      </c>
      <c r="N43" s="31">
        <f si="23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93">
        <f si="16" t="shared"/>
        <v>0.18190000000000001</v>
      </c>
      <c r="U43">
        <f si="4" t="shared"/>
        <v>0</v>
      </c>
    </row>
    <row r="44" spans="2:21" x14ac:dyDescent="0.25">
      <c r="B44" t="s">
        <v>90</v>
      </c>
      <c r="C44" s="29">
        <f>SUM(Duration!E36:E43)</f>
        <v>0</v>
      </c>
      <c r="D44" s="29">
        <f>SUM(Duration!L35:L42)</f>
        <v>0.51982784271240234</v>
      </c>
      <c r="E44" s="30">
        <f si="17" t="shared"/>
        <v>0</v>
      </c>
      <c r="F44" s="30">
        <f si="18" t="shared"/>
        <v>3.400631598314351E-6</v>
      </c>
      <c r="G44" s="6">
        <f si="20" t="shared"/>
        <v>0</v>
      </c>
      <c r="H44" s="6">
        <f si="21" t="shared"/>
        <v>1</v>
      </c>
      <c r="I44" s="63">
        <f si="19" t="shared"/>
        <v>0</v>
      </c>
      <c r="L44" s="5">
        <v>39</v>
      </c>
      <c r="M44" s="5">
        <f si="22" t="shared"/>
        <v>-10</v>
      </c>
      <c r="N44" s="31">
        <f si="23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93">
        <f si="16" t="shared"/>
        <v>-1.9103000000000001</v>
      </c>
      <c r="U44">
        <f si="4" t="shared"/>
        <v>0</v>
      </c>
    </row>
    <row r="45" spans="2:21" x14ac:dyDescent="0.25">
      <c r="B45" s="23" t="s">
        <v>70</v>
      </c>
      <c r="C45" s="34">
        <f>SUM(Duration!E44:E55)</f>
        <v>0</v>
      </c>
      <c r="D45" s="34">
        <f>SUM(Duration!L43:L54)</f>
        <v>0</v>
      </c>
      <c r="E45" s="35">
        <f si="17" t="shared"/>
        <v>0</v>
      </c>
      <c r="F45" s="35">
        <f si="18" t="shared"/>
        <v>0</v>
      </c>
      <c r="G45" s="22">
        <f si="20" t="shared"/>
        <v>1</v>
      </c>
      <c r="H45" s="22">
        <f si="21" t="shared"/>
        <v>1</v>
      </c>
      <c r="I45" s="36">
        <f si="19" t="shared"/>
        <v>2.4317080659434414</v>
      </c>
      <c r="L45" s="23"/>
      <c r="M45" s="23"/>
      <c r="N45" s="36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93">
        <f si="16" t="shared"/>
        <v>5.8099999999999999E-2</v>
      </c>
      <c r="U45">
        <f si="4" t="shared"/>
        <v>0</v>
      </c>
    </row>
    <row ht="15.75" r="46" spans="2:21" thickBot="1" x14ac:dyDescent="0.3">
      <c r="B46" s="3" t="s">
        <v>82</v>
      </c>
      <c r="C46" s="44">
        <f>SUM(C36:C45)</f>
        <v>120654.77992811341</v>
      </c>
      <c r="D46" s="44">
        <f>SUM(D36:D45)</f>
        <v>152862.14565849304</v>
      </c>
      <c r="E46" s="45">
        <f si="17" t="shared"/>
        <v>1</v>
      </c>
      <c r="F46" s="45">
        <f si="18" t="shared"/>
        <v>1</v>
      </c>
      <c r="G46" s="46">
        <f si="20" t="shared"/>
        <v>1</v>
      </c>
      <c r="H46" s="46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93">
        <f si="16" t="shared"/>
        <v>-0.88929999999999998</v>
      </c>
      <c r="U46">
        <f si="4" t="shared"/>
        <v>0</v>
      </c>
    </row>
    <row r="47" spans="2:21" x14ac:dyDescent="0.2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93">
        <f si="16" t="shared"/>
        <v>4.7300000000000002E-2</v>
      </c>
      <c r="U47">
        <f si="4" t="shared"/>
        <v>0</v>
      </c>
    </row>
    <row r="48" spans="2:21" x14ac:dyDescent="0.2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93">
        <f si="16" t="shared"/>
        <v>-0.35170000000000001</v>
      </c>
      <c r="U48">
        <f si="4" t="shared"/>
        <v>0</v>
      </c>
    </row>
    <row r="49" spans="17:21" x14ac:dyDescent="0.2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93">
        <f si="16" t="shared"/>
        <v>0.15</v>
      </c>
      <c r="U49">
        <f si="4" t="shared"/>
        <v>0</v>
      </c>
    </row>
    <row r="50" spans="17:21" x14ac:dyDescent="0.2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93">
        <f si="16" t="shared"/>
        <v>-3.7699999999999997E-2</v>
      </c>
      <c r="U50">
        <f si="4" t="shared"/>
        <v>0</v>
      </c>
    </row>
    <row r="51" spans="17:21" x14ac:dyDescent="0.2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93">
        <f si="16" t="shared"/>
        <v>1.6199999999999999E-2</v>
      </c>
      <c r="U51">
        <f si="4" t="shared"/>
        <v>0</v>
      </c>
    </row>
    <row r="52" spans="17:21" x14ac:dyDescent="0.2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93">
        <f si="16" t="shared"/>
        <v>-0.29959999999999998</v>
      </c>
      <c r="U52">
        <f si="4" t="shared"/>
        <v>0</v>
      </c>
    </row>
    <row r="53" spans="17:21" x14ac:dyDescent="0.25">
      <c r="Q53">
        <f>WorkBasedSubtourTime!B61</f>
        <v>-1</v>
      </c>
      <c r="T53" s="64"/>
    </row>
    <row r="54" spans="17:21" x14ac:dyDescent="0.25">
      <c r="T54" s="64"/>
    </row>
    <row r="55" spans="17:21" x14ac:dyDescent="0.25">
      <c r="T55" s="64"/>
    </row>
    <row r="56" spans="17:21" x14ac:dyDescent="0.25">
      <c r="T56" s="64"/>
    </row>
    <row r="57" spans="17:21" x14ac:dyDescent="0.25">
      <c r="T57" s="64"/>
    </row>
    <row r="58" spans="17:21" x14ac:dyDescent="0.25">
      <c r="T58" s="64"/>
    </row>
    <row r="59" spans="17:21" x14ac:dyDescent="0.25">
      <c r="T59" s="64"/>
    </row>
  </sheetData>
  <mergeCells count="6">
    <mergeCell ref="C34:D34"/>
    <mergeCell ref="E34:F34"/>
    <mergeCell ref="C2:D2"/>
    <mergeCell ref="E2:F2"/>
    <mergeCell ref="C18:D18"/>
    <mergeCell ref="E18:F18"/>
  </mergeCells>
  <conditionalFormatting sqref="U3:U5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51</vt:i4>
      </vt:variant>
    </vt:vector>
  </HeadingPairs>
  <TitlesOfParts>
    <vt:vector baseType="lpstr" size="7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WorkTourTime</vt:lpstr>
      <vt:lpstr>SchoolTourTime</vt:lpstr>
      <vt:lpstr>OtherTourTime</vt:lpstr>
      <vt:lpstr>WorkBasedSubtourTime</vt:lpstr>
      <vt:lpstr>Calibration_Work</vt:lpstr>
      <vt:lpstr>Calibration_School</vt:lpstr>
      <vt:lpstr>Calibration_Other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2020-05-03T19:16:10Z</dcterms:modified>
</cp:coreProperties>
</file>