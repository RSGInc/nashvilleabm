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Tasks\Task2_DeployABM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D13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I12"/>
  <c i="6" r="J12" s="1"/>
  <c i="6" r="K12" s="1"/>
  <c i="6" r="D33" s="1"/>
  <c i="6" r="D43" s="1"/>
  <c i="6" r="Q39" s="1"/>
  <c i="6" r="I13"/>
  <c i="6" r="J13" s="1"/>
  <c i="6" r="K14" s="1"/>
  <c i="6" r="D35" s="1"/>
  <c i="6" r="D45" s="1"/>
  <c i="6" r="Q41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Q42" s="1"/>
  <c i="6" r="K13"/>
  <c i="6" r="D34" s="1"/>
  <c i="6" r="D44" s="1"/>
  <c i="6" r="Q40" s="1"/>
  <c i="6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H28" s="1"/>
  <c i="1" r="J23"/>
  <c i="1" r="J25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<sst xmlns="http://schemas.openxmlformats.org/spreadsheetml/2006/main" count="716" uniqueCount="285">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</sst>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13" Target="../customXml/item1.xml" Type="http://schemas.openxmlformats.org/officeDocument/2006/relationships/customXml"/>
    <Relationship Id="rId14" Target="../customXml/item2.xml" Type="http://schemas.openxmlformats.org/officeDocument/2006/relationships/customXml"/>
    <Relationship Id="rId15" Target="../customXml/item3.xml" Type="http://schemas.openxmlformats.org/officeDocument/2006/relationships/customXml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0.18568503651717722</c:v>
                </c:pt>
                <c:pt idx="1">
                  <c:v>0.250346047303111</c:v>
                </c:pt>
                <c:pt idx="2">
                  <c:v>0.26122023852859383</c:v>
                </c:pt>
                <c:pt idx="3">
                  <c:v>6.1402950781980777E-2</c:v>
                </c:pt>
                <c:pt idx="4">
                  <c:v>6.4895500730112313E-2</c:v>
                </c:pt>
                <c:pt idx="5">
                  <c:v>1.9506761212088983E-2</c:v>
                </c:pt>
                <c:pt idx="6">
                  <c:v>1.6134725301224753E-2</c:v>
                </c:pt>
                <c:pt idx="7">
                  <c:v>1.0137300586129437E-2</c:v>
                </c:pt>
                <c:pt idx="8">
                  <c:v>0</c:v>
                </c:pt>
                <c:pt idx="9">
                  <c:v>2.2992073916162474E-2</c:v>
                </c:pt>
                <c:pt idx="10">
                  <c:v>3.072808010283621E-2</c:v>
                </c:pt>
                <c:pt idx="11">
                  <c:v>2.968641597895565E-2</c:v>
                </c:pt>
                <c:pt idx="12">
                  <c:v>2.933378194382945E-3</c:v>
                </c:pt>
                <c:pt idx="13">
                  <c:v>8.812553536675519E-3</c:v>
                </c:pt>
                <c:pt idx="14">
                  <c:v>0</c:v>
                </c:pt>
                <c:pt idx="15">
                  <c:v>0</c:v>
                </c:pt>
                <c:pt idx="16">
                  <c:v>1.0311314007469657E-2</c:v>
                </c:pt>
                <c:pt idx="17">
                  <c:v>2.0822208760583379E-4</c:v>
                </c:pt>
                <c:pt idx="18">
                  <c:v>4.3145950927291595E-3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5.0203228724604683E-3</c:v>
                </c:pt>
                <c:pt idx="24">
                  <c:v>1.5630060275515392E-3</c:v>
                </c:pt>
                <c:pt idx="25">
                  <c:v>3.2494214275117822E-4</c:v>
                </c:pt>
                <c:pt idx="26">
                  <c:v>3.5956811665815006E-3</c:v>
                </c:pt>
                <c:pt idx="27">
                  <c:v>0</c:v>
                </c:pt>
                <c:pt idx="28">
                  <c:v>0</c:v>
                </c:pt>
                <c:pt idx="29">
                  <c:v>8.9113006108089126E-3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1.2695533026101727E-3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0.25879692398949239</c:v>
                </c:pt>
                <c:pt idx="1">
                  <c:v>0.28033641216846028</c:v>
                </c:pt>
                <c:pt idx="2">
                  <c:v>0.17154531395644448</c:v>
                </c:pt>
                <c:pt idx="3">
                  <c:v>7.8764511482077873E-2</c:v>
                </c:pt>
                <c:pt idx="4">
                  <c:v>4.2708245063977683E-2</c:v>
                </c:pt>
                <c:pt idx="5">
                  <c:v>2.8072303194644554E-2</c:v>
                </c:pt>
                <c:pt idx="6">
                  <c:v>2.5236208795864787E-2</c:v>
                </c:pt>
                <c:pt idx="7">
                  <c:v>1.9105902042199835E-2</c:v>
                </c:pt>
                <c:pt idx="8">
                  <c:v>1.3446953647995948E-2</c:v>
                </c:pt>
                <c:pt idx="9">
                  <c:v>1.177601474451319E-2</c:v>
                </c:pt>
                <c:pt idx="10">
                  <c:v>1.0221591390560133E-2</c:v>
                </c:pt>
                <c:pt idx="11">
                  <c:v>7.9972036268112952E-3</c:v>
                </c:pt>
                <c:pt idx="12">
                  <c:v>6.508982289636478E-3</c:v>
                </c:pt>
                <c:pt idx="13">
                  <c:v>5.5715617320566116E-3</c:v>
                </c:pt>
                <c:pt idx="14">
                  <c:v>5.4894712312515952E-3</c:v>
                </c:pt>
                <c:pt idx="15">
                  <c:v>5.4603423438691692E-3</c:v>
                </c:pt>
                <c:pt idx="16">
                  <c:v>3.6146301160918607E-3</c:v>
                </c:pt>
                <c:pt idx="17">
                  <c:v>2.6030632997203658E-3</c:v>
                </c:pt>
                <c:pt idx="18">
                  <c:v>3.3153970002542193E-3</c:v>
                </c:pt>
                <c:pt idx="19">
                  <c:v>2.6136556224048836E-3</c:v>
                </c:pt>
                <c:pt idx="20">
                  <c:v>2.5050843148885713E-3</c:v>
                </c:pt>
                <c:pt idx="21">
                  <c:v>2.8281501567663787E-3</c:v>
                </c:pt>
                <c:pt idx="22">
                  <c:v>1.8404160664350498E-3</c:v>
                </c:pt>
                <c:pt idx="23">
                  <c:v>1.0512880264384385E-3</c:v>
                </c:pt>
                <c:pt idx="24">
                  <c:v>1.0380476230827905E-3</c:v>
                </c:pt>
                <c:pt idx="25">
                  <c:v>8.0501652402338868E-4</c:v>
                </c:pt>
                <c:pt idx="26">
                  <c:v>5.4550461825269105E-4</c:v>
                </c:pt>
                <c:pt idx="27">
                  <c:v>5.5609694093720929E-4</c:v>
                </c:pt>
                <c:pt idx="28">
                  <c:v>3.9721210066943522E-4</c:v>
                </c:pt>
                <c:pt idx="29">
                  <c:v>3.8132361664265782E-4</c:v>
                </c:pt>
                <c:pt idx="30">
                  <c:v>3.8397169731378737E-4</c:v>
                </c:pt>
                <c:pt idx="31">
                  <c:v>4.1574866536734219E-4</c:v>
                </c:pt>
                <c:pt idx="32">
                  <c:v>4.8195068214558137E-4</c:v>
                </c:pt>
                <c:pt idx="33">
                  <c:v>3.8397169731378737E-4</c:v>
                </c:pt>
                <c:pt idx="34">
                  <c:v>3.3630624523345515E-4</c:v>
                </c:pt>
                <c:pt idx="35">
                  <c:v>2.6215998644182724E-4</c:v>
                </c:pt>
                <c:pt idx="36">
                  <c:v>1.9595796966358803E-4</c:v>
                </c:pt>
                <c:pt idx="37">
                  <c:v>1.5623675959664454E-4</c:v>
                </c:pt>
                <c:pt idx="38">
                  <c:v>1.7742140496568106E-4</c:v>
                </c:pt>
                <c:pt idx="39">
                  <c:v>2.2508685704601328E-4</c:v>
                </c:pt>
                <c:pt idx="40">
                  <c:v>9.7978984831794013E-5</c:v>
                </c:pt>
                <c:pt idx="41">
                  <c:v>1.1916363020083056E-4</c:v>
                </c:pt>
                <c:pt idx="42">
                  <c:v>7.9442420133887047E-5</c:v>
                </c:pt>
                <c:pt idx="43">
                  <c:v>1.0062706550292358E-4</c:v>
                </c:pt>
                <c:pt idx="44">
                  <c:v>1.1651554952970101E-4</c:v>
                </c:pt>
                <c:pt idx="45">
                  <c:v>1.0857130751631229E-4</c:v>
                </c:pt>
                <c:pt idx="46">
                  <c:v>4.5017371409202661E-5</c:v>
                </c:pt>
                <c:pt idx="47">
                  <c:v>3.7073129395813951E-5</c:v>
                </c:pt>
                <c:pt idx="48">
                  <c:v>4.5017371409202661E-5</c:v>
                </c:pt>
                <c:pt idx="49">
                  <c:v>4.7665452080332227E-5</c:v>
                </c:pt>
                <c:pt idx="50">
                  <c:v>1.8536564697906976E-5</c:v>
                </c:pt>
                <c:pt idx="51">
                  <c:v>5.2961613422591361E-6</c:v>
                </c:pt>
                <c:pt idx="52">
                  <c:v>2.6480806711295681E-6</c:v>
                </c:pt>
                <c:pt idx="53">
                  <c:v>1.5888484026777409E-4</c:v>
                </c:pt>
                <c:pt idx="54">
                  <c:v>1.8536564697906976E-5</c:v>
                </c:pt>
                <c:pt idx="55">
                  <c:v>2.1184645369036545E-5</c:v>
                </c:pt>
                <c:pt idx="56">
                  <c:v>7.9442420133887034E-6</c:v>
                </c:pt>
                <c:pt idx="57">
                  <c:v>1.0592322684518272E-5</c:v>
                </c:pt>
                <c:pt idx="58">
                  <c:v>1.0592322684518272E-5</c:v>
                </c:pt>
                <c:pt idx="59">
                  <c:v>3.1776968053554813E-5</c:v>
                </c:pt>
                <c:pt idx="60">
                  <c:v>1.0592322684518272E-5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5.1160525137285577E-2</c:v>
                </c:pt>
                <c:pt idx="1">
                  <c:v>6.004440067678396E-2</c:v>
                </c:pt>
                <c:pt idx="2">
                  <c:v>0.12644211252142407</c:v>
                </c:pt>
                <c:pt idx="3">
                  <c:v>0.19410238782717507</c:v>
                </c:pt>
                <c:pt idx="4">
                  <c:v>0.16456900388362458</c:v>
                </c:pt>
                <c:pt idx="5">
                  <c:v>0.11474512477668683</c:v>
                </c:pt>
                <c:pt idx="6">
                  <c:v>4.7590718307882959E-2</c:v>
                </c:pt>
                <c:pt idx="7">
                  <c:v>6.2445415096658692E-2</c:v>
                </c:pt>
                <c:pt idx="8">
                  <c:v>1.5866594796360916E-2</c:v>
                </c:pt>
                <c:pt idx="9">
                  <c:v>9.5964801978557484E-3</c:v>
                </c:pt>
                <c:pt idx="10">
                  <c:v>1.3982903938725276E-2</c:v>
                </c:pt>
                <c:pt idx="11">
                  <c:v>4.010643801189679E-4</c:v>
                </c:pt>
                <c:pt idx="12">
                  <c:v>6.7450856057288556E-3</c:v>
                </c:pt>
                <c:pt idx="13">
                  <c:v>2.8564413132325276E-2</c:v>
                </c:pt>
                <c:pt idx="14">
                  <c:v>9.4768475730290704E-3</c:v>
                </c:pt>
                <c:pt idx="15">
                  <c:v>2.0251215467122038E-2</c:v>
                </c:pt>
                <c:pt idx="16">
                  <c:v>8.7741512846569792E-4</c:v>
                </c:pt>
                <c:pt idx="17">
                  <c:v>6.2788206924193199E-3</c:v>
                </c:pt>
                <c:pt idx="18">
                  <c:v>1.2243821272332389E-2</c:v>
                </c:pt>
                <c:pt idx="19">
                  <c:v>1.496418479882195E-2</c:v>
                </c:pt>
                <c:pt idx="20">
                  <c:v>3.6952672388054896E-3</c:v>
                </c:pt>
                <c:pt idx="21">
                  <c:v>6.454823274044838E-4</c:v>
                </c:pt>
                <c:pt idx="22">
                  <c:v>4.3145950927291603E-3</c:v>
                </c:pt>
                <c:pt idx="23">
                  <c:v>0</c:v>
                </c:pt>
                <c:pt idx="24">
                  <c:v>2.077163337785853E-3</c:v>
                </c:pt>
                <c:pt idx="25">
                  <c:v>8.2341506696838093E-3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5.02032287246047E-3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1.5630060275515396E-3</c:v>
                </c:pt>
                <c:pt idx="36">
                  <c:v>0</c:v>
                </c:pt>
                <c:pt idx="37">
                  <c:v>0</c:v>
                </c:pt>
                <c:pt idx="38">
                  <c:v>3.9206233093326799E-3</c:v>
                </c:pt>
                <c:pt idx="39">
                  <c:v>0</c:v>
                </c:pt>
                <c:pt idx="40">
                  <c:v>8.9113006108089161E-3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4.9331094822472693E-2</c:v>
                </c:pt>
                <c:pt idx="1">
                  <c:v>0.10013717057876456</c:v>
                </c:pt>
                <c:pt idx="2">
                  <c:v>0.18454739005169049</c:v>
                </c:pt>
                <c:pt idx="3">
                  <c:v>0.18380592746377419</c:v>
                </c:pt>
                <c:pt idx="4">
                  <c:v>0.13427093042962465</c:v>
                </c:pt>
                <c:pt idx="5">
                  <c:v>8.6070566053724304E-2</c:v>
                </c:pt>
                <c:pt idx="6">
                  <c:v>5.1656109651724458E-2</c:v>
                </c:pt>
                <c:pt idx="7">
                  <c:v>3.3567070587238387E-2</c:v>
                </c:pt>
                <c:pt idx="8">
                  <c:v>2.4799275485128391E-2</c:v>
                </c:pt>
                <c:pt idx="9">
                  <c:v>1.8279700872807399E-2</c:v>
                </c:pt>
                <c:pt idx="10">
                  <c:v>1.6431340564358958E-2</c:v>
                </c:pt>
                <c:pt idx="11">
                  <c:v>1.3023260740615208E-2</c:v>
                </c:pt>
                <c:pt idx="12">
                  <c:v>1.4278450978730622E-2</c:v>
                </c:pt>
                <c:pt idx="13">
                  <c:v>1.080681721887976E-2</c:v>
                </c:pt>
                <c:pt idx="14">
                  <c:v>8.614206423184478E-3</c:v>
                </c:pt>
                <c:pt idx="15">
                  <c:v>7.1418735700364408E-3</c:v>
                </c:pt>
                <c:pt idx="16">
                  <c:v>5.2458478095076715E-3</c:v>
                </c:pt>
                <c:pt idx="17">
                  <c:v>5.3411787136683347E-3</c:v>
                </c:pt>
                <c:pt idx="18">
                  <c:v>5.1187399372934518E-3</c:v>
                </c:pt>
                <c:pt idx="19">
                  <c:v>4.3057791712566747E-3</c:v>
                </c:pt>
                <c:pt idx="20">
                  <c:v>4.022434539445811E-3</c:v>
                </c:pt>
                <c:pt idx="21">
                  <c:v>4.0012498940767745E-3</c:v>
                </c:pt>
                <c:pt idx="22">
                  <c:v>4.2263367511227879E-3</c:v>
                </c:pt>
                <c:pt idx="23">
                  <c:v>3.6808321328700971E-3</c:v>
                </c:pt>
                <c:pt idx="24">
                  <c:v>3.0373485297856126E-3</c:v>
                </c:pt>
                <c:pt idx="25">
                  <c:v>2.7434115752902307E-3</c:v>
                </c:pt>
                <c:pt idx="26">
                  <c:v>2.0866875688500984E-3</c:v>
                </c:pt>
                <c:pt idx="27">
                  <c:v>1.5729599186509625E-3</c:v>
                </c:pt>
                <c:pt idx="28">
                  <c:v>1.6524023387848492E-3</c:v>
                </c:pt>
                <c:pt idx="29">
                  <c:v>1.422019320396577E-3</c:v>
                </c:pt>
                <c:pt idx="30">
                  <c:v>1.3187441742225239E-3</c:v>
                </c:pt>
                <c:pt idx="31">
                  <c:v>1.9383950512668424E-3</c:v>
                </c:pt>
                <c:pt idx="32">
                  <c:v>1.5464791119396666E-3</c:v>
                </c:pt>
                <c:pt idx="33">
                  <c:v>9.0034742818405258E-4</c:v>
                </c:pt>
                <c:pt idx="34">
                  <c:v>1.1678035759681389E-3</c:v>
                </c:pt>
                <c:pt idx="35">
                  <c:v>8.8445894415727512E-4</c:v>
                </c:pt>
                <c:pt idx="36">
                  <c:v>7.3087026523176027E-4</c:v>
                </c:pt>
                <c:pt idx="37">
                  <c:v>3.4689856791797317E-4</c:v>
                </c:pt>
                <c:pt idx="38">
                  <c:v>2.9658503516651139E-4</c:v>
                </c:pt>
                <c:pt idx="39">
                  <c:v>2.6480806711295663E-4</c:v>
                </c:pt>
                <c:pt idx="40">
                  <c:v>3.0982543852215924E-4</c:v>
                </c:pt>
                <c:pt idx="41">
                  <c:v>2.3567917973053141E-4</c:v>
                </c:pt>
                <c:pt idx="42">
                  <c:v>2.0919837301923574E-4</c:v>
                </c:pt>
                <c:pt idx="43">
                  <c:v>2.0655029234810615E-4</c:v>
                </c:pt>
                <c:pt idx="44">
                  <c:v>2.2243877637488359E-4</c:v>
                </c:pt>
                <c:pt idx="45">
                  <c:v>2.8599271248199316E-4</c:v>
                </c:pt>
                <c:pt idx="46">
                  <c:v>1.7212524362342181E-4</c:v>
                </c:pt>
                <c:pt idx="47">
                  <c:v>2.3832726040166097E-4</c:v>
                </c:pt>
                <c:pt idx="48">
                  <c:v>3.0982543852215924E-4</c:v>
                </c:pt>
                <c:pt idx="49">
                  <c:v>2.833446318108636E-4</c:v>
                </c:pt>
                <c:pt idx="50">
                  <c:v>3.9721210066943495E-4</c:v>
                </c:pt>
                <c:pt idx="51">
                  <c:v>1.7212524362342181E-4</c:v>
                </c:pt>
                <c:pt idx="52">
                  <c:v>1.1386746885857135E-4</c:v>
                </c:pt>
                <c:pt idx="53">
                  <c:v>9.2682823489534814E-5</c:v>
                </c:pt>
                <c:pt idx="54">
                  <c:v>9.2682823489534814E-5</c:v>
                </c:pt>
                <c:pt idx="55">
                  <c:v>9.5330904160664386E-5</c:v>
                </c:pt>
                <c:pt idx="56">
                  <c:v>7.9442420133886993E-5</c:v>
                </c:pt>
                <c:pt idx="57">
                  <c:v>7.149817812049829E-5</c:v>
                </c:pt>
                <c:pt idx="58">
                  <c:v>4.5017371409202627E-5</c:v>
                </c:pt>
                <c:pt idx="59">
                  <c:v>8.7386662147275683E-5</c:v>
                </c:pt>
                <c:pt idx="60">
                  <c:v>7.6794339462757434E-5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sqref="A1:XFD104857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32227.391903605872</v>
      </c>
      <c r="C11" s="11">
        <f>B11/B$102</f>
        <v>0.18568503651717722</v>
      </c>
      <c r="E11" s="19">
        <v>0</v>
      </c>
      <c r="F11" s="343" t="n">
        <v>42336.0</v>
      </c>
      <c r="G11" s="11">
        <f>F11/F$102</f>
        <v>0.25879692398949239</v>
      </c>
      <c r="K11" s="8" t="n">
        <v>6.2390314922516295</v>
      </c>
      <c r="L11" s="8" t="n">
        <v>6.2448826218014615</v>
      </c>
    </row>
    <row r="12" spans="1:12" x14ac:dyDescent="0.25">
      <c r="A12">
        <v>1</v>
      </c>
      <c r="B12" s="341" t="n">
        <v>71644.61914677649</v>
      </c>
      <c r="C12" s="11">
        <f>B12/B$102</f>
        <v>0.250346047303111</v>
      </c>
      <c r="E12" s="20">
        <v>1</v>
      </c>
      <c r="F12" s="343" t="n">
        <v>55904.0</v>
      </c>
      <c r="G12" s="11">
        <f>F12/F$102</f>
        <v>0.28033641216846028</v>
      </c>
      <c r="K12" s="8"/>
      <c r="L12" s="289"/>
    </row>
    <row r="13" spans="1:12" x14ac:dyDescent="0.25">
      <c r="A13">
        <v>2</v>
      </c>
      <c r="B13" s="341" t="n">
        <v>60193.28972651919</v>
      </c>
      <c r="C13" s="11">
        <f ref="C13:C76" si="0" t="shared">B13/B$102</f>
        <v>0.26122023852859383</v>
      </c>
      <c r="E13" s="21">
        <v>2</v>
      </c>
      <c r="F13" s="343" t="n">
        <v>55074.0</v>
      </c>
      <c r="G13" s="11">
        <f ref="G13:G76" si="1" t="shared">F13/F$102</f>
        <v>0.17154531395644448</v>
      </c>
    </row>
    <row r="14" spans="1:12" x14ac:dyDescent="0.25">
      <c r="A14">
        <v>3</v>
      </c>
      <c r="B14" s="341" t="n">
        <v>53687.64531073046</v>
      </c>
      <c r="C14" s="11">
        <f si="0" t="shared"/>
        <v>6.1402950781980777E-2</v>
      </c>
      <c r="E14" s="22">
        <v>3</v>
      </c>
      <c r="F14" s="343" t="n">
        <v>48198.0</v>
      </c>
      <c r="G14" s="11">
        <f si="1" t="shared"/>
        <v>7.8764511482077873E-2</v>
      </c>
    </row>
    <row r="15" spans="1:12" x14ac:dyDescent="0.25">
      <c r="A15">
        <v>4</v>
      </c>
      <c r="B15" s="341" t="n">
        <v>44449.97021817484</v>
      </c>
      <c r="C15" s="11">
        <f si="0" t="shared"/>
        <v>6.4895500730112313E-2</v>
      </c>
      <c r="E15" s="23">
        <v>4</v>
      </c>
      <c r="F15" s="343" t="n">
        <v>36419.0</v>
      </c>
      <c r="G15" s="11">
        <f si="1" t="shared"/>
        <v>4.2708245063977683E-2</v>
      </c>
    </row>
    <row r="16" spans="1:12" x14ac:dyDescent="0.25">
      <c r="A16">
        <v>5</v>
      </c>
      <c r="B16" s="341" t="n">
        <v>29532.176296327147</v>
      </c>
      <c r="C16" s="11">
        <f si="0" t="shared"/>
        <v>1.9506761212088983E-2</v>
      </c>
      <c r="E16" s="24">
        <v>5</v>
      </c>
      <c r="F16" s="343" t="n">
        <v>28139.0</v>
      </c>
      <c r="G16" s="11">
        <f si="1" t="shared"/>
        <v>2.8072303194644554E-2</v>
      </c>
    </row>
    <row r="17" spans="1:7" x14ac:dyDescent="0.25">
      <c r="A17">
        <v>6</v>
      </c>
      <c r="B17" s="341" t="n">
        <v>24742.84979850067</v>
      </c>
      <c r="C17" s="11">
        <f si="0" t="shared"/>
        <v>1.6134725301224753E-2</v>
      </c>
      <c r="E17" s="25">
        <v>6</v>
      </c>
      <c r="F17" s="343" t="n">
        <v>21066.0</v>
      </c>
      <c r="G17" s="11">
        <f si="1" t="shared"/>
        <v>2.5236208795864787E-2</v>
      </c>
    </row>
    <row r="18" spans="1:7" x14ac:dyDescent="0.25">
      <c r="A18">
        <v>7</v>
      </c>
      <c r="B18" s="341" t="n">
        <v>14902.553577845238</v>
      </c>
      <c r="C18" s="11">
        <f si="0" t="shared"/>
        <v>1.0137300586129437E-2</v>
      </c>
      <c r="E18" s="26">
        <v>7</v>
      </c>
      <c r="F18" s="343" t="n">
        <v>14114.0</v>
      </c>
      <c r="G18" s="11">
        <f si="1" t="shared"/>
        <v>1.9105902042199835E-2</v>
      </c>
    </row>
    <row r="19" spans="1:7" x14ac:dyDescent="0.25">
      <c r="A19">
        <v>8</v>
      </c>
      <c r="B19" s="341" t="n">
        <v>16474.934262063576</v>
      </c>
      <c r="C19" s="11">
        <f si="0" t="shared"/>
        <v>0</v>
      </c>
      <c r="E19" s="27">
        <v>8</v>
      </c>
      <c r="F19" s="343" t="n">
        <v>10514.0</v>
      </c>
      <c r="G19" s="11">
        <f si="1" t="shared"/>
        <v>1.3446953647995948E-2</v>
      </c>
    </row>
    <row r="20" spans="1:7" x14ac:dyDescent="0.25">
      <c r="A20">
        <v>9</v>
      </c>
      <c r="B20" s="341" t="n">
        <v>8653.95052408094</v>
      </c>
      <c r="C20" s="11">
        <f si="0" t="shared"/>
        <v>2.2992073916162474E-2</v>
      </c>
      <c r="E20" s="28">
        <v>9</v>
      </c>
      <c r="F20" s="343" t="n">
        <v>7963.0</v>
      </c>
      <c r="G20" s="11">
        <f si="1" t="shared"/>
        <v>1.177601474451319E-2</v>
      </c>
    </row>
    <row r="21" spans="1:7" x14ac:dyDescent="0.25">
      <c r="A21">
        <v>10</v>
      </c>
      <c r="B21" s="341" t="n">
        <v>8456.860419642213</v>
      </c>
      <c r="C21" s="11">
        <f si="0" t="shared"/>
        <v>3.072808010283621E-2</v>
      </c>
      <c r="E21" s="29">
        <v>10</v>
      </c>
      <c r="F21" s="343" t="n">
        <v>6157.0</v>
      </c>
      <c r="G21" s="11">
        <f si="1" t="shared"/>
        <v>1.0221591390560133E-2</v>
      </c>
    </row>
    <row r="22" spans="1:7" x14ac:dyDescent="0.25">
      <c r="A22">
        <v>11</v>
      </c>
      <c r="B22" s="341" t="n">
        <v>8206.97054046148</v>
      </c>
      <c r="C22" s="11">
        <f si="0" t="shared"/>
        <v>2.968641597895565E-2</v>
      </c>
      <c r="E22" s="30">
        <v>11</v>
      </c>
      <c r="F22" s="343" t="n">
        <v>5393.0</v>
      </c>
      <c r="G22" s="11">
        <f si="1" t="shared"/>
        <v>7.9972036268112952E-3</v>
      </c>
    </row>
    <row r="23" spans="1:7" x14ac:dyDescent="0.25">
      <c r="A23">
        <v>12</v>
      </c>
      <c r="B23" s="341" t="n">
        <v>8556.79876096253</v>
      </c>
      <c r="C23" s="11">
        <f si="0" t="shared"/>
        <v>2.933378194382945E-3</v>
      </c>
      <c r="E23" s="31">
        <v>12</v>
      </c>
      <c r="F23" s="343" t="n">
        <v>5244.0</v>
      </c>
      <c r="G23" s="11">
        <f si="1" t="shared"/>
        <v>6.508982289636478E-3</v>
      </c>
    </row>
    <row r="24" spans="1:7" x14ac:dyDescent="0.25">
      <c r="A24">
        <v>13</v>
      </c>
      <c r="B24" s="341" t="n">
        <v>5506.376930185765</v>
      </c>
      <c r="C24" s="11">
        <f si="0" t="shared"/>
        <v>8.812553536675519E-3</v>
      </c>
      <c r="E24" s="32">
        <v>13</v>
      </c>
      <c r="F24" s="343" t="n">
        <v>4111.0</v>
      </c>
      <c r="G24" s="11">
        <f si="1" t="shared"/>
        <v>5.5715617320566116E-3</v>
      </c>
    </row>
    <row r="25" spans="1:7" x14ac:dyDescent="0.25">
      <c r="A25">
        <v>14</v>
      </c>
      <c r="B25" s="341" t="n">
        <v>3582.8701979119587</v>
      </c>
      <c r="C25" s="11">
        <f si="0" t="shared"/>
        <v>0</v>
      </c>
      <c r="E25" s="33">
        <v>14</v>
      </c>
      <c r="F25" s="343" t="n">
        <v>3692.0</v>
      </c>
      <c r="G25" s="11">
        <f si="1" t="shared"/>
        <v>5.4894712312515952E-3</v>
      </c>
    </row>
    <row r="26" spans="1:7" x14ac:dyDescent="0.25">
      <c r="A26">
        <v>15</v>
      </c>
      <c r="B26" s="341" t="n">
        <v>6851.210097550801</v>
      </c>
      <c r="C26" s="11">
        <f si="0" t="shared"/>
        <v>0</v>
      </c>
      <c r="E26" s="34">
        <v>15</v>
      </c>
      <c r="F26" s="343" t="n">
        <v>3154.0</v>
      </c>
      <c r="G26" s="11">
        <f si="1" t="shared"/>
        <v>5.4603423438691692E-3</v>
      </c>
    </row>
    <row r="27" spans="1:7" x14ac:dyDescent="0.25">
      <c r="A27">
        <v>16</v>
      </c>
      <c r="B27" s="341" t="n">
        <v>4725.432139347025</v>
      </c>
      <c r="C27" s="11">
        <f si="0" t="shared"/>
        <v>1.0311314007469657E-2</v>
      </c>
      <c r="E27" s="35">
        <v>16</v>
      </c>
      <c r="F27" s="343" t="n">
        <v>2831.0</v>
      </c>
      <c r="G27" s="11">
        <f si="1" t="shared"/>
        <v>3.6146301160918607E-3</v>
      </c>
    </row>
    <row r="28" spans="1:7" x14ac:dyDescent="0.25">
      <c r="A28">
        <v>17</v>
      </c>
      <c r="B28" s="341" t="n">
        <v>2051.7161705064195</v>
      </c>
      <c r="C28" s="11">
        <f si="0" t="shared"/>
        <v>2.0822208760583379E-4</v>
      </c>
      <c r="E28" s="36">
        <v>17</v>
      </c>
      <c r="F28" s="343" t="n">
        <v>2282.0</v>
      </c>
      <c r="G28" s="11">
        <f si="1" t="shared"/>
        <v>2.6030632997203658E-3</v>
      </c>
    </row>
    <row r="29" spans="1:7" x14ac:dyDescent="0.25">
      <c r="A29">
        <v>18</v>
      </c>
      <c r="B29" s="341" t="n">
        <v>3090.3071508004805</v>
      </c>
      <c r="C29" s="11">
        <f si="0" t="shared"/>
        <v>4.3145950927291595E-3</v>
      </c>
      <c r="E29" s="37">
        <v>18</v>
      </c>
      <c r="F29" s="343" t="n">
        <v>2241.0</v>
      </c>
      <c r="G29" s="11">
        <f si="1" t="shared"/>
        <v>3.3153970002542193E-3</v>
      </c>
    </row>
    <row r="30" spans="1:7" x14ac:dyDescent="0.25">
      <c r="A30">
        <v>19</v>
      </c>
      <c r="B30" s="341" t="n">
        <v>2332.4875576762847</v>
      </c>
      <c r="C30" s="11">
        <f si="0" t="shared"/>
        <v>0</v>
      </c>
      <c r="E30" s="38">
        <v>19</v>
      </c>
      <c r="F30" s="343" t="n">
        <v>2035.0</v>
      </c>
      <c r="G30" s="11">
        <f si="1" t="shared"/>
        <v>2.6136556224048836E-3</v>
      </c>
    </row>
    <row r="31" spans="1:7" x14ac:dyDescent="0.25">
      <c r="A31">
        <v>20</v>
      </c>
      <c r="B31" s="341" t="n">
        <v>2164.694585011104</v>
      </c>
      <c r="C31" s="11">
        <f si="0" t="shared"/>
        <v>0</v>
      </c>
      <c r="E31" s="39">
        <v>20</v>
      </c>
      <c r="F31" s="343" t="n">
        <v>2039.0</v>
      </c>
      <c r="G31" s="11">
        <f si="1" t="shared"/>
        <v>2.5050843148885713E-3</v>
      </c>
    </row>
    <row r="32" spans="1:7" x14ac:dyDescent="0.25">
      <c r="A32">
        <v>21</v>
      </c>
      <c r="B32" s="341" t="n">
        <v>3268.498199315627</v>
      </c>
      <c r="C32" s="11">
        <f si="0" t="shared"/>
        <v>0</v>
      </c>
      <c r="E32" s="40">
        <v>21</v>
      </c>
      <c r="F32" s="343" t="n">
        <v>2012.0</v>
      </c>
      <c r="G32" s="11">
        <f si="1" t="shared"/>
        <v>2.8281501567663787E-3</v>
      </c>
    </row>
    <row r="33" spans="1:7" x14ac:dyDescent="0.25">
      <c r="A33">
        <v>22</v>
      </c>
      <c r="B33" s="341" t="n">
        <v>394.9057389135361</v>
      </c>
      <c r="C33" s="11">
        <f si="0" t="shared"/>
        <v>0</v>
      </c>
      <c r="E33" s="41">
        <v>22</v>
      </c>
      <c r="F33" s="343" t="n">
        <v>1761.0</v>
      </c>
      <c r="G33" s="11">
        <f si="1" t="shared"/>
        <v>1.8404160664350498E-3</v>
      </c>
    </row>
    <row r="34" spans="1:7" x14ac:dyDescent="0.25">
      <c r="A34">
        <v>23</v>
      </c>
      <c r="B34" s="341" t="n">
        <v>1405.4371705176986</v>
      </c>
      <c r="C34" s="11">
        <f si="0" t="shared"/>
        <v>5.0203228724604683E-3</v>
      </c>
      <c r="E34" s="42">
        <v>23</v>
      </c>
      <c r="F34" s="343" t="n">
        <v>1753.0</v>
      </c>
      <c r="G34" s="11">
        <f si="1" t="shared"/>
        <v>1.0512880264384385E-3</v>
      </c>
    </row>
    <row r="35" spans="1:7" x14ac:dyDescent="0.25">
      <c r="A35">
        <v>24</v>
      </c>
      <c r="B35" s="341" t="n">
        <v>801.6403456571262</v>
      </c>
      <c r="C35" s="11">
        <f si="0" t="shared"/>
        <v>1.5630060275515392E-3</v>
      </c>
      <c r="E35" s="43">
        <v>24</v>
      </c>
      <c r="F35" s="343" t="n">
        <v>1516.0</v>
      </c>
      <c r="G35" s="11">
        <f si="1" t="shared"/>
        <v>1.0380476230827905E-3</v>
      </c>
    </row>
    <row r="36" spans="1:7" x14ac:dyDescent="0.25">
      <c r="A36">
        <v>25</v>
      </c>
      <c r="B36" s="341" t="n">
        <v>582.9561190224408</v>
      </c>
      <c r="C36" s="11">
        <f si="0" t="shared"/>
        <v>3.2494214275117822E-4</v>
      </c>
      <c r="E36" s="44">
        <v>25</v>
      </c>
      <c r="F36" s="343" t="n">
        <v>1457.0</v>
      </c>
      <c r="G36" s="11">
        <f si="1" t="shared"/>
        <v>8.0501652402338868E-4</v>
      </c>
    </row>
    <row r="37" spans="1:7" x14ac:dyDescent="0.25">
      <c r="A37">
        <v>26</v>
      </c>
      <c r="B37" s="341" t="n">
        <v>1691.286035393941</v>
      </c>
      <c r="C37" s="11">
        <f si="0" t="shared"/>
        <v>3.5956811665815006E-3</v>
      </c>
      <c r="E37" s="45">
        <v>26</v>
      </c>
      <c r="F37" s="343" t="n">
        <v>1189.0</v>
      </c>
      <c r="G37" s="11">
        <f si="1" t="shared"/>
        <v>5.4550461825269105E-4</v>
      </c>
    </row>
    <row r="38" spans="1:7" x14ac:dyDescent="0.25">
      <c r="A38">
        <v>27</v>
      </c>
      <c r="B38" s="341" t="n">
        <v>2457.7189635370883</v>
      </c>
      <c r="C38" s="11">
        <f si="0" t="shared"/>
        <v>0</v>
      </c>
      <c r="E38" s="46">
        <v>27</v>
      </c>
      <c r="F38" s="343" t="n">
        <v>1141.0</v>
      </c>
      <c r="G38" s="11">
        <f si="1" t="shared"/>
        <v>5.5609694093720929E-4</v>
      </c>
    </row>
    <row r="39" spans="1:7" x14ac:dyDescent="0.25">
      <c r="A39">
        <v>28</v>
      </c>
      <c r="B39" s="341" t="n">
        <v>494.6358734862897</v>
      </c>
      <c r="C39" s="11">
        <f si="0" t="shared"/>
        <v>0</v>
      </c>
      <c r="E39" s="47">
        <v>28</v>
      </c>
      <c r="F39" s="343" t="n">
        <v>1053.0</v>
      </c>
      <c r="G39" s="11">
        <f si="1" t="shared"/>
        <v>3.9721210066943522E-4</v>
      </c>
    </row>
    <row r="40" spans="1:7" x14ac:dyDescent="0.25">
      <c r="A40">
        <v>29</v>
      </c>
      <c r="B40" s="341" t="n">
        <v>570.4532751530255</v>
      </c>
      <c r="C40" s="11">
        <f si="0" t="shared"/>
        <v>8.9113006108089126E-3</v>
      </c>
      <c r="E40" s="48">
        <v>29</v>
      </c>
      <c r="F40" s="343" t="n">
        <v>901.0</v>
      </c>
      <c r="G40" s="11">
        <f si="1" t="shared"/>
        <v>3.8132361664265782E-4</v>
      </c>
    </row>
    <row r="41" spans="1:7" x14ac:dyDescent="0.25">
      <c r="A41">
        <v>30</v>
      </c>
      <c r="B41" s="341" t="n">
        <v>1122.8171463483895</v>
      </c>
      <c r="C41" s="11">
        <f si="0" t="shared"/>
        <v>0</v>
      </c>
      <c r="E41" s="49">
        <v>30</v>
      </c>
      <c r="F41" s="343" t="n">
        <v>797.0</v>
      </c>
      <c r="G41" s="11">
        <f si="1" t="shared"/>
        <v>3.8397169731378737E-4</v>
      </c>
    </row>
    <row r="42" spans="1:7" x14ac:dyDescent="0.25">
      <c r="A42">
        <v>31</v>
      </c>
      <c r="B42" s="341" t="n">
        <v>1453.2339008065478</v>
      </c>
      <c r="C42" s="11">
        <f si="0" t="shared"/>
        <v>0</v>
      </c>
      <c r="E42" s="50">
        <v>31</v>
      </c>
      <c r="F42" s="343" t="n">
        <v>666.0</v>
      </c>
      <c r="G42" s="11">
        <f si="1" t="shared"/>
        <v>4.1574866536734219E-4</v>
      </c>
    </row>
    <row r="43" spans="1:7" x14ac:dyDescent="0.25">
      <c r="A43">
        <v>32</v>
      </c>
      <c r="B43" s="341" t="n">
        <v>1026.593479505545</v>
      </c>
      <c r="C43" s="11">
        <f si="0" t="shared"/>
        <v>0</v>
      </c>
      <c r="E43" s="51">
        <v>32</v>
      </c>
      <c r="F43" s="343" t="n">
        <v>627.0</v>
      </c>
      <c r="G43" s="11">
        <f si="1" t="shared"/>
        <v>4.8195068214558137E-4</v>
      </c>
    </row>
    <row r="44" spans="1:7" x14ac:dyDescent="0.25">
      <c r="A44">
        <v>33</v>
      </c>
      <c r="B44" s="341" t="n">
        <v>1574.7474364447787</v>
      </c>
      <c r="C44" s="11">
        <f si="0" t="shared"/>
        <v>0</v>
      </c>
      <c r="E44" s="52">
        <v>33</v>
      </c>
      <c r="F44" s="343" t="n">
        <v>586.0</v>
      </c>
      <c r="G44" s="11">
        <f si="1" t="shared"/>
        <v>3.8397169731378737E-4</v>
      </c>
    </row>
    <row r="45" spans="1:7" x14ac:dyDescent="0.25">
      <c r="A45">
        <v>34</v>
      </c>
      <c r="B45" s="341" t="n">
        <v>217.5381241620914</v>
      </c>
      <c r="C45" s="11">
        <f si="0" t="shared"/>
        <v>0</v>
      </c>
      <c r="E45" s="53">
        <v>34</v>
      </c>
      <c r="F45" s="343" t="n">
        <v>563.0</v>
      </c>
      <c r="G45" s="11">
        <f si="1" t="shared"/>
        <v>3.3630624523345515E-4</v>
      </c>
    </row>
    <row r="46" spans="1:7" x14ac:dyDescent="0.25">
      <c r="A46">
        <v>35</v>
      </c>
      <c r="B46" s="341" t="n">
        <v>181.9680858374736</v>
      </c>
      <c r="C46" s="11">
        <f si="0" t="shared"/>
        <v>0</v>
      </c>
      <c r="E46" s="54">
        <v>35</v>
      </c>
      <c r="F46" s="343" t="n">
        <v>462.0</v>
      </c>
      <c r="G46" s="11">
        <f si="1" t="shared"/>
        <v>2.6215998644182724E-4</v>
      </c>
    </row>
    <row r="47" spans="1:7" x14ac:dyDescent="0.25">
      <c r="A47">
        <v>36</v>
      </c>
      <c r="B47" s="341" t="n">
        <v>410.49456891117404</v>
      </c>
      <c r="C47" s="11">
        <f si="0" t="shared"/>
        <v>0</v>
      </c>
      <c r="E47" s="55">
        <v>36</v>
      </c>
      <c r="F47" s="343" t="n">
        <v>412.0</v>
      </c>
      <c r="G47" s="11">
        <f si="1" t="shared"/>
        <v>1.9595796966358803E-4</v>
      </c>
    </row>
    <row r="48" spans="1:7" x14ac:dyDescent="0.25">
      <c r="A48">
        <v>37</v>
      </c>
      <c r="B48" s="341" t="n">
        <v>36.4481263655019</v>
      </c>
      <c r="C48" s="11">
        <f si="0" t="shared"/>
        <v>0</v>
      </c>
      <c r="E48" s="56">
        <v>37</v>
      </c>
      <c r="F48" s="343" t="n">
        <v>401.0</v>
      </c>
      <c r="G48" s="11">
        <f si="1" t="shared"/>
        <v>1.5623675959664454E-4</v>
      </c>
    </row>
    <row r="49" spans="1:7" x14ac:dyDescent="0.25">
      <c r="A49">
        <v>38</v>
      </c>
      <c r="B49" s="341" t="n">
        <v>110.005959949788</v>
      </c>
      <c r="C49" s="11">
        <f si="0" t="shared"/>
        <v>0</v>
      </c>
      <c r="E49" s="57">
        <v>38</v>
      </c>
      <c r="F49" s="343" t="n">
        <v>374.0</v>
      </c>
      <c r="G49" s="11">
        <f si="1" t="shared"/>
        <v>1.7742140496568106E-4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215.0</v>
      </c>
      <c r="G50" s="11">
        <f si="1" t="shared"/>
        <v>2.2508685704601328E-4</v>
      </c>
    </row>
    <row r="51" spans="1:7" x14ac:dyDescent="0.25">
      <c r="A51">
        <v>40</v>
      </c>
      <c r="B51" s="341" t="n">
        <v>446.76633893251005</v>
      </c>
      <c r="C51" s="11">
        <f si="0" t="shared"/>
        <v>0</v>
      </c>
      <c r="E51" s="59">
        <v>40</v>
      </c>
      <c r="F51" s="343" t="n">
        <v>235.0</v>
      </c>
      <c r="G51" s="11">
        <f si="1" t="shared"/>
        <v>9.7978984831794013E-5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322.0</v>
      </c>
      <c r="G52" s="11">
        <f si="1" t="shared"/>
        <v>1.1916363020083056E-4</v>
      </c>
    </row>
    <row r="53" spans="1:7" x14ac:dyDescent="0.25">
      <c r="A53">
        <v>42</v>
      </c>
      <c r="B53" s="341" t="n">
        <v>108.1559342288449</v>
      </c>
      <c r="C53" s="11">
        <f si="0" t="shared"/>
        <v>0</v>
      </c>
      <c r="E53" s="61">
        <v>42</v>
      </c>
      <c r="F53" s="343" t="n">
        <v>198.0</v>
      </c>
      <c r="G53" s="11">
        <f si="1" t="shared"/>
        <v>7.9442420133887047E-5</v>
      </c>
    </row>
    <row r="54" spans="1:7" x14ac:dyDescent="0.25">
      <c r="A54">
        <v>43</v>
      </c>
      <c r="B54" s="341" t="n">
        <v>643.955222776728</v>
      </c>
      <c r="C54" s="11">
        <f si="0" t="shared"/>
        <v>0</v>
      </c>
      <c r="E54" s="62">
        <v>43</v>
      </c>
      <c r="F54" s="343" t="n">
        <v>150.0</v>
      </c>
      <c r="G54" s="11">
        <f si="1" t="shared"/>
        <v>1.0062706550292358E-4</v>
      </c>
    </row>
    <row r="55" spans="1:7" x14ac:dyDescent="0.25">
      <c r="A55">
        <v>44</v>
      </c>
      <c r="B55" s="341" t="n">
        <v>26.9844746378519</v>
      </c>
      <c r="C55" s="11">
        <f si="0" t="shared"/>
        <v>0</v>
      </c>
      <c r="E55" s="63">
        <v>44</v>
      </c>
      <c r="F55" s="343" t="n">
        <v>138.0</v>
      </c>
      <c r="G55" s="11">
        <f si="1" t="shared"/>
        <v>1.1651554952970101E-4</v>
      </c>
    </row>
    <row r="56" spans="1:7" x14ac:dyDescent="0.25">
      <c r="A56">
        <v>45</v>
      </c>
      <c r="B56" s="341" t="n">
        <v>654.082887270936</v>
      </c>
      <c r="C56" s="11">
        <f si="0" t="shared"/>
        <v>0</v>
      </c>
      <c r="E56" s="64">
        <v>45</v>
      </c>
      <c r="F56" s="343" t="n">
        <v>157.0</v>
      </c>
      <c r="G56" s="11">
        <f si="1" t="shared"/>
        <v>1.0857130751631229E-4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222.0</v>
      </c>
      <c r="G57" s="11">
        <f si="1" t="shared"/>
        <v>4.5017371409202661E-5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107.0</v>
      </c>
      <c r="G58" s="11">
        <f si="1" t="shared"/>
        <v>3.7073129395813951E-5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74.0</v>
      </c>
      <c r="G59" s="11">
        <f si="1" t="shared"/>
        <v>4.5017371409202661E-5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77.0</v>
      </c>
      <c r="G60" s="11">
        <f si="1" t="shared"/>
        <v>4.7665452080332227E-5</v>
      </c>
    </row>
    <row r="61" spans="1:7" x14ac:dyDescent="0.25">
      <c r="A61">
        <v>50</v>
      </c>
      <c r="B61" s="341" t="n">
        <v>45.2391273899036</v>
      </c>
      <c r="C61" s="11">
        <f si="0" t="shared"/>
        <v>0</v>
      </c>
      <c r="E61" s="69">
        <v>50</v>
      </c>
      <c r="F61" s="343" t="n">
        <v>84.0</v>
      </c>
      <c r="G61" s="11">
        <f si="1" t="shared"/>
        <v>1.8536564697906976E-5</v>
      </c>
    </row>
    <row r="62" spans="1:7" x14ac:dyDescent="0.25">
      <c r="A62">
        <v>51</v>
      </c>
      <c r="B62" s="341" t="n">
        <v>185.5636957282445</v>
      </c>
      <c r="C62" s="11">
        <f si="0" t="shared"/>
        <v>1.2695533026101727E-3</v>
      </c>
      <c r="E62" s="70">
        <v>51</v>
      </c>
      <c r="F62" s="343" t="n">
        <v>69.0</v>
      </c>
      <c r="G62" s="11">
        <f si="1" t="shared"/>
        <v>5.2961613422591361E-6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183.0</v>
      </c>
      <c r="G63" s="11">
        <f si="1" t="shared"/>
        <v>2.6480806711295681E-6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84.0</v>
      </c>
      <c r="G64" s="11">
        <f si="1" t="shared"/>
        <v>1.5888484026777409E-4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56.0</v>
      </c>
      <c r="G65" s="11">
        <f si="1" t="shared"/>
        <v>1.8536564697906976E-5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58.0</v>
      </c>
      <c r="G66" s="11">
        <f si="1" t="shared"/>
        <v>2.1184645369036545E-5</v>
      </c>
    </row>
    <row r="67" spans="1:7" x14ac:dyDescent="0.25">
      <c r="A67">
        <v>56</v>
      </c>
      <c r="B67" s="341" t="n">
        <v>113.1913195947486</v>
      </c>
      <c r="C67" s="11">
        <f si="0" t="shared"/>
        <v>0</v>
      </c>
      <c r="E67" s="75">
        <v>56</v>
      </c>
      <c r="F67" s="343" t="n">
        <v>70.0</v>
      </c>
      <c r="G67" s="11">
        <f si="1" t="shared"/>
        <v>7.9442420133887034E-6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105.0</v>
      </c>
      <c r="G68" s="11">
        <f si="1" t="shared"/>
        <v>1.0592322684518272E-5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96.0</v>
      </c>
      <c r="G69" s="11">
        <f si="1" t="shared"/>
        <v>1.0592322684518272E-5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19.0</v>
      </c>
      <c r="G70" s="11">
        <f si="1" t="shared"/>
        <v>3.1776968053554813E-5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18.0</v>
      </c>
      <c r="G71" s="11">
        <f si="1" t="shared"/>
        <v>1.0592322684518272E-5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93.0</v>
      </c>
      <c r="G72" s="11">
        <f si="1" t="shared"/>
        <v>1.0592322684518272E-5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24.0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12.0</v>
      </c>
      <c r="G74" s="11">
        <f si="1" t="shared"/>
        <v>2.6480806711295681E-6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8.0</v>
      </c>
      <c r="G75" s="11">
        <f si="1" t="shared"/>
        <v>2.6480806711295681E-6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35.0</v>
      </c>
      <c r="G76" s="11">
        <f si="1" t="shared"/>
        <v>5.2961613422591361E-6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18.0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75.0</v>
      </c>
      <c r="G78" s="11">
        <f si="3" t="shared"/>
        <v>2.9128887382425251E-5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87.0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13.0</v>
      </c>
      <c r="G80" s="11">
        <f si="3" t="shared"/>
        <v>2.6480806711295681E-6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13.0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3.0</v>
      </c>
      <c r="G82" s="11">
        <f si="3" t="shared"/>
        <v>2.6480806711295681E-6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18.0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48.0</v>
      </c>
      <c r="G84" s="11">
        <f si="3" t="shared"/>
        <v>5.2961613422591361E-6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37.0</v>
      </c>
      <c r="G85" s="11">
        <f si="3" t="shared"/>
        <v>2.6480806711295681E-6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15.0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13.0</v>
      </c>
      <c r="G87" s="11">
        <f si="3" t="shared"/>
        <v>2.3832726040166113E-5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37.0</v>
      </c>
      <c r="G88" s="11">
        <f si="3" t="shared"/>
        <v>2.6480806711295681E-6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5.0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5.0</v>
      </c>
      <c r="G90" s="11">
        <f si="3" t="shared"/>
        <v>1.0592322684518272E-5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1.0</v>
      </c>
      <c r="G91" s="11">
        <f si="3" t="shared"/>
        <v>1.5888484026777407E-5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5.0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13.0</v>
      </c>
      <c r="G93" s="11">
        <f si="3" t="shared"/>
        <v>2.6480806711295681E-6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13.0</v>
      </c>
      <c r="G94" s="11">
        <f si="3" t="shared"/>
        <v>1.8536564697906976E-4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9.0</v>
      </c>
      <c r="G95" s="11">
        <f si="3" t="shared"/>
        <v>7.4146258791627902E-5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29.0</v>
      </c>
      <c r="G96" s="11">
        <f si="3" t="shared"/>
        <v>5.2961613422591361E-6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10.0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3.0</v>
      </c>
      <c r="G98" s="11">
        <f si="3" t="shared"/>
        <v>2.3832726040166113E-5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11.0</v>
      </c>
      <c r="G99" s="11">
        <f si="3" t="shared"/>
        <v>2.3832726040166113E-5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224.0</v>
      </c>
      <c r="G101" s="11">
        <f si="3" t="shared"/>
        <v>3.2306584187780731E-4</v>
      </c>
    </row>
    <row r="102" spans="1:7" x14ac:dyDescent="0.25">
      <c r="B102" s="341">
        <f>SUM(B11:B101)</f>
        <v>100070.3834957354</v>
      </c>
      <c r="C102" s="11">
        <f si="2" t="shared"/>
        <v>1</v>
      </c>
      <c r="F102" s="341">
        <f>SUM(F11:F101)</f>
        <v>125877.33333333307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5.1160525137285577E-2</v>
      </c>
      <c r="E11" s="109">
        <v>0</v>
      </c>
      <c r="F11" s="199" t="n">
        <v>9266.0</v>
      </c>
      <c r="G11" s="11">
        <f>F11/F$102</f>
        <v>4.9331094822472693E-2</v>
      </c>
      <c r="K11" s="8" t="n">
        <v>14.05508106823455</v>
      </c>
      <c r="L11" s="8" t="n">
        <v>15.684165652458207</v>
      </c>
    </row>
    <row r="12" spans="1:12" x14ac:dyDescent="0.25">
      <c r="A12">
        <v>1</v>
      </c>
      <c r="B12" s="8" t="n">
        <v>0.0</v>
      </c>
      <c r="C12" s="11">
        <f>B12/B$102</f>
        <v>6.004440067678396E-2</v>
      </c>
      <c r="E12" s="110">
        <v>1</v>
      </c>
      <c r="F12" s="200" t="n">
        <v>5548.0</v>
      </c>
      <c r="G12" s="11">
        <f>F12/F$102</f>
        <v>0.10013717057876456</v>
      </c>
      <c r="K12" s="8"/>
      <c r="L12" s="290"/>
    </row>
    <row r="13" spans="1:12" x14ac:dyDescent="0.25">
      <c r="A13">
        <v>2</v>
      </c>
      <c r="B13" s="8" t="n">
        <v>1242.0681000819131</v>
      </c>
      <c r="C13" s="11">
        <f ref="C13:C76" si="0" t="shared">B13/B$102</f>
        <v>0.12644211252142407</v>
      </c>
      <c r="E13" s="111">
        <v>2</v>
      </c>
      <c r="F13" s="201" t="n">
        <v>5639.0</v>
      </c>
      <c r="G13" s="11">
        <f ref="G13:G76" si="1" t="shared">F13/F$102</f>
        <v>0.18454739005169049</v>
      </c>
    </row>
    <row r="14" spans="1:12" x14ac:dyDescent="0.25">
      <c r="A14">
        <v>3</v>
      </c>
      <c r="B14" s="8" t="n">
        <v>19610.181930536062</v>
      </c>
      <c r="C14" s="11">
        <f si="0" t="shared"/>
        <v>0.19410238782717507</v>
      </c>
      <c r="E14" s="112">
        <v>3</v>
      </c>
      <c r="F14" s="202" t="n">
        <v>9599.0</v>
      </c>
      <c r="G14" s="11">
        <f si="1" t="shared"/>
        <v>0.18380592746377419</v>
      </c>
    </row>
    <row r="15" spans="1:12" x14ac:dyDescent="0.25">
      <c r="A15">
        <v>4</v>
      </c>
      <c r="B15" s="8" t="n">
        <v>23665.530789061348</v>
      </c>
      <c r="C15" s="11">
        <f si="0" t="shared"/>
        <v>0.16456900388362458</v>
      </c>
      <c r="E15" s="113">
        <v>4</v>
      </c>
      <c r="F15" s="203" t="n">
        <v>16002.0</v>
      </c>
      <c r="G15" s="11">
        <f si="1" t="shared"/>
        <v>0.13427093042962465</v>
      </c>
    </row>
    <row r="16" spans="1:12" x14ac:dyDescent="0.25">
      <c r="A16">
        <v>5</v>
      </c>
      <c r="B16" s="8" t="n">
        <v>35892.60955178194</v>
      </c>
      <c r="C16" s="11">
        <f si="0" t="shared"/>
        <v>0.11474512477668683</v>
      </c>
      <c r="E16" s="114">
        <v>5</v>
      </c>
      <c r="F16" s="204" t="n">
        <v>22305.0</v>
      </c>
      <c r="G16" s="11">
        <f si="1" t="shared"/>
        <v>8.6070566053724304E-2</v>
      </c>
    </row>
    <row r="17" spans="1:7" x14ac:dyDescent="0.25">
      <c r="A17">
        <v>6</v>
      </c>
      <c r="B17" s="8" t="n">
        <v>38135.31848932007</v>
      </c>
      <c r="C17" s="11">
        <f si="0" t="shared"/>
        <v>4.7590718307882959E-2</v>
      </c>
      <c r="E17" s="115">
        <v>6</v>
      </c>
      <c r="F17" s="205" t="n">
        <v>25992.0</v>
      </c>
      <c r="G17" s="11">
        <f si="1" t="shared"/>
        <v>5.1656109651724458E-2</v>
      </c>
    </row>
    <row r="18" spans="1:7" x14ac:dyDescent="0.25">
      <c r="A18">
        <v>7</v>
      </c>
      <c r="B18" s="8" t="n">
        <v>35973.375804170115</v>
      </c>
      <c r="C18" s="11">
        <f si="0" t="shared"/>
        <v>6.2445415096658692E-2</v>
      </c>
      <c r="E18" s="116">
        <v>7</v>
      </c>
      <c r="F18" s="206" t="n">
        <v>27185.0</v>
      </c>
      <c r="G18" s="11">
        <f si="1" t="shared"/>
        <v>3.3567070587238387E-2</v>
      </c>
    </row>
    <row r="19" spans="1:7" x14ac:dyDescent="0.25">
      <c r="A19">
        <v>8</v>
      </c>
      <c r="B19" s="8" t="n">
        <v>32144.155071730227</v>
      </c>
      <c r="C19" s="11">
        <f si="0" t="shared"/>
        <v>1.5866594796360916E-2</v>
      </c>
      <c r="E19" s="117">
        <v>8</v>
      </c>
      <c r="F19" s="207" t="n">
        <v>25512.0</v>
      </c>
      <c r="G19" s="11">
        <f si="1" t="shared"/>
        <v>2.4799275485128391E-2</v>
      </c>
    </row>
    <row r="20" spans="1:7" x14ac:dyDescent="0.25">
      <c r="A20">
        <v>9</v>
      </c>
      <c r="B20" s="8" t="n">
        <v>19888.56891004431</v>
      </c>
      <c r="C20" s="11">
        <f si="0" t="shared"/>
        <v>9.5964801978557484E-3</v>
      </c>
      <c r="E20" s="118">
        <v>9</v>
      </c>
      <c r="F20" s="208" t="n">
        <v>23776.0</v>
      </c>
      <c r="G20" s="11">
        <f si="1" t="shared"/>
        <v>1.8279700872807399E-2</v>
      </c>
    </row>
    <row r="21" spans="1:7" x14ac:dyDescent="0.25">
      <c r="A21">
        <v>10</v>
      </c>
      <c r="B21" s="8" t="n">
        <v>20143.110229493763</v>
      </c>
      <c r="C21" s="11">
        <f si="0" t="shared"/>
        <v>1.3982903938725276E-2</v>
      </c>
      <c r="E21" s="119">
        <v>10</v>
      </c>
      <c r="F21" s="209" t="n">
        <v>21636.0</v>
      </c>
      <c r="G21" s="11">
        <f si="1" t="shared"/>
        <v>1.6431340564358958E-2</v>
      </c>
    </row>
    <row r="22" spans="1:7" x14ac:dyDescent="0.25">
      <c r="A22">
        <v>11</v>
      </c>
      <c r="B22" s="8" t="n">
        <v>25734.315613437462</v>
      </c>
      <c r="C22" s="11">
        <f si="0" t="shared"/>
        <v>4.010643801189679E-4</v>
      </c>
      <c r="E22" s="120">
        <v>11</v>
      </c>
      <c r="F22" s="210" t="n">
        <v>19213.0</v>
      </c>
      <c r="G22" s="11">
        <f si="1" t="shared"/>
        <v>1.3023260740615208E-2</v>
      </c>
    </row>
    <row r="23" spans="1:7" x14ac:dyDescent="0.25">
      <c r="A23">
        <v>12</v>
      </c>
      <c r="B23" s="8" t="n">
        <v>21490.499118226606</v>
      </c>
      <c r="C23" s="11">
        <f si="0" t="shared"/>
        <v>6.7450856057288556E-3</v>
      </c>
      <c r="E23" s="121">
        <v>12</v>
      </c>
      <c r="F23" s="211" t="n">
        <v>17605.0</v>
      </c>
      <c r="G23" s="11">
        <f si="1" t="shared"/>
        <v>1.4278450978730622E-2</v>
      </c>
    </row>
    <row r="24" spans="1:7" x14ac:dyDescent="0.25">
      <c r="A24">
        <v>13</v>
      </c>
      <c r="B24" s="8" t="n">
        <v>14587.107289826268</v>
      </c>
      <c r="C24" s="11">
        <f si="0" t="shared"/>
        <v>2.8564413132325276E-2</v>
      </c>
      <c r="E24" s="122">
        <v>13</v>
      </c>
      <c r="F24" s="212" t="n">
        <v>15248.0</v>
      </c>
      <c r="G24" s="11">
        <f si="1" t="shared"/>
        <v>1.080681721887976E-2</v>
      </c>
    </row>
    <row r="25" spans="1:7" x14ac:dyDescent="0.25">
      <c r="A25">
        <v>14</v>
      </c>
      <c r="B25" s="8" t="n">
        <v>16910.68112484186</v>
      </c>
      <c r="C25" s="11">
        <f si="0" t="shared"/>
        <v>9.4768475730290704E-3</v>
      </c>
      <c r="E25" s="123">
        <v>14</v>
      </c>
      <c r="F25" s="213" t="n">
        <v>13627.0</v>
      </c>
      <c r="G25" s="11">
        <f si="1" t="shared"/>
        <v>8.614206423184478E-3</v>
      </c>
    </row>
    <row r="26" spans="1:7" x14ac:dyDescent="0.25">
      <c r="A26">
        <v>15</v>
      </c>
      <c r="B26" s="8" t="n">
        <v>14550.541851853197</v>
      </c>
      <c r="C26" s="11">
        <f si="0" t="shared"/>
        <v>2.0251215467122038E-2</v>
      </c>
      <c r="E26" s="124">
        <v>15</v>
      </c>
      <c r="F26" s="214" t="n">
        <v>11659.0</v>
      </c>
      <c r="G26" s="11">
        <f si="1" t="shared"/>
        <v>7.1418735700364408E-3</v>
      </c>
    </row>
    <row r="27" spans="1:7" x14ac:dyDescent="0.25">
      <c r="A27">
        <v>16</v>
      </c>
      <c r="B27" s="8" t="n">
        <v>8023.186805206802</v>
      </c>
      <c r="C27" s="11">
        <f si="0" t="shared"/>
        <v>8.7741512846569792E-4</v>
      </c>
      <c r="E27" s="125">
        <v>16</v>
      </c>
      <c r="F27" s="215" t="n">
        <v>10201.0</v>
      </c>
      <c r="G27" s="11">
        <f si="1" t="shared"/>
        <v>5.2458478095076715E-3</v>
      </c>
    </row>
    <row r="28" spans="1:7" x14ac:dyDescent="0.25">
      <c r="A28">
        <v>17</v>
      </c>
      <c r="B28" s="8" t="n">
        <v>13090.392173224956</v>
      </c>
      <c r="C28" s="11">
        <f si="0" t="shared"/>
        <v>6.2788206924193199E-3</v>
      </c>
      <c r="E28" s="126">
        <v>17</v>
      </c>
      <c r="F28" s="216" t="n">
        <v>8749.0</v>
      </c>
      <c r="G28" s="11">
        <f si="1" t="shared"/>
        <v>5.3411787136683347E-3</v>
      </c>
    </row>
    <row r="29" spans="1:7" x14ac:dyDescent="0.25">
      <c r="A29">
        <v>18</v>
      </c>
      <c r="B29" s="8" t="n">
        <v>6793.463813935335</v>
      </c>
      <c r="C29" s="11">
        <f si="0" t="shared"/>
        <v>1.2243821272332389E-2</v>
      </c>
      <c r="E29" s="127">
        <v>18</v>
      </c>
      <c r="F29" s="217" t="n">
        <v>7683.0</v>
      </c>
      <c r="G29" s="11">
        <f si="1" t="shared"/>
        <v>5.1187399372934518E-3</v>
      </c>
    </row>
    <row r="30" spans="1:7" x14ac:dyDescent="0.25">
      <c r="A30">
        <v>19</v>
      </c>
      <c r="B30" s="8" t="n">
        <v>6751.794581306611</v>
      </c>
      <c r="C30" s="11">
        <f si="0" t="shared"/>
        <v>1.496418479882195E-2</v>
      </c>
      <c r="E30" s="128">
        <v>19</v>
      </c>
      <c r="F30" s="218" t="n">
        <v>6693.0</v>
      </c>
      <c r="G30" s="11">
        <f si="1" t="shared"/>
        <v>4.3057791712566747E-3</v>
      </c>
    </row>
    <row r="31" spans="1:7" x14ac:dyDescent="0.25">
      <c r="A31">
        <v>20</v>
      </c>
      <c r="B31" s="8" t="n">
        <v>4778.316563529546</v>
      </c>
      <c r="C31" s="11">
        <f si="0" t="shared"/>
        <v>3.6952672388054896E-3</v>
      </c>
      <c r="E31" s="129">
        <v>20</v>
      </c>
      <c r="F31" s="219" t="n">
        <v>5972.0</v>
      </c>
      <c r="G31" s="11">
        <f si="1" t="shared"/>
        <v>4.022434539445811E-3</v>
      </c>
    </row>
    <row r="32" spans="1:7" x14ac:dyDescent="0.25">
      <c r="A32">
        <v>21</v>
      </c>
      <c r="B32" s="8" t="n">
        <v>3764.8805116751173</v>
      </c>
      <c r="C32" s="11">
        <f si="0" t="shared"/>
        <v>6.454823274044838E-4</v>
      </c>
      <c r="E32" s="130">
        <v>21</v>
      </c>
      <c r="F32" s="220" t="n">
        <v>5348.0</v>
      </c>
      <c r="G32" s="11">
        <f si="1" t="shared"/>
        <v>4.0012498940767745E-3</v>
      </c>
    </row>
    <row r="33" spans="1:7" x14ac:dyDescent="0.25">
      <c r="A33">
        <v>22</v>
      </c>
      <c r="B33" s="8" t="n">
        <v>3912.5085936073315</v>
      </c>
      <c r="C33" s="11">
        <f si="0" t="shared"/>
        <v>4.3145950927291603E-3</v>
      </c>
      <c r="E33" s="131">
        <v>22</v>
      </c>
      <c r="F33" s="221" t="n">
        <v>4927.0</v>
      </c>
      <c r="G33" s="11">
        <f si="1" t="shared"/>
        <v>4.2263367511227879E-3</v>
      </c>
    </row>
    <row r="34" spans="1:7" x14ac:dyDescent="0.25">
      <c r="A34">
        <v>23</v>
      </c>
      <c r="B34" s="8" t="n">
        <v>4393.463210466354</v>
      </c>
      <c r="C34" s="11">
        <f si="0" t="shared"/>
        <v>0</v>
      </c>
      <c r="E34" s="132">
        <v>23</v>
      </c>
      <c r="F34" s="222" t="n">
        <v>4365.0</v>
      </c>
      <c r="G34" s="11">
        <f si="1" t="shared"/>
        <v>3.6808321328700971E-3</v>
      </c>
    </row>
    <row r="35" spans="1:7" x14ac:dyDescent="0.25">
      <c r="A35">
        <v>24</v>
      </c>
      <c r="B35" s="8" t="n">
        <v>5095.012785833397</v>
      </c>
      <c r="C35" s="11">
        <f si="0" t="shared"/>
        <v>2.077163337785853E-3</v>
      </c>
      <c r="E35" s="133">
        <v>24</v>
      </c>
      <c r="F35" s="223" t="n">
        <v>3962.0</v>
      </c>
      <c r="G35" s="11">
        <f si="1" t="shared"/>
        <v>3.0373485297856126E-3</v>
      </c>
    </row>
    <row r="36" spans="1:7" x14ac:dyDescent="0.25">
      <c r="A36">
        <v>25</v>
      </c>
      <c r="B36" s="8" t="n">
        <v>3633.108636938739</v>
      </c>
      <c r="C36" s="11">
        <f si="0" t="shared"/>
        <v>8.2341506696838093E-3</v>
      </c>
      <c r="E36" s="134">
        <v>25</v>
      </c>
      <c r="F36" s="224" t="n">
        <v>3526.0</v>
      </c>
      <c r="G36" s="11">
        <f si="1" t="shared"/>
        <v>2.7434115752902307E-3</v>
      </c>
    </row>
    <row r="37" spans="1:7" x14ac:dyDescent="0.25">
      <c r="A37">
        <v>26</v>
      </c>
      <c r="B37" s="8" t="n">
        <v>3147.0021960109943</v>
      </c>
      <c r="C37" s="11">
        <f si="0" t="shared"/>
        <v>0</v>
      </c>
      <c r="E37" s="135">
        <v>26</v>
      </c>
      <c r="F37" s="225" t="n">
        <v>3179.0</v>
      </c>
      <c r="G37" s="11">
        <f si="1" t="shared"/>
        <v>2.0866875688500984E-3</v>
      </c>
    </row>
    <row r="38" spans="1:7" x14ac:dyDescent="0.25">
      <c r="A38">
        <v>27</v>
      </c>
      <c r="B38" s="8" t="n">
        <v>3236.517926339496</v>
      </c>
      <c r="C38" s="11">
        <f si="0" t="shared"/>
        <v>0</v>
      </c>
      <c r="E38" s="136">
        <v>27</v>
      </c>
      <c r="F38" s="226" t="n">
        <v>2870.0</v>
      </c>
      <c r="G38" s="11">
        <f si="1" t="shared"/>
        <v>1.5729599186509625E-3</v>
      </c>
    </row>
    <row r="39" spans="1:7" x14ac:dyDescent="0.25">
      <c r="A39">
        <v>28</v>
      </c>
      <c r="B39" s="8" t="n">
        <v>1242.4261660016325</v>
      </c>
      <c r="C39" s="11">
        <f si="0" t="shared"/>
        <v>0</v>
      </c>
      <c r="E39" s="137">
        <v>28</v>
      </c>
      <c r="F39" s="227" t="n">
        <v>2810.0</v>
      </c>
      <c r="G39" s="11">
        <f si="1" t="shared"/>
        <v>1.6524023387848492E-3</v>
      </c>
    </row>
    <row r="40" spans="1:7" x14ac:dyDescent="0.25">
      <c r="A40">
        <v>29</v>
      </c>
      <c r="B40" s="8" t="n">
        <v>4307.416580770008</v>
      </c>
      <c r="C40" s="11">
        <f si="0" t="shared"/>
        <v>0</v>
      </c>
      <c r="E40" s="138">
        <v>29</v>
      </c>
      <c r="F40" s="228" t="n">
        <v>2321.0</v>
      </c>
      <c r="G40" s="11">
        <f si="1" t="shared"/>
        <v>1.422019320396577E-3</v>
      </c>
    </row>
    <row r="41" spans="1:7" x14ac:dyDescent="0.25">
      <c r="A41">
        <v>30</v>
      </c>
      <c r="B41" s="8" t="n">
        <v>3216.5365018317875</v>
      </c>
      <c r="C41" s="11">
        <f si="0" t="shared"/>
        <v>5.02032287246047E-3</v>
      </c>
      <c r="E41" s="139">
        <v>30</v>
      </c>
      <c r="F41" s="229" t="n">
        <v>2237.0</v>
      </c>
      <c r="G41" s="11">
        <f si="1" t="shared"/>
        <v>1.3187441742225239E-3</v>
      </c>
    </row>
    <row r="42" spans="1:7" x14ac:dyDescent="0.25">
      <c r="A42">
        <v>31</v>
      </c>
      <c r="B42" s="8" t="n">
        <v>2750.28213225898</v>
      </c>
      <c r="C42" s="11">
        <f si="0" t="shared"/>
        <v>0</v>
      </c>
      <c r="E42" s="140">
        <v>31</v>
      </c>
      <c r="F42" s="230" t="n">
        <v>2015.0</v>
      </c>
      <c r="G42" s="11">
        <f si="1" t="shared"/>
        <v>1.9383950512668424E-3</v>
      </c>
    </row>
    <row r="43" spans="1:7" x14ac:dyDescent="0.25">
      <c r="A43">
        <v>32</v>
      </c>
      <c r="B43" s="8" t="n">
        <v>3584.573927374338</v>
      </c>
      <c r="C43" s="11">
        <f si="0" t="shared"/>
        <v>0</v>
      </c>
      <c r="E43" s="141">
        <v>32</v>
      </c>
      <c r="F43" s="231" t="n">
        <v>1974.0</v>
      </c>
      <c r="G43" s="11">
        <f si="1" t="shared"/>
        <v>1.5464791119396666E-3</v>
      </c>
    </row>
    <row r="44" spans="1:7" x14ac:dyDescent="0.25">
      <c r="A44">
        <v>33</v>
      </c>
      <c r="B44" s="8" t="n">
        <v>1523.0419460297496</v>
      </c>
      <c r="C44" s="11">
        <f si="0" t="shared"/>
        <v>0</v>
      </c>
      <c r="E44" s="142">
        <v>33</v>
      </c>
      <c r="F44" s="232" t="n">
        <v>1863.0</v>
      </c>
      <c r="G44" s="11">
        <f si="1" t="shared"/>
        <v>9.0034742818405258E-4</v>
      </c>
    </row>
    <row r="45" spans="1:7" x14ac:dyDescent="0.25">
      <c r="A45">
        <v>34</v>
      </c>
      <c r="B45" s="8" t="n">
        <v>1315.4638904343888</v>
      </c>
      <c r="C45" s="11">
        <f si="0" t="shared"/>
        <v>0</v>
      </c>
      <c r="E45" s="143">
        <v>34</v>
      </c>
      <c r="F45" s="233" t="n">
        <v>1742.0</v>
      </c>
      <c r="G45" s="11">
        <f si="1" t="shared"/>
        <v>1.1678035759681389E-3</v>
      </c>
    </row>
    <row r="46" spans="1:7" x14ac:dyDescent="0.25">
      <c r="A46">
        <v>35</v>
      </c>
      <c r="B46" s="8" t="n">
        <v>1550.5176693346652</v>
      </c>
      <c r="C46" s="11">
        <f si="0" t="shared"/>
        <v>1.5630060275515396E-3</v>
      </c>
      <c r="E46" s="144">
        <v>35</v>
      </c>
      <c r="F46" s="234" t="n">
        <v>1590.0</v>
      </c>
      <c r="G46" s="11">
        <f si="1" t="shared"/>
        <v>8.8445894415727512E-4</v>
      </c>
    </row>
    <row r="47" spans="1:7" x14ac:dyDescent="0.25">
      <c r="A47">
        <v>36</v>
      </c>
      <c r="B47" s="8" t="n">
        <v>1051.0688042323213</v>
      </c>
      <c r="C47" s="11">
        <f si="0" t="shared"/>
        <v>0</v>
      </c>
      <c r="E47" s="145">
        <v>36</v>
      </c>
      <c r="F47" s="235" t="n">
        <v>1464.0</v>
      </c>
      <c r="G47" s="11">
        <f si="1" t="shared"/>
        <v>7.3087026523176027E-4</v>
      </c>
    </row>
    <row r="48" spans="1:7" x14ac:dyDescent="0.25">
      <c r="A48">
        <v>37</v>
      </c>
      <c r="B48" s="8" t="n">
        <v>1532.3191748322809</v>
      </c>
      <c r="C48" s="11">
        <f si="0" t="shared"/>
        <v>0</v>
      </c>
      <c r="E48" s="146">
        <v>37</v>
      </c>
      <c r="F48" s="236" t="n">
        <v>1364.0</v>
      </c>
      <c r="G48" s="11">
        <f si="1" t="shared"/>
        <v>3.4689856791797317E-4</v>
      </c>
    </row>
    <row r="49" spans="1:7" x14ac:dyDescent="0.25">
      <c r="A49">
        <v>38</v>
      </c>
      <c r="B49" s="8" t="n">
        <v>3977.643566553655</v>
      </c>
      <c r="C49" s="11">
        <f si="0" t="shared"/>
        <v>3.9206233093326799E-3</v>
      </c>
      <c r="E49" s="147">
        <v>38</v>
      </c>
      <c r="F49" s="237" t="n">
        <v>1316.0</v>
      </c>
      <c r="G49" s="11">
        <f si="1" t="shared"/>
        <v>2.9658503516651139E-4</v>
      </c>
    </row>
    <row r="50" spans="1:7" x14ac:dyDescent="0.25">
      <c r="A50">
        <v>39</v>
      </c>
      <c r="B50" s="8" t="n">
        <v>2580.6319711915753</v>
      </c>
      <c r="C50" s="11">
        <f si="0" t="shared"/>
        <v>0</v>
      </c>
      <c r="E50" s="148">
        <v>39</v>
      </c>
      <c r="F50" s="238" t="n">
        <v>1231.0</v>
      </c>
      <c r="G50" s="11">
        <f si="1" t="shared"/>
        <v>2.6480806711295663E-4</v>
      </c>
    </row>
    <row r="51" spans="1:7" x14ac:dyDescent="0.25">
      <c r="A51">
        <v>40</v>
      </c>
      <c r="B51" s="8" t="n">
        <v>2215.528919188424</v>
      </c>
      <c r="C51" s="11">
        <f si="0" t="shared"/>
        <v>8.9113006108089161E-3</v>
      </c>
      <c r="E51" s="149">
        <v>40</v>
      </c>
      <c r="F51" s="239" t="n">
        <v>1136.0</v>
      </c>
      <c r="G51" s="11">
        <f si="1" t="shared"/>
        <v>3.0982543852215924E-4</v>
      </c>
    </row>
    <row r="52" spans="1:7" x14ac:dyDescent="0.25">
      <c r="A52">
        <v>41</v>
      </c>
      <c r="B52" s="8" t="n">
        <v>591.724383382781</v>
      </c>
      <c r="C52" s="11">
        <f si="0" t="shared"/>
        <v>0</v>
      </c>
      <c r="E52" s="150">
        <v>41</v>
      </c>
      <c r="F52" s="240" t="n">
        <v>1028.0</v>
      </c>
      <c r="G52" s="11">
        <f si="1" t="shared"/>
        <v>2.3567917973053141E-4</v>
      </c>
    </row>
    <row r="53" spans="1:7" x14ac:dyDescent="0.25">
      <c r="A53">
        <v>42</v>
      </c>
      <c r="B53" s="8" t="n">
        <v>1367.9652912923002</v>
      </c>
      <c r="C53" s="11">
        <f si="0" t="shared"/>
        <v>0</v>
      </c>
      <c r="E53" s="151">
        <v>42</v>
      </c>
      <c r="F53" s="241" t="n">
        <v>945.0</v>
      </c>
      <c r="G53" s="11">
        <f si="1" t="shared"/>
        <v>2.0919837301923574E-4</v>
      </c>
    </row>
    <row r="54" spans="1:7" x14ac:dyDescent="0.25">
      <c r="A54">
        <v>43</v>
      </c>
      <c r="B54" s="8" t="n">
        <v>233.8801579337256</v>
      </c>
      <c r="C54" s="11">
        <f si="0" t="shared"/>
        <v>0</v>
      </c>
      <c r="E54" s="152">
        <v>43</v>
      </c>
      <c r="F54" s="242" t="n">
        <v>844.0</v>
      </c>
      <c r="G54" s="11">
        <f si="1" t="shared"/>
        <v>2.0655029234810615E-4</v>
      </c>
    </row>
    <row r="55" spans="1:7" x14ac:dyDescent="0.25">
      <c r="A55">
        <v>44</v>
      </c>
      <c r="B55" s="8" t="n">
        <v>103.579028114936</v>
      </c>
      <c r="C55" s="11">
        <f si="0" t="shared"/>
        <v>0</v>
      </c>
      <c r="E55" s="153">
        <v>44</v>
      </c>
      <c r="F55" s="243" t="n">
        <v>840.0</v>
      </c>
      <c r="G55" s="11">
        <f si="1" t="shared"/>
        <v>2.2243877637488359E-4</v>
      </c>
    </row>
    <row r="56" spans="1:7" x14ac:dyDescent="0.25">
      <c r="A56">
        <v>45</v>
      </c>
      <c r="B56" s="8" t="n">
        <v>388.451166679287</v>
      </c>
      <c r="C56" s="11">
        <f si="0" t="shared"/>
        <v>0</v>
      </c>
      <c r="E56" s="154">
        <v>45</v>
      </c>
      <c r="F56" s="244" t="n">
        <v>754.0</v>
      </c>
      <c r="G56" s="11">
        <f si="1" t="shared"/>
        <v>2.8599271248199316E-4</v>
      </c>
    </row>
    <row r="57" spans="1:7" x14ac:dyDescent="0.25">
      <c r="A57">
        <v>46</v>
      </c>
      <c r="B57" s="8" t="n">
        <v>1383.0648019386567</v>
      </c>
      <c r="C57" s="11">
        <f si="0" t="shared"/>
        <v>0</v>
      </c>
      <c r="E57" s="155">
        <v>46</v>
      </c>
      <c r="F57" s="245" t="n">
        <v>724.0</v>
      </c>
      <c r="G57" s="11">
        <f si="1" t="shared"/>
        <v>1.7212524362342181E-4</v>
      </c>
    </row>
    <row r="58" spans="1:7" x14ac:dyDescent="0.25">
      <c r="A58">
        <v>47</v>
      </c>
      <c r="B58" s="8" t="n">
        <v>43.4289781720416</v>
      </c>
      <c r="C58" s="11">
        <f si="0" t="shared"/>
        <v>0</v>
      </c>
      <c r="E58" s="156">
        <v>47</v>
      </c>
      <c r="F58" s="246" t="n">
        <v>629.0</v>
      </c>
      <c r="G58" s="11">
        <f si="1" t="shared"/>
        <v>2.3832726040166097E-4</v>
      </c>
    </row>
    <row r="59" spans="1:7" x14ac:dyDescent="0.25">
      <c r="A59">
        <v>48</v>
      </c>
      <c r="B59" s="8" t="n">
        <v>579.6712438971696</v>
      </c>
      <c r="C59" s="11">
        <f si="0" t="shared"/>
        <v>0</v>
      </c>
      <c r="E59" s="157">
        <v>48</v>
      </c>
      <c r="F59" s="247" t="n">
        <v>625.0</v>
      </c>
      <c r="G59" s="11">
        <f si="1" t="shared"/>
        <v>3.0982543852215924E-4</v>
      </c>
    </row>
    <row r="60" spans="1:7" x14ac:dyDescent="0.25">
      <c r="A60">
        <v>49</v>
      </c>
      <c r="B60" s="8" t="n">
        <v>1008.3078801255763</v>
      </c>
      <c r="C60" s="11">
        <f si="0" t="shared"/>
        <v>0</v>
      </c>
      <c r="E60" s="158">
        <v>49</v>
      </c>
      <c r="F60" s="248" t="n">
        <v>546.0</v>
      </c>
      <c r="G60" s="11">
        <f si="1" t="shared"/>
        <v>2.833446318108636E-4</v>
      </c>
    </row>
    <row r="61" spans="1:7" x14ac:dyDescent="0.25">
      <c r="A61">
        <v>50</v>
      </c>
      <c r="B61" s="8" t="n">
        <v>603.3484049875868</v>
      </c>
      <c r="C61" s="11">
        <f si="0" t="shared"/>
        <v>0</v>
      </c>
      <c r="E61" s="159">
        <v>50</v>
      </c>
      <c r="F61" s="249" t="n">
        <v>604.0</v>
      </c>
      <c r="G61" s="11">
        <f si="1" t="shared"/>
        <v>3.9721210066943495E-4</v>
      </c>
    </row>
    <row r="62" spans="1:7" x14ac:dyDescent="0.25">
      <c r="A62">
        <v>51</v>
      </c>
      <c r="B62" s="8" t="n">
        <v>232.9539565824449</v>
      </c>
      <c r="C62" s="11">
        <f si="0" t="shared"/>
        <v>0</v>
      </c>
      <c r="E62" s="160">
        <v>51</v>
      </c>
      <c r="F62" s="250" t="n">
        <v>523.0</v>
      </c>
      <c r="G62" s="11">
        <f si="1" t="shared"/>
        <v>1.7212524362342181E-4</v>
      </c>
    </row>
    <row r="63" spans="1:7" x14ac:dyDescent="0.25">
      <c r="A63">
        <v>52</v>
      </c>
      <c r="B63" s="8" t="n">
        <v>625.5568498086157</v>
      </c>
      <c r="C63" s="11">
        <f si="0" t="shared"/>
        <v>0</v>
      </c>
      <c r="E63" s="161">
        <v>52</v>
      </c>
      <c r="F63" s="251" t="n">
        <v>475.0</v>
      </c>
      <c r="G63" s="11">
        <f si="1" t="shared"/>
        <v>1.1386746885857135E-4</v>
      </c>
    </row>
    <row r="64" spans="1:7" x14ac:dyDescent="0.25">
      <c r="A64">
        <v>53</v>
      </c>
      <c r="B64" s="8" t="n">
        <v>104.1792108902356</v>
      </c>
      <c r="C64" s="11">
        <f si="0" t="shared"/>
        <v>0</v>
      </c>
      <c r="E64" s="162">
        <v>53</v>
      </c>
      <c r="F64" s="252" t="n">
        <v>398.0</v>
      </c>
      <c r="G64" s="11">
        <f si="1" t="shared"/>
        <v>9.2682823489534814E-5</v>
      </c>
    </row>
    <row r="65" spans="1:7" x14ac:dyDescent="0.25">
      <c r="A65">
        <v>54</v>
      </c>
      <c r="B65" s="8" t="n">
        <v>648.9113065175068</v>
      </c>
      <c r="C65" s="11">
        <f si="0" t="shared"/>
        <v>0</v>
      </c>
      <c r="E65" s="163">
        <v>54</v>
      </c>
      <c r="F65" s="253" t="n">
        <v>408.0</v>
      </c>
      <c r="G65" s="11">
        <f si="1" t="shared"/>
        <v>9.2682823489534814E-5</v>
      </c>
    </row>
    <row r="66" spans="1:7" x14ac:dyDescent="0.25">
      <c r="A66">
        <v>55</v>
      </c>
      <c r="B66" s="8" t="n">
        <v>571.7283959478539</v>
      </c>
      <c r="C66" s="11">
        <f si="0" t="shared"/>
        <v>0</v>
      </c>
      <c r="E66" s="164">
        <v>55</v>
      </c>
      <c r="F66" s="254" t="n">
        <v>396.0</v>
      </c>
      <c r="G66" s="11">
        <f si="1" t="shared"/>
        <v>9.5330904160664386E-5</v>
      </c>
    </row>
    <row r="67" spans="1:7" x14ac:dyDescent="0.25">
      <c r="A67">
        <v>56</v>
      </c>
      <c r="B67" s="8" t="n">
        <v>155.714431468188</v>
      </c>
      <c r="C67" s="11">
        <f si="0" t="shared"/>
        <v>0</v>
      </c>
      <c r="E67" s="165">
        <v>56</v>
      </c>
      <c r="F67" s="255" t="n">
        <v>352.0</v>
      </c>
      <c r="G67" s="11">
        <f si="1" t="shared"/>
        <v>7.9442420133886993E-5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402.0</v>
      </c>
      <c r="G68" s="11">
        <f si="1" t="shared"/>
        <v>7.149817812049829E-5</v>
      </c>
    </row>
    <row r="69" spans="1:7" x14ac:dyDescent="0.25">
      <c r="A69">
        <v>58</v>
      </c>
      <c r="B69" s="8" t="n">
        <v>155.0812022534415</v>
      </c>
      <c r="C69" s="11">
        <f si="0" t="shared"/>
        <v>0</v>
      </c>
      <c r="E69" s="167">
        <v>58</v>
      </c>
      <c r="F69" s="257" t="n">
        <v>328.0</v>
      </c>
      <c r="G69" s="11">
        <f si="1" t="shared"/>
        <v>4.5017371409202627E-5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310.0</v>
      </c>
      <c r="G70" s="11">
        <f si="1" t="shared"/>
        <v>8.7386662147275683E-5</v>
      </c>
    </row>
    <row r="71" spans="1:7" x14ac:dyDescent="0.25">
      <c r="A71">
        <v>60</v>
      </c>
      <c r="B71" s="8" t="n">
        <v>24.0592179985813</v>
      </c>
      <c r="C71" s="11">
        <f si="0" t="shared"/>
        <v>0</v>
      </c>
      <c r="E71" s="169">
        <v>60</v>
      </c>
      <c r="F71" s="259" t="n">
        <v>281.0</v>
      </c>
      <c r="G71" s="11">
        <f si="1" t="shared"/>
        <v>7.6794339462757434E-5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253.0</v>
      </c>
      <c r="G72" s="11">
        <f si="1" t="shared"/>
        <v>6.3553936107109586E-5</v>
      </c>
    </row>
    <row r="73" spans="1:7" x14ac:dyDescent="0.25">
      <c r="A73">
        <v>62</v>
      </c>
      <c r="B73" s="8" t="n">
        <v>153.617328534944</v>
      </c>
      <c r="C73" s="11">
        <f si="0" t="shared"/>
        <v>0</v>
      </c>
      <c r="E73" s="171">
        <v>62</v>
      </c>
      <c r="F73" s="261" t="n">
        <v>203.0</v>
      </c>
      <c r="G73" s="11">
        <f si="1" t="shared"/>
        <v>4.2369290738073062E-5</v>
      </c>
    </row>
    <row r="74" spans="1:7" x14ac:dyDescent="0.25">
      <c r="A74">
        <v>63</v>
      </c>
      <c r="B74" s="8" t="n">
        <v>714.3617847993252</v>
      </c>
      <c r="C74" s="11">
        <f si="0" t="shared"/>
        <v>0</v>
      </c>
      <c r="E74" s="172">
        <v>63</v>
      </c>
      <c r="F74" s="262" t="n">
        <v>203.0</v>
      </c>
      <c r="G74" s="11">
        <f si="1" t="shared"/>
        <v>2.1184645369036531E-5</v>
      </c>
    </row>
    <row r="75" spans="1:7" x14ac:dyDescent="0.25">
      <c r="A75">
        <v>64</v>
      </c>
      <c r="B75" s="8" t="n">
        <v>1502.1445720116126</v>
      </c>
      <c r="C75" s="11">
        <f si="0" t="shared"/>
        <v>0</v>
      </c>
      <c r="E75" s="173">
        <v>64</v>
      </c>
      <c r="F75" s="263" t="n">
        <v>211.0</v>
      </c>
      <c r="G75" s="11">
        <f si="1" t="shared"/>
        <v>3.7073129395813924E-5</v>
      </c>
    </row>
    <row r="76" spans="1:7" x14ac:dyDescent="0.25">
      <c r="A76">
        <v>65</v>
      </c>
      <c r="B76" s="8" t="n">
        <v>276.807122169407</v>
      </c>
      <c r="C76" s="11">
        <f si="0" t="shared"/>
        <v>0</v>
      </c>
      <c r="E76" s="174">
        <v>65</v>
      </c>
      <c r="F76" s="264" t="n">
        <v>219.0</v>
      </c>
      <c r="G76" s="11">
        <f si="1" t="shared"/>
        <v>9.2682823489534814E-5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200.0</v>
      </c>
      <c r="G77" s="11">
        <f ref="G77:G102" si="3" t="shared">F77/F$102</f>
        <v>2.1184645369036531E-5</v>
      </c>
    </row>
    <row r="78" spans="1:7" x14ac:dyDescent="0.25">
      <c r="A78">
        <v>67</v>
      </c>
      <c r="B78" s="8" t="n">
        <v>320.446676620132</v>
      </c>
      <c r="C78" s="11">
        <f si="2" t="shared"/>
        <v>0</v>
      </c>
      <c r="E78" s="176">
        <v>67</v>
      </c>
      <c r="F78" s="266" t="n">
        <v>183.0</v>
      </c>
      <c r="G78" s="11">
        <f si="3" t="shared"/>
        <v>4.7665452080332193E-5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201.0</v>
      </c>
      <c r="G79" s="11">
        <f si="3" t="shared"/>
        <v>3.9721210066943496E-5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157.0</v>
      </c>
      <c r="G80" s="11">
        <f si="3" t="shared"/>
        <v>3.9721210066943496E-5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132.0</v>
      </c>
      <c r="G81" s="11">
        <f si="3" t="shared"/>
        <v>3.7073129395813924E-5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152.0</v>
      </c>
      <c r="G82" s="11">
        <f si="3" t="shared"/>
        <v>1.8536564697906962E-5</v>
      </c>
    </row>
    <row r="83" spans="1:7" x14ac:dyDescent="0.25">
      <c r="A83">
        <v>72</v>
      </c>
      <c r="B83" s="8" t="n">
        <v>1004.3606293927379</v>
      </c>
      <c r="C83" s="11">
        <f si="2" t="shared"/>
        <v>0</v>
      </c>
      <c r="E83" s="181">
        <v>72</v>
      </c>
      <c r="F83" s="271" t="n">
        <v>127.0</v>
      </c>
      <c r="G83" s="11">
        <f si="3" t="shared"/>
        <v>1.8536564697906962E-5</v>
      </c>
    </row>
    <row r="84" spans="1:7" x14ac:dyDescent="0.25">
      <c r="A84">
        <v>73</v>
      </c>
      <c r="B84" s="8" t="n">
        <v>450.9522830651475</v>
      </c>
      <c r="C84" s="11">
        <f si="2" t="shared"/>
        <v>0</v>
      </c>
      <c r="E84" s="182">
        <v>73</v>
      </c>
      <c r="F84" s="272" t="n">
        <v>114.0</v>
      </c>
      <c r="G84" s="11">
        <f si="3" t="shared"/>
        <v>7.9442420133886983E-6</v>
      </c>
    </row>
    <row r="85" spans="1:7" x14ac:dyDescent="0.25">
      <c r="A85">
        <v>74</v>
      </c>
      <c r="B85" s="8" t="n">
        <v>45.2391273899036</v>
      </c>
      <c r="C85" s="11">
        <f si="2" t="shared"/>
        <v>1.2695533026101731E-3</v>
      </c>
      <c r="E85" s="183">
        <v>74</v>
      </c>
      <c r="F85" s="273" t="n">
        <v>109.0</v>
      </c>
      <c r="G85" s="11">
        <f si="3" t="shared"/>
        <v>6.0905855435980027E-5</v>
      </c>
    </row>
    <row r="86" spans="1:7" x14ac:dyDescent="0.25">
      <c r="A86">
        <v>75</v>
      </c>
      <c r="B86" s="8" t="n">
        <v>410.49456891117404</v>
      </c>
      <c r="C86" s="11">
        <f si="2" t="shared"/>
        <v>0</v>
      </c>
      <c r="E86" s="184">
        <v>75</v>
      </c>
      <c r="F86" s="274" t="n">
        <v>83.0</v>
      </c>
      <c r="G86" s="11">
        <f si="3" t="shared"/>
        <v>7.9442420133886983E-6</v>
      </c>
    </row>
    <row r="87" spans="1:7" x14ac:dyDescent="0.25">
      <c r="A87">
        <v>76</v>
      </c>
      <c r="B87" s="8" t="n">
        <v>190.5980128283049</v>
      </c>
      <c r="C87" s="11">
        <f si="2" t="shared"/>
        <v>0</v>
      </c>
      <c r="E87" s="185">
        <v>76</v>
      </c>
      <c r="F87" s="275" t="n">
        <v>65.0</v>
      </c>
      <c r="G87" s="11">
        <f si="3" t="shared"/>
        <v>2.6480806711295664E-6</v>
      </c>
    </row>
    <row r="88" spans="1:7" x14ac:dyDescent="0.25">
      <c r="A88">
        <v>77</v>
      </c>
      <c r="B88" s="8" t="n">
        <v>115.92272053201</v>
      </c>
      <c r="C88" s="11">
        <f si="2" t="shared"/>
        <v>0</v>
      </c>
      <c r="E88" s="186">
        <v>77</v>
      </c>
      <c r="F88" s="276" t="n">
        <v>60.0</v>
      </c>
      <c r="G88" s="11">
        <f si="3" t="shared"/>
        <v>1.0592322684518265E-5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61.0</v>
      </c>
      <c r="G89" s="11">
        <f si="3" t="shared"/>
        <v>5.2961613422591327E-6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72.0</v>
      </c>
      <c r="G90" s="11">
        <f si="3" t="shared"/>
        <v>7.9442420133886983E-6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98.0</v>
      </c>
      <c r="G91" s="11">
        <f si="3" t="shared"/>
        <v>1.0592322684518265E-5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89.0</v>
      </c>
      <c r="G92" s="11">
        <f si="3" t="shared"/>
        <v>1.0592322684518265E-5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74.0</v>
      </c>
      <c r="G93" s="11">
        <f si="3" t="shared"/>
        <v>5.2961613422591327E-6</v>
      </c>
    </row>
    <row r="94" spans="1:7" x14ac:dyDescent="0.25">
      <c r="A94">
        <v>83</v>
      </c>
      <c r="B94" s="8" t="n">
        <v>505.5178882143299</v>
      </c>
      <c r="C94" s="11">
        <f si="2" t="shared"/>
        <v>0</v>
      </c>
      <c r="E94" s="192">
        <v>83</v>
      </c>
      <c r="F94" s="282" t="n">
        <v>49.0</v>
      </c>
      <c r="G94" s="11">
        <f si="3" t="shared"/>
        <v>1.0592322684518265E-5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96.0</v>
      </c>
      <c r="G95" s="11">
        <f si="3" t="shared"/>
        <v>2.6480806711295664E-6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62.0</v>
      </c>
      <c r="G96" s="11">
        <f si="3" t="shared"/>
        <v>2.3832726040166097E-5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62.0</v>
      </c>
      <c r="G97" s="11">
        <f si="3" t="shared"/>
        <v>5.2961613422591327E-6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91.0</v>
      </c>
      <c r="G98" s="11">
        <f si="3" t="shared"/>
        <v>7.9442420133886983E-6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56.0</v>
      </c>
      <c r="G99" s="11">
        <f si="3" t="shared"/>
        <v>1.5623675959664443E-4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53.0</v>
      </c>
      <c r="G100" s="11">
        <f si="3" t="shared"/>
        <v>2.6480806711295664E-6</v>
      </c>
    </row>
    <row ht="15.75" r="101" spans="1:7" thickBot="1" x14ac:dyDescent="0.3">
      <c r="A101" s="1">
        <v>90</v>
      </c>
      <c r="B101" s="9" t="n">
        <v>113.1913195947486</v>
      </c>
      <c r="C101" s="11">
        <f si="2" t="shared"/>
        <v>0</v>
      </c>
      <c r="E101" s="292">
        <v>90</v>
      </c>
      <c r="F101" s="292" t="n">
        <v>4894.0</v>
      </c>
      <c r="G101" s="11">
        <f si="3" t="shared"/>
        <v>7.7059147529870376E-4</v>
      </c>
    </row>
    <row r="102" spans="1:7" x14ac:dyDescent="0.25">
      <c r="B102" s="8">
        <f>SUM(B11:B101)</f>
        <v>100070.38349573537</v>
      </c>
      <c r="C102" s="11">
        <f si="2" t="shared"/>
        <v>1</v>
      </c>
      <c r="F102" s="8">
        <f>SUM(F11:F101)</f>
        <v>125877.33333333315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K5" sqref="K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139847.94043251898</v>
      </c>
      <c r="C7" s="12" t="n">
        <v>0.0</v>
      </c>
      <c r="D7" s="12" t="n">
        <v>642.032596189083</v>
      </c>
      <c r="E7" s="12" t="n">
        <v>1143.7607326060634</v>
      </c>
      <c r="F7" s="12" t="n">
        <v>2761.2664309617044</v>
      </c>
      <c r="G7" s="12" t="n">
        <v>5884.927674635055</v>
      </c>
      <c r="H7" s="12" t="n">
        <v>878.2415394944347</v>
      </c>
      <c r="I7" s="12"/>
      <c r="J7" s="12">
        <f>SUM(B7:I7)</f>
        <v>12436.194166791738</v>
      </c>
      <c r="K7" s="12"/>
      <c r="L7" t="str">
        <f>$A$7</f>
        <v>Bellevue</v>
      </c>
      <c r="M7" s="343" t="n">
        <v>133001.0</v>
      </c>
      <c r="N7" s="343" t="n">
        <v>1.0</v>
      </c>
      <c r="O7" s="343" t="n">
        <v>45.0</v>
      </c>
      <c r="P7" s="343" t="n">
        <v>2179.0</v>
      </c>
      <c r="Q7" s="343" t="n">
        <v>556.0</v>
      </c>
      <c r="R7" s="343" t="n">
        <v>3607.0</v>
      </c>
      <c r="S7" s="343" t="n">
        <v>1862.0</v>
      </c>
      <c r="T7" s="291"/>
      <c r="U7" s="12">
        <f>SUM(M7:T7)</f>
        <v>8271.9999999999927</v>
      </c>
    </row>
    <row r="8" spans="1:21" x14ac:dyDescent="0.25">
      <c r="A8" t="s">
        <v>250</v>
      </c>
      <c r="B8" s="12" t="n">
        <v>1895.9049972510538</v>
      </c>
      <c r="C8" s="12" t="n">
        <v>22531.36922697871</v>
      </c>
      <c r="D8" s="12" t="n">
        <v>0.0</v>
      </c>
      <c r="E8" s="12" t="n">
        <v>230.8028231181481</v>
      </c>
      <c r="F8" s="12" t="n">
        <v>0.0</v>
      </c>
      <c r="G8" s="12" t="n">
        <v>2201.0880613350096</v>
      </c>
      <c r="H8" s="12" t="n">
        <v>0.0</v>
      </c>
      <c r="I8" s="12"/>
      <c r="J8" s="12">
        <f ref="J8:J14" si="0" t="shared">SUM(B8:I8)</f>
        <v>396.51334158464101</v>
      </c>
      <c r="K8" s="12"/>
      <c r="L8" t="str">
        <f>$A$8</f>
        <v>Bellevue Downtown</v>
      </c>
      <c r="M8" s="343" t="n">
        <v>675.0</v>
      </c>
      <c r="N8" s="343" t="n">
        <v>18786.0</v>
      </c>
      <c r="O8" s="343" t="n">
        <v>0.0</v>
      </c>
      <c r="P8" s="343" t="n">
        <v>192.0</v>
      </c>
      <c r="Q8" s="343" t="n">
        <v>2.0</v>
      </c>
      <c r="R8" s="343" t="n">
        <v>3633.0</v>
      </c>
      <c r="S8" s="343" t="n">
        <v>5.0</v>
      </c>
      <c r="T8" s="291"/>
      <c r="U8" s="12">
        <f ref="U8:U14" si="1" t="shared">SUM(M8:T8)</f>
        <v>2618.6666666666638</v>
      </c>
    </row>
    <row r="9" spans="1:21" x14ac:dyDescent="0.25">
      <c r="A9" t="s">
        <v>251</v>
      </c>
      <c r="B9" s="12" t="n">
        <v>1751.8145271741187</v>
      </c>
      <c r="C9" s="12" t="n">
        <v>0.0</v>
      </c>
      <c r="D9" s="12" t="n">
        <v>16346.559718331691</v>
      </c>
      <c r="E9" s="12" t="n">
        <v>0.0</v>
      </c>
      <c r="F9" s="12" t="n">
        <v>1786.2945456825025</v>
      </c>
      <c r="G9" s="12" t="n">
        <v>0.0</v>
      </c>
      <c r="H9" s="12" t="n">
        <v>0.0</v>
      </c>
      <c r="I9" s="12"/>
      <c r="J9" s="12">
        <f si="0" t="shared"/>
        <v>9486.8605415100246</v>
      </c>
      <c r="K9" s="13"/>
      <c r="L9" t="str">
        <f>$A$9</f>
        <v>Kirkland</v>
      </c>
      <c r="M9" s="343" t="n">
        <v>4346.0</v>
      </c>
      <c r="N9" s="343" t="n">
        <v>0.0</v>
      </c>
      <c r="O9" s="343" t="n">
        <v>10247.0</v>
      </c>
      <c r="P9" s="343" t="n">
        <v>29.0</v>
      </c>
      <c r="Q9" s="343" t="n">
        <v>775.0</v>
      </c>
      <c r="R9" s="343" t="n">
        <v>53.0</v>
      </c>
      <c r="S9" s="343" t="n">
        <v>67.0</v>
      </c>
      <c r="T9" s="291"/>
      <c r="U9" s="12">
        <f si="1" t="shared"/>
        <v>10518.333333333323</v>
      </c>
    </row>
    <row r="10" spans="1:21" x14ac:dyDescent="0.25">
      <c r="A10" t="s">
        <v>252</v>
      </c>
      <c r="B10" s="12" t="n">
        <v>4186.353807327871</v>
      </c>
      <c r="C10" s="12" t="n">
        <v>0.0</v>
      </c>
      <c r="D10" s="12" t="n">
        <v>0.0</v>
      </c>
      <c r="E10" s="12" t="n">
        <v>75390.89331587897</v>
      </c>
      <c r="F10" s="12" t="n">
        <v>591.7247331712266</v>
      </c>
      <c r="G10" s="12" t="n">
        <v>2088.108363165161</v>
      </c>
      <c r="H10" s="12" t="n">
        <v>2461.06624640873</v>
      </c>
      <c r="I10" s="12"/>
      <c r="J10" s="12">
        <f si="0" t="shared"/>
        <v>7004.3598592980788</v>
      </c>
      <c r="K10" s="13"/>
      <c r="L10" t="str">
        <f>$A$10</f>
        <v>Redmond</v>
      </c>
      <c r="M10" s="343" t="n">
        <v>2208.0</v>
      </c>
      <c r="N10" s="343" t="n">
        <v>10.0</v>
      </c>
      <c r="O10" s="343" t="n">
        <v>0.0</v>
      </c>
      <c r="P10" s="343" t="n">
        <v>66259.0</v>
      </c>
      <c r="Q10" s="343" t="n">
        <v>2.0</v>
      </c>
      <c r="R10" s="343" t="n">
        <v>431.0</v>
      </c>
      <c r="S10" s="343" t="n">
        <v>237.0</v>
      </c>
      <c r="T10" s="291"/>
      <c r="U10" s="12">
        <f si="1" t="shared"/>
        <v>7150.9999999999927</v>
      </c>
    </row>
    <row r="11" spans="1:21" x14ac:dyDescent="0.25">
      <c r="A11" t="s">
        <v>248</v>
      </c>
      <c r="B11" s="12" t="n">
        <v>5692.511629603843</v>
      </c>
      <c r="C11" s="12" t="n">
        <v>0.0</v>
      </c>
      <c r="D11" s="12" t="n">
        <v>1747.0067308324449</v>
      </c>
      <c r="E11" s="12" t="n">
        <v>0.0</v>
      </c>
      <c r="F11" s="12" t="n">
        <v>41581.684310257064</v>
      </c>
      <c r="G11" s="12" t="n">
        <v>76.4742072721351</v>
      </c>
      <c r="H11" s="12" t="n">
        <v>0.0</v>
      </c>
      <c r="I11" s="12"/>
      <c r="J11" s="12">
        <f si="0" t="shared"/>
        <v>1715.0205456982101</v>
      </c>
      <c r="K11" s="13"/>
      <c r="L11" t="str">
        <f>$A$11</f>
        <v>Seattle</v>
      </c>
      <c r="M11" s="343" t="n">
        <v>7762.0</v>
      </c>
      <c r="N11" s="343" t="n">
        <v>0.0</v>
      </c>
      <c r="O11" s="343" t="n">
        <v>1463.0</v>
      </c>
      <c r="P11" s="343" t="n">
        <v>118.0</v>
      </c>
      <c r="Q11" s="343" t="n">
        <v>33036.0</v>
      </c>
      <c r="R11" s="343" t="n">
        <v>61.0</v>
      </c>
      <c r="S11" s="343" t="n">
        <v>900.0</v>
      </c>
      <c r="T11" s="291"/>
      <c r="U11" s="12">
        <f si="1" t="shared"/>
        <v>4442.6666666666624</v>
      </c>
    </row>
    <row r="12" spans="1:21" x14ac:dyDescent="0.25">
      <c r="A12" t="s">
        <v>253</v>
      </c>
      <c r="B12" s="12" t="n">
        <v>11509.906210870886</v>
      </c>
      <c r="C12" s="12" t="n">
        <v>260.52806728821497</v>
      </c>
      <c r="D12" s="12" t="n">
        <v>0.0</v>
      </c>
      <c r="E12" s="12" t="n">
        <v>3647.2187650246337</v>
      </c>
      <c r="F12" s="12" t="n">
        <v>0.0</v>
      </c>
      <c r="G12" s="12" t="n">
        <v>37344.358583121866</v>
      </c>
      <c r="H12" s="12" t="n">
        <v>0.0</v>
      </c>
      <c r="I12" s="12"/>
      <c r="J12" s="12">
        <f si="0" t="shared"/>
        <v>724.704485982243</v>
      </c>
      <c r="K12" s="13"/>
      <c r="L12" t="str">
        <f>$A$12</f>
        <v>Seattle Downtown</v>
      </c>
      <c r="M12" s="343" t="n">
        <v>6993.0</v>
      </c>
      <c r="N12" s="343" t="n">
        <v>2592.0</v>
      </c>
      <c r="O12" s="343" t="n">
        <v>0.0</v>
      </c>
      <c r="P12" s="343" t="n">
        <v>1586.0</v>
      </c>
      <c r="Q12" s="343" t="n">
        <v>6.0</v>
      </c>
      <c r="R12" s="343" t="n">
        <v>42832.0</v>
      </c>
      <c r="S12" s="343" t="n">
        <v>31.0</v>
      </c>
      <c r="T12" s="291"/>
      <c r="U12" s="12">
        <f si="1" t="shared"/>
        <v>1452.3333333333319</v>
      </c>
    </row>
    <row r="13" spans="1:21" x14ac:dyDescent="0.25">
      <c r="A13" t="s">
        <v>254</v>
      </c>
      <c r="B13" s="12" t="n">
        <v>9861.94368981626</v>
      </c>
      <c r="C13" s="12" t="n">
        <v>0.0</v>
      </c>
      <c r="D13" s="12" t="n">
        <v>0.0</v>
      </c>
      <c r="E13" s="12" t="n">
        <v>1691.3145939217463</v>
      </c>
      <c r="F13" s="12" t="n">
        <v>115.0615337596982</v>
      </c>
      <c r="G13" s="12" t="n">
        <v>329.30162883068874</v>
      </c>
      <c r="H13" s="12" t="n">
        <v>35582.96314174036</v>
      </c>
      <c r="I13" s="12"/>
      <c r="J13" s="12">
        <f si="0" t="shared"/>
        <v>0</v>
      </c>
      <c r="K13" s="13"/>
      <c r="L13" t="str">
        <f>$A$13</f>
        <v>Rest</v>
      </c>
      <c r="M13" s="343" t="n">
        <v>5082.0</v>
      </c>
      <c r="N13" s="343" t="n">
        <v>1.0</v>
      </c>
      <c r="O13" s="343" t="n">
        <v>4.0</v>
      </c>
      <c r="P13" s="343" t="n">
        <v>1603.0</v>
      </c>
      <c r="Q13" s="343" t="n">
        <v>188.0</v>
      </c>
      <c r="R13" s="343" t="n">
        <v>86.0</v>
      </c>
      <c r="S13" s="343" t="n">
        <v>26639.0</v>
      </c>
      <c r="T13" s="291"/>
      <c r="U13" s="12">
        <f si="1" t="shared"/>
        <v>2140.9999999999982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9723.2351917491851</v>
      </c>
      <c r="C15" s="15">
        <f si="2" t="shared"/>
        <v>489.53883041375298</v>
      </c>
      <c r="D15" s="15">
        <f si="2" t="shared"/>
        <v>10023.856526557436</v>
      </c>
      <c r="E15" s="15">
        <f si="2" t="shared"/>
        <v>8284.1393142078396</v>
      </c>
      <c r="F15" s="15">
        <f si="2" t="shared"/>
        <v>1979.5472873104791</v>
      </c>
      <c r="G15" s="15">
        <f si="2" t="shared"/>
        <v>1185.7737201217051</v>
      </c>
      <c r="H15" s="15">
        <f si="2" t="shared"/>
        <v>77.562070504535797</v>
      </c>
      <c r="I15" s="15">
        <f si="2" t="shared"/>
        <v>0</v>
      </c>
      <c r="J15" s="15">
        <f si="2" t="shared"/>
        <v>31763.652940864933</v>
      </c>
      <c r="K15" s="12"/>
      <c r="L15" s="15" t="s">
        <v>4</v>
      </c>
      <c r="M15" s="15">
        <f ref="M15:U15" si="3" t="shared">SUM(M7:M14)</f>
        <v>5549.3333333333276</v>
      </c>
      <c r="N15" s="15">
        <f si="3" t="shared"/>
        <v>2318.9999999999982</v>
      </c>
      <c r="O15" s="15">
        <f si="3" t="shared"/>
        <v>9761.333333333323</v>
      </c>
      <c r="P15" s="15">
        <f si="3" t="shared"/>
        <v>10138.666666666657</v>
      </c>
      <c r="Q15" s="15">
        <f si="3" t="shared"/>
        <v>3226.6666666666633</v>
      </c>
      <c r="R15" s="15">
        <f si="3" t="shared"/>
        <v>1602.6666666666652</v>
      </c>
      <c r="S15" s="15">
        <f si="3" t="shared"/>
        <v>3998.3333333333294</v>
      </c>
      <c r="T15" s="15">
        <f si="3" t="shared"/>
        <v>0</v>
      </c>
      <c r="U15" s="15">
        <f si="3" t="shared"/>
        <v>36595.999999999964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4620.4314971221365</v>
      </c>
      <c r="C20" s="12">
        <f si="4" t="shared"/>
        <v>0</v>
      </c>
      <c r="D20" s="12">
        <f si="4" t="shared"/>
        <v>727.35476800700997</v>
      </c>
      <c r="E20" s="12">
        <f si="4" t="shared"/>
        <v>2924.2137348708452</v>
      </c>
      <c r="F20" s="12">
        <f si="4" t="shared"/>
        <v>0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8271.9999999999909</v>
      </c>
      <c r="K20" s="12"/>
      <c r="L20" t="str">
        <f>$A$7</f>
        <v>Bellevue</v>
      </c>
      <c r="M20" s="12">
        <f ref="M20:M26" si="6" t="shared">M7</f>
        <v>3752.9999999999964</v>
      </c>
      <c r="N20" s="12">
        <f ref="N20:U20" si="7" t="shared">N7</f>
        <v>5.9999999999999938</v>
      </c>
      <c r="O20" s="12">
        <f si="7" t="shared"/>
        <v>1594.6666666666652</v>
      </c>
      <c r="P20" s="12">
        <f si="7" t="shared"/>
        <v>2259.3333333333312</v>
      </c>
      <c r="Q20" s="12">
        <f si="7" t="shared"/>
        <v>10.999999999999988</v>
      </c>
      <c r="R20" s="12">
        <f si="7" t="shared"/>
        <v>34.999999999999964</v>
      </c>
      <c r="S20" s="12">
        <f ref="S20" si="8" t="shared">S7</f>
        <v>612.99999999999932</v>
      </c>
      <c r="T20" s="12"/>
      <c r="U20" s="12">
        <f si="7" t="shared"/>
        <v>8271.9999999999927</v>
      </c>
    </row>
    <row r="21" spans="1:32" x14ac:dyDescent="0.25">
      <c r="A21" t="str">
        <f>$A$8</f>
        <v>Bellevue Downtown</v>
      </c>
      <c r="B21" s="12">
        <f ref="B21:G26" si="9" t="shared">($U8/$J8)*B8</f>
        <v>871.67031609335834</v>
      </c>
      <c r="C21" s="12">
        <f si="9" t="shared"/>
        <v>0</v>
      </c>
      <c r="D21" s="12">
        <f si="9" t="shared"/>
        <v>0</v>
      </c>
      <c r="E21" s="12">
        <f si="9" t="shared"/>
        <v>0</v>
      </c>
      <c r="F21" s="12">
        <f si="9" t="shared"/>
        <v>1746.9963505733056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2618.6666666666638</v>
      </c>
      <c r="K21" s="12"/>
      <c r="L21" t="str">
        <f>$A$8</f>
        <v>Bellevue Downtown</v>
      </c>
      <c r="M21" s="12">
        <f si="6" t="shared"/>
        <v>14.999999999999984</v>
      </c>
      <c r="N21" s="12">
        <f ref="N21:R26" si="12" t="shared">N8</f>
        <v>1780.3333333333317</v>
      </c>
      <c r="O21" s="12">
        <f si="12" t="shared"/>
        <v>144.99999999999986</v>
      </c>
      <c r="P21" s="12">
        <f si="12" t="shared"/>
        <v>35.333333333333293</v>
      </c>
      <c r="Q21" s="12">
        <f si="12" t="shared"/>
        <v>407.66666666666623</v>
      </c>
      <c r="R21" s="12">
        <f si="12" t="shared"/>
        <v>74.666666666666586</v>
      </c>
      <c r="S21" s="12">
        <f ref="S21" si="13" t="shared">S8</f>
        <v>160.66666666666649</v>
      </c>
      <c r="T21" s="12"/>
      <c r="U21" s="12">
        <f ref="U21:U26" si="14" t="shared">U8</f>
        <v>2618.6666666666638</v>
      </c>
    </row>
    <row r="22" spans="1:32" x14ac:dyDescent="0.25">
      <c r="A22" t="str">
        <f>$A$9</f>
        <v>Kirkland</v>
      </c>
      <c r="B22" s="12">
        <f si="9" t="shared"/>
        <v>2932.4186596789173</v>
      </c>
      <c r="C22" s="12">
        <f si="9" t="shared"/>
        <v>542.76465595460286</v>
      </c>
      <c r="D22" s="12">
        <f si="9" t="shared"/>
        <v>4835.5542467853429</v>
      </c>
      <c r="E22" s="12">
        <f si="9" t="shared"/>
        <v>2207.5957709144586</v>
      </c>
      <c r="F22" s="12">
        <f si="9" t="shared"/>
        <v>0</v>
      </c>
      <c r="G22" s="12">
        <f si="9" t="shared"/>
        <v>0</v>
      </c>
      <c r="H22" s="12">
        <f ref="H22" si="15" t="shared">($U9/$J9)*H9</f>
        <v>0</v>
      </c>
      <c r="I22" s="12"/>
      <c r="J22" s="12">
        <f si="11" t="shared"/>
        <v>10518.333333333321</v>
      </c>
      <c r="K22" s="13"/>
      <c r="L22" t="str">
        <f>$A$9</f>
        <v>Kirkland</v>
      </c>
      <c r="M22" s="12">
        <f si="6" t="shared"/>
        <v>799.33333333333246</v>
      </c>
      <c r="N22" s="12">
        <f si="12" t="shared"/>
        <v>28.666666666666636</v>
      </c>
      <c r="O22" s="12">
        <f si="12" t="shared"/>
        <v>6828.6666666666606</v>
      </c>
      <c r="P22" s="12">
        <f si="12" t="shared"/>
        <v>2805.3333333333308</v>
      </c>
      <c r="Q22" s="12">
        <f si="12" t="shared"/>
        <v>8.6666666666666572</v>
      </c>
      <c r="R22" s="12">
        <f si="12" t="shared"/>
        <v>6.9999999999999929</v>
      </c>
      <c r="S22" s="12">
        <f ref="S22" si="16" t="shared">S9</f>
        <v>40.666666666666622</v>
      </c>
      <c r="T22" s="12"/>
      <c r="U22" s="12">
        <f si="14" t="shared"/>
        <v>10518.333333333323</v>
      </c>
    </row>
    <row r="23" spans="1:32" x14ac:dyDescent="0.25">
      <c r="A23" t="str">
        <f>$A$10</f>
        <v>Redmond</v>
      </c>
      <c r="B23" s="12">
        <f si="9" t="shared"/>
        <v>0</v>
      </c>
      <c r="C23" s="12">
        <f si="9" t="shared"/>
        <v>0</v>
      </c>
      <c r="D23" s="12">
        <f si="9" t="shared"/>
        <v>4664.6404188190591</v>
      </c>
      <c r="E23" s="12">
        <f si="9" t="shared"/>
        <v>1936.4517328004508</v>
      </c>
      <c r="F23" s="12">
        <f si="9" t="shared"/>
        <v>0</v>
      </c>
      <c r="G23" s="12">
        <f si="9" t="shared"/>
        <v>470.72197310857462</v>
      </c>
      <c r="H23" s="12">
        <f ref="H23" si="17" t="shared">($U10/$J10)*H10</f>
        <v>79.185875271907733</v>
      </c>
      <c r="I23" s="12"/>
      <c r="J23" s="12">
        <f>SUM(B23:I23)</f>
        <v>7150.9999999999927</v>
      </c>
      <c r="K23" s="13"/>
      <c r="L23" t="str">
        <f>$A$10</f>
        <v>Redmond</v>
      </c>
      <c r="M23" s="12">
        <f si="6" t="shared"/>
        <v>715.9999999999992</v>
      </c>
      <c r="N23" s="12">
        <f si="12" t="shared"/>
        <v>53.333333333333279</v>
      </c>
      <c r="O23" s="12">
        <f si="12" t="shared"/>
        <v>1142.9999999999989</v>
      </c>
      <c r="P23" s="12">
        <f si="12" t="shared"/>
        <v>4185.3333333333294</v>
      </c>
      <c r="Q23" s="12">
        <f si="12" t="shared"/>
        <v>26.999999999999972</v>
      </c>
      <c r="R23" s="12">
        <f si="12" t="shared"/>
        <v>295.66666666666634</v>
      </c>
      <c r="S23" s="12">
        <f ref="S23" si="18" t="shared">S10</f>
        <v>730.66666666666595</v>
      </c>
      <c r="T23" s="12"/>
      <c r="U23" s="12">
        <f si="14" t="shared"/>
        <v>7150.9999999999927</v>
      </c>
    </row>
    <row r="24" spans="1:32" x14ac:dyDescent="0.25">
      <c r="A24" t="str">
        <f>$A$11</f>
        <v>Seattle</v>
      </c>
      <c r="B24" s="12">
        <f si="9" t="shared"/>
        <v>0</v>
      </c>
      <c r="C24" s="12">
        <f si="9" t="shared"/>
        <v>0</v>
      </c>
      <c r="D24" s="12">
        <f si="9" t="shared"/>
        <v>0</v>
      </c>
      <c r="E24" s="12">
        <f si="9" t="shared"/>
        <v>0</v>
      </c>
      <c r="F24" s="12">
        <f si="9" t="shared"/>
        <v>4442.6666666666624</v>
      </c>
      <c r="G24" s="12">
        <f si="9" t="shared"/>
        <v>0</v>
      </c>
      <c r="H24" s="12">
        <f ref="H24" si="19" t="shared">($U11/$J11)*H11</f>
        <v>0</v>
      </c>
      <c r="I24" s="12"/>
      <c r="J24" s="12">
        <f si="11" t="shared"/>
        <v>4442.6666666666624</v>
      </c>
      <c r="K24" s="13"/>
      <c r="L24" t="str">
        <f>$A$11</f>
        <v>Seattle</v>
      </c>
      <c r="M24" s="12">
        <f si="6" t="shared"/>
        <v>81.666666666666586</v>
      </c>
      <c r="N24" s="12">
        <f si="12" t="shared"/>
        <v>438.33333333333286</v>
      </c>
      <c r="O24" s="12">
        <f si="12" t="shared"/>
        <v>49.333333333333279</v>
      </c>
      <c r="P24" s="12">
        <f si="12" t="shared"/>
        <v>78.666666666666586</v>
      </c>
      <c r="Q24" s="12">
        <f si="12" t="shared"/>
        <v>2581.3333333333308</v>
      </c>
      <c r="R24" s="12">
        <f si="12" t="shared"/>
        <v>406.99999999999955</v>
      </c>
      <c r="S24" s="12">
        <f ref="S24" si="20" t="shared">S11</f>
        <v>806.33333333333246</v>
      </c>
      <c r="T24" s="12"/>
      <c r="U24" s="12">
        <f si="14" t="shared"/>
        <v>4442.6666666666624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0</v>
      </c>
      <c r="G25" s="12">
        <f si="9" t="shared"/>
        <v>1452.3333333333321</v>
      </c>
      <c r="H25" s="12">
        <f ref="H25:H26" si="21" t="shared">($U12/$J12)*H12</f>
        <v>0</v>
      </c>
      <c r="I25" s="12"/>
      <c r="J25" s="12">
        <f si="11" t="shared"/>
        <v>1452.3333333333321</v>
      </c>
      <c r="K25" s="13"/>
      <c r="L25" t="str">
        <f>$A$12</f>
        <v>Seattle Downtown</v>
      </c>
      <c r="M25" s="12">
        <f si="6" t="shared"/>
        <v>24.333333333333307</v>
      </c>
      <c r="N25" s="12">
        <f si="12" t="shared"/>
        <v>10.999999999999988</v>
      </c>
      <c r="O25" s="12">
        <f si="12" t="shared"/>
        <v>0.66666666666666596</v>
      </c>
      <c r="P25" s="12">
        <f si="12" t="shared"/>
        <v>593.99999999999932</v>
      </c>
      <c r="Q25" s="12">
        <f si="12" t="shared"/>
        <v>185.33333333333314</v>
      </c>
      <c r="R25" s="12">
        <f si="12" t="shared"/>
        <v>311.66666666666634</v>
      </c>
      <c r="S25" s="12">
        <f ref="S25:S26" si="22" t="shared">S12</f>
        <v>325.33333333333297</v>
      </c>
      <c r="T25" s="12"/>
      <c r="U25" s="12">
        <f si="14" t="shared"/>
        <v>1452.3333333333319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159.99999999999983</v>
      </c>
      <c r="N26" s="12">
        <f si="12" t="shared"/>
        <v>1.3333333333333319</v>
      </c>
      <c r="O26" s="12">
        <f si="12" t="shared"/>
        <v>0</v>
      </c>
      <c r="P26" s="12">
        <f si="12" t="shared"/>
        <v>180.66666666666649</v>
      </c>
      <c r="Q26" s="12">
        <f si="12" t="shared"/>
        <v>5.6666666666666607</v>
      </c>
      <c r="R26" s="12">
        <f si="12" t="shared"/>
        <v>471.66666666666617</v>
      </c>
      <c r="S26" s="12">
        <f si="22" t="shared"/>
        <v>1321.6666666666654</v>
      </c>
      <c r="T26" s="12"/>
      <c r="U26" s="12">
        <f si="14" t="shared"/>
        <v>2140.9999999999982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5549.3333333333276</v>
      </c>
      <c r="N28" s="15">
        <f si="24" t="shared"/>
        <v>2318.9999999999982</v>
      </c>
      <c r="O28" s="15">
        <f si="24" t="shared"/>
        <v>9761.333333333323</v>
      </c>
      <c r="P28" s="15">
        <f si="24" t="shared"/>
        <v>10138.666666666657</v>
      </c>
      <c r="Q28" s="15">
        <f si="24" t="shared"/>
        <v>3226.6666666666633</v>
      </c>
      <c r="R28" s="15">
        <f si="24" t="shared"/>
        <v>1602.6666666666652</v>
      </c>
      <c r="S28" s="15">
        <f si="24" t="shared"/>
        <v>3998.3333333333294</v>
      </c>
      <c r="T28" s="15">
        <f si="24" t="shared"/>
        <v>0</v>
      </c>
      <c r="U28" s="15">
        <f si="24" t="shared"/>
        <v>36595.999999999964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6"/>
      <c r="J33" s="16" t="e">
        <f ref="J33:J38" si="27" t="shared">J20/$J$28</f>
        <v>#DIV/0!</v>
      </c>
      <c r="K33" s="12"/>
      <c r="L33" t="str">
        <f>$A$7</f>
        <v>Bellevue</v>
      </c>
      <c r="M33" s="16">
        <f ref="M33:R33" si="28" t="shared">M20/$U$28</f>
        <v>0.1025521914963384</v>
      </c>
      <c r="N33" s="16">
        <f si="28" t="shared"/>
        <v>1.6395234451852661E-4</v>
      </c>
      <c r="O33" s="16">
        <f si="28" t="shared"/>
        <v>4.357488978759063E-2</v>
      </c>
      <c r="P33" s="16">
        <f si="28" t="shared"/>
        <v>6.1737166174809635E-2</v>
      </c>
      <c r="Q33" s="16">
        <f si="28" t="shared"/>
        <v>3.0057929828396544E-4</v>
      </c>
      <c r="R33" s="16">
        <f si="28" t="shared"/>
        <v>9.5638867635807194E-4</v>
      </c>
      <c r="S33" s="16">
        <f ref="S33" si="29" t="shared">S20/$U$28</f>
        <v>1.6750464531642799E-2</v>
      </c>
      <c r="T33" s="16"/>
      <c r="U33" s="16">
        <f ref="U33:U39" si="30" t="shared">U20/$U$28</f>
        <v>0.22603563230954204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si="25" t="shared"/>
        <v>#DIV/0!</v>
      </c>
      <c r="C34" s="16" t="e">
        <f si="25" t="shared"/>
        <v>#DIV/0!</v>
      </c>
      <c r="D34" s="16" t="e">
        <f si="25" t="shared"/>
        <v>#DIV/0!</v>
      </c>
      <c r="E34" s="16" t="e">
        <f si="25" t="shared"/>
        <v>#DIV/0!</v>
      </c>
      <c r="F34" s="16" t="e">
        <f si="25" t="shared"/>
        <v>#DIV/0!</v>
      </c>
      <c r="G34" s="16" t="e">
        <f ref="G34:H34" si="33" t="shared">G21/$J$28</f>
        <v>#DIV/0!</v>
      </c>
      <c r="H34" s="16" t="e">
        <f si="33" t="shared"/>
        <v>#DIV/0!</v>
      </c>
      <c r="I34" s="16"/>
      <c r="J34" s="16" t="e">
        <f si="27" t="shared"/>
        <v>#DIV/0!</v>
      </c>
      <c r="K34" s="12"/>
      <c r="L34" t="str">
        <f>$A$8</f>
        <v>Bellevue Downtown</v>
      </c>
      <c r="M34" s="16">
        <f ref="M34:R39" si="34" t="shared">M21/$U$28</f>
        <v>4.0988086129631649E-4</v>
      </c>
      <c r="N34" s="16">
        <f si="34" t="shared"/>
        <v>4.8648304004080593E-2</v>
      </c>
      <c r="O34" s="16">
        <f si="34" t="shared"/>
        <v>3.9621816591977263E-3</v>
      </c>
      <c r="P34" s="16">
        <f si="34" t="shared"/>
        <v>9.6549713994243432E-4</v>
      </c>
      <c r="Q34" s="16">
        <f si="34" t="shared"/>
        <v>1.1139650963675446E-2</v>
      </c>
      <c r="R34" s="16">
        <f si="34" t="shared"/>
        <v>2.04029584289722E-3</v>
      </c>
      <c r="S34" s="16">
        <f ref="S34" si="35" t="shared">S21/$U$28</f>
        <v>4.3902794476627675E-3</v>
      </c>
      <c r="T34" s="16"/>
      <c r="U34" s="16">
        <f si="30" t="shared"/>
        <v>7.1556089918752494E-2</v>
      </c>
      <c r="W34" t="str">
        <f>$A$8</f>
        <v>Bellevue Downtown</v>
      </c>
      <c r="X34" s="16" t="e">
        <f ref="X34:X38" si="36" t="shared">M34-B34</f>
        <v>#DIV/0!</v>
      </c>
      <c r="Y34" s="16" t="e">
        <f ref="Y34:AD38" si="37" t="shared">N34-C34</f>
        <v>#DIV/0!</v>
      </c>
      <c r="Z34" s="16" t="e">
        <f si="37" t="shared"/>
        <v>#DIV/0!</v>
      </c>
      <c r="AA34" s="16" t="e">
        <f si="37" t="shared"/>
        <v>#DIV/0!</v>
      </c>
      <c r="AB34" s="16" t="e">
        <f si="37" t="shared"/>
        <v>#DIV/0!</v>
      </c>
      <c r="AC34" s="16" t="e">
        <f si="37" t="shared"/>
        <v>#DIV/0!</v>
      </c>
      <c r="AD34" s="16" t="e">
        <f si="37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25" t="shared"/>
        <v>#DIV/0!</v>
      </c>
      <c r="C35" s="16" t="e">
        <f si="25" t="shared"/>
        <v>#DIV/0!</v>
      </c>
      <c r="D35" s="16" t="e">
        <f si="25" t="shared"/>
        <v>#DIV/0!</v>
      </c>
      <c r="E35" s="16" t="e">
        <f si="25" t="shared"/>
        <v>#DIV/0!</v>
      </c>
      <c r="F35" s="16" t="e">
        <f si="25" t="shared"/>
        <v>#DIV/0!</v>
      </c>
      <c r="G35" s="16" t="e">
        <f ref="G35:H35" si="38" t="shared">G22/$J$28</f>
        <v>#DIV/0!</v>
      </c>
      <c r="H35" s="16" t="e">
        <f si="38" t="shared"/>
        <v>#DIV/0!</v>
      </c>
      <c r="I35" s="16"/>
      <c r="J35" s="16" t="e">
        <f si="27" t="shared"/>
        <v>#DIV/0!</v>
      </c>
      <c r="K35" s="13"/>
      <c r="L35" t="str">
        <f>$A$9</f>
        <v>Kirkland</v>
      </c>
      <c r="M35" s="16">
        <f si="34" t="shared"/>
        <v>2.1842095675301487E-2</v>
      </c>
      <c r="N35" s="16">
        <f si="34" t="shared"/>
        <v>7.8332786825518271E-4</v>
      </c>
      <c r="O35" s="16">
        <f si="34" t="shared"/>
        <v>0.18659598498925203</v>
      </c>
      <c r="P35" s="16">
        <f si="34" t="shared"/>
        <v>7.6656829525995562E-2</v>
      </c>
      <c r="Q35" s="16">
        <f si="34" t="shared"/>
        <v>2.3682005319342731E-4</v>
      </c>
      <c r="R35" s="16">
        <f si="34" t="shared"/>
        <v>1.9127773527161438E-4</v>
      </c>
      <c r="S35" s="16">
        <f ref="S35" si="39" t="shared">S22/$U$28</f>
        <v>1.1112325572922358E-3</v>
      </c>
      <c r="T35" s="16"/>
      <c r="U35" s="16">
        <f si="30" t="shared"/>
        <v>0.28741756840456151</v>
      </c>
      <c r="W35" t="str">
        <f>$A$9</f>
        <v>Kirkland</v>
      </c>
      <c r="X35" s="16" t="e">
        <f si="36" t="shared"/>
        <v>#DIV/0!</v>
      </c>
      <c r="Y35" s="16" t="e">
        <f si="37" t="shared"/>
        <v>#DIV/0!</v>
      </c>
      <c r="Z35" s="16" t="e">
        <f si="37" t="shared"/>
        <v>#DIV/0!</v>
      </c>
      <c r="AA35" s="16" t="e">
        <f si="37" t="shared"/>
        <v>#DIV/0!</v>
      </c>
      <c r="AB35" s="16" t="e">
        <f si="37" t="shared"/>
        <v>#DIV/0!</v>
      </c>
      <c r="AC35" s="16" t="e">
        <f si="37" t="shared"/>
        <v>#DIV/0!</v>
      </c>
      <c r="AD35" s="16" t="e">
        <f si="37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25" t="shared"/>
        <v>#DIV/0!</v>
      </c>
      <c r="C36" s="16" t="e">
        <f si="25" t="shared"/>
        <v>#DIV/0!</v>
      </c>
      <c r="D36" s="16" t="e">
        <f si="25" t="shared"/>
        <v>#DIV/0!</v>
      </c>
      <c r="E36" s="16" t="e">
        <f si="25" t="shared"/>
        <v>#DIV/0!</v>
      </c>
      <c r="F36" s="16" t="e">
        <f si="25" t="shared"/>
        <v>#DIV/0!</v>
      </c>
      <c r="G36" s="16" t="e">
        <f ref="G36:H36" si="40" t="shared">G23/$J$28</f>
        <v>#DIV/0!</v>
      </c>
      <c r="H36" s="16" t="e">
        <f si="40" t="shared"/>
        <v>#DIV/0!</v>
      </c>
      <c r="I36" s="16"/>
      <c r="J36" s="16" t="e">
        <f si="27" t="shared"/>
        <v>#DIV/0!</v>
      </c>
      <c r="K36" s="13"/>
      <c r="L36" t="str">
        <f>$A$10</f>
        <v>Redmond</v>
      </c>
      <c r="M36" s="16">
        <f si="34" t="shared"/>
        <v>1.9564979779210841E-2</v>
      </c>
      <c r="N36" s="16">
        <f si="34" t="shared"/>
        <v>1.4573541734980142E-3</v>
      </c>
      <c r="O36" s="16">
        <f si="34" t="shared"/>
        <v>3.1232921630779321E-2</v>
      </c>
      <c r="P36" s="16">
        <f si="34" t="shared"/>
        <v>0.11436586876525669</v>
      </c>
      <c r="Q36" s="16">
        <f si="34" t="shared"/>
        <v>7.3778555033336972E-4</v>
      </c>
      <c r="R36" s="16">
        <f si="34" t="shared"/>
        <v>8.0792071993296168E-3</v>
      </c>
      <c r="S36" s="16">
        <f ref="S36" si="41" t="shared">S23/$U$28</f>
        <v>1.9965752176922796E-2</v>
      </c>
      <c r="T36" s="16"/>
      <c r="U36" s="16">
        <f si="30" t="shared"/>
        <v>0.19540386927533063</v>
      </c>
      <c r="W36" t="str">
        <f>$A$10</f>
        <v>Redmond</v>
      </c>
      <c r="X36" s="16" t="e">
        <f si="36" t="shared"/>
        <v>#DIV/0!</v>
      </c>
      <c r="Y36" s="16" t="e">
        <f si="37" t="shared"/>
        <v>#DIV/0!</v>
      </c>
      <c r="Z36" s="16" t="e">
        <f si="37" t="shared"/>
        <v>#DIV/0!</v>
      </c>
      <c r="AA36" s="16" t="e">
        <f si="37" t="shared"/>
        <v>#DIV/0!</v>
      </c>
      <c r="AB36" s="16" t="e">
        <f si="37" t="shared"/>
        <v>#DIV/0!</v>
      </c>
      <c r="AC36" s="16" t="e">
        <f si="37" t="shared"/>
        <v>#DIV/0!</v>
      </c>
      <c r="AD36" s="16" t="e">
        <f si="37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25" t="shared"/>
        <v>#DIV/0!</v>
      </c>
      <c r="C37" s="16" t="e">
        <f si="25" t="shared"/>
        <v>#DIV/0!</v>
      </c>
      <c r="D37" s="16" t="e">
        <f si="25" t="shared"/>
        <v>#DIV/0!</v>
      </c>
      <c r="E37" s="16" t="e">
        <f si="25" t="shared"/>
        <v>#DIV/0!</v>
      </c>
      <c r="F37" s="16" t="e">
        <f si="25" t="shared"/>
        <v>#DIV/0!</v>
      </c>
      <c r="G37" s="16" t="e">
        <f ref="G37:H37" si="42" t="shared">G24/$J$28</f>
        <v>#DIV/0!</v>
      </c>
      <c r="H37" s="16" t="e">
        <f si="42" t="shared"/>
        <v>#DIV/0!</v>
      </c>
      <c r="I37" s="16"/>
      <c r="J37" s="16" t="e">
        <f si="27" t="shared"/>
        <v>#DIV/0!</v>
      </c>
      <c r="K37" s="13"/>
      <c r="L37" t="str">
        <f>$A$11</f>
        <v>Seattle</v>
      </c>
      <c r="M37" s="16">
        <f si="34" t="shared"/>
        <v>2.2315735781688346E-3</v>
      </c>
      <c r="N37" s="16">
        <f si="34" t="shared"/>
        <v>1.1977629613436805E-2</v>
      </c>
      <c r="O37" s="16">
        <f si="34" t="shared"/>
        <v>1.3480526104856631E-3</v>
      </c>
      <c r="P37" s="16">
        <f si="34" t="shared"/>
        <v>2.1495974059095712E-3</v>
      </c>
      <c r="Q37" s="16">
        <f si="34" t="shared"/>
        <v>7.0535941997303897E-2</v>
      </c>
      <c r="R37" s="16">
        <f si="34" t="shared"/>
        <v>1.1121434036506721E-2</v>
      </c>
      <c r="S37" s="16">
        <f ref="S37" si="43" t="shared">S24/$U$28</f>
        <v>2.2033373410573102E-2</v>
      </c>
      <c r="T37" s="16"/>
      <c r="U37" s="16">
        <f si="30" t="shared"/>
        <v>0.1213976026523846</v>
      </c>
      <c r="W37" t="str">
        <f>$A$11</f>
        <v>Seattle</v>
      </c>
      <c r="X37" s="16" t="e">
        <f si="36" t="shared"/>
        <v>#DIV/0!</v>
      </c>
      <c r="Y37" s="16" t="e">
        <f si="37" t="shared"/>
        <v>#DIV/0!</v>
      </c>
      <c r="Z37" s="16" t="e">
        <f si="37" t="shared"/>
        <v>#DIV/0!</v>
      </c>
      <c r="AA37" s="16" t="e">
        <f si="37" t="shared"/>
        <v>#DIV/0!</v>
      </c>
      <c r="AB37" s="16" t="e">
        <f si="37" t="shared"/>
        <v>#DIV/0!</v>
      </c>
      <c r="AC37" s="16" t="e">
        <f si="37" t="shared"/>
        <v>#DIV/0!</v>
      </c>
      <c r="AD37" s="16" t="e">
        <f si="37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25" t="shared"/>
        <v>#DIV/0!</v>
      </c>
      <c r="C38" s="16" t="e">
        <f si="25" t="shared"/>
        <v>#DIV/0!</v>
      </c>
      <c r="D38" s="16" t="e">
        <f si="25" t="shared"/>
        <v>#DIV/0!</v>
      </c>
      <c r="E38" s="16" t="e">
        <f si="25" t="shared"/>
        <v>#DIV/0!</v>
      </c>
      <c r="F38" s="16" t="e">
        <f si="25" t="shared"/>
        <v>#DIV/0!</v>
      </c>
      <c r="G38" s="16" t="e">
        <f ref="G38:H39" si="44" t="shared">G25/$J$28</f>
        <v>#DIV/0!</v>
      </c>
      <c r="H38" s="16" t="e">
        <f si="44" t="shared"/>
        <v>#DIV/0!</v>
      </c>
      <c r="I38" s="16"/>
      <c r="J38" s="16" t="e">
        <f si="27" t="shared"/>
        <v>#DIV/0!</v>
      </c>
      <c r="K38" s="13"/>
      <c r="L38" t="str">
        <f>$A$12</f>
        <v>Seattle Downtown</v>
      </c>
      <c r="M38" s="16">
        <f si="34" t="shared"/>
        <v>6.6491784165846905E-4</v>
      </c>
      <c r="N38" s="16">
        <f si="34" t="shared"/>
        <v>3.0057929828396544E-4</v>
      </c>
      <c r="O38" s="16">
        <f si="34" t="shared"/>
        <v>1.8216927168725177E-5</v>
      </c>
      <c r="P38" s="16">
        <f si="34" t="shared"/>
        <v>1.6231282107334131E-2</v>
      </c>
      <c r="Q38" s="16">
        <f si="34" t="shared"/>
        <v>5.0643057529055997E-3</v>
      </c>
      <c r="R38" s="16">
        <f si="34" t="shared"/>
        <v>8.5164134513790214E-3</v>
      </c>
      <c r="S38" s="16">
        <f ref="S38:S39" si="45" t="shared">S25/$U$28</f>
        <v>8.8898604583378862E-3</v>
      </c>
      <c r="T38" s="16"/>
      <c r="U38" s="16">
        <f si="30" t="shared"/>
        <v>3.9685575837067805E-2</v>
      </c>
      <c r="W38" t="str">
        <f>$A$12</f>
        <v>Seattle Downtown</v>
      </c>
      <c r="X38" s="16" t="e">
        <f si="36" t="shared"/>
        <v>#DIV/0!</v>
      </c>
      <c r="Y38" s="16" t="e">
        <f si="37" t="shared"/>
        <v>#DIV/0!</v>
      </c>
      <c r="Z38" s="16" t="e">
        <f si="37" t="shared"/>
        <v>#DIV/0!</v>
      </c>
      <c r="AA38" s="16" t="e">
        <f si="37" t="shared"/>
        <v>#DIV/0!</v>
      </c>
      <c r="AB38" s="16" t="e">
        <f si="37" t="shared"/>
        <v>#DIV/0!</v>
      </c>
      <c r="AC38" s="16" t="e">
        <f si="37" t="shared"/>
        <v>#DIV/0!</v>
      </c>
      <c r="AD38" s="16" t="e">
        <f si="37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25" t="shared"/>
        <v>#DIV/0!</v>
      </c>
      <c r="C39" s="16" t="e">
        <f si="25" t="shared"/>
        <v>#DIV/0!</v>
      </c>
      <c r="D39" s="16" t="e">
        <f si="25" t="shared"/>
        <v>#DIV/0!</v>
      </c>
      <c r="E39" s="16" t="e">
        <f si="25" t="shared"/>
        <v>#DIV/0!</v>
      </c>
      <c r="F39" s="16" t="e">
        <f si="25" t="shared"/>
        <v>#DIV/0!</v>
      </c>
      <c r="G39" s="16" t="e">
        <f si="44" t="shared"/>
        <v>#DIV/0!</v>
      </c>
      <c r="H39" s="16" t="e">
        <f si="44" t="shared"/>
        <v>#DIV/0!</v>
      </c>
      <c r="I39" s="16"/>
      <c r="J39" s="16" t="e">
        <f si="25" t="shared"/>
        <v>#DIV/0!</v>
      </c>
      <c r="K39" s="13"/>
      <c r="L39" t="str">
        <f>$A$13</f>
        <v>Rest</v>
      </c>
      <c r="M39" s="16">
        <f si="34" t="shared"/>
        <v>4.3720625204940432E-3</v>
      </c>
      <c r="N39" s="16">
        <f si="34" t="shared"/>
        <v>3.6433854337450355E-5</v>
      </c>
      <c r="O39" s="16">
        <f si="34" t="shared"/>
        <v>0</v>
      </c>
      <c r="P39" s="16">
        <f si="34" t="shared"/>
        <v>4.9367872627245233E-3</v>
      </c>
      <c r="Q39" s="16">
        <f si="34" t="shared"/>
        <v>1.5484388093416402E-4</v>
      </c>
      <c r="R39" s="16">
        <f si="34" t="shared"/>
        <v>1.2888475971873065E-2</v>
      </c>
      <c r="S39" s="16">
        <f si="45" t="shared"/>
        <v>3.6115058111997667E-2</v>
      </c>
      <c r="T39" s="16"/>
      <c r="U39" s="16">
        <f si="30" t="shared"/>
        <v>5.8503661602360923E-2</v>
      </c>
      <c r="W39" t="str">
        <f>$A$13</f>
        <v>Rest</v>
      </c>
      <c r="X39" s="16" t="e">
        <f ref="X39" si="46" t="shared">M39-B39</f>
        <v>#DIV/0!</v>
      </c>
      <c r="Y39" s="16" t="e">
        <f ref="Y39" si="47" t="shared">N39-C39</f>
        <v>#DIV/0!</v>
      </c>
      <c r="Z39" s="16" t="e">
        <f ref="Z39" si="48" t="shared">O39-D39</f>
        <v>#DIV/0!</v>
      </c>
      <c r="AA39" s="16" t="e">
        <f ref="AA39" si="49" t="shared">P39-E39</f>
        <v>#DIV/0!</v>
      </c>
      <c r="AB39" s="16" t="e">
        <f ref="AB39" si="50" t="shared">Q39-F39</f>
        <v>#DIV/0!</v>
      </c>
      <c r="AC39" s="16" t="e">
        <f ref="AC39" si="51" t="shared">R39-G39</f>
        <v>#DIV/0!</v>
      </c>
      <c r="AD39" s="16" t="e">
        <f ref="AD39" si="52" t="shared">S39-H39</f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0.15163770175246838</v>
      </c>
      <c r="N41" s="18">
        <f>N28/$U$28</f>
        <v>6.3367581156410543E-2</v>
      </c>
      <c r="O41" s="18">
        <f>O28/$U$28</f>
        <v>0.26673224760447406</v>
      </c>
      <c r="P41" s="18">
        <f>P28/$U$28</f>
        <v>0.27704302838197253</v>
      </c>
      <c r="Q41" s="18">
        <f ref="Q41:S41" si="54" t="shared">Q28/$U$28</f>
        <v>8.8169927496629871E-2</v>
      </c>
      <c r="R41" s="18">
        <f si="54" t="shared"/>
        <v>4.3793492913615333E-2</v>
      </c>
      <c r="S41" s="18">
        <f si="54" t="shared"/>
        <v>0.10925602069442926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18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workbookViewId="0">
      <selection activeCell="T18" sqref="T18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18581.572813693554</v>
      </c>
      <c r="F4" s="302" t="s">
        <v>48</v>
      </c>
      <c r="G4" s="303">
        <f>TLFD!F11</f>
        <v>32576.666666666595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54264.942822928984</v>
      </c>
      <c r="F5" s="305" t="s">
        <v>51</v>
      </c>
      <c r="G5" s="306">
        <f>TLFD!F12+TLFD!F13+(TLFD!F14/2)</f>
        <v>61838.999999999884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16448.352496634983</v>
      </c>
      <c r="F6" s="305" t="s">
        <v>54</v>
      </c>
      <c r="G6" s="306">
        <f>(TLFD!F14/2)+SUM(TLFD!F15:F20)</f>
        <v>22623.666666666646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10775.51536247783</v>
      </c>
      <c r="F7" s="308" t="s">
        <v>57</v>
      </c>
      <c r="G7" s="309">
        <f>SUM(TLFD!F21:F101)</f>
        <v>8837.9999999999982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100070.38349573535</v>
      </c>
      <c r="E8" s="313"/>
      <c r="F8" s="311" t="s">
        <v>4</v>
      </c>
      <c r="G8" s="312">
        <f>SUM(G4:G7)</f>
        <v>125877.33333333312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0.18568503651717727</v>
      </c>
      <c r="F12" s="302" t="s">
        <v>48</v>
      </c>
      <c r="G12" s="316">
        <f>G4/G$8</f>
        <v>0.25879692398949228</v>
      </c>
      <c r="H12" s="316"/>
      <c r="I12" s="356">
        <f>D12/G12</f>
        <v>0.71749321303647529</v>
      </c>
      <c r="J12" s="357">
        <f>LN(I12)</f>
        <v>-0.33199179057571204</v>
      </c>
      <c r="K12" s="357">
        <f>K8*J12</f>
        <v>-0.33199179057571204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0.54226776122269549</v>
      </c>
      <c r="F13" s="305" t="s">
        <v>51</v>
      </c>
      <c r="G13" s="317">
        <f ref="G13:G16" si="2" t="shared">G5/G$8</f>
        <v>0.49126398186594344</v>
      </c>
      <c r="H13" s="317"/>
      <c r="I13" s="356">
        <f ref="I13:I15" si="3" t="shared">D13/G13</f>
        <v>1.1038215322911054</v>
      </c>
      <c r="J13" s="357">
        <f ref="J13:J15" si="4" t="shared">LN(I13)</f>
        <v>9.8778279253820434E-2</v>
      </c>
      <c r="K13" s="357">
        <f>K8*(J13-J12)</f>
        <v>0.43077006982953248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0.16436783713670841</v>
      </c>
      <c r="F14" s="305" t="s">
        <v>54</v>
      </c>
      <c r="G14" s="317">
        <f si="2" t="shared"/>
        <v>0.17972788323023486</v>
      </c>
      <c r="H14" s="317"/>
      <c r="I14" s="356">
        <f si="3" t="shared"/>
        <v>0.91453721138055166</v>
      </c>
      <c r="J14" s="357">
        <f si="4" t="shared"/>
        <v>-8.933712156838558E-2</v>
      </c>
      <c r="K14" s="357">
        <f>K8*(J14-J13-J12)</f>
        <v>0.14387638975350603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0.1076793651234188</v>
      </c>
      <c r="F15" s="308" t="s">
        <v>57</v>
      </c>
      <c r="G15" s="317">
        <f si="2" t="shared"/>
        <v>7.02112109143294E-2</v>
      </c>
      <c r="H15" s="317"/>
      <c r="I15" s="358">
        <f si="3" t="shared"/>
        <v>1.5336491668660643</v>
      </c>
      <c r="J15" s="359">
        <f si="4" t="shared"/>
        <v>0.42764997200721494</v>
      </c>
      <c r="K15" s="359">
        <f>K8*(J15-J14-J13-J12)</f>
        <v>0.75020060489749207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54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-0.33199179057571204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0.43077006982953248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0.14387638975350603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0.75020060489749207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-21.142220179275714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-6.7528672774004681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-3.5162211492964941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-0.61034512246250783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-21.142220179275714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-6.7528672774004681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-3.5162211492964941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-0.61034512246250783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EF19C72-9B60-4274-BC24-65039E536777}"/>
</file>

<file path=customXml/itemProps2.xml><?xml version="1.0" encoding="utf-8"?>
<ds:datastoreItem xmlns:ds="http://schemas.openxmlformats.org/officeDocument/2006/customXml" ds:itemID="{AD037C65-652B-473B-A126-329342D18B18}"/>
</file>

<file path=customXml/itemProps3.xml><?xml version="1.0" encoding="utf-8"?>
<ds:datastoreItem xmlns:ds="http://schemas.openxmlformats.org/officeDocument/2006/customXml" ds:itemID="{33D5C625-E857-4EE6-BF7D-A356CFC99B2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2019-08-21T07:10:19Z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