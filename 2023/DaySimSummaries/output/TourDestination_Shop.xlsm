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54715F09-CAF0-41FC-A5D4-2D421E8C578C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6" l="1" r="C54"/>
  <c i="6" r="C55"/>
  <c i="6" r="C56"/>
  <c i="6" r="C57"/>
  <c i="6" r="C58"/>
  <c i="6" r="C59"/>
  <c i="6" r="C60"/>
  <c i="6" r="C61"/>
  <c i="6" r="C62"/>
  <c i="6" r="C63"/>
  <c i="6" r="C64"/>
  <c i="6" r="C65"/>
  <c i="6" r="C66"/>
  <c i="6" r="C67"/>
  <c i="6" r="C68"/>
  <c i="6" r="C69"/>
  <c i="6" r="C70"/>
  <c i="6" r="C71"/>
  <c i="6" r="C72"/>
  <c i="6" r="C73"/>
  <c i="6" r="C74"/>
  <c i="6" r="C75"/>
  <c i="6" r="C76"/>
  <c i="6" r="C77"/>
  <c i="6" r="C78"/>
  <c i="6" r="C79"/>
  <c i="6" r="C80"/>
  <c i="6" r="C81"/>
  <c i="6" r="C82"/>
  <c i="6" r="C83"/>
  <c i="6" r="C84"/>
  <c i="6" r="C85"/>
  <c i="6" r="C86"/>
  <c i="6" r="C87"/>
  <c i="6" r="C88"/>
  <c i="6" r="C89"/>
  <c i="6" r="C90"/>
  <c i="6" r="C91"/>
  <c i="6" r="C92"/>
  <c i="6" r="C93"/>
  <c i="6" r="C94"/>
  <c i="6" r="C95"/>
  <c i="6" r="C96"/>
  <c i="6" r="C97"/>
  <c i="6" r="C98"/>
  <c i="6" r="C99"/>
  <c i="6" r="C100"/>
  <c i="6" r="C101"/>
  <c i="6" r="C102"/>
  <c i="6" r="C103"/>
  <c i="6" r="C104"/>
  <c i="6" r="C105"/>
  <c i="6" r="C106"/>
  <c i="6" r="C107"/>
  <c i="6" r="C108"/>
  <c i="6" r="C109"/>
  <c i="6" r="C110"/>
  <c i="6" r="C111"/>
  <c i="6" r="C112"/>
  <c i="6" r="C113"/>
  <c i="6" r="C114"/>
  <c i="6" r="C115"/>
  <c i="6" r="C116"/>
  <c i="6" r="C117"/>
  <c i="6" r="C118"/>
  <c i="6" r="C119"/>
  <c i="6" r="C120"/>
  <c i="6" r="C121"/>
  <c i="6" r="C122"/>
  <c i="6" r="C123"/>
  <c i="6" r="C124"/>
  <c i="6" r="C125"/>
  <c i="6" r="C126"/>
  <c i="6" r="C127"/>
  <c i="6" r="C128"/>
  <c i="6" r="C129"/>
  <c i="6" r="C130"/>
  <c i="6" r="C131"/>
  <c i="6" r="C132"/>
  <c i="6" r="C133"/>
  <c i="6" r="C134"/>
  <c i="6" r="C135"/>
  <c i="6" r="C136"/>
  <c i="6" r="C137"/>
  <c i="6" r="C138"/>
  <c i="6" r="C139"/>
  <c i="6" r="C140"/>
  <c i="6" r="C141"/>
  <c i="6" r="C142"/>
  <c i="6" r="C53"/>
  <c i="6" r="A54"/>
  <c i="6" r="A55"/>
  <c i="6" r="A56"/>
  <c i="6" r="B56" s="1"/>
  <c i="6" r="A57"/>
  <c i="6" r="B57" s="1"/>
  <c i="6" r="A58"/>
  <c i="6" r="B58" s="1"/>
  <c i="6" r="A59"/>
  <c i="6" r="B59" s="1"/>
  <c i="6" r="A60"/>
  <c i="6" r="B60" s="1"/>
  <c i="6" r="A61"/>
  <c i="6" r="B61" s="1"/>
  <c i="6" r="A62"/>
  <c i="6" r="B62" s="1"/>
  <c i="6" r="A63"/>
  <c i="6" r="B63" s="1"/>
  <c i="6" r="A64"/>
  <c i="6" r="B64" s="1"/>
  <c i="6" r="A65"/>
  <c i="6" r="B65" s="1"/>
  <c i="6" r="A66"/>
  <c i="6" r="A67"/>
  <c i="6" r="B67" s="1"/>
  <c i="6" r="A68"/>
  <c i="6" r="A69"/>
  <c i="6" r="A70"/>
  <c i="6" r="A71"/>
  <c i="6" r="B71" s="1"/>
  <c i="6" r="A72"/>
  <c i="6" r="B72" s="1"/>
  <c i="6" r="A73"/>
  <c i="6" r="B73" s="1"/>
  <c i="6" r="A74"/>
  <c i="6" r="B74" s="1"/>
  <c i="6" r="A75"/>
  <c i="6" r="B75" s="1"/>
  <c i="6" r="A76"/>
  <c i="6" r="B76" s="1"/>
  <c i="6" r="A77"/>
  <c i="6" r="B77" s="1"/>
  <c i="6" r="A78"/>
  <c i="6" r="B78" s="1"/>
  <c i="6" r="A79"/>
  <c i="6" r="B79" s="1"/>
  <c i="6" r="A80"/>
  <c i="6" r="B80" s="1"/>
  <c i="6" r="A81"/>
  <c i="6" r="B81" s="1"/>
  <c i="6" r="A82"/>
  <c i="6" r="B82" s="1"/>
  <c i="6" r="A83"/>
  <c i="6" r="B83" s="1"/>
  <c i="6" r="A84"/>
  <c i="6" r="A85"/>
  <c i="6" r="B85" s="1"/>
  <c i="6" r="A86"/>
  <c i="6" r="B86" s="1"/>
  <c i="6" r="A87"/>
  <c i="6" r="B87" s="1"/>
  <c i="6" r="A88"/>
  <c i="6" r="B88" s="1"/>
  <c i="6" r="A89"/>
  <c i="6" r="B89" s="1"/>
  <c i="6" r="A90"/>
  <c i="6" r="B90" s="1"/>
  <c i="6" r="A91"/>
  <c i="6" r="B91" s="1"/>
  <c i="6" r="A92"/>
  <c i="6" r="B92" s="1"/>
  <c i="6" r="A93"/>
  <c i="6" r="B93" s="1"/>
  <c i="6" r="A94"/>
  <c i="6" r="B94" s="1"/>
  <c i="6" r="A95"/>
  <c i="6" r="B95" s="1"/>
  <c i="6" r="A96"/>
  <c i="6" r="B96" s="1"/>
  <c i="6" r="A97"/>
  <c i="6" r="B97" s="1"/>
  <c i="6" r="A98"/>
  <c i="6" r="B98" s="1"/>
  <c i="6" r="A99"/>
  <c i="6" r="B99" s="1"/>
  <c i="6" r="A100"/>
  <c i="6" r="B100" s="1"/>
  <c i="6" r="A101"/>
  <c i="6" r="B101" s="1"/>
  <c i="6" r="A102"/>
  <c i="6" r="B102" s="1"/>
  <c i="6" r="A103"/>
  <c i="6" r="B103" s="1"/>
  <c i="6" r="A104"/>
  <c i="6" r="B104" s="1"/>
  <c i="6" r="A105"/>
  <c i="6" r="B105" s="1"/>
  <c i="6" r="A106"/>
  <c i="6" r="B106" s="1"/>
  <c i="6" r="A107"/>
  <c i="6" r="B107" s="1"/>
  <c i="6" r="A108"/>
  <c i="6" r="B108" s="1"/>
  <c i="6" r="A109"/>
  <c i="6" r="B109" s="1"/>
  <c i="6" r="A110"/>
  <c i="6" r="B110" s="1"/>
  <c i="6" r="A111"/>
  <c i="6" r="B111" s="1"/>
  <c i="6" r="A112"/>
  <c i="6" r="B112" s="1"/>
  <c i="6" r="A113"/>
  <c i="6" r="B113" s="1"/>
  <c i="6" r="A114"/>
  <c i="6" r="B114" s="1"/>
  <c i="6" r="A115"/>
  <c i="6" r="B115" s="1"/>
  <c i="6" r="A116"/>
  <c i="6" r="B116" s="1"/>
  <c i="6" r="A117"/>
  <c i="6" r="B117" s="1"/>
  <c i="6" r="A118"/>
  <c i="6" r="A119"/>
  <c i="6" r="A120"/>
  <c i="6" r="B120" s="1"/>
  <c i="6" r="A121"/>
  <c i="6" r="B121" s="1"/>
  <c i="6" r="A122"/>
  <c i="6" r="B122" s="1"/>
  <c i="6" r="A123"/>
  <c i="6" r="B123" s="1"/>
  <c i="6" r="A124"/>
  <c i="6" r="B124" s="1"/>
  <c i="6" r="A125"/>
  <c i="6" r="B125" s="1"/>
  <c i="6" r="A126"/>
  <c i="6" r="A127"/>
  <c i="6" r="B127" s="1"/>
  <c i="6" r="A128"/>
  <c i="6" r="B128" s="1"/>
  <c i="6" r="A129"/>
  <c i="6" r="B129" s="1"/>
  <c i="6" r="A130"/>
  <c i="6" r="B130" s="1"/>
  <c i="6" r="A131"/>
  <c i="6" r="B131" s="1"/>
  <c i="6" r="A132"/>
  <c i="6" r="B132" s="1"/>
  <c i="6" r="A133"/>
  <c i="6" r="B133" s="1"/>
  <c i="6" r="A134"/>
  <c i="6" r="B134" s="1"/>
  <c i="6" r="A135"/>
  <c i="6" r="B135" s="1"/>
  <c i="6" r="A136"/>
  <c i="6" r="B136" s="1"/>
  <c i="6" r="A137"/>
  <c i="6" r="B137" s="1"/>
  <c i="6" r="A138"/>
  <c i="6" r="A139"/>
  <c i="6" r="B139" s="1"/>
  <c i="6" r="A140"/>
  <c i="6" r="B140" s="1"/>
  <c i="6" r="A141"/>
  <c i="6" r="B141" s="1"/>
  <c i="6" r="A142"/>
  <c i="6" r="B142" s="1"/>
  <c i="6" r="A53"/>
  <c i="6" r="B53" s="1"/>
  <c i="6" r="B119"/>
  <c i="6" r="B138"/>
  <c i="6" r="B126"/>
  <c i="6" r="B118"/>
  <c i="6" r="B84"/>
  <c i="6" r="B70"/>
  <c i="6" r="B69"/>
  <c i="6" r="B68"/>
  <c i="6" r="B66"/>
  <c i="6" r="B55"/>
  <c i="6" r="B54"/>
  <c i="6" l="1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D13"/>
  <c i="6" r="I13" s="1"/>
  <c i="6" r="J13" s="1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2"/>
  <c i="6" r="J12" s="1"/>
  <c i="6" r="K12" s="1"/>
  <c i="6" r="D33" s="1"/>
  <c i="6" r="D43" s="1"/>
  <c i="6" r="Q39" s="1"/>
  <c i="6" r="K14"/>
  <c i="6" r="D35" s="1"/>
  <c i="6" r="D45" s="1"/>
  <c i="6" r="Q41" s="1"/>
  <c i="6" r="K15"/>
  <c i="6" r="D36" s="1"/>
  <c i="6" r="D46" s="1"/>
  <c i="6" r="Q42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3"/>
  <c i="6" r="D34" s="1"/>
  <c i="6" r="D44" s="1"/>
  <c i="6" r="Q40" s="1"/>
  <c i="6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8" s="1"/>
  <c i="1" r="H22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6" l="1" r="D54"/>
  <c i="6" r="E54" s="1"/>
  <c i="6" r="D78"/>
  <c i="6" r="E78" s="1"/>
  <c i="6" r="D102"/>
  <c i="6" r="E102" s="1"/>
  <c i="6" r="D126"/>
  <c i="6" r="E126" s="1"/>
  <c i="6" r="D55"/>
  <c i="6" r="E55" s="1"/>
  <c i="6" r="D79"/>
  <c i="6" r="E79" s="1"/>
  <c i="6" r="D103"/>
  <c i="6" r="E103" s="1"/>
  <c i="6" r="D127"/>
  <c i="6" r="E127" s="1"/>
  <c i="6" r="D56"/>
  <c i="6" r="E56" s="1"/>
  <c i="6" r="D80"/>
  <c i="6" r="E80" s="1"/>
  <c i="6" r="D104"/>
  <c i="6" r="E104" s="1"/>
  <c i="6" r="D128"/>
  <c i="6" r="E128" s="1"/>
  <c i="6" r="D57"/>
  <c i="6" r="E57" s="1"/>
  <c i="6" r="D81"/>
  <c i="6" r="E81" s="1"/>
  <c i="6" r="D105"/>
  <c i="6" r="E105" s="1"/>
  <c i="6" r="D129"/>
  <c i="6" r="E129" s="1"/>
  <c i="6" r="D58"/>
  <c i="6" r="E58" s="1"/>
  <c i="6" r="D82"/>
  <c i="6" r="E82" s="1"/>
  <c i="6" r="D106"/>
  <c i="6" r="E106" s="1"/>
  <c i="6" r="D130"/>
  <c i="6" r="E130" s="1"/>
  <c i="6" r="D125"/>
  <c i="6" r="E125" s="1"/>
  <c i="6" r="D59"/>
  <c i="6" r="E59" s="1"/>
  <c i="6" r="D83"/>
  <c i="6" r="E83" s="1"/>
  <c i="6" r="D107"/>
  <c i="6" r="E107" s="1"/>
  <c i="6" r="D131"/>
  <c i="6" r="E131" s="1"/>
  <c i="6" r="D60"/>
  <c i="6" r="E60" s="1"/>
  <c i="6" r="D84"/>
  <c i="6" r="E84" s="1"/>
  <c i="6" r="D108"/>
  <c i="6" r="E108" s="1"/>
  <c i="6" r="D132"/>
  <c i="6" r="E132" s="1"/>
  <c i="6" r="D61"/>
  <c i="6" r="E61" s="1"/>
  <c i="6" r="D85"/>
  <c i="6" r="E85" s="1"/>
  <c i="6" r="D109"/>
  <c i="6" r="E109" s="1"/>
  <c i="6" r="D133"/>
  <c i="6" r="E133" s="1"/>
  <c i="6" r="D62"/>
  <c i="6" r="E62" s="1"/>
  <c i="6" r="D86"/>
  <c i="6" r="E86" s="1"/>
  <c i="6" r="D110"/>
  <c i="6" r="E110" s="1"/>
  <c i="6" r="D134"/>
  <c i="6" r="E134" s="1"/>
  <c i="6" r="D63"/>
  <c i="6" r="E63" s="1"/>
  <c i="6" r="D87"/>
  <c i="6" r="E87" s="1"/>
  <c i="6" r="D111"/>
  <c i="6" r="E111" s="1"/>
  <c i="6" r="D135"/>
  <c i="6" r="E135" s="1"/>
  <c i="6" r="D64"/>
  <c i="6" r="E64" s="1"/>
  <c i="6" r="D88"/>
  <c i="6" r="E88" s="1"/>
  <c i="6" r="D112"/>
  <c i="6" r="E112" s="1"/>
  <c i="6" r="D136"/>
  <c i="6" r="E136" s="1"/>
  <c i="6" r="D53"/>
  <c i="6" r="E53" s="1"/>
  <c i="6" r="D77"/>
  <c i="6" r="E77" s="1"/>
  <c i="6" r="D65"/>
  <c i="6" r="E65" s="1"/>
  <c i="6" r="D89"/>
  <c i="6" r="E89" s="1"/>
  <c i="6" r="D113"/>
  <c i="6" r="E113" s="1"/>
  <c i="6" r="D137"/>
  <c i="6" r="E137" s="1"/>
  <c i="6" r="D66"/>
  <c i="6" r="E66" s="1"/>
  <c i="6" r="D90"/>
  <c i="6" r="E90" s="1"/>
  <c i="6" r="D114"/>
  <c i="6" r="E114" s="1"/>
  <c i="6" r="D138"/>
  <c i="6" r="E138" s="1"/>
  <c i="6" r="D67"/>
  <c i="6" r="E67" s="1"/>
  <c i="6" r="D91"/>
  <c i="6" r="E91" s="1"/>
  <c i="6" r="D115"/>
  <c i="6" r="E115" s="1"/>
  <c i="6" r="D139"/>
  <c i="6" r="E139" s="1"/>
  <c i="6" r="D68"/>
  <c i="6" r="E68" s="1"/>
  <c i="6" r="D92"/>
  <c i="6" r="E92" s="1"/>
  <c i="6" r="D116"/>
  <c i="6" r="E116" s="1"/>
  <c i="6" r="D140"/>
  <c i="6" r="E140" s="1"/>
  <c i="6" r="D69"/>
  <c i="6" r="E69" s="1"/>
  <c i="6" r="D93"/>
  <c i="6" r="E93" s="1"/>
  <c i="6" r="D117"/>
  <c i="6" r="E117" s="1"/>
  <c i="6" r="D141"/>
  <c i="6" r="E141" s="1"/>
  <c i="6" r="D70"/>
  <c i="6" r="E70" s="1"/>
  <c i="6" r="D94"/>
  <c i="6" r="E94" s="1"/>
  <c i="6" r="D118"/>
  <c i="6" r="E118" s="1"/>
  <c i="6" r="D142"/>
  <c i="6" r="E142" s="1"/>
  <c i="6" r="D71"/>
  <c i="6" r="E71" s="1"/>
  <c i="6" r="D95"/>
  <c i="6" r="E95" s="1"/>
  <c i="6" r="D119"/>
  <c i="6" r="E119" s="1"/>
  <c i="6" r="D72"/>
  <c i="6" r="E72" s="1"/>
  <c i="6" r="D96"/>
  <c i="6" r="E96" s="1"/>
  <c i="6" r="D120"/>
  <c i="6" r="E120" s="1"/>
  <c i="6" r="D73"/>
  <c i="6" r="E73" s="1"/>
  <c i="6" r="D97"/>
  <c i="6" r="E97" s="1"/>
  <c i="6" r="D121"/>
  <c i="6" r="E121" s="1"/>
  <c i="6" r="D101"/>
  <c i="6" r="E101" s="1"/>
  <c i="6" r="D74"/>
  <c i="6" r="E74" s="1"/>
  <c i="6" r="D98"/>
  <c i="6" r="E98" s="1"/>
  <c i="6" r="D122"/>
  <c i="6" r="E122" s="1"/>
  <c i="6" r="D75"/>
  <c i="6" r="E75" s="1"/>
  <c i="6" r="D99"/>
  <c i="6" r="E99" s="1"/>
  <c i="6" r="D123"/>
  <c i="6" r="E123" s="1"/>
  <c i="6" r="D76"/>
  <c i="6" r="E76" s="1"/>
  <c i="6" r="D100"/>
  <c i="6" r="E100" s="1"/>
  <c i="6" r="D124"/>
  <c i="6" r="E124" s="1"/>
  <c i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AC38" s="1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<sst xmlns="http://schemas.openxmlformats.org/spreadsheetml/2006/main" count="722" uniqueCount="350">
  <si>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</si>
  <si>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</si>
  <si>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</si>
  <si>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</si>
  <si>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</si>
  <si>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</si>
  <si>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</si>
  <si>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</si>
  <si>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</si>
  <si>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</si>
  <si>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</si>
  <si>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</si>
  <si>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</si>
  <si>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</si>
  <si>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</si>
  <si>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</si>
  <si>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</si>
  <si>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</si>
  <si>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</si>
  <si>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</si>
  <si>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</si>
  <si>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</si>
  <si>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</si>
  <si>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</si>
  <si>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</si>
  <si>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</si>
  <si>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</si>
  <si>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</si>
  <si>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</si>
  <si>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</si>
  <si>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</si>
  <si>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</si>
  <si>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</si>
  <si>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</si>
  <si>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</si>
  <si>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</si>
  <si>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</si>
  <si>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</si>
  <si>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</si>
  <si>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</si>
  <si>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</si>
  <si>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</si>
  <si>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</si>
  <si>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</si>
  <si>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</si>
  <si>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</si>
  <si>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</si>
  <si>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</si>
  <si>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</si>
  <si>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</si>
  <si>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</si>
  <si>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</si>
  <si>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</si>
  <si>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</si>
  <si>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</si>
  <si>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</si>
  <si>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</si>
  <si>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</si>
  <si>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</si>
  <si>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</si>
  <si>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</si>
  <si>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</si>
  <si>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</si>
  <si>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</si>
  <si>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</si>
  <si>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</si>
  <si>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</si>
  <si>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</si>
  <si>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</si>
  <si>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</si>
  <si>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</si>
  <si>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</si>
  <si>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</si>
  <si>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</si>
  <si>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</si>
  <si>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</si>
  <si>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</si>
  <si>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</si>
  <si>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</si>
  <si>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</si>
  <si>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</si>
  <si>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</si>
  <si>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</si>
  <si>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</si>
  <si>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</si>
  <si>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</si>
  <si>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</si>
  <si>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</si>
  <si>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</si>
  <si>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</si>
  <si>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</si>
  <si>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</si>
  <si>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</si>
  <si>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</si>
  <si>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</si>
  <si>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</si>
  <si>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</si>
  <si>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</si>
  <si>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</si>
  <si>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</si>
  <si>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</si>
  <si>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</si>
  <si>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</si>
  <si>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</si>
  <si>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</si>
  <si>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</si>
  <si>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</si>
  <si>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</si>
  <si>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</si>
  <si>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</si>
  <si>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</si>
  <si>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</si>
  <si>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</si>
  <si>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</si>
  <si>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</si>
  <si>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</si>
  <si>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</si>
  <si>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</si>
  <si>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</si>
  <si>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</si>
  <si>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</si>
  <si>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</si>
  <si>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</si>
  <si>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</si>
  <si>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</si>
  <si>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</si>
  <si>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</si>
  <si>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</si>
  <si>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</si>
  <si>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</si>
  <si>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</si>
  <si>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</si>
  <si>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</si>
  <si>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</si>
  <si>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</si>
  <si>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</si>
  <si>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</si>
  <si>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</si>
  <si>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</si>
  <si>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</si>
  <si>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</si>
  <si>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</si>
  <si>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</si>
  <si>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</si>
  <si>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</si>
  <si>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</si>
  <si>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</si>
  <si>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</si>
  <si>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</si>
  <si>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</si>
  <si>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</si>
  <si>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</si>
  <si>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</si>
  <si>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</si>
  <si>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</si>
  <si>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</si>
  <si>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</si>
  <si>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</si>
  <si>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</si>
  <si>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</si>
  <si>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</si>
  <si>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</si>
  <si>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</si>
  <si>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</si>
  <si>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</si>
  <si>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</si>
  <si>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</si>
  <si>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</si>
  <si>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</si>
  <si>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</si>
  <si>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</si>
  <si>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</si>
  <si>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</si>
  <si>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</si>
  <si>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</si>
  <si>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</si>
  <si>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</si>
  <si>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</si>
  <si>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</si>
  <si>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</si>
  <si>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</si>
  <si>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</si>
  <si>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</si>
  <si>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</si>
  <si>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</si>
  <si>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</si>
  <si>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</si>
  <si>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</si>
  <si>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</si>
  <si>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</si>
  <si>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</si>
  <si>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</si>
  <si>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</si>
  <si>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</si>
  <si>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</si>
  <si>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</si>
  <si>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</si>
  <si>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</si>
  <si>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</si>
  <si>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</si>
  <si>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</si>
  <si>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</si>
  <si>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</si>
  <si>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</si>
  <si>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</si>
  <si>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</si>
  <si>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</si>
  <si>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</si>
  <si>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</si>
  <si>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</si>
  <si>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</si>
  <si>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</si>
  <si>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</si>
  <si>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</si>
  <si>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</si>
  <si>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</si>
  <si>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</si>
  <si>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</si>
  <si>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</si>
  <si>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</si>
  <si>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</si>
  <si>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</si>
  <si>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</si>
  <si>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</si>
  <si>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</si>
  <si>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</si>
  <si>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</si>
  <si>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</si>
  <si>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</si>
  <si>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</si>
  <si>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</si>
  <si>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</si>
  <si>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</si>
  <si>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</si>
  <si>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</si>
  <si>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</si>
  <si>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</si>
  <si>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</si>
  <si>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</si>
  <si>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</si>
  <si>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</si>
  <si>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</si>
  <si>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</si>
  <si>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</si>
  <si>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</si>
  <si>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</si>
  <si>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</si>
  <si>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</si>
  <si>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</si>
  <si>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</si>
  <si>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</si>
  <si>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</si>
  <si>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</si>
  <si>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</si>
  <si>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</si>
  <si>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</si>
  <si>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</si>
  <si>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</si>
  <si>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</si>
  <si>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</si>
  <si>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</si>
  <si>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</si>
  <si>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</si>
  <si>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</si>
  <si>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</si>
  <si>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</si>
  <si>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</si>
  <si>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</si>
  <si>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</si>
  <si>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</si>
  <si>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</si>
  <si>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</si>
  <si>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</si>
  <si>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</si>
  <si>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</si>
  <si>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</si>
  <si>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</si>
  <si>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</si>
  <si>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</si>
  <si>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</si>
  <si>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</si>
  <si>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</si>
  <si>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</si>
  <si>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</si>
  <si>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</si>
  <si>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</si>
  <si>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</si>
  <si>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</si>
  <si>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</si>
  <si>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</si>
  <si>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</si>
  <si>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</si>
  <si>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</si>
  <si>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</si>
  <si>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</si>
  <si>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</si>
  <si>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</si>
  <si>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</si>
  <si>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</si>
  <si>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</si>
  <si>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</si>
  <si>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</si>
  <si>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</si>
  <si>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</si>
  <si>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</si>
  <si>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</si>
  <si>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</si>
  <si>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</si>
  <si>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</si>
  <si>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</si>
  <si>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</si>
  <si>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</si>
  <si>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</si>
  <si>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</si>
  <si>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</si>
  <si>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</si>
  <si>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</si>
  <si>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</si>
  <si>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</si>
  <si>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</si>
  <si>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</si>
  <si>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</si>
  <si>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</si>
  <si>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</si>
  <si>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</si>
  <si>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</si>
  <si>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</si>
  <si>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</si>
  <si>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</si>
  <si>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</si>
  <si>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</si>
  <si>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</si>
  <si>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</si>
  <si>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</si>
  <si>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</si>
  <si>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</si>
  <si>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</si>
  <si>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</si>
  <si>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</si>
  <si>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</si>
  <si>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</si>
  <si>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</si>
  <si>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</si>
  <si>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</si>
  <si>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</si>
  <si>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Adjust</t>
  </si>
  <si>
    <t>Distance</t>
  </si>
  <si>
    <t>LN(Distance)</t>
  </si>
  <si>
    <t>Model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</si>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</sst>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9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NumberFormat="1" borderId="0" fillId="0" fontId="0" numFmtId="1" xfId="0">
      <alignment horizontal="right"/>
    </xf>
    <xf applyFont="1" borderId="0" fillId="0" fontId="5" numFmtId="0" xfId="0"/>
    <xf applyNumberFormat="1" borderId="0" fillId="0" fontId="0" numFmtId="166" xfId="0"/>
    <xf applyAlignment="1" applyBorder="1" applyNumberFormat="1" borderId="2" fillId="0" fontId="0" numFmtId="1" xfId="0">
      <alignment horizontal="center" vertical="top"/>
    </xf>
    <xf applyAlignment="1" borderId="0" fillId="0" fontId="0" numFmtId="0" xfId="0">
      <alignment horizontal="center" vertical="top"/>
    </xf>
    <xf applyAlignment="1" borderId="0" fillId="0" fontId="0" numFmtId="0" xfId="0">
      <alignment horizontal="left" vertical="top"/>
    </xf>
    <xf applyAlignment="1" applyNumberFormat="1" borderId="0" fillId="0" fontId="0" numFmtId="3" xfId="0">
      <alignment horizontal="right" vertical="top"/>
    </xf>
    <xf applyNumberFormat="1" borderId="0" fillId="0" fontId="0" numFmtId="1" xfId="0"/>
    <xf applyAlignment="1" applyNumberFormat="1" borderId="0" fillId="0" fontId="0" numFmtId="3" xfId="0">
      <alignment horizontal="right"/>
    </xf>
    <xf applyAlignment="1" applyBorder="1" applyNumberFormat="1" borderId="3" fillId="0" fontId="0" numFmtId="3" xfId="0">
      <alignment horizontal="right"/>
    </xf>
    <xf applyBorder="1" applyNumberFormat="1" borderId="4" fillId="0" fontId="0" numFmtId="3" xfId="0"/>
    <xf applyAlignment="1" applyBorder="1" applyNumberFormat="1" borderId="4" fillId="0" fontId="0" numFmtId="3" xfId="0">
      <alignment horizontal="right"/>
    </xf>
    <xf applyFont="1" applyNumberFormat="1" borderId="0" fillId="0" fontId="5" numFmtId="3" xfId="0"/>
    <xf applyNumberFormat="1" borderId="0" fillId="0" fontId="0" numFmtId="9" xfId="0"/>
    <xf applyAlignment="1" applyNumberFormat="1" borderId="0" fillId="0" fontId="0" numFmtId="164" xfId="0">
      <alignment horizontal="right" vertical="top"/>
    </xf>
    <xf applyAlignment="1" applyNumberFormat="1" borderId="0" fillId="0" fontId="0" numFmtId="164" xfId="0">
      <alignment horizontal="right"/>
    </xf>
    <xf applyAlignment="1" applyBorder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NumberFormat="1" borderId="0" fillId="0" fontId="0" numFmtId="167" xfId="0">
      <alignment horizontal="right"/>
    </xf>
    <xf applyAlignme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NumberFormat="1" borderId="0" fillId="3" fontId="0" numFmtId="167" xfId="0"/>
    <xf applyFill="1" borderId="0" fillId="4" fontId="0" numFmtId="0" xfId="0"/>
    <xf applyFill="1" applyNumberFormat="1" borderId="0" fillId="4" fontId="0" numFmtId="166" xfId="0"/>
    <xf applyFill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borderId="0" fillId="0" fontId="0" numFmtId="0" xfId="0">
      <alignment horizontal="left"/>
    </xf>
    <xf applyAlignment="1" applyBorder="1" borderId="1" fillId="0" fontId="0" numFmtId="0" xfId="0">
      <alignment horizontal="left"/>
    </xf>
    <xf applyAlignment="1" applyBorder="1" borderId="5" fillId="0" fontId="0" numFmtId="0" xfId="0">
      <alignment horizontal="left"/>
    </xf>
    <xf applyAlignment="1" applyNumberFormat="1" borderId="0" fillId="0" fontId="0" numFmtId="1" xfId="0">
      <alignment horizontal="center" vertical="top"/>
    </xf>
    <xf applyAlignment="1" applyBorder="1" applyFont="1" applyNumberFormat="1" borderId="1" fillId="0" fontId="5" numFmtId="1" xfId="0">
      <alignment horizontal="left"/>
    </xf>
    <xf applyAlignment="1" applyBorder="1" applyNumberFormat="1" borderId="1" fillId="0" fontId="0" numFmtId="1" xfId="0">
      <alignment horizontal="right"/>
    </xf>
    <xf applyAlignment="1" applyNumberFormat="1" borderId="0" fillId="0" fontId="0" numFmtId="2" xfId="0">
      <alignment horizontal="right" vertical="top"/>
    </xf>
    <xf applyAlignment="1" applyNumberFormat="1" borderId="0" fillId="0" fontId="0" numFmtId="170" xfId="0">
      <alignment horizontal="right" vertical="top"/>
    </xf>
    <xf applyAlignment="1" applyBorder="1" applyNumberFormat="1" borderId="1" fillId="0" fontId="0" numFmtId="2" xfId="0">
      <alignment horizontal="right" vertical="top"/>
    </xf>
    <xf applyAlignment="1" applyBorder="1" applyNumberFormat="1" borderId="1" fillId="0" fontId="0" numFmtId="170" xfId="0">
      <alignment horizontal="right" vertical="top"/>
    </xf>
    <xf applyAlignment="1" applyFill="1" applyNumberFormat="1" borderId="0" fillId="5" fontId="0" numFmtId="171" xfId="0">
      <alignment horizontal="right"/>
    </xf>
    <xf applyAlignment="1" applyNumberFormat="1" borderId="0" fillId="0" fontId="0" numFmtId="2" xfId="0">
      <alignment horizontal="right"/>
    </xf>
    <xf applyAlignme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borderId="3" fillId="0" fontId="0" numFmtId="0" xfId="0">
      <alignment horizontal="center" vertical="top"/>
    </xf>
    <xf applyNumberFormat="1" borderId="0" fillId="0" fontId="0" numFmtId="173" xfId="0"/>
    <xf applyFont="1" borderId="0" fillId="0" fontId="0" numFmtId="9" xfId="9"/>
    <xf applyAlignment="1" borderId="0" fillId="0" fontId="0" numFmtId="0" xfId="0">
      <alignment horizontal="center"/>
    </xf>
    <xf applyBorder="1" applyFont="1" borderId="0" fillId="0" fontId="0" numFmtId="9" xfId="9"/>
  </cellXfs>
  <cellStyles count="10">
    <cellStyle builtinId="3" name="Comma" xfId="8"/>
    <cellStyle builtinId="0" name="Normal" xfId="0"/>
    <cellStyle builtinId="5" name="Percent" xfId="9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6.7184886831513815E-2</c:v>
                </c:pt>
                <c:pt idx="1">
                  <c:v>0.19762847145123955</c:v>
                </c:pt>
                <c:pt idx="2">
                  <c:v>0.16175148722175997</c:v>
                </c:pt>
                <c:pt idx="3">
                  <c:v>0.12508477031974322</c:v>
                </c:pt>
                <c:pt idx="4">
                  <c:v>0.1062499788276698</c:v>
                </c:pt>
                <c:pt idx="5">
                  <c:v>7.5014968722230124E-2</c:v>
                </c:pt>
                <c:pt idx="6">
                  <c:v>4.6707948351331754E-2</c:v>
                </c:pt>
                <c:pt idx="7">
                  <c:v>4.4542332208028203E-2</c:v>
                </c:pt>
                <c:pt idx="8">
                  <c:v>2.8986685019464206E-2</c:v>
                </c:pt>
                <c:pt idx="9">
                  <c:v>1.4391282950779228E-2</c:v>
                </c:pt>
                <c:pt idx="10">
                  <c:v>2.0090189466773673E-2</c:v>
                </c:pt>
                <c:pt idx="11">
                  <c:v>2.5713082955308671E-2</c:v>
                </c:pt>
                <c:pt idx="12">
                  <c:v>1.4954693448436808E-2</c:v>
                </c:pt>
                <c:pt idx="13">
                  <c:v>1.1321871223232407E-2</c:v>
                </c:pt>
                <c:pt idx="14">
                  <c:v>1.1155915950950293E-2</c:v>
                </c:pt>
                <c:pt idx="15">
                  <c:v>4.2256451428442261E-3</c:v>
                </c:pt>
                <c:pt idx="16">
                  <c:v>1.01540096433785E-2</c:v>
                </c:pt>
                <c:pt idx="17">
                  <c:v>2.141375413237021E-3</c:v>
                </c:pt>
                <c:pt idx="18">
                  <c:v>5.6644802125774179E-3</c:v>
                </c:pt>
                <c:pt idx="19">
                  <c:v>1.9056497501626667E-3</c:v>
                </c:pt>
                <c:pt idx="20">
                  <c:v>0</c:v>
                </c:pt>
                <c:pt idx="21">
                  <c:v>8.9845610120883948E-3</c:v>
                </c:pt>
                <c:pt idx="22">
                  <c:v>5.3490232364795021E-4</c:v>
                </c:pt>
                <c:pt idx="23">
                  <c:v>4.8310121391866717E-3</c:v>
                </c:pt>
                <c:pt idx="24">
                  <c:v>1.8630959231669968E-3</c:v>
                </c:pt>
                <c:pt idx="25">
                  <c:v>0</c:v>
                </c:pt>
                <c:pt idx="26">
                  <c:v>1.3162399961718065E-4</c:v>
                </c:pt>
                <c:pt idx="27">
                  <c:v>2.1132191319365697E-3</c:v>
                </c:pt>
                <c:pt idx="28">
                  <c:v>8.3805913014125687E-4</c:v>
                </c:pt>
                <c:pt idx="29">
                  <c:v>7.4253895395511678E-4</c:v>
                </c:pt>
                <c:pt idx="30">
                  <c:v>3.5357757463850017E-3</c:v>
                </c:pt>
                <c:pt idx="31">
                  <c:v>7.2425663681626221E-4</c:v>
                </c:pt>
                <c:pt idx="32">
                  <c:v>0</c:v>
                </c:pt>
                <c:pt idx="33">
                  <c:v>6.782199528436089E-4</c:v>
                </c:pt>
                <c:pt idx="34">
                  <c:v>1.5300993955321871E-4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9.0268424418050969E-2</c:v>
                </c:pt>
                <c:pt idx="1">
                  <c:v>0.13549787083520401</c:v>
                </c:pt>
                <c:pt idx="2">
                  <c:v>0.15032719752935253</c:v>
                </c:pt>
                <c:pt idx="3">
                  <c:v>0.14851774757492892</c:v>
                </c:pt>
                <c:pt idx="4">
                  <c:v>0.10947852468606724</c:v>
                </c:pt>
                <c:pt idx="5">
                  <c:v>8.4914901432594586E-2</c:v>
                </c:pt>
                <c:pt idx="6">
                  <c:v>6.2528060079180436E-2</c:v>
                </c:pt>
                <c:pt idx="7">
                  <c:v>4.3909772390242574E-2</c:v>
                </c:pt>
                <c:pt idx="8">
                  <c:v>3.0876290763642299E-2</c:v>
                </c:pt>
                <c:pt idx="9">
                  <c:v>2.5631606873188849E-2</c:v>
                </c:pt>
                <c:pt idx="10">
                  <c:v>1.7897228684543489E-2</c:v>
                </c:pt>
                <c:pt idx="11">
                  <c:v>1.5870100540114011E-2</c:v>
                </c:pt>
                <c:pt idx="12">
                  <c:v>1.529189284791097E-2</c:v>
                </c:pt>
                <c:pt idx="13">
                  <c:v>9.7819136633878895E-3</c:v>
                </c:pt>
                <c:pt idx="14">
                  <c:v>8.4146225324136428E-3</c:v>
                </c:pt>
                <c:pt idx="15">
                  <c:v>6.8500605417465953E-3</c:v>
                </c:pt>
                <c:pt idx="16">
                  <c:v>6.2718528495435558E-3</c:v>
                </c:pt>
                <c:pt idx="17">
                  <c:v>4.237922261676394E-3</c:v>
                </c:pt>
                <c:pt idx="18">
                  <c:v>3.7889609947893282E-3</c:v>
                </c:pt>
                <c:pt idx="19">
                  <c:v>3.7481463341632313E-3</c:v>
                </c:pt>
                <c:pt idx="20">
                  <c:v>2.9454580085166594E-3</c:v>
                </c:pt>
                <c:pt idx="21">
                  <c:v>2.8774335741398312E-3</c:v>
                </c:pt>
                <c:pt idx="22">
                  <c:v>2.4692869678788619E-3</c:v>
                </c:pt>
                <c:pt idx="23">
                  <c:v>2.3672503163136198E-3</c:v>
                </c:pt>
                <c:pt idx="24">
                  <c:v>1.6665986422322897E-3</c:v>
                </c:pt>
                <c:pt idx="25">
                  <c:v>1.9046841625511885E-3</c:v>
                </c:pt>
                <c:pt idx="26">
                  <c:v>1.2652544794090038E-3</c:v>
                </c:pt>
                <c:pt idx="27">
                  <c:v>1.0951933934669332E-3</c:v>
                </c:pt>
                <c:pt idx="28">
                  <c:v>1.067983619716202E-3</c:v>
                </c:pt>
                <c:pt idx="29">
                  <c:v>9.3193475096254577E-4</c:v>
                </c:pt>
                <c:pt idx="30">
                  <c:v>6.9384923064364716E-4</c:v>
                </c:pt>
                <c:pt idx="31">
                  <c:v>6.5983701345523316E-4</c:v>
                </c:pt>
                <c:pt idx="32">
                  <c:v>3.877392759479205E-4</c:v>
                </c:pt>
                <c:pt idx="33">
                  <c:v>3.537270587595064E-4</c:v>
                </c:pt>
                <c:pt idx="34">
                  <c:v>3.537270587595064E-4</c:v>
                </c:pt>
                <c:pt idx="35">
                  <c:v>2.7890018094499543E-4</c:v>
                </c:pt>
                <c:pt idx="36">
                  <c:v>3.1971484157109235E-4</c:v>
                </c:pt>
                <c:pt idx="37">
                  <c:v>2.8570262438267825E-4</c:v>
                </c:pt>
                <c:pt idx="38">
                  <c:v>5.033808143885284E-4</c:v>
                </c:pt>
                <c:pt idx="39">
                  <c:v>8.1629321252193793E-5</c:v>
                </c:pt>
                <c:pt idx="40">
                  <c:v>1.360488687536563E-4</c:v>
                </c:pt>
                <c:pt idx="41">
                  <c:v>4.1494904969865173E-4</c:v>
                </c:pt>
                <c:pt idx="42">
                  <c:v>8.1629321252193793E-5</c:v>
                </c:pt>
                <c:pt idx="43">
                  <c:v>7.4826877814510972E-5</c:v>
                </c:pt>
                <c:pt idx="44">
                  <c:v>1.4965375562902194E-4</c:v>
                </c:pt>
                <c:pt idx="45">
                  <c:v>2.1087574656816728E-4</c:v>
                </c:pt>
                <c:pt idx="46">
                  <c:v>3.7413438907255486E-4</c:v>
                </c:pt>
                <c:pt idx="47">
                  <c:v>2.0407330313048448E-5</c:v>
                </c:pt>
                <c:pt idx="48">
                  <c:v>6.1221990939145345E-5</c:v>
                </c:pt>
                <c:pt idx="49">
                  <c:v>6.8024434376828155E-6</c:v>
                </c:pt>
                <c:pt idx="50">
                  <c:v>1.3604886875365631E-5</c:v>
                </c:pt>
                <c:pt idx="51">
                  <c:v>6.8024434376828155E-6</c:v>
                </c:pt>
                <c:pt idx="52">
                  <c:v>1.9727085969280166E-4</c:v>
                </c:pt>
                <c:pt idx="53">
                  <c:v>1.768635293797532E-4</c:v>
                </c:pt>
                <c:pt idx="54">
                  <c:v>0</c:v>
                </c:pt>
                <c:pt idx="55">
                  <c:v>2.0407330313048448E-5</c:v>
                </c:pt>
                <c:pt idx="56">
                  <c:v>2.0407330313048448E-5</c:v>
                </c:pt>
                <c:pt idx="57">
                  <c:v>1.7006108594207038E-4</c:v>
                </c:pt>
                <c:pt idx="58">
                  <c:v>2.6529529406962979E-4</c:v>
                </c:pt>
                <c:pt idx="59">
                  <c:v>1.3604886875365631E-5</c:v>
                </c:pt>
                <c:pt idx="60">
                  <c:v>3.4012217188414076E-5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4.309847120642108E-4</c:v>
                </c:pt>
                <c:pt idx="3">
                  <c:v>3.1051087613107473E-2</c:v>
                </c:pt>
                <c:pt idx="4">
                  <c:v>6.2224265331313214E-2</c:v>
                </c:pt>
                <c:pt idx="5">
                  <c:v>8.1307182323569371E-2</c:v>
                </c:pt>
                <c:pt idx="6">
                  <c:v>0.1314954957270541</c:v>
                </c:pt>
                <c:pt idx="7">
                  <c:v>0.10471185436135746</c:v>
                </c:pt>
                <c:pt idx="8">
                  <c:v>6.4961603371892551E-2</c:v>
                </c:pt>
                <c:pt idx="9">
                  <c:v>5.1030011152011896E-2</c:v>
                </c:pt>
                <c:pt idx="10">
                  <c:v>4.6392844532377901E-2</c:v>
                </c:pt>
                <c:pt idx="11">
                  <c:v>7.1607979358133594E-2</c:v>
                </c:pt>
                <c:pt idx="12">
                  <c:v>4.5712585412913086E-2</c:v>
                </c:pt>
                <c:pt idx="13">
                  <c:v>3.7870497578742245E-2</c:v>
                </c:pt>
                <c:pt idx="14">
                  <c:v>4.1751138609985909E-2</c:v>
                </c:pt>
                <c:pt idx="15">
                  <c:v>3.1272426245310597E-2</c:v>
                </c:pt>
                <c:pt idx="16">
                  <c:v>1.1254263544812841E-2</c:v>
                </c:pt>
                <c:pt idx="17">
                  <c:v>2.8325272358324223E-2</c:v>
                </c:pt>
                <c:pt idx="18">
                  <c:v>1.3926185946292018E-2</c:v>
                </c:pt>
                <c:pt idx="19">
                  <c:v>2.1005022964122329E-2</c:v>
                </c:pt>
                <c:pt idx="20">
                  <c:v>8.5815912920977119E-3</c:v>
                </c:pt>
                <c:pt idx="21">
                  <c:v>5.963273915382687E-3</c:v>
                </c:pt>
                <c:pt idx="22">
                  <c:v>4.1577522394626231E-3</c:v>
                </c:pt>
                <c:pt idx="23">
                  <c:v>7.2628495063163769E-3</c:v>
                </c:pt>
                <c:pt idx="24">
                  <c:v>1.1858716570948504E-2</c:v>
                </c:pt>
                <c:pt idx="25">
                  <c:v>7.9804906148850819E-3</c:v>
                </c:pt>
                <c:pt idx="26">
                  <c:v>2.7395305262477437E-3</c:v>
                </c:pt>
                <c:pt idx="27">
                  <c:v>6.2478397637120093E-3</c:v>
                </c:pt>
                <c:pt idx="28">
                  <c:v>1.6889174571078941E-3</c:v>
                </c:pt>
                <c:pt idx="29">
                  <c:v>1.798772270656513E-2</c:v>
                </c:pt>
                <c:pt idx="30">
                  <c:v>6.6985517999614951E-3</c:v>
                </c:pt>
                <c:pt idx="31">
                  <c:v>1.075897159986473E-3</c:v>
                </c:pt>
                <c:pt idx="32">
                  <c:v>6.1756747159436836E-3</c:v>
                </c:pt>
                <c:pt idx="33">
                  <c:v>2.8599845066200683E-4</c:v>
                </c:pt>
                <c:pt idx="34">
                  <c:v>1.5504580949116757E-3</c:v>
                </c:pt>
                <c:pt idx="35">
                  <c:v>2.5575279964154922E-3</c:v>
                </c:pt>
                <c:pt idx="36">
                  <c:v>3.9794723359302796E-3</c:v>
                </c:pt>
                <c:pt idx="37">
                  <c:v>1.3846882120722512E-4</c:v>
                </c:pt>
                <c:pt idx="38">
                  <c:v>4.2787912742352401E-3</c:v>
                </c:pt>
                <c:pt idx="39">
                  <c:v>1.6331917814925055E-3</c:v>
                </c:pt>
                <c:pt idx="40">
                  <c:v>9.8393988216042283E-3</c:v>
                </c:pt>
                <c:pt idx="41">
                  <c:v>0</c:v>
                </c:pt>
                <c:pt idx="42">
                  <c:v>1.7338873098168941E-3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4.0706780700329537E-3</c:v>
                </c:pt>
                <c:pt idx="47">
                  <c:v>2.4994824911065327E-4</c:v>
                </c:pt>
                <c:pt idx="48">
                  <c:v>6.3655927758592785E-4</c:v>
                </c:pt>
                <c:pt idx="49">
                  <c:v>1.0983776136594993E-3</c:v>
                </c:pt>
                <c:pt idx="50">
                  <c:v>0</c:v>
                </c:pt>
                <c:pt idx="51">
                  <c:v>8.997070081649967E-4</c:v>
                </c:pt>
                <c:pt idx="52">
                  <c:v>7.425389539551171E-4</c:v>
                </c:pt>
                <c:pt idx="53">
                  <c:v>0</c:v>
                </c:pt>
                <c:pt idx="54">
                  <c:v>7.2425663681626254E-4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1.5300993955321879E-4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2.0495762077738323E-2</c:v>
                </c:pt>
                <c:pt idx="1">
                  <c:v>1.0999551038733114E-2</c:v>
                </c:pt>
                <c:pt idx="2">
                  <c:v>1.0577799545596778E-2</c:v>
                </c:pt>
                <c:pt idx="3">
                  <c:v>2.0176047236167231E-2</c:v>
                </c:pt>
                <c:pt idx="4">
                  <c:v>3.6399874835040744E-2</c:v>
                </c:pt>
                <c:pt idx="5">
                  <c:v>5.2018284967960494E-2</c:v>
                </c:pt>
                <c:pt idx="6">
                  <c:v>6.359604369889664E-2</c:v>
                </c:pt>
                <c:pt idx="7">
                  <c:v>7.3527611117913561E-2</c:v>
                </c:pt>
                <c:pt idx="8">
                  <c:v>7.308545229446417E-2</c:v>
                </c:pt>
                <c:pt idx="9">
                  <c:v>7.4949321796389259E-2</c:v>
                </c:pt>
                <c:pt idx="10">
                  <c:v>6.563677673020149E-2</c:v>
                </c:pt>
                <c:pt idx="11">
                  <c:v>6.3160687318884939E-2</c:v>
                </c:pt>
                <c:pt idx="12">
                  <c:v>5.6133763247758595E-2</c:v>
                </c:pt>
                <c:pt idx="13">
                  <c:v>5.0338081438852836E-2</c:v>
                </c:pt>
                <c:pt idx="14">
                  <c:v>4.2569691033019059E-2</c:v>
                </c:pt>
                <c:pt idx="15">
                  <c:v>3.7930424608519378E-2</c:v>
                </c:pt>
                <c:pt idx="16">
                  <c:v>3.2080323252112158E-2</c:v>
                </c:pt>
                <c:pt idx="17">
                  <c:v>2.6339060990707864E-2</c:v>
                </c:pt>
                <c:pt idx="18">
                  <c:v>2.2475273118104024E-2</c:v>
                </c:pt>
                <c:pt idx="19">
                  <c:v>1.9373358910520659E-2</c:v>
                </c:pt>
                <c:pt idx="20">
                  <c:v>1.6842849951702651E-2</c:v>
                </c:pt>
                <c:pt idx="21">
                  <c:v>1.483612913758622E-2</c:v>
                </c:pt>
                <c:pt idx="22">
                  <c:v>1.2564113029400161E-2</c:v>
                </c:pt>
                <c:pt idx="23">
                  <c:v>1.1455314749057862E-2</c:v>
                </c:pt>
                <c:pt idx="24">
                  <c:v>9.4281866046283819E-3</c:v>
                </c:pt>
                <c:pt idx="25">
                  <c:v>8.9520155639905858E-3</c:v>
                </c:pt>
                <c:pt idx="26">
                  <c:v>6.9861094105002517E-3</c:v>
                </c:pt>
                <c:pt idx="27">
                  <c:v>6.8432580983089127E-3</c:v>
                </c:pt>
                <c:pt idx="28">
                  <c:v>5.4079425329578382E-3</c:v>
                </c:pt>
                <c:pt idx="29">
                  <c:v>4.7549079629402883E-3</c:v>
                </c:pt>
                <c:pt idx="30">
                  <c:v>4.25152714855176E-3</c:v>
                </c:pt>
                <c:pt idx="31">
                  <c:v>4.0066391847951785E-3</c:v>
                </c:pt>
                <c:pt idx="32">
                  <c:v>3.5236657007196985E-3</c:v>
                </c:pt>
                <c:pt idx="33">
                  <c:v>2.8162115832006855E-3</c:v>
                </c:pt>
                <c:pt idx="34">
                  <c:v>2.6461504972586153E-3</c:v>
                </c:pt>
                <c:pt idx="35">
                  <c:v>2.4896942981919106E-3</c:v>
                </c:pt>
                <c:pt idx="36">
                  <c:v>2.0815476919309418E-3</c:v>
                </c:pt>
                <c:pt idx="37">
                  <c:v>1.9250914928642369E-3</c:v>
                </c:pt>
                <c:pt idx="38">
                  <c:v>1.9114866059888713E-3</c:v>
                </c:pt>
                <c:pt idx="39">
                  <c:v>1.4897351128525366E-3</c:v>
                </c:pt>
                <c:pt idx="40">
                  <c:v>1.2584520359713209E-3</c:v>
                </c:pt>
                <c:pt idx="41">
                  <c:v>1.2788593662843694E-3</c:v>
                </c:pt>
                <c:pt idx="42">
                  <c:v>9.5914452471327705E-4</c:v>
                </c:pt>
                <c:pt idx="43">
                  <c:v>1.0339714025277881E-3</c:v>
                </c:pt>
                <c:pt idx="44">
                  <c:v>6.8024434376828152E-4</c:v>
                </c:pt>
                <c:pt idx="45">
                  <c:v>6.5983701345523316E-4</c:v>
                </c:pt>
                <c:pt idx="46">
                  <c:v>6.1902235282913624E-4</c:v>
                </c:pt>
                <c:pt idx="47">
                  <c:v>6.054174659537706E-4</c:v>
                </c:pt>
                <c:pt idx="48">
                  <c:v>5.8501013564072214E-4</c:v>
                </c:pt>
                <c:pt idx="49">
                  <c:v>5.1698570126389404E-4</c:v>
                </c:pt>
                <c:pt idx="50">
                  <c:v>4.0134416282328614E-4</c:v>
                </c:pt>
                <c:pt idx="51">
                  <c:v>3.1291239813340953E-4</c:v>
                </c:pt>
                <c:pt idx="52">
                  <c:v>2.5849285063194702E-4</c:v>
                </c:pt>
                <c:pt idx="53">
                  <c:v>2.516904071942642E-4</c:v>
                </c:pt>
                <c:pt idx="54">
                  <c:v>3.2651728500877517E-4</c:v>
                </c:pt>
                <c:pt idx="55">
                  <c:v>2.176781900058501E-4</c:v>
                </c:pt>
                <c:pt idx="56">
                  <c:v>3.0610995469572671E-4</c:v>
                </c:pt>
                <c:pt idx="57">
                  <c:v>1.1564153844060787E-4</c:v>
                </c:pt>
                <c:pt idx="58">
                  <c:v>1.7006108594207038E-4</c:v>
                </c:pt>
                <c:pt idx="59">
                  <c:v>2.0407330313048448E-4</c:v>
                </c:pt>
                <c:pt idx="60">
                  <c:v>1.6325864250438759E-4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abSelected="1" workbookViewId="0">
      <selection activeCell="N7" sqref="N7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  <col min="12" max="12" bestFit="true" customWidth="true" width="15.73046875" collapsed="true"/>
  </cols>
  <sheetData>
    <row r="1" spans="1:12" x14ac:dyDescent="0.45">
      <c r="A1" t="s">
        <v>1</v>
      </c>
    </row>
    <row r="2" spans="1:12" x14ac:dyDescent="0.45">
      <c r="A2" t="s">
        <v>244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4" t="s">
        <v>37</v>
      </c>
      <c r="B9" s="1"/>
      <c r="E9" s="4" t="s">
        <v>10</v>
      </c>
      <c r="F9" s="1"/>
      <c r="J9" s="9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349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56" t="n">
        <v>11673.500390895673</v>
      </c>
      <c r="C11" s="10">
        <f>B11/B$102</f>
        <v>6.7184886831513815E-2</v>
      </c>
      <c r="E11" s="17">
        <v>0</v>
      </c>
      <c r="F11" s="58" t="n">
        <v>13692.0</v>
      </c>
      <c r="G11" s="10">
        <f>F11/F$102</f>
        <v>9.0268424418050969E-2</v>
      </c>
      <c r="K11" s="7" t="n">
        <v>5.143530867336452</v>
      </c>
      <c r="L11" s="7" t="n">
        <v>5.320180655192998</v>
      </c>
    </row>
    <row r="12" spans="1:12" x14ac:dyDescent="0.45">
      <c r="A12">
        <v>1</v>
      </c>
      <c r="B12" s="56" t="n">
        <v>34338.318445392215</v>
      </c>
      <c r="C12" s="10">
        <f>B12/B$102</f>
        <v>0.19762847145123955</v>
      </c>
      <c r="E12" s="17">
        <v>1</v>
      </c>
      <c r="F12" s="58" t="n">
        <v>20131.0</v>
      </c>
      <c r="G12" s="10">
        <f>F12/F$102</f>
        <v>0.13549787083520401</v>
      </c>
      <c r="K12" s="7"/>
      <c r="L12" s="17"/>
    </row>
    <row r="13" spans="1:12" x14ac:dyDescent="0.45">
      <c r="A13">
        <v>2</v>
      </c>
      <c r="B13" s="56" t="n">
        <v>28104.62498874803</v>
      </c>
      <c r="C13" s="10">
        <f ref="C13:C76" si="0" t="shared">B13/B$102</f>
        <v>0.16175148722175997</v>
      </c>
      <c r="E13" s="17">
        <v>2</v>
      </c>
      <c r="F13" s="58" t="n">
        <v>22546.0</v>
      </c>
      <c r="G13" s="10">
        <f ref="G13:G76" si="1" t="shared">F13/F$102</f>
        <v>0.15032719752935253</v>
      </c>
    </row>
    <row r="14" spans="1:12" x14ac:dyDescent="0.45">
      <c r="A14">
        <v>3</v>
      </c>
      <c r="B14" s="56" t="n">
        <v>21733.71399559619</v>
      </c>
      <c r="C14" s="10">
        <f si="0" t="shared"/>
        <v>0.12508477031974322</v>
      </c>
      <c r="E14" s="17">
        <v>3</v>
      </c>
      <c r="F14" s="58" t="n">
        <v>21676.0</v>
      </c>
      <c r="G14" s="10">
        <f si="1" t="shared"/>
        <v>0.14851774757492892</v>
      </c>
    </row>
    <row r="15" spans="1:12" x14ac:dyDescent="0.45">
      <c r="A15">
        <v>4</v>
      </c>
      <c r="B15" s="56" t="n">
        <v>18461.133565468474</v>
      </c>
      <c r="C15" s="10">
        <f si="0" t="shared"/>
        <v>0.1062499788276698</v>
      </c>
      <c r="E15" s="17">
        <v>4</v>
      </c>
      <c r="F15" s="58" t="n">
        <v>15938.0</v>
      </c>
      <c r="G15" s="10">
        <f si="1" t="shared"/>
        <v>0.10947852468606724</v>
      </c>
    </row>
    <row r="16" spans="1:12" x14ac:dyDescent="0.45">
      <c r="A16">
        <v>5</v>
      </c>
      <c r="B16" s="56" t="n">
        <v>13033.991839534205</v>
      </c>
      <c r="C16" s="10">
        <f si="0" t="shared"/>
        <v>7.5014968722230124E-2</v>
      </c>
      <c r="E16" s="17">
        <v>5</v>
      </c>
      <c r="F16" s="58" t="n">
        <v>12367.0</v>
      </c>
      <c r="G16" s="10">
        <f si="1" t="shared"/>
        <v>8.4914901432594586E-2</v>
      </c>
    </row>
    <row r="17" spans="1:7" x14ac:dyDescent="0.45">
      <c r="A17">
        <v>6</v>
      </c>
      <c r="B17" s="56" t="n">
        <v>8115.5938344373735</v>
      </c>
      <c r="C17" s="10">
        <f si="0" t="shared"/>
        <v>4.6707948351331754E-2</v>
      </c>
      <c r="E17" s="17">
        <v>6</v>
      </c>
      <c r="F17" s="58" t="n">
        <v>9391.0</v>
      </c>
      <c r="G17" s="10">
        <f si="1" t="shared"/>
        <v>6.2528060079180436E-2</v>
      </c>
    </row>
    <row r="18" spans="1:7" x14ac:dyDescent="0.45">
      <c r="A18">
        <v>7</v>
      </c>
      <c r="B18" s="56" t="n">
        <v>7739.313958298236</v>
      </c>
      <c r="C18" s="10">
        <f si="0" t="shared"/>
        <v>4.4542332208028203E-2</v>
      </c>
      <c r="E18" s="17">
        <v>7</v>
      </c>
      <c r="F18" s="58" t="n">
        <v>6204.0</v>
      </c>
      <c r="G18" s="10">
        <f si="1" t="shared"/>
        <v>4.3909772390242574E-2</v>
      </c>
    </row>
    <row r="19" spans="1:7" x14ac:dyDescent="0.45">
      <c r="A19">
        <v>8</v>
      </c>
      <c r="B19" s="56" t="n">
        <v>5036.491015517588</v>
      </c>
      <c r="C19" s="10">
        <f si="0" t="shared"/>
        <v>2.8986685019464206E-2</v>
      </c>
      <c r="E19" s="17">
        <v>8</v>
      </c>
      <c r="F19" s="58" t="n">
        <v>4678.0</v>
      </c>
      <c r="G19" s="10">
        <f si="1" t="shared"/>
        <v>3.0876290763642299E-2</v>
      </c>
    </row>
    <row r="20" spans="1:7" x14ac:dyDescent="0.45">
      <c r="A20">
        <v>9</v>
      </c>
      <c r="B20" s="56" t="n">
        <v>2500.5124675243314</v>
      </c>
      <c r="C20" s="10">
        <f si="0" t="shared"/>
        <v>1.4391282950779228E-2</v>
      </c>
      <c r="E20" s="17">
        <v>9</v>
      </c>
      <c r="F20" s="58" t="n">
        <v>3660.0</v>
      </c>
      <c r="G20" s="10">
        <f si="1" t="shared"/>
        <v>2.5631606873188849E-2</v>
      </c>
    </row>
    <row r="21" spans="1:7" x14ac:dyDescent="0.45">
      <c r="A21">
        <v>10</v>
      </c>
      <c r="B21" s="56" t="n">
        <v>3490.708188311558</v>
      </c>
      <c r="C21" s="10">
        <f si="0" t="shared"/>
        <v>2.0090189466773673E-2</v>
      </c>
      <c r="E21" s="17">
        <v>10</v>
      </c>
      <c r="F21" s="58" t="n">
        <v>2679.0</v>
      </c>
      <c r="G21" s="10">
        <f si="1" t="shared"/>
        <v>1.7897228684543489E-2</v>
      </c>
    </row>
    <row r="22" spans="1:7" x14ac:dyDescent="0.45">
      <c r="A22">
        <v>11</v>
      </c>
      <c r="B22" s="56" t="n">
        <v>4467.696502677362</v>
      </c>
      <c r="C22" s="10">
        <f si="0" t="shared"/>
        <v>2.5713082955308671E-2</v>
      </c>
      <c r="E22" s="17">
        <v>11</v>
      </c>
      <c r="F22" s="58" t="n">
        <v>2198.0</v>
      </c>
      <c r="G22" s="10">
        <f si="1" t="shared"/>
        <v>1.5870100540114011E-2</v>
      </c>
    </row>
    <row r="23" spans="1:7" x14ac:dyDescent="0.45">
      <c r="A23">
        <v>12</v>
      </c>
      <c r="B23" s="56" t="n">
        <v>2598.4061006733195</v>
      </c>
      <c r="C23" s="10">
        <f si="0" t="shared"/>
        <v>1.4954693448436808E-2</v>
      </c>
      <c r="E23" s="17">
        <v>12</v>
      </c>
      <c r="F23" s="58" t="n">
        <v>2204.0</v>
      </c>
      <c r="G23" s="10">
        <f si="1" t="shared"/>
        <v>1.529189284791097E-2</v>
      </c>
    </row>
    <row r="24" spans="1:7" x14ac:dyDescent="0.45">
      <c r="A24">
        <v>13</v>
      </c>
      <c r="B24" s="56" t="n">
        <v>1967.1964095365586</v>
      </c>
      <c r="C24" s="10">
        <f si="0" t="shared"/>
        <v>1.1321871223232407E-2</v>
      </c>
      <c r="E24" s="17">
        <v>13</v>
      </c>
      <c r="F24" s="58" t="n">
        <v>1418.0</v>
      </c>
      <c r="G24" s="10">
        <f si="1" t="shared"/>
        <v>9.7819136633878895E-3</v>
      </c>
    </row>
    <row r="25" spans="1:7" x14ac:dyDescent="0.45">
      <c r="A25">
        <v>14</v>
      </c>
      <c r="B25" s="56" t="n">
        <v>1938.3613689906874</v>
      </c>
      <c r="C25" s="10">
        <f si="0" t="shared"/>
        <v>1.1155915950950293E-2</v>
      </c>
      <c r="E25" s="17">
        <v>14</v>
      </c>
      <c r="F25" s="58" t="n">
        <v>1261.0</v>
      </c>
      <c r="G25" s="10">
        <f si="1" t="shared"/>
        <v>8.4146225324136428E-3</v>
      </c>
    </row>
    <row r="26" spans="1:7" x14ac:dyDescent="0.45">
      <c r="A26">
        <v>15</v>
      </c>
      <c r="B26" s="56" t="n">
        <v>734.2137875514081</v>
      </c>
      <c r="C26" s="10">
        <f si="0" t="shared"/>
        <v>4.2256451428442261E-3</v>
      </c>
      <c r="E26" s="17">
        <v>15</v>
      </c>
      <c r="F26" s="58" t="n">
        <v>1003.0</v>
      </c>
      <c r="G26" s="10">
        <f si="1" t="shared"/>
        <v>6.8500605417465953E-3</v>
      </c>
    </row>
    <row r="27" spans="1:7" x14ac:dyDescent="0.45">
      <c r="A27">
        <v>16</v>
      </c>
      <c r="B27" s="56" t="n">
        <v>1764.2782645209165</v>
      </c>
      <c r="C27" s="10">
        <f si="0" t="shared"/>
        <v>1.01540096433785E-2</v>
      </c>
      <c r="E27" s="17">
        <v>16</v>
      </c>
      <c r="F27" s="58" t="n">
        <v>864.0</v>
      </c>
      <c r="G27" s="10">
        <f si="1" t="shared"/>
        <v>6.2718528495435558E-3</v>
      </c>
    </row>
    <row r="28" spans="1:7" x14ac:dyDescent="0.45">
      <c r="A28">
        <v>17</v>
      </c>
      <c r="B28" s="56" t="n">
        <v>372.06800371882844</v>
      </c>
      <c r="C28" s="10">
        <f si="0" t="shared"/>
        <v>2.141375413237021E-3</v>
      </c>
      <c r="E28" s="17">
        <v>17</v>
      </c>
      <c r="F28" s="58" t="n">
        <v>620.0</v>
      </c>
      <c r="G28" s="10">
        <f si="1" t="shared"/>
        <v>4.237922261676394E-3</v>
      </c>
    </row>
    <row r="29" spans="1:7" x14ac:dyDescent="0.45">
      <c r="A29">
        <v>18</v>
      </c>
      <c r="B29" s="56" t="n">
        <v>984.2140858489466</v>
      </c>
      <c r="C29" s="10">
        <f si="0" t="shared"/>
        <v>5.6644802125774179E-3</v>
      </c>
      <c r="E29" s="17">
        <v>18</v>
      </c>
      <c r="F29" s="58" t="n">
        <v>601.0</v>
      </c>
      <c r="G29" s="10">
        <f si="1" t="shared"/>
        <v>3.7889609947893282E-3</v>
      </c>
    </row>
    <row r="30" spans="1:7" x14ac:dyDescent="0.45">
      <c r="A30">
        <v>19</v>
      </c>
      <c r="B30" s="56" t="n">
        <v>331.1102266082792</v>
      </c>
      <c r="C30" s="10">
        <f si="0" t="shared"/>
        <v>1.9056497501626667E-3</v>
      </c>
      <c r="E30" s="17">
        <v>19</v>
      </c>
      <c r="F30" s="58" t="n">
        <v>503.0</v>
      </c>
      <c r="G30" s="10">
        <f si="1" t="shared"/>
        <v>3.7481463341632313E-3</v>
      </c>
    </row>
    <row r="31" spans="1:7" x14ac:dyDescent="0.45">
      <c r="A31">
        <v>20</v>
      </c>
      <c r="B31" s="56" t="n">
        <v>0.0</v>
      </c>
      <c r="C31" s="10">
        <f si="0" t="shared"/>
        <v>0</v>
      </c>
      <c r="E31" s="17">
        <v>20</v>
      </c>
      <c r="F31" s="58" t="n">
        <v>440.0</v>
      </c>
      <c r="G31" s="10">
        <f si="1" t="shared"/>
        <v>2.9454580085166594E-3</v>
      </c>
    </row>
    <row r="32" spans="1:7" x14ac:dyDescent="0.45">
      <c r="A32">
        <v>21</v>
      </c>
      <c r="B32" s="56" t="n">
        <v>1561.0843663346648</v>
      </c>
      <c r="C32" s="10">
        <f si="0" t="shared"/>
        <v>8.9845610120883948E-3</v>
      </c>
      <c r="E32" s="17">
        <v>21</v>
      </c>
      <c r="F32" s="58" t="n">
        <v>431.0</v>
      </c>
      <c r="G32" s="10">
        <f si="1" t="shared"/>
        <v>2.8774335741398312E-3</v>
      </c>
    </row>
    <row r="33" spans="1:7" x14ac:dyDescent="0.45">
      <c r="A33">
        <v>22</v>
      </c>
      <c r="B33" s="56" t="n">
        <v>92.9402843210037</v>
      </c>
      <c r="C33" s="10">
        <f si="0" t="shared"/>
        <v>5.3490232364795021E-4</v>
      </c>
      <c r="E33" s="17">
        <v>22</v>
      </c>
      <c r="F33" s="58" t="n">
        <v>352.0</v>
      </c>
      <c r="G33" s="10">
        <f si="1" t="shared"/>
        <v>2.4692869678788619E-3</v>
      </c>
    </row>
    <row r="34" spans="1:7" x14ac:dyDescent="0.45">
      <c r="A34">
        <v>23</v>
      </c>
      <c r="B34" s="56" t="n">
        <v>839.397441222819</v>
      </c>
      <c r="C34" s="10">
        <f si="0" t="shared"/>
        <v>4.8310121391866717E-3</v>
      </c>
      <c r="E34" s="17">
        <v>23</v>
      </c>
      <c r="F34" s="58" t="n">
        <v>332.0</v>
      </c>
      <c r="G34" s="10">
        <f si="1" t="shared"/>
        <v>2.3672503163136198E-3</v>
      </c>
    </row>
    <row r="35" spans="1:7" x14ac:dyDescent="0.45">
      <c r="A35">
        <v>24</v>
      </c>
      <c r="B35" s="56" t="n">
        <v>323.7164191689095</v>
      </c>
      <c r="C35" s="10">
        <f si="0" t="shared"/>
        <v>1.8630959231669968E-3</v>
      </c>
      <c r="E35" s="17">
        <v>24</v>
      </c>
      <c r="F35" s="58" t="n">
        <v>282.0</v>
      </c>
      <c r="G35" s="10">
        <f si="1" t="shared"/>
        <v>1.6665986422322897E-3</v>
      </c>
    </row>
    <row r="36" spans="1:7" x14ac:dyDescent="0.45">
      <c r="A36">
        <v>25</v>
      </c>
      <c r="B36" s="56" t="n">
        <v>0.0</v>
      </c>
      <c r="C36" s="10">
        <f si="0" t="shared"/>
        <v>0</v>
      </c>
      <c r="E36" s="17">
        <v>25</v>
      </c>
      <c r="F36" s="58" t="n">
        <v>291.0</v>
      </c>
      <c r="G36" s="10">
        <f si="1" t="shared"/>
        <v>1.9046841625511885E-3</v>
      </c>
    </row>
    <row r="37" spans="1:7" x14ac:dyDescent="0.45">
      <c r="A37">
        <v>26</v>
      </c>
      <c r="B37" s="56" t="n">
        <v>22.8699173794201</v>
      </c>
      <c r="C37" s="10">
        <f si="0" t="shared"/>
        <v>1.3162399961718065E-4</v>
      </c>
      <c r="E37" s="17">
        <v>26</v>
      </c>
      <c r="F37" s="58" t="n">
        <v>126.0</v>
      </c>
      <c r="G37" s="10">
        <f si="1" t="shared"/>
        <v>1.2652544794090038E-3</v>
      </c>
    </row>
    <row r="38" spans="1:7" x14ac:dyDescent="0.45">
      <c r="A38">
        <v>27</v>
      </c>
      <c r="B38" s="56" t="n">
        <v>367.175796910603</v>
      </c>
      <c r="C38" s="10">
        <f si="0" t="shared"/>
        <v>2.1132191319365697E-3</v>
      </c>
      <c r="E38" s="17">
        <v>27</v>
      </c>
      <c r="F38" s="58" t="n">
        <v>157.0</v>
      </c>
      <c r="G38" s="10">
        <f si="1" t="shared"/>
        <v>1.0951933934669332E-3</v>
      </c>
    </row>
    <row r="39" spans="1:7" x14ac:dyDescent="0.45">
      <c r="A39">
        <v>28</v>
      </c>
      <c r="B39" s="56" t="n">
        <v>145.614349367465</v>
      </c>
      <c r="C39" s="10">
        <f si="0" t="shared"/>
        <v>8.3805913014125687E-4</v>
      </c>
      <c r="E39" s="17">
        <v>28</v>
      </c>
      <c r="F39" s="58" t="n">
        <v>184.0</v>
      </c>
      <c r="G39" s="10">
        <f si="1" t="shared"/>
        <v>1.067983619716202E-3</v>
      </c>
    </row>
    <row r="40" spans="1:7" x14ac:dyDescent="0.45">
      <c r="A40">
        <v>29</v>
      </c>
      <c r="B40" s="56" t="n">
        <v>129.0175391824056</v>
      </c>
      <c r="C40" s="10">
        <f si="0" t="shared"/>
        <v>7.4253895395511678E-4</v>
      </c>
      <c r="E40" s="17">
        <v>29</v>
      </c>
      <c r="F40" s="58" t="n">
        <v>136.0</v>
      </c>
      <c r="G40" s="10">
        <f si="1" t="shared"/>
        <v>9.3193475096254577E-4</v>
      </c>
    </row>
    <row r="41" spans="1:7" x14ac:dyDescent="0.45">
      <c r="A41">
        <v>30</v>
      </c>
      <c r="B41" s="56" t="n">
        <v>614.347682999807</v>
      </c>
      <c r="C41" s="10">
        <f si="0" t="shared"/>
        <v>3.5357757463850017E-3</v>
      </c>
      <c r="E41" s="17">
        <v>30</v>
      </c>
      <c r="F41" s="58" t="n">
        <v>115.0</v>
      </c>
      <c r="G41" s="10">
        <f si="1" t="shared"/>
        <v>6.9384923064364716E-4</v>
      </c>
    </row>
    <row r="42" spans="1:7" x14ac:dyDescent="0.45">
      <c r="A42">
        <v>31</v>
      </c>
      <c r="B42" s="56" t="n">
        <v>125.8409522097713</v>
      </c>
      <c r="C42" s="10">
        <f si="0" t="shared"/>
        <v>7.2425663681626221E-4</v>
      </c>
      <c r="E42" s="17">
        <v>31</v>
      </c>
      <c r="F42" s="58" t="n">
        <v>105.0</v>
      </c>
      <c r="G42" s="10">
        <f si="1" t="shared"/>
        <v>6.5983701345523316E-4</v>
      </c>
    </row>
    <row r="43" spans="1:7" x14ac:dyDescent="0.45">
      <c r="A43">
        <v>32</v>
      </c>
      <c r="B43" s="56" t="n">
        <v>0.0</v>
      </c>
      <c r="C43" s="10">
        <f si="0" t="shared"/>
        <v>0</v>
      </c>
      <c r="E43" s="17">
        <v>32</v>
      </c>
      <c r="F43" s="58" t="n">
        <v>80.0</v>
      </c>
      <c r="G43" s="10">
        <f si="1" t="shared"/>
        <v>3.877392759479205E-4</v>
      </c>
    </row>
    <row r="44" spans="1:7" x14ac:dyDescent="0.45">
      <c r="A44">
        <v>33</v>
      </c>
      <c r="B44" s="56" t="n">
        <v>117.8419918230697</v>
      </c>
      <c r="C44" s="10">
        <f si="0" t="shared"/>
        <v>6.782199528436089E-4</v>
      </c>
      <c r="E44" s="17">
        <v>33</v>
      </c>
      <c r="F44" s="58" t="n">
        <v>58.0</v>
      </c>
      <c r="G44" s="10">
        <f si="1" t="shared"/>
        <v>3.537270587595064E-4</v>
      </c>
    </row>
    <row r="45" spans="1:7" x14ac:dyDescent="0.45">
      <c r="A45">
        <v>34</v>
      </c>
      <c r="B45" s="56" t="n">
        <v>26.5857646477065</v>
      </c>
      <c r="C45" s="10">
        <f si="0" t="shared"/>
        <v>1.5300993955321871E-4</v>
      </c>
      <c r="E45" s="17">
        <v>34</v>
      </c>
      <c r="F45" s="58" t="n">
        <v>62.0</v>
      </c>
      <c r="G45" s="10">
        <f si="1" t="shared"/>
        <v>3.537270587595064E-4</v>
      </c>
    </row>
    <row r="46" spans="1:7" x14ac:dyDescent="0.45">
      <c r="A46">
        <v>35</v>
      </c>
      <c r="B46" s="56" t="n">
        <v>0.0</v>
      </c>
      <c r="C46" s="10">
        <f si="0" t="shared"/>
        <v>0</v>
      </c>
      <c r="E46" s="17">
        <v>35</v>
      </c>
      <c r="F46" s="58" t="n">
        <v>40.0</v>
      </c>
      <c r="G46" s="10">
        <f si="1" t="shared"/>
        <v>2.7890018094499543E-4</v>
      </c>
    </row>
    <row r="47" spans="1:7" x14ac:dyDescent="0.45">
      <c r="A47">
        <v>36</v>
      </c>
      <c r="B47" s="56" t="n">
        <v>0.0</v>
      </c>
      <c r="C47" s="10">
        <f si="0" t="shared"/>
        <v>0</v>
      </c>
      <c r="E47" s="17">
        <v>36</v>
      </c>
      <c r="F47" s="58" t="n">
        <v>52.0</v>
      </c>
      <c r="G47" s="10">
        <f si="1" t="shared"/>
        <v>3.1971484157109235E-4</v>
      </c>
    </row>
    <row r="48" spans="1:7" x14ac:dyDescent="0.45">
      <c r="A48">
        <v>37</v>
      </c>
      <c r="B48" s="56" t="n">
        <v>0.0</v>
      </c>
      <c r="C48" s="10">
        <f si="0" t="shared"/>
        <v>0</v>
      </c>
      <c r="E48" s="17">
        <v>37</v>
      </c>
      <c r="F48" s="58" t="n">
        <v>60.0</v>
      </c>
      <c r="G48" s="10">
        <f si="1" t="shared"/>
        <v>2.8570262438267825E-4</v>
      </c>
    </row>
    <row r="49" spans="1:7" x14ac:dyDescent="0.45">
      <c r="A49">
        <v>38</v>
      </c>
      <c r="B49" s="56" t="n">
        <v>0.0</v>
      </c>
      <c r="C49" s="10">
        <f si="0" t="shared"/>
        <v>0</v>
      </c>
      <c r="E49" s="17">
        <v>38</v>
      </c>
      <c r="F49" s="58" t="n">
        <v>57.0</v>
      </c>
      <c r="G49" s="10">
        <f si="1" t="shared"/>
        <v>5.033808143885284E-4</v>
      </c>
    </row>
    <row r="50" spans="1:7" x14ac:dyDescent="0.45">
      <c r="A50">
        <v>39</v>
      </c>
      <c r="B50" s="56" t="n">
        <v>0.0</v>
      </c>
      <c r="C50" s="10">
        <f si="0" t="shared"/>
        <v>0</v>
      </c>
      <c r="E50" s="17">
        <v>39</v>
      </c>
      <c r="F50" s="58" t="n">
        <v>12.0</v>
      </c>
      <c r="G50" s="10">
        <f si="1" t="shared"/>
        <v>8.1629321252193793E-5</v>
      </c>
    </row>
    <row r="51" spans="1:7" x14ac:dyDescent="0.45">
      <c r="A51">
        <v>40</v>
      </c>
      <c r="B51" s="56" t="n">
        <v>0.0</v>
      </c>
      <c r="C51" s="10">
        <f si="0" t="shared"/>
        <v>0</v>
      </c>
      <c r="E51" s="17">
        <v>40</v>
      </c>
      <c r="F51" s="58" t="n">
        <v>24.0</v>
      </c>
      <c r="G51" s="10">
        <f si="1" t="shared"/>
        <v>1.360488687536563E-4</v>
      </c>
    </row>
    <row r="52" spans="1:7" x14ac:dyDescent="0.45">
      <c r="A52">
        <v>41</v>
      </c>
      <c r="B52" s="56" t="n">
        <v>0.0</v>
      </c>
      <c r="C52" s="10">
        <f si="0" t="shared"/>
        <v>0</v>
      </c>
      <c r="E52" s="17">
        <v>41</v>
      </c>
      <c r="F52" s="58" t="n">
        <v>64.0</v>
      </c>
      <c r="G52" s="10">
        <f si="1" t="shared"/>
        <v>4.1494904969865173E-4</v>
      </c>
    </row>
    <row r="53" spans="1:7" x14ac:dyDescent="0.45">
      <c r="A53">
        <v>42</v>
      </c>
      <c r="B53" s="56" t="n">
        <v>0.0</v>
      </c>
      <c r="C53" s="10">
        <f si="0" t="shared"/>
        <v>0</v>
      </c>
      <c r="E53" s="17">
        <v>42</v>
      </c>
      <c r="F53" s="58" t="n">
        <v>8.0</v>
      </c>
      <c r="G53" s="10">
        <f si="1" t="shared"/>
        <v>8.1629321252193793E-5</v>
      </c>
    </row>
    <row r="54" spans="1:7" x14ac:dyDescent="0.45">
      <c r="A54">
        <v>43</v>
      </c>
      <c r="B54" s="56" t="n">
        <v>0.0</v>
      </c>
      <c r="C54" s="10">
        <f si="0" t="shared"/>
        <v>0</v>
      </c>
      <c r="E54" s="17">
        <v>43</v>
      </c>
      <c r="F54" s="58" t="n">
        <v>11.0</v>
      </c>
      <c r="G54" s="10">
        <f si="1" t="shared"/>
        <v>7.4826877814510972E-5</v>
      </c>
    </row>
    <row r="55" spans="1:7" x14ac:dyDescent="0.45">
      <c r="A55">
        <v>44</v>
      </c>
      <c r="B55" s="56" t="n">
        <v>0.0</v>
      </c>
      <c r="C55" s="10">
        <f si="0" t="shared"/>
        <v>0</v>
      </c>
      <c r="E55" s="17">
        <v>44</v>
      </c>
      <c r="F55" s="58" t="n">
        <v>18.0</v>
      </c>
      <c r="G55" s="10">
        <f si="1" t="shared"/>
        <v>1.4965375562902194E-4</v>
      </c>
    </row>
    <row r="56" spans="1:7" x14ac:dyDescent="0.45">
      <c r="A56">
        <v>45</v>
      </c>
      <c r="B56" s="56" t="n">
        <v>0.0</v>
      </c>
      <c r="C56" s="10">
        <f si="0" t="shared"/>
        <v>0</v>
      </c>
      <c r="E56" s="17">
        <v>45</v>
      </c>
      <c r="F56" s="58" t="n">
        <v>14.0</v>
      </c>
      <c r="G56" s="10">
        <f si="1" t="shared"/>
        <v>2.1087574656816728E-4</v>
      </c>
    </row>
    <row r="57" spans="1:7" x14ac:dyDescent="0.45">
      <c r="A57">
        <v>46</v>
      </c>
      <c r="B57" s="56" t="n">
        <v>0.0</v>
      </c>
      <c r="C57" s="10">
        <f si="0" t="shared"/>
        <v>0</v>
      </c>
      <c r="E57" s="17">
        <v>46</v>
      </c>
      <c r="F57" s="58" t="n">
        <v>49.0</v>
      </c>
      <c r="G57" s="10">
        <f si="1" t="shared"/>
        <v>3.7413438907255486E-4</v>
      </c>
    </row>
    <row r="58" spans="1:7" x14ac:dyDescent="0.45">
      <c r="A58">
        <v>47</v>
      </c>
      <c r="B58" s="56" t="n">
        <v>0.0</v>
      </c>
      <c r="C58" s="10">
        <f si="0" t="shared"/>
        <v>0</v>
      </c>
      <c r="E58" s="17">
        <v>47</v>
      </c>
      <c r="F58" s="58" t="n">
        <v>6.0</v>
      </c>
      <c r="G58" s="10">
        <f si="1" t="shared"/>
        <v>2.0407330313048448E-5</v>
      </c>
    </row>
    <row r="59" spans="1:7" x14ac:dyDescent="0.45">
      <c r="A59">
        <v>48</v>
      </c>
      <c r="B59" s="56" t="n">
        <v>0.0</v>
      </c>
      <c r="C59" s="10">
        <f si="0" t="shared"/>
        <v>0</v>
      </c>
      <c r="E59" s="17">
        <v>48</v>
      </c>
      <c r="F59" s="58" t="n">
        <v>10.0</v>
      </c>
      <c r="G59" s="10">
        <f si="1" t="shared"/>
        <v>6.1221990939145345E-5</v>
      </c>
    </row>
    <row r="60" spans="1:7" x14ac:dyDescent="0.45">
      <c r="A60">
        <v>49</v>
      </c>
      <c r="B60" s="56" t="n">
        <v>0.0</v>
      </c>
      <c r="C60" s="10">
        <f si="0" t="shared"/>
        <v>0</v>
      </c>
      <c r="E60" s="17">
        <v>49</v>
      </c>
      <c r="F60" s="58" t="n">
        <v>3.0</v>
      </c>
      <c r="G60" s="10">
        <f si="1" t="shared"/>
        <v>6.8024434376828155E-6</v>
      </c>
    </row>
    <row r="61" spans="1:7" x14ac:dyDescent="0.45">
      <c r="A61">
        <v>50</v>
      </c>
      <c r="B61" s="56" t="n">
        <v>0.0</v>
      </c>
      <c r="C61" s="10">
        <f si="0" t="shared"/>
        <v>0</v>
      </c>
      <c r="E61" s="17">
        <v>50</v>
      </c>
      <c r="F61" s="58" t="n">
        <v>0.0</v>
      </c>
      <c r="G61" s="10">
        <f si="1" t="shared"/>
        <v>1.3604886875365631E-5</v>
      </c>
    </row>
    <row r="62" spans="1:7" x14ac:dyDescent="0.45">
      <c r="A62">
        <v>51</v>
      </c>
      <c r="B62" s="56" t="n">
        <v>0.0</v>
      </c>
      <c r="C62" s="10">
        <f si="0" t="shared"/>
        <v>0</v>
      </c>
      <c r="E62" s="17">
        <v>51</v>
      </c>
      <c r="F62" s="58" t="n">
        <v>4.0</v>
      </c>
      <c r="G62" s="10">
        <f si="1" t="shared"/>
        <v>6.8024434376828155E-6</v>
      </c>
    </row>
    <row r="63" spans="1:7" x14ac:dyDescent="0.45">
      <c r="A63">
        <v>52</v>
      </c>
      <c r="B63" s="56" t="n">
        <v>0.0</v>
      </c>
      <c r="C63" s="10">
        <f si="0" t="shared"/>
        <v>0</v>
      </c>
      <c r="E63" s="17">
        <v>52</v>
      </c>
      <c r="F63" s="58" t="n">
        <v>31.0</v>
      </c>
      <c r="G63" s="10">
        <f si="1" t="shared"/>
        <v>1.9727085969280166E-4</v>
      </c>
    </row>
    <row r="64" spans="1:7" x14ac:dyDescent="0.45">
      <c r="A64">
        <v>53</v>
      </c>
      <c r="B64" s="56" t="n">
        <v>0.0</v>
      </c>
      <c r="C64" s="10">
        <f si="0" t="shared"/>
        <v>0</v>
      </c>
      <c r="E64" s="17">
        <v>53</v>
      </c>
      <c r="F64" s="58" t="n">
        <v>21.0</v>
      </c>
      <c r="G64" s="10">
        <f si="1" t="shared"/>
        <v>1.768635293797532E-4</v>
      </c>
    </row>
    <row r="65" spans="1:7" x14ac:dyDescent="0.45">
      <c r="A65">
        <v>54</v>
      </c>
      <c r="B65" s="56" t="n">
        <v>0.0</v>
      </c>
      <c r="C65" s="10">
        <f si="0" t="shared"/>
        <v>0</v>
      </c>
      <c r="E65" s="17">
        <v>54</v>
      </c>
      <c r="F65" s="58" t="n">
        <v>3.0</v>
      </c>
      <c r="G65" s="10">
        <f si="1" t="shared"/>
        <v>0</v>
      </c>
    </row>
    <row r="66" spans="1:7" x14ac:dyDescent="0.45">
      <c r="A66">
        <v>55</v>
      </c>
      <c r="B66" s="56" t="n">
        <v>0.0</v>
      </c>
      <c r="C66" s="10">
        <f si="0" t="shared"/>
        <v>0</v>
      </c>
      <c r="E66" s="17">
        <v>55</v>
      </c>
      <c r="F66" s="58" t="n">
        <v>2.0</v>
      </c>
      <c r="G66" s="10">
        <f si="1" t="shared"/>
        <v>2.0407330313048448E-5</v>
      </c>
    </row>
    <row r="67" spans="1:7" x14ac:dyDescent="0.45">
      <c r="A67">
        <v>56</v>
      </c>
      <c r="B67" s="56" t="n">
        <v>0.0</v>
      </c>
      <c r="C67" s="10">
        <f si="0" t="shared"/>
        <v>0</v>
      </c>
      <c r="E67" s="17">
        <v>56</v>
      </c>
      <c r="F67" s="58" t="n">
        <v>1.0</v>
      </c>
      <c r="G67" s="10">
        <f si="1" t="shared"/>
        <v>2.0407330313048448E-5</v>
      </c>
    </row>
    <row r="68" spans="1:7" x14ac:dyDescent="0.45">
      <c r="A68">
        <v>57</v>
      </c>
      <c r="B68" s="56" t="n">
        <v>0.0</v>
      </c>
      <c r="C68" s="10">
        <f si="0" t="shared"/>
        <v>0</v>
      </c>
      <c r="E68" s="17">
        <v>57</v>
      </c>
      <c r="F68" s="58" t="n">
        <v>16.0</v>
      </c>
      <c r="G68" s="10">
        <f si="1" t="shared"/>
        <v>1.7006108594207038E-4</v>
      </c>
    </row>
    <row r="69" spans="1:7" x14ac:dyDescent="0.45">
      <c r="A69">
        <v>58</v>
      </c>
      <c r="B69" s="56" t="n">
        <v>0.0</v>
      </c>
      <c r="C69" s="10">
        <f si="0" t="shared"/>
        <v>0</v>
      </c>
      <c r="E69" s="17">
        <v>58</v>
      </c>
      <c r="F69" s="58" t="n">
        <v>45.0</v>
      </c>
      <c r="G69" s="10">
        <f si="1" t="shared"/>
        <v>2.6529529406962979E-4</v>
      </c>
    </row>
    <row r="70" spans="1:7" x14ac:dyDescent="0.45">
      <c r="A70">
        <v>59</v>
      </c>
      <c r="B70" s="56" t="n">
        <v>0.0</v>
      </c>
      <c r="C70" s="10">
        <f si="0" t="shared"/>
        <v>0</v>
      </c>
      <c r="E70" s="17">
        <v>59</v>
      </c>
      <c r="F70" s="58" t="n">
        <v>1.0</v>
      </c>
      <c r="G70" s="10">
        <f si="1" t="shared"/>
        <v>1.3604886875365631E-5</v>
      </c>
    </row>
    <row r="71" spans="1:7" x14ac:dyDescent="0.45">
      <c r="A71">
        <v>60</v>
      </c>
      <c r="B71" s="56" t="n">
        <v>0.0</v>
      </c>
      <c r="C71" s="10">
        <f si="0" t="shared"/>
        <v>0</v>
      </c>
      <c r="E71" s="17">
        <v>60</v>
      </c>
      <c r="F71" s="58" t="n">
        <v>4.0</v>
      </c>
      <c r="G71" s="10">
        <f si="1" t="shared"/>
        <v>3.4012217188414076E-5</v>
      </c>
    </row>
    <row r="72" spans="1:7" x14ac:dyDescent="0.45">
      <c r="A72">
        <v>61</v>
      </c>
      <c r="B72" s="56" t="n">
        <v>0.0</v>
      </c>
      <c r="C72" s="10">
        <f si="0" t="shared"/>
        <v>0</v>
      </c>
      <c r="E72" s="17">
        <v>61</v>
      </c>
      <c r="F72" s="58" t="n">
        <v>13.0</v>
      </c>
      <c r="G72" s="10">
        <f si="1" t="shared"/>
        <v>8.1629321252193793E-5</v>
      </c>
    </row>
    <row r="73" spans="1:7" x14ac:dyDescent="0.45">
      <c r="A73">
        <v>62</v>
      </c>
      <c r="B73" s="56" t="n">
        <v>0.0</v>
      </c>
      <c r="C73" s="10">
        <f si="0" t="shared"/>
        <v>0</v>
      </c>
      <c r="E73" s="17">
        <v>62</v>
      </c>
      <c r="F73" s="58" t="n">
        <v>3.0</v>
      </c>
      <c r="G73" s="10">
        <f si="1" t="shared"/>
        <v>6.8024434376828155E-6</v>
      </c>
    </row>
    <row r="74" spans="1:7" x14ac:dyDescent="0.45">
      <c r="A74">
        <v>63</v>
      </c>
      <c r="B74" s="56" t="n">
        <v>0.0</v>
      </c>
      <c r="C74" s="10">
        <f si="0" t="shared"/>
        <v>0</v>
      </c>
      <c r="E74" s="17">
        <v>63</v>
      </c>
      <c r="F74" s="58" t="n">
        <v>0.0</v>
      </c>
      <c r="G74" s="10">
        <f si="1" t="shared"/>
        <v>0</v>
      </c>
    </row>
    <row r="75" spans="1:7" x14ac:dyDescent="0.45">
      <c r="A75">
        <v>64</v>
      </c>
      <c r="B75" s="56" t="n">
        <v>0.0</v>
      </c>
      <c r="C75" s="10">
        <f si="0" t="shared"/>
        <v>0</v>
      </c>
      <c r="E75" s="17">
        <v>64</v>
      </c>
      <c r="F75" s="58" t="n">
        <v>1.0</v>
      </c>
      <c r="G75" s="10">
        <f si="1" t="shared"/>
        <v>0</v>
      </c>
    </row>
    <row r="76" spans="1:7" x14ac:dyDescent="0.45">
      <c r="A76">
        <v>65</v>
      </c>
      <c r="B76" s="56" t="n">
        <v>0.0</v>
      </c>
      <c r="C76" s="10">
        <f si="0" t="shared"/>
        <v>0</v>
      </c>
      <c r="E76" s="17">
        <v>65</v>
      </c>
      <c r="F76" s="58" t="n">
        <v>3.0</v>
      </c>
      <c r="G76" s="10">
        <f si="1" t="shared"/>
        <v>4.761710406377971E-5</v>
      </c>
    </row>
    <row r="77" spans="1:7" x14ac:dyDescent="0.45">
      <c r="A77">
        <v>66</v>
      </c>
      <c r="B77" s="56" t="n">
        <v>0.0</v>
      </c>
      <c r="C77" s="10">
        <f ref="C77:C102" si="2" t="shared">B77/B$102</f>
        <v>0</v>
      </c>
      <c r="E77" s="17">
        <v>66</v>
      </c>
      <c r="F77" s="58" t="n">
        <v>1.0</v>
      </c>
      <c r="G77" s="10">
        <f ref="G77:G102" si="3" t="shared">F77/F$102</f>
        <v>1.3604886875365631E-5</v>
      </c>
    </row>
    <row r="78" spans="1:7" x14ac:dyDescent="0.45">
      <c r="A78">
        <v>67</v>
      </c>
      <c r="B78" s="56" t="n">
        <v>0.0</v>
      </c>
      <c r="C78" s="10">
        <f si="2" t="shared"/>
        <v>0</v>
      </c>
      <c r="E78" s="17">
        <v>67</v>
      </c>
      <c r="F78" s="58" t="n">
        <v>29.0</v>
      </c>
      <c r="G78" s="10">
        <f si="3" t="shared"/>
        <v>1.7006108594207038E-4</v>
      </c>
    </row>
    <row r="79" spans="1:7" x14ac:dyDescent="0.45">
      <c r="A79">
        <v>68</v>
      </c>
      <c r="B79" s="56" t="n">
        <v>0.0</v>
      </c>
      <c r="C79" s="10">
        <f si="2" t="shared"/>
        <v>0</v>
      </c>
      <c r="E79" s="17">
        <v>68</v>
      </c>
      <c r="F79" s="58" t="n">
        <v>16.0</v>
      </c>
      <c r="G79" s="10">
        <f si="3" t="shared"/>
        <v>1.2244398187829069E-4</v>
      </c>
    </row>
    <row r="80" spans="1:7" x14ac:dyDescent="0.45">
      <c r="A80">
        <v>69</v>
      </c>
      <c r="B80" s="56" t="n">
        <v>0.0</v>
      </c>
      <c r="C80" s="10">
        <f si="2" t="shared"/>
        <v>0</v>
      </c>
      <c r="E80" s="17">
        <v>69</v>
      </c>
      <c r="F80" s="58" t="n">
        <v>1.0</v>
      </c>
      <c r="G80" s="10">
        <f si="3" t="shared"/>
        <v>0</v>
      </c>
    </row>
    <row r="81" spans="1:7" x14ac:dyDescent="0.45">
      <c r="A81">
        <v>70</v>
      </c>
      <c r="B81" s="56" t="n">
        <v>0.0</v>
      </c>
      <c r="C81" s="10">
        <f si="2" t="shared"/>
        <v>0</v>
      </c>
      <c r="E81" s="17">
        <v>70</v>
      </c>
      <c r="F81" s="58" t="n">
        <v>2.0</v>
      </c>
      <c r="G81" s="10">
        <f si="3" t="shared"/>
        <v>1.3604886875365631E-5</v>
      </c>
    </row>
    <row r="82" spans="1:7" x14ac:dyDescent="0.45">
      <c r="A82">
        <v>71</v>
      </c>
      <c r="B82" s="56" t="n">
        <v>0.0</v>
      </c>
      <c r="C82" s="10">
        <f si="2" t="shared"/>
        <v>0</v>
      </c>
      <c r="E82" s="17">
        <v>71</v>
      </c>
      <c r="F82" s="58" t="n">
        <v>2.0</v>
      </c>
      <c r="G82" s="10">
        <f si="3" t="shared"/>
        <v>6.8024434376828155E-6</v>
      </c>
    </row>
    <row r="83" spans="1:7" x14ac:dyDescent="0.45">
      <c r="A83">
        <v>72</v>
      </c>
      <c r="B83" s="56" t="n">
        <v>0.0</v>
      </c>
      <c r="C83" s="10">
        <f si="2" t="shared"/>
        <v>0</v>
      </c>
      <c r="E83" s="17">
        <v>72</v>
      </c>
      <c r="F83" s="58" t="n">
        <v>1.0</v>
      </c>
      <c r="G83" s="10">
        <f si="3" t="shared"/>
        <v>6.8024434376828155E-6</v>
      </c>
    </row>
    <row r="84" spans="1:7" x14ac:dyDescent="0.45">
      <c r="A84">
        <v>73</v>
      </c>
      <c r="B84" s="56" t="n">
        <v>0.0</v>
      </c>
      <c r="C84" s="10">
        <f si="2" t="shared"/>
        <v>0</v>
      </c>
      <c r="E84" s="17">
        <v>73</v>
      </c>
      <c r="F84" s="58" t="n">
        <v>9.0</v>
      </c>
      <c r="G84" s="10">
        <f si="3" t="shared"/>
        <v>6.8024434376828155E-6</v>
      </c>
    </row>
    <row r="85" spans="1:7" x14ac:dyDescent="0.45">
      <c r="A85">
        <v>74</v>
      </c>
      <c r="B85" s="56" t="n">
        <v>0.0</v>
      </c>
      <c r="C85" s="10">
        <f si="2" t="shared"/>
        <v>0</v>
      </c>
      <c r="E85" s="17">
        <v>74</v>
      </c>
      <c r="F85" s="58" t="n">
        <v>6.0</v>
      </c>
      <c r="G85" s="10">
        <f si="3" t="shared"/>
        <v>4.761710406377971E-5</v>
      </c>
    </row>
    <row r="86" spans="1:7" x14ac:dyDescent="0.45">
      <c r="A86">
        <v>75</v>
      </c>
      <c r="B86" s="56" t="n">
        <v>0.0</v>
      </c>
      <c r="C86" s="10">
        <f si="2" t="shared"/>
        <v>0</v>
      </c>
      <c r="E86" s="17">
        <v>75</v>
      </c>
      <c r="F86" s="58" t="n">
        <v>6.0</v>
      </c>
      <c r="G86" s="10">
        <f si="3" t="shared"/>
        <v>3.4012217188414076E-5</v>
      </c>
    </row>
    <row r="87" spans="1:7" x14ac:dyDescent="0.45">
      <c r="A87">
        <v>76</v>
      </c>
      <c r="B87" s="56" t="n">
        <v>0.0</v>
      </c>
      <c r="C87" s="10">
        <f si="2" t="shared"/>
        <v>0</v>
      </c>
      <c r="E87" s="17">
        <v>76</v>
      </c>
      <c r="F87" s="58" t="n">
        <v>5.0</v>
      </c>
      <c r="G87" s="10">
        <f si="3" t="shared"/>
        <v>0</v>
      </c>
    </row>
    <row r="88" spans="1:7" x14ac:dyDescent="0.45">
      <c r="A88">
        <v>77</v>
      </c>
      <c r="B88" s="56" t="n">
        <v>0.0</v>
      </c>
      <c r="C88" s="10">
        <f si="2" t="shared"/>
        <v>0</v>
      </c>
      <c r="E88" s="17">
        <v>77</v>
      </c>
      <c r="F88" s="58" t="n">
        <v>5.0</v>
      </c>
      <c r="G88" s="10">
        <f si="3" t="shared"/>
        <v>2.7209773750731262E-5</v>
      </c>
    </row>
    <row r="89" spans="1:7" x14ac:dyDescent="0.45">
      <c r="A89">
        <v>78</v>
      </c>
      <c r="B89" s="56" t="n">
        <v>0.0</v>
      </c>
      <c r="C89" s="10">
        <f si="2" t="shared"/>
        <v>0</v>
      </c>
      <c r="E89" s="17">
        <v>78</v>
      </c>
      <c r="F89" s="58" t="n">
        <v>0.0</v>
      </c>
      <c r="G89" s="10">
        <f si="3" t="shared"/>
        <v>6.8024434376828155E-6</v>
      </c>
    </row>
    <row r="90" spans="1:7" x14ac:dyDescent="0.45">
      <c r="A90">
        <v>79</v>
      </c>
      <c r="B90" s="56" t="n">
        <v>0.0</v>
      </c>
      <c r="C90" s="10">
        <f si="2" t="shared"/>
        <v>0</v>
      </c>
      <c r="E90" s="17">
        <v>79</v>
      </c>
      <c r="F90" s="58" t="n">
        <v>1.0</v>
      </c>
      <c r="G90" s="10">
        <f si="3" t="shared"/>
        <v>6.8024434376828155E-6</v>
      </c>
    </row>
    <row r="91" spans="1:7" x14ac:dyDescent="0.45">
      <c r="A91">
        <v>80</v>
      </c>
      <c r="B91" s="56" t="n">
        <v>0.0</v>
      </c>
      <c r="C91" s="10">
        <f si="2" t="shared"/>
        <v>0</v>
      </c>
      <c r="E91" s="17">
        <v>80</v>
      </c>
      <c r="F91" s="58" t="n">
        <v>0.0</v>
      </c>
      <c r="G91" s="10">
        <f si="3" t="shared"/>
        <v>0</v>
      </c>
    </row>
    <row r="92" spans="1:7" x14ac:dyDescent="0.45">
      <c r="A92">
        <v>81</v>
      </c>
      <c r="B92" s="56" t="n">
        <v>0.0</v>
      </c>
      <c r="C92" s="10">
        <f si="2" t="shared"/>
        <v>0</v>
      </c>
      <c r="E92" s="17">
        <v>81</v>
      </c>
      <c r="F92" s="58" t="n">
        <v>2.0</v>
      </c>
      <c r="G92" s="10">
        <f si="3" t="shared"/>
        <v>6.8024434376828155E-6</v>
      </c>
    </row>
    <row r="93" spans="1:7" x14ac:dyDescent="0.45">
      <c r="A93">
        <v>82</v>
      </c>
      <c r="B93" s="56" t="n">
        <v>0.0</v>
      </c>
      <c r="C93" s="10">
        <f si="2" t="shared"/>
        <v>0</v>
      </c>
      <c r="E93" s="17">
        <v>82</v>
      </c>
      <c r="F93" s="58" t="n">
        <v>1.0</v>
      </c>
      <c r="G93" s="10">
        <f si="3" t="shared"/>
        <v>6.8024434376828155E-6</v>
      </c>
    </row>
    <row r="94" spans="1:7" x14ac:dyDescent="0.45">
      <c r="A94">
        <v>83</v>
      </c>
      <c r="B94" s="56" t="n">
        <v>0.0</v>
      </c>
      <c r="C94" s="10">
        <f si="2" t="shared"/>
        <v>0</v>
      </c>
      <c r="E94" s="17">
        <v>83</v>
      </c>
      <c r="F94" s="58" t="n">
        <v>0.0</v>
      </c>
      <c r="G94" s="10">
        <f si="3" t="shared"/>
        <v>0</v>
      </c>
    </row>
    <row r="95" spans="1:7" x14ac:dyDescent="0.45">
      <c r="A95">
        <v>84</v>
      </c>
      <c r="B95" s="56" t="n">
        <v>0.0</v>
      </c>
      <c r="C95" s="10">
        <f si="2" t="shared"/>
        <v>0</v>
      </c>
      <c r="E95" s="17">
        <v>84</v>
      </c>
      <c r="F95" s="58" t="n">
        <v>5.0</v>
      </c>
      <c r="G95" s="10">
        <f si="3" t="shared"/>
        <v>6.8024434376828155E-6</v>
      </c>
    </row>
    <row r="96" spans="1:7" x14ac:dyDescent="0.45">
      <c r="A96">
        <v>85</v>
      </c>
      <c r="B96" s="56" t="n">
        <v>0.0</v>
      </c>
      <c r="C96" s="10">
        <f si="2" t="shared"/>
        <v>0</v>
      </c>
      <c r="E96" s="17">
        <v>85</v>
      </c>
      <c r="F96" s="58" t="n">
        <v>3.0</v>
      </c>
      <c r="G96" s="10">
        <f si="3" t="shared"/>
        <v>2.0407330313048448E-5</v>
      </c>
    </row>
    <row r="97" spans="1:7" x14ac:dyDescent="0.45">
      <c r="A97">
        <v>86</v>
      </c>
      <c r="B97" s="56" t="n">
        <v>0.0</v>
      </c>
      <c r="C97" s="10">
        <f si="2" t="shared"/>
        <v>0</v>
      </c>
      <c r="E97" s="17">
        <v>86</v>
      </c>
      <c r="F97" s="58" t="n">
        <v>0.0</v>
      </c>
      <c r="G97" s="10">
        <f si="3" t="shared"/>
        <v>3.4012217188414076E-5</v>
      </c>
    </row>
    <row r="98" spans="1:7" x14ac:dyDescent="0.45">
      <c r="A98">
        <v>87</v>
      </c>
      <c r="B98" s="56" t="n">
        <v>0.0</v>
      </c>
      <c r="C98" s="10">
        <f si="2" t="shared"/>
        <v>0</v>
      </c>
      <c r="E98" s="17">
        <v>87</v>
      </c>
      <c r="F98" s="58" t="n">
        <v>0.0</v>
      </c>
      <c r="G98" s="10">
        <f si="3" t="shared"/>
        <v>0</v>
      </c>
    </row>
    <row r="99" spans="1:7" x14ac:dyDescent="0.45">
      <c r="A99">
        <v>88</v>
      </c>
      <c r="B99" s="56" t="n">
        <v>0.0</v>
      </c>
      <c r="C99" s="10">
        <f si="2" t="shared"/>
        <v>0</v>
      </c>
      <c r="E99" s="17">
        <v>88</v>
      </c>
      <c r="F99" s="58" t="n">
        <v>1.0</v>
      </c>
      <c r="G99" s="10">
        <f si="3" t="shared"/>
        <v>1.3604886875365631E-5</v>
      </c>
    </row>
    <row r="100" spans="1:7" x14ac:dyDescent="0.45">
      <c r="A100">
        <v>89</v>
      </c>
      <c r="B100" s="56" t="n">
        <v>0.0</v>
      </c>
      <c r="C100" s="10">
        <f si="2" t="shared"/>
        <v>0</v>
      </c>
      <c r="E100" s="17">
        <v>89</v>
      </c>
      <c r="F100" s="58" t="n">
        <v>0.0</v>
      </c>
      <c r="G100" s="10">
        <f si="3" t="shared"/>
        <v>0</v>
      </c>
    </row>
    <row ht="14.65" r="101" spans="1:7" thickBot="1" x14ac:dyDescent="0.5">
      <c r="A101" s="1">
        <v>90</v>
      </c>
      <c r="B101" s="57" t="n">
        <v>0.0</v>
      </c>
      <c r="C101" s="10">
        <f si="2" t="shared"/>
        <v>0</v>
      </c>
      <c r="E101" s="18">
        <v>90</v>
      </c>
      <c r="F101" s="59" t="n">
        <v>44.0</v>
      </c>
      <c r="G101" s="10">
        <f si="3" t="shared"/>
        <v>2.516904071942642E-4</v>
      </c>
    </row>
    <row r="102" spans="1:7" x14ac:dyDescent="0.45">
      <c r="B102" s="56">
        <f>SUM(B11:B101)</f>
        <v>173751.87994541787</v>
      </c>
      <c r="C102" s="10">
        <f si="2" t="shared"/>
        <v>1</v>
      </c>
      <c r="F102" s="56">
        <f>SUM(F11:F101)</f>
        <v>147006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O11" sqref="O1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244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4" t="s">
        <v>35</v>
      </c>
      <c r="B9" s="1"/>
      <c r="E9" s="4" t="s">
        <v>11</v>
      </c>
      <c r="F9" s="1"/>
      <c r="J9" s="9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7" t="n">
        <v>0.0</v>
      </c>
      <c r="C11" s="10">
        <f>B11/B$102</f>
        <v>0</v>
      </c>
      <c r="E11" s="17">
        <v>0</v>
      </c>
      <c r="F11" s="17" t="n">
        <v>3093.0</v>
      </c>
      <c r="G11" s="10">
        <f>F11/F$102</f>
        <v>2.0495762077738323E-2</v>
      </c>
      <c r="K11" s="7" t="n">
        <v>12.155563603551274</v>
      </c>
      <c r="L11" s="7" t="n">
        <v>14.243888293552034</v>
      </c>
    </row>
    <row r="12" spans="1:12" x14ac:dyDescent="0.45">
      <c r="A12">
        <v>1</v>
      </c>
      <c r="B12" s="7" t="n">
        <v>0.0</v>
      </c>
      <c r="C12" s="10">
        <f>B12/B$102</f>
        <v>0</v>
      </c>
      <c r="E12" s="17">
        <v>1</v>
      </c>
      <c r="F12" s="17" t="n">
        <v>1627.0</v>
      </c>
      <c r="G12" s="10">
        <f>F12/F$102</f>
        <v>1.0999551038733114E-2</v>
      </c>
      <c r="K12" s="7"/>
      <c r="L12" s="17"/>
    </row>
    <row r="13" spans="1:12" x14ac:dyDescent="0.45">
      <c r="A13">
        <v>2</v>
      </c>
      <c r="B13" s="7" t="n">
        <v>74.8844039488912</v>
      </c>
      <c r="C13" s="10">
        <f ref="C13:C76" si="0" t="shared">B13/B$102</f>
        <v>4.309847120642108E-4</v>
      </c>
      <c r="E13" s="17">
        <v>2</v>
      </c>
      <c r="F13" s="17" t="n">
        <v>1658.0</v>
      </c>
      <c r="G13" s="10">
        <f ref="G13:G76" si="1" t="shared">F13/F$102</f>
        <v>1.0577799545596778E-2</v>
      </c>
    </row>
    <row r="14" spans="1:12" x14ac:dyDescent="0.45">
      <c r="A14">
        <v>3</v>
      </c>
      <c r="B14" s="7" t="n">
        <v>5395.184847127299</v>
      </c>
      <c r="C14" s="10">
        <f si="0" t="shared"/>
        <v>3.1051087613107473E-2</v>
      </c>
      <c r="E14" s="17">
        <v>3</v>
      </c>
      <c r="F14" s="17" t="n">
        <v>2985.0</v>
      </c>
      <c r="G14" s="10">
        <f si="1" t="shared"/>
        <v>2.0176047236167231E-2</v>
      </c>
    </row>
    <row r="15" spans="1:12" x14ac:dyDescent="0.45">
      <c r="A15">
        <v>4</v>
      </c>
      <c r="B15" s="7" t="n">
        <v>10811.583079538155</v>
      </c>
      <c r="C15" s="10">
        <f si="0" t="shared"/>
        <v>6.2224265331313214E-2</v>
      </c>
      <c r="E15" s="17">
        <v>4</v>
      </c>
      <c r="F15" s="17" t="n">
        <v>5377.0</v>
      </c>
      <c r="G15" s="10">
        <f si="1" t="shared"/>
        <v>3.6399874835040744E-2</v>
      </c>
    </row>
    <row r="16" spans="1:12" x14ac:dyDescent="0.45">
      <c r="A16">
        <v>5</v>
      </c>
      <c r="B16" s="7" t="n">
        <v>14127.27578178502</v>
      </c>
      <c r="C16" s="10">
        <f si="0" t="shared"/>
        <v>8.1307182323569371E-2</v>
      </c>
      <c r="E16" s="17">
        <v>5</v>
      </c>
      <c r="F16" s="17" t="n">
        <v>7869.0</v>
      </c>
      <c r="G16" s="10">
        <f si="1" t="shared"/>
        <v>5.2018284967960494E-2</v>
      </c>
    </row>
    <row r="17" spans="1:7" x14ac:dyDescent="0.45">
      <c r="A17">
        <v>6</v>
      </c>
      <c r="B17" s="7" t="n">
        <v>22847.589586930302</v>
      </c>
      <c r="C17" s="10">
        <f si="0" t="shared"/>
        <v>0.1314954957270541</v>
      </c>
      <c r="E17" s="17">
        <v>6</v>
      </c>
      <c r="F17" s="17" t="n">
        <v>9785.0</v>
      </c>
      <c r="G17" s="10">
        <f si="1" t="shared"/>
        <v>6.359604369889664E-2</v>
      </c>
    </row>
    <row r="18" spans="1:7" x14ac:dyDescent="0.45">
      <c r="A18">
        <v>7</v>
      </c>
      <c r="B18" s="7" t="n">
        <v>18193.881547856654</v>
      </c>
      <c r="C18" s="10">
        <f si="0" t="shared"/>
        <v>0.10471185436135746</v>
      </c>
      <c r="E18" s="17">
        <v>7</v>
      </c>
      <c r="F18" s="17" t="n">
        <v>10741.0</v>
      </c>
      <c r="G18" s="10">
        <f si="1" t="shared"/>
        <v>7.3527611117913561E-2</v>
      </c>
    </row>
    <row r="19" spans="1:7" x14ac:dyDescent="0.45">
      <c r="A19">
        <v>8</v>
      </c>
      <c r="B19" s="7" t="n">
        <v>11287.20071013492</v>
      </c>
      <c r="C19" s="10">
        <f si="0" t="shared"/>
        <v>6.4961603371892551E-2</v>
      </c>
      <c r="E19" s="17">
        <v>8</v>
      </c>
      <c r="F19" s="17" t="n">
        <v>10425.0</v>
      </c>
      <c r="G19" s="10">
        <f si="1" t="shared"/>
        <v>7.308545229446417E-2</v>
      </c>
    </row>
    <row r="20" spans="1:7" x14ac:dyDescent="0.45">
      <c r="A20">
        <v>9</v>
      </c>
      <c r="B20" s="7" t="n">
        <v>8866.5603712977</v>
      </c>
      <c r="C20" s="10">
        <f si="0" t="shared"/>
        <v>5.1030011152011896E-2</v>
      </c>
      <c r="E20" s="17">
        <v>9</v>
      </c>
      <c r="F20" s="17" t="n">
        <v>10251.0</v>
      </c>
      <c r="G20" s="10">
        <f si="1" t="shared"/>
        <v>7.4949321796389259E-2</v>
      </c>
    </row>
    <row r="21" spans="1:7" x14ac:dyDescent="0.45">
      <c r="A21">
        <v>10</v>
      </c>
      <c r="B21" s="7" t="n">
        <v>8060.843953516157</v>
      </c>
      <c r="C21" s="10">
        <f si="0" t="shared"/>
        <v>4.6392844532377901E-2</v>
      </c>
      <c r="E21" s="17">
        <v>10</v>
      </c>
      <c r="F21" s="17" t="n">
        <v>9391.0</v>
      </c>
      <c r="G21" s="10">
        <f si="1" t="shared"/>
        <v>6.563677673020149E-2</v>
      </c>
    </row>
    <row r="22" spans="1:7" x14ac:dyDescent="0.45">
      <c r="A22">
        <v>11</v>
      </c>
      <c r="B22" s="7" t="n">
        <v>12442.021032568384</v>
      </c>
      <c r="C22" s="10">
        <f si="0" t="shared"/>
        <v>7.1607979358133594E-2</v>
      </c>
      <c r="E22" s="17">
        <v>11</v>
      </c>
      <c r="F22" s="17" t="n">
        <v>8536.0</v>
      </c>
      <c r="G22" s="10">
        <f si="1" t="shared"/>
        <v>6.3160687318884939E-2</v>
      </c>
    </row>
    <row r="23" spans="1:7" x14ac:dyDescent="0.45">
      <c r="A23">
        <v>12</v>
      </c>
      <c r="B23" s="7" t="n">
        <v>7942.6476526591305</v>
      </c>
      <c r="C23" s="10">
        <f si="0" t="shared"/>
        <v>4.5712585412913086E-2</v>
      </c>
      <c r="E23" s="17">
        <v>12</v>
      </c>
      <c r="F23" s="17" t="n">
        <v>7962.0</v>
      </c>
      <c r="G23" s="10">
        <f si="1" t="shared"/>
        <v>5.6133763247758595E-2</v>
      </c>
    </row>
    <row r="24" spans="1:7" x14ac:dyDescent="0.45">
      <c r="A24">
        <v>13</v>
      </c>
      <c r="B24" s="7" t="n">
        <v>6580.070148774857</v>
      </c>
      <c r="C24" s="10">
        <f si="0" t="shared"/>
        <v>3.7870497578742245E-2</v>
      </c>
      <c r="E24" s="17">
        <v>13</v>
      </c>
      <c r="F24" s="17" t="n">
        <v>6938.0</v>
      </c>
      <c r="G24" s="10">
        <f si="1" t="shared"/>
        <v>5.0338081438852836E-2</v>
      </c>
    </row>
    <row r="25" spans="1:7" x14ac:dyDescent="0.45">
      <c r="A25">
        <v>14</v>
      </c>
      <c r="B25" s="7" t="n">
        <v>7254.338823346769</v>
      </c>
      <c r="C25" s="10">
        <f si="0" t="shared"/>
        <v>4.1751138609985909E-2</v>
      </c>
      <c r="E25" s="17">
        <v>14</v>
      </c>
      <c r="F25" s="17" t="n">
        <v>6168.0</v>
      </c>
      <c r="G25" s="10">
        <f si="1" t="shared"/>
        <v>4.2569691033019059E-2</v>
      </c>
    </row>
    <row r="26" spans="1:7" x14ac:dyDescent="0.45">
      <c r="A26">
        <v>15</v>
      </c>
      <c r="B26" s="7" t="n">
        <v>5433.642850577139</v>
      </c>
      <c r="C26" s="10">
        <f si="0" t="shared"/>
        <v>3.1272426245310597E-2</v>
      </c>
      <c r="E26" s="17">
        <v>15</v>
      </c>
      <c r="F26" s="17" t="n">
        <v>5183.0</v>
      </c>
      <c r="G26" s="10">
        <f si="1" t="shared"/>
        <v>3.7930424608519378E-2</v>
      </c>
    </row>
    <row r="27" spans="1:7" x14ac:dyDescent="0.45">
      <c r="A27">
        <v>16</v>
      </c>
      <c r="B27" s="7" t="n">
        <v>1955.4494483124126</v>
      </c>
      <c r="C27" s="10">
        <f si="0" t="shared"/>
        <v>1.1254263544812841E-2</v>
      </c>
      <c r="E27" s="17">
        <v>16</v>
      </c>
      <c r="F27" s="17" t="n">
        <v>4545.0</v>
      </c>
      <c r="G27" s="10">
        <f si="1" t="shared"/>
        <v>3.2080323252112158E-2</v>
      </c>
    </row>
    <row r="28" spans="1:7" x14ac:dyDescent="0.45">
      <c r="A28">
        <v>17</v>
      </c>
      <c r="B28" s="7" t="n">
        <v>4921.569322224811</v>
      </c>
      <c r="C28" s="10">
        <f si="0" t="shared"/>
        <v>2.8325272358324223E-2</v>
      </c>
      <c r="E28" s="17">
        <v>17</v>
      </c>
      <c r="F28" s="17" t="n">
        <v>3962.0</v>
      </c>
      <c r="G28" s="10">
        <f si="1" t="shared"/>
        <v>2.6339060990707864E-2</v>
      </c>
    </row>
    <row r="29" spans="1:7" x14ac:dyDescent="0.45">
      <c r="A29">
        <v>18</v>
      </c>
      <c r="B29" s="7" t="n">
        <v>2419.700988637695</v>
      </c>
      <c r="C29" s="10">
        <f si="0" t="shared"/>
        <v>1.3926185946292018E-2</v>
      </c>
      <c r="E29" s="17">
        <v>18</v>
      </c>
      <c r="F29" s="17" t="n">
        <v>3448.0</v>
      </c>
      <c r="G29" s="10">
        <f si="1" t="shared"/>
        <v>2.2475273118104024E-2</v>
      </c>
    </row>
    <row r="30" spans="1:7" x14ac:dyDescent="0.45">
      <c r="A30">
        <v>19</v>
      </c>
      <c r="B30" s="7" t="n">
        <v>3649.6622283129263</v>
      </c>
      <c r="C30" s="10">
        <f si="0" t="shared"/>
        <v>2.1005022964122329E-2</v>
      </c>
      <c r="E30" s="17">
        <v>19</v>
      </c>
      <c r="F30" s="17" t="n">
        <v>2992.0</v>
      </c>
      <c r="G30" s="10">
        <f si="1" t="shared"/>
        <v>1.9373358910520659E-2</v>
      </c>
    </row>
    <row r="31" spans="1:7" x14ac:dyDescent="0.45">
      <c r="A31">
        <v>20</v>
      </c>
      <c r="B31" s="7" t="n">
        <v>1491.0676199252043</v>
      </c>
      <c r="C31" s="10">
        <f si="0" t="shared"/>
        <v>8.5815912920977119E-3</v>
      </c>
      <c r="E31" s="17">
        <v>20</v>
      </c>
      <c r="F31" s="17" t="n">
        <v>2630.0</v>
      </c>
      <c r="G31" s="10">
        <f si="1" t="shared"/>
        <v>1.6842849951702651E-2</v>
      </c>
    </row>
    <row r="32" spans="1:7" x14ac:dyDescent="0.45">
      <c r="A32">
        <v>21</v>
      </c>
      <c r="B32" s="7" t="n">
        <v>1036.130053427214</v>
      </c>
      <c r="C32" s="10">
        <f si="0" t="shared"/>
        <v>5.963273915382687E-3</v>
      </c>
      <c r="E32" s="17">
        <v>21</v>
      </c>
      <c r="F32" s="17" t="n">
        <v>2356.0</v>
      </c>
      <c r="G32" s="10">
        <f si="1" t="shared"/>
        <v>1.483612913758622E-2</v>
      </c>
    </row>
    <row r="33" spans="1:7" x14ac:dyDescent="0.45">
      <c r="A33">
        <v>22</v>
      </c>
      <c r="B33" s="7" t="n">
        <v>722.4172679539016</v>
      </c>
      <c r="C33" s="10">
        <f si="0" t="shared"/>
        <v>4.1577522394626231E-3</v>
      </c>
      <c r="E33" s="17">
        <v>22</v>
      </c>
      <c r="F33" s="17" t="n">
        <v>2089.0</v>
      </c>
      <c r="G33" s="10">
        <f si="1" t="shared"/>
        <v>1.2564113029400161E-2</v>
      </c>
    </row>
    <row r="34" spans="1:7" x14ac:dyDescent="0.45">
      <c r="A34">
        <v>23</v>
      </c>
      <c r="B34" s="7" t="n">
        <v>1261.93375548312</v>
      </c>
      <c r="C34" s="10">
        <f si="0" t="shared"/>
        <v>7.2628495063163769E-3</v>
      </c>
      <c r="E34" s="17">
        <v>23</v>
      </c>
      <c r="F34" s="17" t="n">
        <v>1792.0</v>
      </c>
      <c r="G34" s="10">
        <f si="1" t="shared"/>
        <v>1.1455314749057862E-2</v>
      </c>
    </row>
    <row r="35" spans="1:7" x14ac:dyDescent="0.45">
      <c r="A35">
        <v>24</v>
      </c>
      <c r="B35" s="7" t="n">
        <v>2060.474297942181</v>
      </c>
      <c r="C35" s="10">
        <f si="0" t="shared"/>
        <v>1.1858716570948504E-2</v>
      </c>
      <c r="E35" s="17">
        <v>24</v>
      </c>
      <c r="F35" s="17" t="n">
        <v>1629.0</v>
      </c>
      <c r="G35" s="10">
        <f si="1" t="shared"/>
        <v>9.4281866046283819E-3</v>
      </c>
    </row>
    <row r="36" spans="1:7" x14ac:dyDescent="0.45">
      <c r="A36">
        <v>25</v>
      </c>
      <c r="B36" s="7" t="n">
        <v>1386.625247223046</v>
      </c>
      <c r="C36" s="10">
        <f si="0" t="shared"/>
        <v>7.9804906148850819E-3</v>
      </c>
      <c r="E36" s="17">
        <v>25</v>
      </c>
      <c r="F36" s="17" t="n">
        <v>1388.0</v>
      </c>
      <c r="G36" s="10">
        <f si="1" t="shared"/>
        <v>8.9520155639905858E-3</v>
      </c>
    </row>
    <row r="37" spans="1:7" x14ac:dyDescent="0.45">
      <c r="A37">
        <v>26</v>
      </c>
      <c r="B37" s="7" t="n">
        <v>475.9985791034052</v>
      </c>
      <c r="C37" s="10">
        <f si="0" t="shared"/>
        <v>2.7395305262477437E-3</v>
      </c>
      <c r="E37" s="17">
        <v>26</v>
      </c>
      <c r="F37" s="17" t="n">
        <v>1246.0</v>
      </c>
      <c r="G37" s="10">
        <f si="1" t="shared"/>
        <v>6.9861094105002517E-3</v>
      </c>
    </row>
    <row r="38" spans="1:7" x14ac:dyDescent="0.45">
      <c r="A38">
        <v>27</v>
      </c>
      <c r="B38" s="7" t="n">
        <v>1085.5739045426965</v>
      </c>
      <c r="C38" s="10">
        <f si="0" t="shared"/>
        <v>6.2478397637120093E-3</v>
      </c>
      <c r="E38" s="17">
        <v>27</v>
      </c>
      <c r="F38" s="17" t="n">
        <v>1105.0</v>
      </c>
      <c r="G38" s="10">
        <f si="1" t="shared"/>
        <v>6.8432580983089127E-3</v>
      </c>
    </row>
    <row r="39" spans="1:7" x14ac:dyDescent="0.45">
      <c r="A39">
        <v>28</v>
      </c>
      <c r="B39" s="7" t="n">
        <v>293.4525832451311</v>
      </c>
      <c r="C39" s="10">
        <f si="0" t="shared"/>
        <v>1.6889174571078941E-3</v>
      </c>
      <c r="E39" s="17">
        <v>28</v>
      </c>
      <c r="F39" s="17" t="n">
        <v>1036.0</v>
      </c>
      <c r="G39" s="10">
        <f si="1" t="shared"/>
        <v>5.4079425329578382E-3</v>
      </c>
    </row>
    <row r="40" spans="1:7" x14ac:dyDescent="0.45">
      <c r="A40">
        <v>29</v>
      </c>
      <c r="B40" s="7" t="n">
        <v>3125.40063620257</v>
      </c>
      <c r="C40" s="10">
        <f si="0" t="shared"/>
        <v>1.798772270656513E-2</v>
      </c>
      <c r="E40" s="17">
        <v>29</v>
      </c>
      <c r="F40" s="17" t="n">
        <v>753.0</v>
      </c>
      <c r="G40" s="10">
        <f si="1" t="shared"/>
        <v>4.7549079629402883E-3</v>
      </c>
    </row>
    <row r="41" spans="1:7" x14ac:dyDescent="0.45">
      <c r="A41">
        <v>30</v>
      </c>
      <c r="B41" s="7" t="n">
        <v>1163.8859681550719</v>
      </c>
      <c r="C41" s="10">
        <f si="0" t="shared"/>
        <v>6.6985517999614951E-3</v>
      </c>
      <c r="E41" s="17">
        <v>30</v>
      </c>
      <c r="F41" s="17" t="n">
        <v>730.0</v>
      </c>
      <c r="G41" s="10">
        <f si="1" t="shared"/>
        <v>4.25152714855176E-3</v>
      </c>
    </row>
    <row r="42" spans="1:7" x14ac:dyDescent="0.45">
      <c r="A42">
        <v>31</v>
      </c>
      <c r="B42" s="7" t="n">
        <v>186.9391541755856</v>
      </c>
      <c r="C42" s="10">
        <f si="0" t="shared"/>
        <v>1.075897159986473E-3</v>
      </c>
      <c r="E42" s="17">
        <v>31</v>
      </c>
      <c r="F42" s="17" t="n">
        <v>622.0</v>
      </c>
      <c r="G42" s="10">
        <f si="1" t="shared"/>
        <v>4.0066391847951785E-3</v>
      </c>
    </row>
    <row r="43" spans="1:7" x14ac:dyDescent="0.45">
      <c r="A43">
        <v>32</v>
      </c>
      <c r="B43" s="7" t="n">
        <v>1073.035091826599</v>
      </c>
      <c r="C43" s="10">
        <f si="0" t="shared"/>
        <v>6.1756747159436836E-3</v>
      </c>
      <c r="E43" s="17">
        <v>32</v>
      </c>
      <c r="F43" s="17" t="n">
        <v>597.0</v>
      </c>
      <c r="G43" s="10">
        <f si="1" t="shared"/>
        <v>3.5236657007196985E-3</v>
      </c>
    </row>
    <row r="44" spans="1:7" x14ac:dyDescent="0.45">
      <c r="A44">
        <v>33</v>
      </c>
      <c r="B44" s="7" t="n">
        <v>49.6927684640005</v>
      </c>
      <c r="C44" s="10">
        <f si="0" t="shared"/>
        <v>2.8599845066200683E-4</v>
      </c>
      <c r="E44" s="17">
        <v>33</v>
      </c>
      <c r="F44" s="17" t="n">
        <v>535.0</v>
      </c>
      <c r="G44" s="10">
        <f si="1" t="shared"/>
        <v>2.8162115832006855E-3</v>
      </c>
    </row>
    <row r="45" spans="1:7" x14ac:dyDescent="0.45">
      <c r="A45">
        <v>34</v>
      </c>
      <c r="B45" s="7" t="n">
        <v>269.39500876749463</v>
      </c>
      <c r="C45" s="10">
        <f si="0" t="shared"/>
        <v>1.5504580949116757E-3</v>
      </c>
      <c r="E45" s="17">
        <v>34</v>
      </c>
      <c r="F45" s="17" t="n">
        <v>498.0</v>
      </c>
      <c r="G45" s="10">
        <f si="1" t="shared"/>
        <v>2.6461504972586153E-3</v>
      </c>
    </row>
    <row r="46" spans="1:7" x14ac:dyDescent="0.45">
      <c r="A46">
        <v>35</v>
      </c>
      <c r="B46" s="7" t="n">
        <v>444.37529739022943</v>
      </c>
      <c r="C46" s="10">
        <f si="0" t="shared"/>
        <v>2.5575279964154922E-3</v>
      </c>
      <c r="E46" s="17">
        <v>35</v>
      </c>
      <c r="F46" s="17" t="n">
        <v>439.0</v>
      </c>
      <c r="G46" s="10">
        <f si="1" t="shared"/>
        <v>2.4896942981919106E-3</v>
      </c>
    </row>
    <row r="47" spans="1:7" x14ac:dyDescent="0.45">
      <c r="A47">
        <v>36</v>
      </c>
      <c r="B47" s="7" t="n">
        <v>691.4407995586693</v>
      </c>
      <c r="C47" s="10">
        <f si="0" t="shared"/>
        <v>3.9794723359302796E-3</v>
      </c>
      <c r="E47" s="17">
        <v>36</v>
      </c>
      <c r="F47" s="17" t="n">
        <v>351.0</v>
      </c>
      <c r="G47" s="10">
        <f si="1" t="shared"/>
        <v>2.0815476919309418E-3</v>
      </c>
    </row>
    <row r="48" spans="1:7" x14ac:dyDescent="0.45">
      <c r="A48">
        <v>37</v>
      </c>
      <c r="B48" s="7" t="n">
        <v>24.0592179985813</v>
      </c>
      <c r="C48" s="10">
        <f si="0" t="shared"/>
        <v>1.3846882120722512E-4</v>
      </c>
      <c r="E48" s="17">
        <v>37</v>
      </c>
      <c r="F48" s="17" t="n">
        <v>329.0</v>
      </c>
      <c r="G48" s="10">
        <f si="1" t="shared"/>
        <v>1.9250914928642369E-3</v>
      </c>
    </row>
    <row r="49" spans="1:7" x14ac:dyDescent="0.45">
      <c r="A49">
        <v>38</v>
      </c>
      <c r="B49" s="7" t="n">
        <v>743.4480277924225</v>
      </c>
      <c r="C49" s="10">
        <f si="0" t="shared"/>
        <v>4.2787912742352401E-3</v>
      </c>
      <c r="E49" s="17">
        <v>38</v>
      </c>
      <c r="F49" s="17" t="n">
        <v>293.0</v>
      </c>
      <c r="G49" s="10">
        <f si="1" t="shared"/>
        <v>1.9114866059888713E-3</v>
      </c>
    </row>
    <row r="50" spans="1:7" x14ac:dyDescent="0.45">
      <c r="A50">
        <v>39</v>
      </c>
      <c r="B50" s="7" t="n">
        <v>283.7701423457288</v>
      </c>
      <c r="C50" s="10">
        <f si="0" t="shared"/>
        <v>1.6331917814925055E-3</v>
      </c>
      <c r="E50" s="17">
        <v>39</v>
      </c>
      <c r="F50" s="17" t="n">
        <v>280.0</v>
      </c>
      <c r="G50" s="10">
        <f si="1" t="shared"/>
        <v>1.4897351128525366E-3</v>
      </c>
    </row>
    <row r="51" spans="1:7" x14ac:dyDescent="0.45">
      <c r="A51">
        <v>40</v>
      </c>
      <c r="B51" s="7" t="n">
        <v>1709.6140427864632</v>
      </c>
      <c r="C51" s="10">
        <f si="0" t="shared"/>
        <v>9.8393988216042283E-3</v>
      </c>
      <c r="E51" s="17">
        <v>40</v>
      </c>
      <c r="F51" s="17" t="n">
        <v>225.0</v>
      </c>
      <c r="G51" s="10">
        <f si="1" t="shared"/>
        <v>1.2584520359713209E-3</v>
      </c>
    </row>
    <row r="52" spans="1:7" x14ac:dyDescent="0.45">
      <c r="A52">
        <v>41</v>
      </c>
      <c r="B52" s="7" t="n">
        <v>0.0</v>
      </c>
      <c r="C52" s="10">
        <f si="0" t="shared"/>
        <v>0</v>
      </c>
      <c r="E52" s="17">
        <v>41</v>
      </c>
      <c r="F52" s="17" t="n">
        <v>220.0</v>
      </c>
      <c r="G52" s="10">
        <f si="1" t="shared"/>
        <v>1.2788593662843694E-3</v>
      </c>
    </row>
    <row r="53" spans="1:7" x14ac:dyDescent="0.45">
      <c r="A53">
        <v>42</v>
      </c>
      <c r="B53" s="7" t="n">
        <v>301.2661796941884</v>
      </c>
      <c r="C53" s="10">
        <f si="0" t="shared"/>
        <v>1.7338873098168941E-3</v>
      </c>
      <c r="E53" s="17">
        <v>42</v>
      </c>
      <c r="F53" s="17" t="n">
        <v>193.0</v>
      </c>
      <c r="G53" s="10">
        <f si="1" t="shared"/>
        <v>9.5914452471327705E-4</v>
      </c>
    </row>
    <row r="54" spans="1:7" x14ac:dyDescent="0.45">
      <c r="A54">
        <v>43</v>
      </c>
      <c r="B54" s="7" t="n">
        <v>0.0</v>
      </c>
      <c r="C54" s="10">
        <f si="0" t="shared"/>
        <v>0</v>
      </c>
      <c r="E54" s="17">
        <v>43</v>
      </c>
      <c r="F54" s="17" t="n">
        <v>180.0</v>
      </c>
      <c r="G54" s="10">
        <f si="1" t="shared"/>
        <v>1.0339714025277881E-3</v>
      </c>
    </row>
    <row r="55" spans="1:7" x14ac:dyDescent="0.45">
      <c r="A55">
        <v>44</v>
      </c>
      <c r="B55" s="7" t="n">
        <v>0.0</v>
      </c>
      <c r="C55" s="10">
        <f si="0" t="shared"/>
        <v>0</v>
      </c>
      <c r="E55" s="17">
        <v>44</v>
      </c>
      <c r="F55" s="17" t="n">
        <v>171.0</v>
      </c>
      <c r="G55" s="10">
        <f si="1" t="shared"/>
        <v>6.8024434376828152E-4</v>
      </c>
    </row>
    <row r="56" spans="1:7" x14ac:dyDescent="0.45">
      <c r="A56">
        <v>45</v>
      </c>
      <c r="B56" s="7" t="n">
        <v>0.0</v>
      </c>
      <c r="C56" s="10">
        <f si="0" t="shared"/>
        <v>0</v>
      </c>
      <c r="E56" s="17">
        <v>45</v>
      </c>
      <c r="F56" s="17" t="n">
        <v>146.0</v>
      </c>
      <c r="G56" s="10">
        <f si="1" t="shared"/>
        <v>6.5983701345523316E-4</v>
      </c>
    </row>
    <row r="57" spans="1:7" x14ac:dyDescent="0.45">
      <c r="A57">
        <v>46</v>
      </c>
      <c r="B57" s="7" t="n">
        <v>707.2879673208107</v>
      </c>
      <c r="C57" s="10">
        <f si="0" t="shared"/>
        <v>4.0706780700329537E-3</v>
      </c>
      <c r="E57" s="17">
        <v>46</v>
      </c>
      <c r="F57" s="17" t="n">
        <v>127.0</v>
      </c>
      <c r="G57" s="10">
        <f si="1" t="shared"/>
        <v>6.1902235282913624E-4</v>
      </c>
    </row>
    <row r="58" spans="1:7" x14ac:dyDescent="0.45">
      <c r="A58">
        <v>47</v>
      </c>
      <c r="B58" s="7" t="n">
        <v>43.4289781720416</v>
      </c>
      <c r="C58" s="10">
        <f si="0" t="shared"/>
        <v>2.4994824911065327E-4</v>
      </c>
      <c r="E58" s="17">
        <v>47</v>
      </c>
      <c r="F58" s="17" t="n">
        <v>82.0</v>
      </c>
      <c r="G58" s="10">
        <f si="1" t="shared"/>
        <v>6.054174659537706E-4</v>
      </c>
    </row>
    <row r="59" spans="1:7" x14ac:dyDescent="0.45">
      <c r="A59">
        <v>48</v>
      </c>
      <c r="B59" s="7" t="n">
        <v>110.603371177252</v>
      </c>
      <c r="C59" s="10">
        <f si="0" t="shared"/>
        <v>6.3655927758592785E-4</v>
      </c>
      <c r="E59" s="17">
        <v>48</v>
      </c>
      <c r="F59" s="17" t="n">
        <v>98.0</v>
      </c>
      <c r="G59" s="10">
        <f si="1" t="shared"/>
        <v>5.8501013564072214E-4</v>
      </c>
    </row>
    <row r="60" spans="1:7" x14ac:dyDescent="0.45">
      <c r="A60">
        <v>49</v>
      </c>
      <c r="B60" s="7" t="n">
        <v>190.8451752632998</v>
      </c>
      <c r="C60" s="10">
        <f si="0" t="shared"/>
        <v>1.0983776136594993E-3</v>
      </c>
      <c r="E60" s="17">
        <v>49</v>
      </c>
      <c r="F60" s="17" t="n">
        <v>90.0</v>
      </c>
      <c r="G60" s="10">
        <f si="1" t="shared"/>
        <v>5.1698570126389404E-4</v>
      </c>
    </row>
    <row r="61" spans="1:7" x14ac:dyDescent="0.45">
      <c r="A61">
        <v>50</v>
      </c>
      <c r="B61" s="7" t="n">
        <v>0.0</v>
      </c>
      <c r="C61" s="10">
        <f si="0" t="shared"/>
        <v>0</v>
      </c>
      <c r="E61" s="17">
        <v>50</v>
      </c>
      <c r="F61" s="17" t="n">
        <v>73.0</v>
      </c>
      <c r="G61" s="10">
        <f si="1" t="shared"/>
        <v>4.0134416282328614E-4</v>
      </c>
    </row>
    <row r="62" spans="1:7" x14ac:dyDescent="0.45">
      <c r="A62">
        <v>51</v>
      </c>
      <c r="B62" s="7" t="n">
        <v>156.32578406873552</v>
      </c>
      <c r="C62" s="10">
        <f si="0" t="shared"/>
        <v>8.997070081649967E-4</v>
      </c>
      <c r="E62" s="17">
        <v>51</v>
      </c>
      <c r="F62" s="17" t="n">
        <v>82.0</v>
      </c>
      <c r="G62" s="10">
        <f si="1" t="shared"/>
        <v>3.1291239813340953E-4</v>
      </c>
    </row>
    <row r="63" spans="1:7" x14ac:dyDescent="0.45">
      <c r="A63">
        <v>52</v>
      </c>
      <c r="B63" s="7" t="n">
        <v>129.0175391824056</v>
      </c>
      <c r="C63" s="10">
        <f si="0" t="shared"/>
        <v>7.425389539551171E-4</v>
      </c>
      <c r="E63" s="17">
        <v>52</v>
      </c>
      <c r="F63" s="17" t="n">
        <v>53.0</v>
      </c>
      <c r="G63" s="10">
        <f si="1" t="shared"/>
        <v>2.5849285063194702E-4</v>
      </c>
    </row>
    <row r="64" spans="1:7" x14ac:dyDescent="0.45">
      <c r="A64">
        <v>53</v>
      </c>
      <c r="B64" s="7" t="n">
        <v>0.0</v>
      </c>
      <c r="C64" s="10">
        <f si="0" t="shared"/>
        <v>0</v>
      </c>
      <c r="E64" s="17">
        <v>53</v>
      </c>
      <c r="F64" s="17" t="n">
        <v>61.0</v>
      </c>
      <c r="G64" s="10">
        <f si="1" t="shared"/>
        <v>2.516904071942642E-4</v>
      </c>
    </row>
    <row r="65" spans="1:7" x14ac:dyDescent="0.45">
      <c r="A65">
        <v>54</v>
      </c>
      <c r="B65" s="7" t="n">
        <v>125.8409522097713</v>
      </c>
      <c r="C65" s="10">
        <f si="0" t="shared"/>
        <v>7.2425663681626254E-4</v>
      </c>
      <c r="E65" s="17">
        <v>54</v>
      </c>
      <c r="F65" s="17" t="n">
        <v>48.0</v>
      </c>
      <c r="G65" s="10">
        <f si="1" t="shared"/>
        <v>3.2651728500877517E-4</v>
      </c>
    </row>
    <row r="66" spans="1:7" x14ac:dyDescent="0.45">
      <c r="A66">
        <v>55</v>
      </c>
      <c r="B66" s="7" t="n">
        <v>0.0</v>
      </c>
      <c r="C66" s="10">
        <f si="0" t="shared"/>
        <v>0</v>
      </c>
      <c r="E66" s="17">
        <v>55</v>
      </c>
      <c r="F66" s="17" t="n">
        <v>39.0</v>
      </c>
      <c r="G66" s="10">
        <f si="1" t="shared"/>
        <v>2.176781900058501E-4</v>
      </c>
    </row>
    <row r="67" spans="1:7" x14ac:dyDescent="0.45">
      <c r="A67">
        <v>56</v>
      </c>
      <c r="B67" s="7" t="n">
        <v>0.0</v>
      </c>
      <c r="C67" s="10">
        <f si="0" t="shared"/>
        <v>0</v>
      </c>
      <c r="E67" s="17">
        <v>56</v>
      </c>
      <c r="F67" s="17" t="n">
        <v>43.0</v>
      </c>
      <c r="G67" s="10">
        <f si="1" t="shared"/>
        <v>3.0610995469572671E-4</v>
      </c>
    </row>
    <row r="68" spans="1:7" x14ac:dyDescent="0.45">
      <c r="A68">
        <v>57</v>
      </c>
      <c r="B68" s="7" t="n">
        <v>0.0</v>
      </c>
      <c r="C68" s="10">
        <f si="0" t="shared"/>
        <v>0</v>
      </c>
      <c r="E68" s="17">
        <v>57</v>
      </c>
      <c r="F68" s="17" t="n">
        <v>55.0</v>
      </c>
      <c r="G68" s="10">
        <f si="1" t="shared"/>
        <v>1.1564153844060787E-4</v>
      </c>
    </row>
    <row r="69" spans="1:7" x14ac:dyDescent="0.45">
      <c r="A69">
        <v>58</v>
      </c>
      <c r="B69" s="7" t="n">
        <v>26.5857646477065</v>
      </c>
      <c r="C69" s="10">
        <f si="0" t="shared"/>
        <v>1.5300993955321879E-4</v>
      </c>
      <c r="E69" s="17">
        <v>58</v>
      </c>
      <c r="F69" s="17" t="n">
        <v>34.0</v>
      </c>
      <c r="G69" s="10">
        <f si="1" t="shared"/>
        <v>1.7006108594207038E-4</v>
      </c>
    </row>
    <row r="70" spans="1:7" x14ac:dyDescent="0.45">
      <c r="A70">
        <v>59</v>
      </c>
      <c r="B70" s="7" t="n">
        <v>0.0</v>
      </c>
      <c r="C70" s="10">
        <f si="0" t="shared"/>
        <v>0</v>
      </c>
      <c r="E70" s="17">
        <v>59</v>
      </c>
      <c r="F70" s="17" t="n">
        <v>42.0</v>
      </c>
      <c r="G70" s="10">
        <f si="1" t="shared"/>
        <v>2.0407330313048448E-4</v>
      </c>
    </row>
    <row r="71" spans="1:7" x14ac:dyDescent="0.45">
      <c r="A71">
        <v>60</v>
      </c>
      <c r="B71" s="7" t="n">
        <v>0.0</v>
      </c>
      <c r="C71" s="10">
        <f si="0" t="shared"/>
        <v>0</v>
      </c>
      <c r="E71" s="17">
        <v>60</v>
      </c>
      <c r="F71" s="17" t="n">
        <v>27.0</v>
      </c>
      <c r="G71" s="10">
        <f si="1" t="shared"/>
        <v>1.6325864250438759E-4</v>
      </c>
    </row>
    <row r="72" spans="1:7" x14ac:dyDescent="0.45">
      <c r="A72">
        <v>61</v>
      </c>
      <c r="B72" s="7" t="n">
        <v>0.0</v>
      </c>
      <c r="C72" s="10">
        <f si="0" t="shared"/>
        <v>0</v>
      </c>
      <c r="E72" s="17">
        <v>61</v>
      </c>
      <c r="F72" s="17" t="n">
        <v>27.0</v>
      </c>
      <c r="G72" s="10">
        <f si="1" t="shared"/>
        <v>1.6325864250438759E-4</v>
      </c>
    </row>
    <row r="73" spans="1:7" x14ac:dyDescent="0.45">
      <c r="A73">
        <v>62</v>
      </c>
      <c r="B73" s="7" t="n">
        <v>0.0</v>
      </c>
      <c r="C73" s="10">
        <f si="0" t="shared"/>
        <v>0</v>
      </c>
      <c r="E73" s="17">
        <v>62</v>
      </c>
      <c r="F73" s="17" t="n">
        <v>23.0</v>
      </c>
      <c r="G73" s="10">
        <f si="1" t="shared"/>
        <v>1.4965375562902194E-4</v>
      </c>
    </row>
    <row r="74" spans="1:7" x14ac:dyDescent="0.45">
      <c r="A74">
        <v>63</v>
      </c>
      <c r="B74" s="7" t="n">
        <v>48.0000860889849</v>
      </c>
      <c r="C74" s="10">
        <f si="0" t="shared"/>
        <v>2.7625649923364049E-4</v>
      </c>
      <c r="E74" s="17">
        <v>63</v>
      </c>
      <c r="F74" s="17" t="n">
        <v>17.0</v>
      </c>
      <c r="G74" s="10">
        <f si="1" t="shared"/>
        <v>1.5645619906670476E-4</v>
      </c>
    </row>
    <row r="75" spans="1:7" x14ac:dyDescent="0.45">
      <c r="A75">
        <v>64</v>
      </c>
      <c r="B75" s="7" t="n">
        <v>0.0</v>
      </c>
      <c r="C75" s="10">
        <f si="0" t="shared"/>
        <v>0</v>
      </c>
      <c r="E75" s="17">
        <v>64</v>
      </c>
      <c r="F75" s="17" t="n">
        <v>22.0</v>
      </c>
      <c r="G75" s="10">
        <f si="1" t="shared"/>
        <v>1.5645619906670476E-4</v>
      </c>
    </row>
    <row r="76" spans="1:7" x14ac:dyDescent="0.45">
      <c r="A76">
        <v>65</v>
      </c>
      <c r="B76" s="7" t="n">
        <v>0.0</v>
      </c>
      <c r="C76" s="10">
        <f si="0" t="shared"/>
        <v>0</v>
      </c>
      <c r="E76" s="17">
        <v>65</v>
      </c>
      <c r="F76" s="17" t="n">
        <v>27.0</v>
      </c>
      <c r="G76" s="10">
        <f si="1" t="shared"/>
        <v>1.360488687536563E-4</v>
      </c>
    </row>
    <row r="77" spans="1:7" x14ac:dyDescent="0.45">
      <c r="A77">
        <v>66</v>
      </c>
      <c r="B77" s="7" t="n">
        <v>0.0</v>
      </c>
      <c r="C77" s="10">
        <f ref="C77:C102" si="2" t="shared">B77/B$102</f>
        <v>0</v>
      </c>
      <c r="E77" s="17">
        <v>66</v>
      </c>
      <c r="F77" s="17" t="n">
        <v>32.0</v>
      </c>
      <c r="G77" s="10">
        <f ref="G77:G102" si="3" t="shared">F77/F$102</f>
        <v>2.3808552031889856E-4</v>
      </c>
    </row>
    <row r="78" spans="1:7" x14ac:dyDescent="0.45">
      <c r="A78">
        <v>67</v>
      </c>
      <c r="B78" s="7" t="n">
        <v>0.0</v>
      </c>
      <c r="C78" s="10">
        <f si="2" t="shared"/>
        <v>0</v>
      </c>
      <c r="E78" s="17">
        <v>67</v>
      </c>
      <c r="F78" s="17" t="n">
        <v>19.0</v>
      </c>
      <c r="G78" s="10">
        <f si="3" t="shared"/>
        <v>2.3808552031889856E-4</v>
      </c>
    </row>
    <row r="79" spans="1:7" x14ac:dyDescent="0.45">
      <c r="A79">
        <v>68</v>
      </c>
      <c r="B79" s="7" t="n">
        <v>0.0</v>
      </c>
      <c r="C79" s="10">
        <f si="2" t="shared"/>
        <v>0</v>
      </c>
      <c r="E79" s="17">
        <v>68</v>
      </c>
      <c r="F79" s="17" t="n">
        <v>31.0</v>
      </c>
      <c r="G79" s="10">
        <f si="3" t="shared"/>
        <v>1.9046841625511884E-4</v>
      </c>
    </row>
    <row r="80" spans="1:7" x14ac:dyDescent="0.45">
      <c r="A80">
        <v>69</v>
      </c>
      <c r="B80" s="7" t="n">
        <v>0.0</v>
      </c>
      <c r="C80" s="10">
        <f si="2" t="shared"/>
        <v>0</v>
      </c>
      <c r="E80" s="17">
        <v>69</v>
      </c>
      <c r="F80" s="17" t="n">
        <v>16.0</v>
      </c>
      <c r="G80" s="10">
        <f si="3" t="shared"/>
        <v>1.4285131219133912E-4</v>
      </c>
    </row>
    <row r="81" spans="1:7" x14ac:dyDescent="0.45">
      <c r="A81">
        <v>70</v>
      </c>
      <c r="B81" s="7" t="n">
        <v>0.0</v>
      </c>
      <c r="C81" s="10">
        <f si="2" t="shared"/>
        <v>0</v>
      </c>
      <c r="E81" s="17">
        <v>70</v>
      </c>
      <c r="F81" s="17" t="n">
        <v>12.0</v>
      </c>
      <c r="G81" s="10">
        <f si="3" t="shared"/>
        <v>6.8024434376828152E-5</v>
      </c>
    </row>
    <row r="82" spans="1:7" x14ac:dyDescent="0.45">
      <c r="A82">
        <v>71</v>
      </c>
      <c r="B82" s="7" t="n">
        <v>0.0</v>
      </c>
      <c r="C82" s="10">
        <f si="2" t="shared"/>
        <v>0</v>
      </c>
      <c r="E82" s="17">
        <v>71</v>
      </c>
      <c r="F82" s="17" t="n">
        <v>18.0</v>
      </c>
      <c r="G82" s="10">
        <f si="3" t="shared"/>
        <v>1.4965375562902194E-4</v>
      </c>
    </row>
    <row r="83" spans="1:7" x14ac:dyDescent="0.45">
      <c r="A83">
        <v>72</v>
      </c>
      <c r="B83" s="7" t="n">
        <v>0.0</v>
      </c>
      <c r="C83" s="10">
        <f si="2" t="shared"/>
        <v>0</v>
      </c>
      <c r="E83" s="17">
        <v>72</v>
      </c>
      <c r="F83" s="17" t="n">
        <v>15.0</v>
      </c>
      <c r="G83" s="10">
        <f si="3" t="shared"/>
        <v>4.761710406377971E-5</v>
      </c>
    </row>
    <row r="84" spans="1:7" x14ac:dyDescent="0.45">
      <c r="A84">
        <v>73</v>
      </c>
      <c r="B84" s="7" t="n">
        <v>69.8419057340848</v>
      </c>
      <c r="C84" s="10">
        <f si="2" t="shared"/>
        <v>4.0196345360996879E-4</v>
      </c>
      <c r="E84" s="17">
        <v>73</v>
      </c>
      <c r="F84" s="17" t="n">
        <v>12.0</v>
      </c>
      <c r="G84" s="10">
        <f si="3" t="shared"/>
        <v>8.84317646898766E-5</v>
      </c>
    </row>
    <row r="85" spans="1:7" x14ac:dyDescent="0.45">
      <c r="A85">
        <v>74</v>
      </c>
      <c r="B85" s="7" t="n">
        <v>0.0</v>
      </c>
      <c r="C85" s="10">
        <f si="2" t="shared"/>
        <v>0</v>
      </c>
      <c r="E85" s="17">
        <v>74</v>
      </c>
      <c r="F85" s="17" t="n">
        <v>15.0</v>
      </c>
      <c r="G85" s="10">
        <f si="3" t="shared"/>
        <v>3.4012217188414076E-5</v>
      </c>
    </row>
    <row r="86" spans="1:7" x14ac:dyDescent="0.45">
      <c r="A86">
        <v>75</v>
      </c>
      <c r="B86" s="7" t="n">
        <v>0.0</v>
      </c>
      <c r="C86" s="10">
        <f si="2" t="shared"/>
        <v>0</v>
      </c>
      <c r="E86" s="17">
        <v>75</v>
      </c>
      <c r="F86" s="17" t="n">
        <v>4.0</v>
      </c>
      <c r="G86" s="10">
        <f si="3" t="shared"/>
        <v>3.4012217188414076E-5</v>
      </c>
    </row>
    <row r="87" spans="1:7" x14ac:dyDescent="0.45">
      <c r="A87">
        <v>76</v>
      </c>
      <c r="B87" s="7" t="n">
        <v>0.0</v>
      </c>
      <c r="C87" s="10">
        <f si="2" t="shared"/>
        <v>0</v>
      </c>
      <c r="E87" s="17">
        <v>76</v>
      </c>
      <c r="F87" s="17" t="n">
        <v>6.0</v>
      </c>
      <c r="G87" s="10">
        <f si="3" t="shared"/>
        <v>9.523420812755942E-5</v>
      </c>
    </row>
    <row r="88" spans="1:7" x14ac:dyDescent="0.45">
      <c r="A88">
        <v>77</v>
      </c>
      <c r="B88" s="7" t="n">
        <v>0.0</v>
      </c>
      <c r="C88" s="10">
        <f si="2" t="shared"/>
        <v>0</v>
      </c>
      <c r="E88" s="17">
        <v>77</v>
      </c>
      <c r="F88" s="17" t="n">
        <v>6.0</v>
      </c>
      <c r="G88" s="10">
        <f si="3" t="shared"/>
        <v>2.7209773750731262E-5</v>
      </c>
    </row>
    <row r="89" spans="1:7" x14ac:dyDescent="0.45">
      <c r="A89">
        <v>78</v>
      </c>
      <c r="B89" s="7" t="n">
        <v>0.0</v>
      </c>
      <c r="C89" s="10">
        <f si="2" t="shared"/>
        <v>0</v>
      </c>
      <c r="E89" s="17">
        <v>78</v>
      </c>
      <c r="F89" s="17" t="n">
        <v>6.0</v>
      </c>
      <c r="G89" s="10">
        <f si="3" t="shared"/>
        <v>7.4826877814510972E-5</v>
      </c>
    </row>
    <row r="90" spans="1:7" x14ac:dyDescent="0.45">
      <c r="A90">
        <v>79</v>
      </c>
      <c r="B90" s="7" t="n">
        <v>0.0</v>
      </c>
      <c r="C90" s="10">
        <f si="2" t="shared"/>
        <v>0</v>
      </c>
      <c r="E90" s="17">
        <v>79</v>
      </c>
      <c r="F90" s="17" t="n">
        <v>14.0</v>
      </c>
      <c r="G90" s="10">
        <f si="3" t="shared"/>
        <v>6.1221990939145345E-5</v>
      </c>
    </row>
    <row r="91" spans="1:7" x14ac:dyDescent="0.45">
      <c r="A91">
        <v>80</v>
      </c>
      <c r="B91" s="7" t="n">
        <v>0.0</v>
      </c>
      <c r="C91" s="10">
        <f si="2" t="shared"/>
        <v>0</v>
      </c>
      <c r="E91" s="17">
        <v>80</v>
      </c>
      <c r="F91" s="17" t="n">
        <v>16.0</v>
      </c>
      <c r="G91" s="10">
        <f si="3" t="shared"/>
        <v>1.4965375562902194E-4</v>
      </c>
    </row>
    <row r="92" spans="1:7" x14ac:dyDescent="0.45">
      <c r="A92">
        <v>81</v>
      </c>
      <c r="B92" s="7" t="n">
        <v>0.0</v>
      </c>
      <c r="C92" s="10">
        <f si="2" t="shared"/>
        <v>0</v>
      </c>
      <c r="E92" s="17">
        <v>81</v>
      </c>
      <c r="F92" s="17" t="n">
        <v>10.0</v>
      </c>
      <c r="G92" s="10">
        <f si="3" t="shared"/>
        <v>7.4826877814510972E-5</v>
      </c>
    </row>
    <row r="93" spans="1:7" x14ac:dyDescent="0.45">
      <c r="A93">
        <v>82</v>
      </c>
      <c r="B93" s="7" t="n">
        <v>0.0</v>
      </c>
      <c r="C93" s="10">
        <f si="2" t="shared"/>
        <v>0</v>
      </c>
      <c r="E93" s="17">
        <v>82</v>
      </c>
      <c r="F93" s="17" t="n">
        <v>7.0</v>
      </c>
      <c r="G93" s="10">
        <f si="3" t="shared"/>
        <v>4.0814660626096896E-5</v>
      </c>
    </row>
    <row r="94" spans="1:7" x14ac:dyDescent="0.45">
      <c r="A94">
        <v>83</v>
      </c>
      <c r="B94" s="7" t="n">
        <v>0.0</v>
      </c>
      <c r="C94" s="10">
        <f si="2" t="shared"/>
        <v>0</v>
      </c>
      <c r="E94" s="17">
        <v>83</v>
      </c>
      <c r="F94" s="17" t="n">
        <v>2.0</v>
      </c>
      <c r="G94" s="10">
        <f si="3" t="shared"/>
        <v>5.4419547501462524E-5</v>
      </c>
    </row>
    <row r="95" spans="1:7" x14ac:dyDescent="0.45">
      <c r="A95">
        <v>84</v>
      </c>
      <c r="B95" s="7" t="n">
        <v>0.0</v>
      </c>
      <c r="C95" s="10">
        <f si="2" t="shared"/>
        <v>0</v>
      </c>
      <c r="E95" s="17">
        <v>84</v>
      </c>
      <c r="F95" s="17" t="n">
        <v>16.0</v>
      </c>
      <c r="G95" s="10">
        <f si="3" t="shared"/>
        <v>8.84317646898766E-5</v>
      </c>
    </row>
    <row r="96" spans="1:7" x14ac:dyDescent="0.45">
      <c r="A96">
        <v>85</v>
      </c>
      <c r="B96" s="7" t="n">
        <v>0.0</v>
      </c>
      <c r="C96" s="10">
        <f si="2" t="shared"/>
        <v>0</v>
      </c>
      <c r="E96" s="17">
        <v>85</v>
      </c>
      <c r="F96" s="17" t="n">
        <v>1.0</v>
      </c>
      <c r="G96" s="10">
        <f si="3" t="shared"/>
        <v>3.4012217188414076E-5</v>
      </c>
    </row>
    <row r="97" spans="1:7" x14ac:dyDescent="0.45">
      <c r="A97">
        <v>86</v>
      </c>
      <c r="B97" s="7" t="n">
        <v>0.0</v>
      </c>
      <c r="C97" s="10">
        <f si="2" t="shared"/>
        <v>0</v>
      </c>
      <c r="E97" s="17">
        <v>86</v>
      </c>
      <c r="F97" s="17" t="n">
        <v>8.0</v>
      </c>
      <c r="G97" s="10">
        <f si="3" t="shared"/>
        <v>6.8024434376828152E-5</v>
      </c>
    </row>
    <row r="98" spans="1:7" x14ac:dyDescent="0.45">
      <c r="A98">
        <v>87</v>
      </c>
      <c r="B98" s="7" t="n">
        <v>0.0</v>
      </c>
      <c r="C98" s="10">
        <f si="2" t="shared"/>
        <v>0</v>
      </c>
      <c r="E98" s="17">
        <v>87</v>
      </c>
      <c r="F98" s="17" t="n">
        <v>20.0</v>
      </c>
      <c r="G98" s="10">
        <f si="3" t="shared"/>
        <v>5.4419547501462524E-5</v>
      </c>
    </row>
    <row r="99" spans="1:7" x14ac:dyDescent="0.45">
      <c r="A99">
        <v>88</v>
      </c>
      <c r="B99" s="7" t="n">
        <v>0.0</v>
      </c>
      <c r="C99" s="10">
        <f si="2" t="shared"/>
        <v>0</v>
      </c>
      <c r="E99" s="17">
        <v>88</v>
      </c>
      <c r="F99" s="17" t="n">
        <v>9.0</v>
      </c>
      <c r="G99" s="10">
        <f si="3" t="shared"/>
        <v>7.4826877814510972E-5</v>
      </c>
    </row>
    <row r="100" spans="1:7" x14ac:dyDescent="0.45">
      <c r="A100">
        <v>89</v>
      </c>
      <c r="B100" s="7" t="n">
        <v>0.0</v>
      </c>
      <c r="C100" s="10">
        <f si="2" t="shared"/>
        <v>0</v>
      </c>
      <c r="E100" s="17">
        <v>89</v>
      </c>
      <c r="F100" s="17" t="n">
        <v>9.0</v>
      </c>
      <c r="G100" s="10">
        <f si="3" t="shared"/>
        <v>3.4012217188414076E-5</v>
      </c>
    </row>
    <row ht="14.65" r="101" spans="1:7" thickBot="1" x14ac:dyDescent="0.5">
      <c r="A101" s="1">
        <v>90</v>
      </c>
      <c r="B101" s="8" t="n">
        <v>0.0</v>
      </c>
      <c r="C101" s="10">
        <f si="2" t="shared"/>
        <v>0</v>
      </c>
      <c r="E101" s="18">
        <v>90</v>
      </c>
      <c r="F101" s="18" t="n">
        <v>1358.0</v>
      </c>
      <c r="G101" s="10">
        <f si="3" t="shared"/>
        <v>9.0744595458688761E-3</v>
      </c>
    </row>
    <row r="102" spans="1:7" x14ac:dyDescent="0.45">
      <c r="B102" s="7">
        <f>SUM(B11:B101)</f>
        <v>173751.87994541778</v>
      </c>
      <c r="C102" s="10">
        <f si="2" t="shared"/>
        <v>1</v>
      </c>
      <c r="F102" s="7">
        <f>SUM(F11:F101)</f>
        <v>147006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workbookViewId="0" zoomScaleNormal="100">
      <selection activeCell="N13" sqref="N13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244</v>
      </c>
    </row>
    <row r="3" spans="1:21" x14ac:dyDescent="0.45">
      <c r="A3" t="s">
        <v>14</v>
      </c>
    </row>
    <row ht="14.65" r="5" spans="1:21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19" t="s">
        <v>249</v>
      </c>
      <c r="B7" s="11" t="n">
        <v>57025.637118251</v>
      </c>
      <c r="C7" s="11" t="n">
        <v>0.0</v>
      </c>
      <c r="D7" s="11" t="n">
        <v>0.0</v>
      </c>
      <c r="E7" s="11" t="n">
        <v>341.78283753668177</v>
      </c>
      <c r="F7" s="11" t="n">
        <v>1610.436066499444</v>
      </c>
      <c r="G7" s="11" t="n">
        <v>1835.2400469350657</v>
      </c>
      <c r="H7" s="11" t="n">
        <v>270.710601530413</v>
      </c>
      <c r="I7" s="11"/>
      <c r="J7" s="11">
        <f>SUM(B7:I7)</f>
        <v>61083.806670752609</v>
      </c>
      <c r="K7" s="11"/>
      <c r="L7" t="str">
        <f>$A$7</f>
        <v>Bellevue</v>
      </c>
      <c r="M7" s="58" t="n">
        <v>51806.0</v>
      </c>
      <c r="N7" s="58" t="n">
        <v>0.0</v>
      </c>
      <c r="O7" s="58" t="n">
        <v>16.0</v>
      </c>
      <c r="P7" s="58" t="n">
        <v>757.0</v>
      </c>
      <c r="Q7" s="58" t="n">
        <v>154.0</v>
      </c>
      <c r="R7" s="58" t="n">
        <v>1395.0</v>
      </c>
      <c r="S7" s="58" t="n">
        <v>1044.0</v>
      </c>
      <c r="T7" s="17"/>
      <c r="U7" s="11">
        <f>SUM(M7:T7)</f>
        <v>54845</v>
      </c>
    </row>
    <row r="8" spans="1:21" x14ac:dyDescent="0.45">
      <c r="A8" t="s">
        <v>250</v>
      </c>
      <c r="B8" s="11" t="n">
        <v>0.0</v>
      </c>
      <c r="C8" s="11" t="n">
        <v>10289.604778533962</v>
      </c>
      <c r="D8" s="11" t="n">
        <v>0.0</v>
      </c>
      <c r="E8" s="11" t="n">
        <v>0.0</v>
      </c>
      <c r="F8" s="11" t="n">
        <v>0.0</v>
      </c>
      <c r="G8" s="11" t="n">
        <v>939.6362655700834</v>
      </c>
      <c r="H8" s="11" t="n">
        <v>0.0</v>
      </c>
      <c r="I8" s="11"/>
      <c r="J8" s="11">
        <f ref="J8:J14" si="0" t="shared">SUM(B8:I8)</f>
        <v>11229.241044104045</v>
      </c>
      <c r="K8" s="11"/>
      <c r="L8" t="str">
        <f>$A$8</f>
        <v>Bellevue Downtown</v>
      </c>
      <c r="M8" s="58" t="n">
        <v>22.0</v>
      </c>
      <c r="N8" s="58" t="n">
        <v>7922.0</v>
      </c>
      <c r="O8" s="58" t="n">
        <v>0.0</v>
      </c>
      <c r="P8" s="58" t="n">
        <v>3.0</v>
      </c>
      <c r="Q8" s="58" t="n">
        <v>0.0</v>
      </c>
      <c r="R8" s="58" t="n">
        <v>927.0</v>
      </c>
      <c r="S8" s="58" t="n">
        <v>0.0</v>
      </c>
      <c r="T8" s="17"/>
      <c r="U8" s="11">
        <f ref="U8:U14" si="1" t="shared">SUM(M8:T8)</f>
        <v>8838</v>
      </c>
    </row>
    <row r="9" spans="1:21" x14ac:dyDescent="0.45">
      <c r="A9" t="s">
        <v>251</v>
      </c>
      <c r="B9" s="11" t="n">
        <v>482.99446595601</v>
      </c>
      <c r="C9" s="11" t="n">
        <v>0.0</v>
      </c>
      <c r="D9" s="11" t="n">
        <v>5743.830711038937</v>
      </c>
      <c r="E9" s="11" t="n">
        <v>0.0</v>
      </c>
      <c r="F9" s="11" t="n">
        <v>78.409884170288</v>
      </c>
      <c r="G9" s="11" t="n">
        <v>0.0</v>
      </c>
      <c r="H9" s="11" t="n">
        <v>0.0</v>
      </c>
      <c r="I9" s="11"/>
      <c r="J9" s="11">
        <f si="0" t="shared"/>
        <v>6305.2350611652346</v>
      </c>
      <c r="K9" s="11"/>
      <c r="L9" t="str">
        <f>$A$9</f>
        <v>Kirkland</v>
      </c>
      <c r="M9" s="58" t="n">
        <v>948.0</v>
      </c>
      <c r="N9" s="58" t="n">
        <v>0.0</v>
      </c>
      <c r="O9" s="58" t="n">
        <v>4706.0</v>
      </c>
      <c r="P9" s="58" t="n">
        <v>1.0</v>
      </c>
      <c r="Q9" s="58" t="n">
        <v>246.0</v>
      </c>
      <c r="R9" s="58" t="n">
        <v>6.0</v>
      </c>
      <c r="S9" s="58" t="n">
        <v>7.0</v>
      </c>
      <c r="T9" s="17"/>
      <c r="U9" s="11">
        <f si="1" t="shared"/>
        <v>5941</v>
      </c>
    </row>
    <row r="10" spans="1:21" x14ac:dyDescent="0.45">
      <c r="A10" t="s">
        <v>252</v>
      </c>
      <c r="B10" s="11" t="n">
        <v>729.6908163326445</v>
      </c>
      <c r="C10" s="11" t="n">
        <v>0.0</v>
      </c>
      <c r="D10" s="11" t="n">
        <v>0.0</v>
      </c>
      <c r="E10" s="11" t="n">
        <v>31122.9295882739</v>
      </c>
      <c r="F10" s="11" t="n">
        <v>0.0</v>
      </c>
      <c r="G10" s="11" t="n">
        <v>1497.596208399685</v>
      </c>
      <c r="H10" s="11" t="n">
        <v>94.1632764409642</v>
      </c>
      <c r="I10" s="11"/>
      <c r="J10" s="11">
        <f si="0" t="shared"/>
        <v>33444.379889447191</v>
      </c>
      <c r="K10" s="11"/>
      <c r="L10" t="str">
        <f>$A$10</f>
        <v>Redmond</v>
      </c>
      <c r="M10" s="58" t="n">
        <v>507.0</v>
      </c>
      <c r="N10" s="58" t="n">
        <v>3.0</v>
      </c>
      <c r="O10" s="58" t="n">
        <v>0.0</v>
      </c>
      <c r="P10" s="58" t="n">
        <v>26508.0</v>
      </c>
      <c r="Q10" s="58" t="n">
        <v>0.0</v>
      </c>
      <c r="R10" s="58" t="n">
        <v>81.0</v>
      </c>
      <c r="S10" s="58" t="n">
        <v>101.0</v>
      </c>
      <c r="T10" s="17"/>
      <c r="U10" s="11">
        <f si="1" t="shared"/>
        <v>27068</v>
      </c>
    </row>
    <row r="11" spans="1:21" x14ac:dyDescent="0.45">
      <c r="A11" t="s">
        <v>248</v>
      </c>
      <c r="B11" s="11" t="n">
        <v>812.896338666091</v>
      </c>
      <c r="C11" s="11" t="n">
        <v>0.0</v>
      </c>
      <c r="D11" s="11" t="n">
        <v>1074.6266970272704</v>
      </c>
      <c r="E11" s="11" t="n">
        <v>0.0</v>
      </c>
      <c r="F11" s="11" t="n">
        <v>19437.542151110538</v>
      </c>
      <c r="G11" s="11" t="n">
        <v>48.0000860889849</v>
      </c>
      <c r="H11" s="11" t="n">
        <v>0.0</v>
      </c>
      <c r="I11" s="11"/>
      <c r="J11" s="11">
        <f si="0" t="shared"/>
        <v>21373.065272892884</v>
      </c>
      <c r="K11" s="11"/>
      <c r="L11" t="str">
        <f>$A$11</f>
        <v>Seattle</v>
      </c>
      <c r="M11" s="58" t="n">
        <v>2073.0</v>
      </c>
      <c r="N11" s="58" t="n">
        <v>0.0</v>
      </c>
      <c r="O11" s="58" t="n">
        <v>824.0</v>
      </c>
      <c r="P11" s="58" t="n">
        <v>1.0</v>
      </c>
      <c r="Q11" s="58" t="n">
        <v>13535.0</v>
      </c>
      <c r="R11" s="58" t="n">
        <v>4.0</v>
      </c>
      <c r="S11" s="58" t="n">
        <v>220.0</v>
      </c>
      <c r="T11" s="17"/>
      <c r="U11" s="11">
        <f si="1" t="shared"/>
        <v>16688</v>
      </c>
    </row>
    <row r="12" spans="1:21" x14ac:dyDescent="0.45">
      <c r="A12" t="s">
        <v>253</v>
      </c>
      <c r="B12" s="11" t="n">
        <v>3155.7909515957444</v>
      </c>
      <c r="C12" s="11" t="n">
        <v>0.0</v>
      </c>
      <c r="D12" s="11" t="n">
        <v>0.0</v>
      </c>
      <c r="E12" s="11" t="n">
        <v>2365.361153968</v>
      </c>
      <c r="F12" s="11" t="n">
        <v>0.0</v>
      </c>
      <c r="G12" s="11" t="n">
        <v>16061.518945333706</v>
      </c>
      <c r="H12" s="11" t="n">
        <v>0.0</v>
      </c>
      <c r="I12" s="11"/>
      <c r="J12" s="11">
        <f si="0" t="shared"/>
        <v>21582.67105089745</v>
      </c>
      <c r="K12" s="11"/>
      <c r="L12" t="str">
        <f>$A$12</f>
        <v>Seattle Downtown</v>
      </c>
      <c r="M12" s="58" t="n">
        <v>2246.0</v>
      </c>
      <c r="N12" s="58" t="n">
        <v>1330.0</v>
      </c>
      <c r="O12" s="58" t="n">
        <v>0.0</v>
      </c>
      <c r="P12" s="58" t="n">
        <v>581.0</v>
      </c>
      <c r="Q12" s="58" t="n">
        <v>0.0</v>
      </c>
      <c r="R12" s="58" t="n">
        <v>16575.0</v>
      </c>
      <c r="S12" s="58" t="n">
        <v>6.0</v>
      </c>
      <c r="T12" s="17"/>
      <c r="U12" s="11">
        <f si="1" t="shared"/>
        <v>20761</v>
      </c>
    </row>
    <row r="13" spans="1:21" x14ac:dyDescent="0.45">
      <c r="A13" t="s">
        <v>254</v>
      </c>
      <c r="B13" s="11" t="n">
        <v>5151.955295055144</v>
      </c>
      <c r="C13" s="11" t="n">
        <v>0.0</v>
      </c>
      <c r="D13" s="11" t="n">
        <v>0.0</v>
      </c>
      <c r="E13" s="11" t="n">
        <v>169.9979069729631</v>
      </c>
      <c r="F13" s="11" t="n">
        <v>115.0615337596982</v>
      </c>
      <c r="G13" s="11" t="n">
        <v>92.9402843210037</v>
      </c>
      <c r="H13" s="11" t="n">
        <v>13203.525936049602</v>
      </c>
      <c r="I13" s="11"/>
      <c r="J13" s="11">
        <f si="0" t="shared"/>
        <v>18733.480956158412</v>
      </c>
      <c r="K13" s="11"/>
      <c r="L13" t="str">
        <f>$A$13</f>
        <v>Rest</v>
      </c>
      <c r="M13" s="58" t="n">
        <v>982.0</v>
      </c>
      <c r="N13" s="58" t="n">
        <v>0.0</v>
      </c>
      <c r="O13" s="58" t="n">
        <v>2.0</v>
      </c>
      <c r="P13" s="58" t="n">
        <v>382.0</v>
      </c>
      <c r="Q13" s="58" t="n">
        <v>67.0</v>
      </c>
      <c r="R13" s="58" t="n">
        <v>8.0</v>
      </c>
      <c r="S13" s="58" t="n">
        <v>11505.0</v>
      </c>
      <c r="T13" s="17"/>
      <c r="U13" s="11">
        <f si="1" t="shared"/>
        <v>12865</v>
      </c>
    </row>
    <row r="14" spans="1:21" x14ac:dyDescent="0.45">
      <c r="A14" s="6" t="s">
        <v>13</v>
      </c>
      <c r="B14" s="12"/>
      <c r="C14" s="12"/>
      <c r="D14" s="12"/>
      <c r="E14" s="12"/>
      <c r="F14" s="12"/>
      <c r="G14" s="12"/>
      <c r="H14" s="12"/>
      <c r="I14" s="12"/>
      <c r="J14" s="12">
        <f si="0" t="shared"/>
        <v>0</v>
      </c>
      <c r="K14" s="11"/>
      <c r="L14" s="12" t="s">
        <v>13</v>
      </c>
      <c r="M14" s="12"/>
      <c r="N14" s="12"/>
      <c r="O14" s="12"/>
      <c r="P14" s="12"/>
      <c r="Q14" s="12"/>
      <c r="R14" s="12"/>
      <c r="S14" s="12"/>
      <c r="T14" s="12"/>
      <c r="U14" s="12">
        <f si="1" t="shared"/>
        <v>0</v>
      </c>
    </row>
    <row ht="14.65" r="15" spans="1:21" thickBot="1" x14ac:dyDescent="0.5">
      <c r="A15" s="1" t="s">
        <v>4</v>
      </c>
      <c r="B15" s="13">
        <f ref="B15:J15" si="2" t="shared">SUM(B7:B14)</f>
        <v>67358.964985856641</v>
      </c>
      <c r="C15" s="13">
        <f si="2" t="shared"/>
        <v>10289.604778533962</v>
      </c>
      <c r="D15" s="13">
        <f si="2" t="shared"/>
        <v>6818.4574080662078</v>
      </c>
      <c r="E15" s="13">
        <f si="2" t="shared"/>
        <v>34000.071486751542</v>
      </c>
      <c r="F15" s="13">
        <f si="2" t="shared"/>
        <v>21241.449635539968</v>
      </c>
      <c r="G15" s="13">
        <f si="2" t="shared"/>
        <v>20474.931836648531</v>
      </c>
      <c r="H15" s="13">
        <f si="2" t="shared"/>
        <v>13568.399814020979</v>
      </c>
      <c r="I15" s="13">
        <f si="2" t="shared"/>
        <v>0</v>
      </c>
      <c r="J15" s="13">
        <f si="2" t="shared"/>
        <v>173751.87994541781</v>
      </c>
      <c r="K15" s="11"/>
      <c r="L15" s="13" t="s">
        <v>4</v>
      </c>
      <c r="M15" s="13">
        <f ref="M15:U15" si="3" t="shared">SUM(M7:M14)</f>
        <v>56216</v>
      </c>
      <c r="N15" s="13">
        <f si="3" t="shared"/>
        <v>9119</v>
      </c>
      <c r="O15" s="13">
        <f si="3" t="shared"/>
        <v>5611</v>
      </c>
      <c r="P15" s="13">
        <f si="3" t="shared"/>
        <v>28051</v>
      </c>
      <c r="Q15" s="13">
        <f si="3" t="shared"/>
        <v>14114</v>
      </c>
      <c r="R15" s="13">
        <f si="3" t="shared"/>
        <v>21076</v>
      </c>
      <c r="S15" s="13">
        <f si="3" t="shared"/>
        <v>12819</v>
      </c>
      <c r="T15" s="13">
        <f si="3" t="shared"/>
        <v>0</v>
      </c>
      <c r="U15" s="13">
        <f si="3" t="shared"/>
        <v>147006</v>
      </c>
    </row>
    <row ht="14.65" r="18" spans="1:32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1">
        <f ref="B20:G20" si="4" t="shared">($U7/$J7)*B7</f>
        <v>51201.312397054338</v>
      </c>
      <c r="C20" s="11">
        <f si="4" t="shared"/>
        <v>0</v>
      </c>
      <c r="D20" s="11">
        <f si="4" t="shared"/>
        <v>0</v>
      </c>
      <c r="E20" s="11">
        <f si="4" t="shared"/>
        <v>306.874779853473</v>
      </c>
      <c r="F20" s="11">
        <f si="4" t="shared"/>
        <v>1445.9538604599177</v>
      </c>
      <c r="G20" s="11">
        <f si="4" t="shared"/>
        <v>1647.7974419093866</v>
      </c>
      <c r="H20" s="11">
        <f ref="H20" si="5" t="shared">($U7/$J7)*H7</f>
        <v>243.06152072287949</v>
      </c>
      <c r="I20" s="11"/>
      <c r="J20" s="11">
        <f>SUM(B20:I20)</f>
        <v>54844.999999999993</v>
      </c>
      <c r="K20" s="11"/>
      <c r="L20" t="str">
        <f>$A$7</f>
        <v>Bellevue</v>
      </c>
      <c r="M20" s="11">
        <f ref="M20:M26" si="6" t="shared">M7</f>
        <v>50032</v>
      </c>
      <c r="N20" s="11">
        <f ref="N20:U20" si="7" t="shared">N7</f>
        <v>0</v>
      </c>
      <c r="O20" s="11">
        <f si="7" t="shared"/>
        <v>26</v>
      </c>
      <c r="P20" s="11">
        <f si="7" t="shared"/>
        <v>814</v>
      </c>
      <c r="Q20" s="11">
        <f si="7" t="shared"/>
        <v>166</v>
      </c>
      <c r="R20" s="11">
        <f si="7" t="shared"/>
        <v>2730</v>
      </c>
      <c r="S20" s="11">
        <f ref="S20" si="8" t="shared">S7</f>
        <v>1077</v>
      </c>
      <c r="T20" s="11"/>
      <c r="U20" s="11">
        <f si="7" t="shared"/>
        <v>54845</v>
      </c>
    </row>
    <row r="21" spans="1:32" x14ac:dyDescent="0.45">
      <c r="A21" t="str">
        <f>$A$8</f>
        <v>Bellevue Downtown</v>
      </c>
      <c r="B21" s="11">
        <f ref="B21:G26" si="9" t="shared">($U8/$J8)*B8</f>
        <v>0</v>
      </c>
      <c r="C21" s="11">
        <f si="9" t="shared"/>
        <v>8098.4571152679364</v>
      </c>
      <c r="D21" s="11">
        <f si="9" t="shared"/>
        <v>0</v>
      </c>
      <c r="E21" s="11">
        <f si="9" t="shared"/>
        <v>0</v>
      </c>
      <c r="F21" s="11">
        <f si="9" t="shared"/>
        <v>0</v>
      </c>
      <c r="G21" s="11">
        <f si="9" t="shared"/>
        <v>739.54288473206373</v>
      </c>
      <c r="H21" s="11">
        <f ref="H21" si="10" t="shared">($U8/$J8)*H8</f>
        <v>0</v>
      </c>
      <c r="I21" s="11"/>
      <c r="J21" s="11">
        <f ref="J21:J27" si="11" t="shared">SUM(B21:I21)</f>
        <v>8838</v>
      </c>
      <c r="K21" s="11"/>
      <c r="L21" t="str">
        <f>$A$8</f>
        <v>Bellevue Downtown</v>
      </c>
      <c r="M21" s="11">
        <f si="6" t="shared"/>
        <v>16</v>
      </c>
      <c r="N21" s="11">
        <f ref="N21:R26" si="12" t="shared">N8</f>
        <v>7829</v>
      </c>
      <c r="O21" s="11">
        <f si="12" t="shared"/>
        <v>0</v>
      </c>
      <c r="P21" s="11">
        <f si="12" t="shared"/>
        <v>4</v>
      </c>
      <c r="Q21" s="11">
        <f si="12" t="shared"/>
        <v>0</v>
      </c>
      <c r="R21" s="11">
        <f si="12" t="shared"/>
        <v>988</v>
      </c>
      <c r="S21" s="11">
        <f ref="S21" si="13" t="shared">S8</f>
        <v>1</v>
      </c>
      <c r="T21" s="11"/>
      <c r="U21" s="11">
        <f ref="U21:U26" si="14" t="shared">U8</f>
        <v>8838</v>
      </c>
    </row>
    <row r="22" spans="1:32" x14ac:dyDescent="0.45">
      <c r="A22" t="str">
        <f>$A$9</f>
        <v>Kirkland</v>
      </c>
      <c r="B22" s="11">
        <f si="9" t="shared"/>
        <v>455.0932827101239</v>
      </c>
      <c r="C22" s="11">
        <f si="9" t="shared"/>
        <v>0</v>
      </c>
      <c r="D22" s="11">
        <f si="9" t="shared"/>
        <v>5412.0263437055819</v>
      </c>
      <c r="E22" s="11">
        <f si="9" t="shared"/>
        <v>0</v>
      </c>
      <c r="F22" s="11">
        <f si="9" t="shared"/>
        <v>73.88037358429473</v>
      </c>
      <c r="G22" s="11">
        <f si="9" t="shared"/>
        <v>0</v>
      </c>
      <c r="H22" s="11">
        <f ref="H22" si="15" t="shared">($U9/$J9)*H9</f>
        <v>0</v>
      </c>
      <c r="I22" s="11"/>
      <c r="J22" s="11">
        <f si="11" t="shared"/>
        <v>5941.0000000000009</v>
      </c>
      <c r="K22" s="11"/>
      <c r="L22" t="str">
        <f>$A$9</f>
        <v>Kirkland</v>
      </c>
      <c r="M22" s="11">
        <f si="6" t="shared"/>
        <v>946</v>
      </c>
      <c r="N22" s="11">
        <f si="12" t="shared"/>
        <v>0</v>
      </c>
      <c r="O22" s="11">
        <f si="12" t="shared"/>
        <v>4763</v>
      </c>
      <c r="P22" s="11">
        <f si="12" t="shared"/>
        <v>1</v>
      </c>
      <c r="Q22" s="11">
        <f si="12" t="shared"/>
        <v>216</v>
      </c>
      <c r="R22" s="11">
        <f si="12" t="shared"/>
        <v>4</v>
      </c>
      <c r="S22" s="11">
        <f ref="S22" si="16" t="shared">S9</f>
        <v>11</v>
      </c>
      <c r="T22" s="11"/>
      <c r="U22" s="11">
        <f si="14" t="shared"/>
        <v>5941</v>
      </c>
    </row>
    <row r="23" spans="1:32" x14ac:dyDescent="0.45">
      <c r="A23" t="str">
        <f>$A$10</f>
        <v>Redmond</v>
      </c>
      <c r="B23" s="11">
        <f si="9" t="shared"/>
        <v>590.57070520611455</v>
      </c>
      <c r="C23" s="11">
        <f si="9" t="shared"/>
        <v>0</v>
      </c>
      <c r="D23" s="11">
        <f si="9" t="shared"/>
        <v>0</v>
      </c>
      <c r="E23" s="11">
        <f si="9" t="shared"/>
        <v>25189.148696436561</v>
      </c>
      <c r="F23" s="11">
        <f si="9" t="shared"/>
        <v>0</v>
      </c>
      <c r="G23" s="11">
        <f si="9" t="shared"/>
        <v>1212.0701386289845</v>
      </c>
      <c r="H23" s="11">
        <f ref="H23" si="17" t="shared">($U10/$J10)*H10</f>
        <v>76.210459728339984</v>
      </c>
      <c r="I23" s="11"/>
      <c r="J23" s="11">
        <f>SUM(B23:I23)</f>
        <v>27068</v>
      </c>
      <c r="K23" s="11"/>
      <c r="L23" t="str">
        <f>$A$10</f>
        <v>Redmond</v>
      </c>
      <c r="M23" s="11">
        <f si="6" t="shared"/>
        <v>534</v>
      </c>
      <c r="N23" s="11">
        <f si="12" t="shared"/>
        <v>4</v>
      </c>
      <c r="O23" s="11">
        <f si="12" t="shared"/>
        <v>0</v>
      </c>
      <c r="P23" s="11">
        <f si="12" t="shared"/>
        <v>26296</v>
      </c>
      <c r="Q23" s="11">
        <f si="12" t="shared"/>
        <v>1</v>
      </c>
      <c r="R23" s="11">
        <f si="12" t="shared"/>
        <v>135</v>
      </c>
      <c r="S23" s="11">
        <f ref="S23" si="18" t="shared">S10</f>
        <v>98</v>
      </c>
      <c r="T23" s="11"/>
      <c r="U23" s="11">
        <f si="14" t="shared"/>
        <v>27068</v>
      </c>
    </row>
    <row r="24" spans="1:32" x14ac:dyDescent="0.45">
      <c r="A24" t="str">
        <f>$A$11</f>
        <v>Seattle</v>
      </c>
      <c r="B24" s="11">
        <f si="9" t="shared"/>
        <v>634.70606234777085</v>
      </c>
      <c r="C24" s="11">
        <f si="9" t="shared"/>
        <v>0</v>
      </c>
      <c r="D24" s="11">
        <f si="9" t="shared"/>
        <v>839.06403180903101</v>
      </c>
      <c r="E24" s="11">
        <f si="9" t="shared"/>
        <v>0</v>
      </c>
      <c r="F24" s="11">
        <f si="9" t="shared"/>
        <v>15176.751639322913</v>
      </c>
      <c r="G24" s="11">
        <f si="9" t="shared"/>
        <v>37.47826652028747</v>
      </c>
      <c r="H24" s="11">
        <f ref="H24" si="19" t="shared">($U11/$J11)*H11</f>
        <v>0</v>
      </c>
      <c r="I24" s="11"/>
      <c r="J24" s="11">
        <f si="11" t="shared"/>
        <v>16688</v>
      </c>
      <c r="K24" s="11"/>
      <c r="L24" t="str">
        <f>$A$11</f>
        <v>Seattle</v>
      </c>
      <c r="M24" s="11">
        <f si="6" t="shared"/>
        <v>1998</v>
      </c>
      <c r="N24" s="11">
        <f si="12" t="shared"/>
        <v>0</v>
      </c>
      <c r="O24" s="11">
        <f si="12" t="shared"/>
        <v>822</v>
      </c>
      <c r="P24" s="11">
        <f si="12" t="shared"/>
        <v>5</v>
      </c>
      <c r="Q24" s="11">
        <f si="12" t="shared"/>
        <v>13649</v>
      </c>
      <c r="R24" s="11">
        <f si="12" t="shared"/>
        <v>6</v>
      </c>
      <c r="S24" s="11">
        <f ref="S24" si="20" t="shared">S11</f>
        <v>208</v>
      </c>
      <c r="T24" s="11"/>
      <c r="U24" s="11">
        <f si="14" t="shared"/>
        <v>16688</v>
      </c>
    </row>
    <row r="25" spans="1:32" x14ac:dyDescent="0.45">
      <c r="A25" t="str">
        <f>$A$12</f>
        <v>Seattle Downtown</v>
      </c>
      <c r="B25" s="11">
        <f si="9" t="shared"/>
        <v>3035.647246421564</v>
      </c>
      <c r="C25" s="11">
        <f si="9" t="shared"/>
        <v>0</v>
      </c>
      <c r="D25" s="11">
        <f si="9" t="shared"/>
        <v>0</v>
      </c>
      <c r="E25" s="11">
        <f si="9" t="shared"/>
        <v>2275.3097983897442</v>
      </c>
      <c r="F25" s="11">
        <f si="9" t="shared"/>
        <v>0</v>
      </c>
      <c r="G25" s="11">
        <f si="9" t="shared"/>
        <v>15450.042955188692</v>
      </c>
      <c r="H25" s="11">
        <f ref="H25:H26" si="21" t="shared">($U12/$J12)*H12</f>
        <v>0</v>
      </c>
      <c r="I25" s="11"/>
      <c r="J25" s="11">
        <f si="11" t="shared"/>
        <v>20761</v>
      </c>
      <c r="K25" s="11"/>
      <c r="L25" t="str">
        <f>$A$12</f>
        <v>Seattle Downtown</v>
      </c>
      <c r="M25" s="11">
        <f si="6" t="shared"/>
        <v>1744</v>
      </c>
      <c r="N25" s="11">
        <f si="12" t="shared"/>
        <v>1286</v>
      </c>
      <c r="O25" s="11">
        <f si="12" t="shared"/>
        <v>0</v>
      </c>
      <c r="P25" s="11">
        <f si="12" t="shared"/>
        <v>518</v>
      </c>
      <c r="Q25" s="11">
        <f si="12" t="shared"/>
        <v>0</v>
      </c>
      <c r="R25" s="11">
        <f si="12" t="shared"/>
        <v>17207</v>
      </c>
      <c r="S25" s="11">
        <f ref="S25:S26" si="22" t="shared">S12</f>
        <v>6</v>
      </c>
      <c r="T25" s="11"/>
      <c r="U25" s="11">
        <f si="14" t="shared"/>
        <v>20761</v>
      </c>
    </row>
    <row r="26" spans="1:32" x14ac:dyDescent="0.45">
      <c r="A26" t="str">
        <f>$A$13</f>
        <v>Rest</v>
      </c>
      <c r="B26" s="11">
        <f si="9" t="shared"/>
        <v>3538.0453331656809</v>
      </c>
      <c r="C26" s="11">
        <f si="9" t="shared"/>
        <v>0</v>
      </c>
      <c r="D26" s="11">
        <f si="9" t="shared"/>
        <v>0</v>
      </c>
      <c r="E26" s="11">
        <f si="9" t="shared"/>
        <v>116.74408393855985</v>
      </c>
      <c r="F26" s="11">
        <f si="9" t="shared"/>
        <v>79.017169061252176</v>
      </c>
      <c r="G26" s="11">
        <f si="9" t="shared"/>
        <v>63.825658487492568</v>
      </c>
      <c r="H26" s="11">
        <f si="21" t="shared"/>
        <v>9067.3677553470134</v>
      </c>
      <c r="I26" s="11"/>
      <c r="J26" s="11">
        <f si="11" t="shared"/>
        <v>12865</v>
      </c>
      <c r="K26" s="11"/>
      <c r="L26" t="str">
        <f>$A$13</f>
        <v>Rest</v>
      </c>
      <c r="M26" s="11">
        <f si="6" t="shared"/>
        <v>946</v>
      </c>
      <c r="N26" s="11">
        <f si="12" t="shared"/>
        <v>0</v>
      </c>
      <c r="O26" s="11">
        <f si="12" t="shared"/>
        <v>0</v>
      </c>
      <c r="P26" s="11">
        <f si="12" t="shared"/>
        <v>413</v>
      </c>
      <c r="Q26" s="11">
        <f si="12" t="shared"/>
        <v>82</v>
      </c>
      <c r="R26" s="11">
        <f si="12" t="shared"/>
        <v>6</v>
      </c>
      <c r="S26" s="11">
        <f si="22" t="shared"/>
        <v>11418</v>
      </c>
      <c r="T26" s="11"/>
      <c r="U26" s="11">
        <f si="14" t="shared"/>
        <v>12865</v>
      </c>
    </row>
    <row r="27" spans="1:32" x14ac:dyDescent="0.45">
      <c r="A27" s="6" t="s">
        <v>13</v>
      </c>
      <c r="B27" s="12"/>
      <c r="C27" s="12"/>
      <c r="D27" s="12"/>
      <c r="E27" s="12"/>
      <c r="F27" s="12"/>
      <c r="G27" s="12"/>
      <c r="H27" s="12"/>
      <c r="I27" s="12"/>
      <c r="J27" s="12">
        <f si="11" t="shared"/>
        <v>0</v>
      </c>
      <c r="K27" s="11"/>
      <c r="L27" s="12" t="s">
        <v>13</v>
      </c>
      <c r="M27" s="12"/>
      <c r="N27" s="12"/>
      <c r="O27" s="12"/>
      <c r="P27" s="12"/>
      <c r="Q27" s="12"/>
      <c r="R27" s="12"/>
      <c r="S27" s="12"/>
      <c r="T27" s="12"/>
      <c r="U27" s="12"/>
    </row>
    <row ht="14.65" r="28" spans="1:32" thickBot="1" x14ac:dyDescent="0.5">
      <c r="A28" s="1" t="s">
        <v>4</v>
      </c>
      <c r="B28" s="13">
        <f ref="B28:J28" si="23" t="shared">SUM(B20:B27)</f>
        <v>59455.375026905589</v>
      </c>
      <c r="C28" s="13">
        <f si="23" t="shared"/>
        <v>8098.4571152679364</v>
      </c>
      <c r="D28" s="13">
        <f si="23" t="shared"/>
        <v>6251.0903755146128</v>
      </c>
      <c r="E28" s="13">
        <f si="23" t="shared"/>
        <v>27888.077358618335</v>
      </c>
      <c r="F28" s="13">
        <f si="23" t="shared"/>
        <v>16775.603042428378</v>
      </c>
      <c r="G28" s="13">
        <f si="23" t="shared"/>
        <v>19150.757345466907</v>
      </c>
      <c r="H28" s="13">
        <f si="23" t="shared"/>
        <v>9386.6397357982332</v>
      </c>
      <c r="I28" s="13">
        <f si="23" t="shared"/>
        <v>0</v>
      </c>
      <c r="J28" s="13">
        <f si="23" t="shared"/>
        <v>147006</v>
      </c>
      <c r="K28" s="11"/>
      <c r="L28" s="13" t="s">
        <v>4</v>
      </c>
      <c r="M28" s="13">
        <f ref="M28:U28" si="24" t="shared">M15</f>
        <v>56216</v>
      </c>
      <c r="N28" s="13">
        <f si="24" t="shared"/>
        <v>9119</v>
      </c>
      <c r="O28" s="13">
        <f si="24" t="shared"/>
        <v>5611</v>
      </c>
      <c r="P28" s="13">
        <f si="24" t="shared"/>
        <v>28051</v>
      </c>
      <c r="Q28" s="13">
        <f si="24" t="shared"/>
        <v>14114</v>
      </c>
      <c r="R28" s="13">
        <f si="24" t="shared"/>
        <v>21076</v>
      </c>
      <c r="S28" s="13">
        <f si="24" t="shared"/>
        <v>12819</v>
      </c>
      <c r="T28" s="13">
        <f si="24" t="shared"/>
        <v>0</v>
      </c>
      <c r="U28" s="13">
        <f si="24" t="shared"/>
        <v>147006</v>
      </c>
    </row>
    <row ht="14.65" r="31" spans="1:32" thickBot="1" x14ac:dyDescent="0.5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4">
        <f ref="B33:J39" si="25" t="shared">B20/$J$28</f>
        <v>0.34829403151609006</v>
      </c>
      <c r="C33" s="14">
        <f si="25" t="shared"/>
        <v>0</v>
      </c>
      <c r="D33" s="14">
        <f si="25" t="shared"/>
        <v>0</v>
      </c>
      <c r="E33" s="14">
        <f si="25" t="shared"/>
        <v>2.0874983324046161E-3</v>
      </c>
      <c r="F33" s="14">
        <f si="25" t="shared"/>
        <v>9.8360193492777002E-3</v>
      </c>
      <c r="G33" s="14">
        <f si="25" t="shared"/>
        <v>1.1209048895347037E-2</v>
      </c>
      <c r="H33" s="14">
        <f ref="H33" si="26" t="shared">H20/$J$28</f>
        <v>1.6534122465945572E-3</v>
      </c>
      <c r="I33" s="14"/>
      <c r="J33" s="14">
        <f ref="J33:J38" si="27" t="shared">J20/$J$28</f>
        <v>0.373080010339714</v>
      </c>
      <c r="K33" s="11"/>
      <c r="L33" t="str">
        <f>$A$7</f>
        <v>Bellevue</v>
      </c>
      <c r="M33" s="14">
        <f ref="M33:R33" si="28" t="shared">M20/$U$28</f>
        <v>0.34033985007414663</v>
      </c>
      <c r="N33" s="14">
        <f si="28" t="shared"/>
        <v>0</v>
      </c>
      <c r="O33" s="14">
        <f si="28" t="shared"/>
        <v>1.768635293797532E-4</v>
      </c>
      <c r="P33" s="14">
        <f si="28" t="shared"/>
        <v>5.537188958273812E-3</v>
      </c>
      <c r="Q33" s="14">
        <f si="28" t="shared"/>
        <v>1.1292056106553473E-3</v>
      </c>
      <c r="R33" s="14">
        <f si="28" t="shared"/>
        <v>1.8570670584874088E-2</v>
      </c>
      <c r="S33" s="14">
        <f ref="S33" si="29" t="shared">S20/$U$28</f>
        <v>7.3262315823843923E-3</v>
      </c>
      <c r="T33" s="14"/>
      <c r="U33" s="14">
        <f ref="U33:U39" si="30" t="shared">U20/$U$28</f>
        <v>0.37308001033971405</v>
      </c>
      <c r="W33" t="str">
        <f>$A$7</f>
        <v>Bellevue</v>
      </c>
      <c r="X33" s="14">
        <f ref="X33:AD33" si="31" t="shared">M33-B33</f>
        <v>-7.9541814419434309E-3</v>
      </c>
      <c r="Y33" s="14">
        <f si="31" t="shared"/>
        <v>0</v>
      </c>
      <c r="Z33" s="14">
        <f si="31" t="shared"/>
        <v>1.768635293797532E-4</v>
      </c>
      <c r="AA33" s="14">
        <f si="31" t="shared"/>
        <v>3.4496906258691959E-3</v>
      </c>
      <c r="AB33" s="14">
        <f si="31" t="shared"/>
        <v>-8.7068137386223533E-3</v>
      </c>
      <c r="AC33" s="14">
        <f si="31" t="shared"/>
        <v>7.3616216895270505E-3</v>
      </c>
      <c r="AD33" s="14">
        <f si="31" t="shared"/>
        <v>5.6728193357898351E-3</v>
      </c>
      <c r="AE33" s="14"/>
      <c r="AF33" s="14">
        <f ref="AF33:AF39" si="32" t="shared">U33-J33</f>
        <v>0</v>
      </c>
    </row>
    <row r="34" spans="1:32" x14ac:dyDescent="0.45">
      <c r="A34" t="str">
        <f>$A$8</f>
        <v>Bellevue Downtown</v>
      </c>
      <c r="B34" s="14">
        <f si="25" t="shared"/>
        <v>0</v>
      </c>
      <c r="C34" s="14">
        <f si="25" t="shared"/>
        <v>5.5089296459110079E-2</v>
      </c>
      <c r="D34" s="14">
        <f si="25" t="shared"/>
        <v>0</v>
      </c>
      <c r="E34" s="14">
        <f si="25" t="shared"/>
        <v>0</v>
      </c>
      <c r="F34" s="14">
        <f si="25" t="shared"/>
        <v>0</v>
      </c>
      <c r="G34" s="14">
        <f ref="G34:H34" si="33" t="shared">G21/$J$28</f>
        <v>5.0306986431306461E-3</v>
      </c>
      <c r="H34" s="14">
        <f si="33" t="shared"/>
        <v>0</v>
      </c>
      <c r="I34" s="14"/>
      <c r="J34" s="14">
        <f si="27" t="shared"/>
        <v>6.0119995102240725E-2</v>
      </c>
      <c r="K34" s="11"/>
      <c r="L34" t="str">
        <f>$A$8</f>
        <v>Bellevue Downtown</v>
      </c>
      <c r="M34" s="14">
        <f ref="M34:R39" si="34" t="shared">M21/$U$28</f>
        <v>1.0883909500292505E-4</v>
      </c>
      <c r="N34" s="14">
        <f si="34" t="shared"/>
        <v>5.3256329673618763E-2</v>
      </c>
      <c r="O34" s="14">
        <f si="34" t="shared"/>
        <v>0</v>
      </c>
      <c r="P34" s="14">
        <f si="34" t="shared"/>
        <v>2.7209773750731262E-5</v>
      </c>
      <c r="Q34" s="14">
        <f si="34" t="shared"/>
        <v>0</v>
      </c>
      <c r="R34" s="14">
        <f si="34" t="shared"/>
        <v>6.7208141164306215E-3</v>
      </c>
      <c r="S34" s="14">
        <f ref="S34" si="35" t="shared">S21/$U$28</f>
        <v>6.8024434376828155E-6</v>
      </c>
      <c r="T34" s="14"/>
      <c r="U34" s="14">
        <f si="30" t="shared"/>
        <v>6.0119995102240725E-2</v>
      </c>
      <c r="W34" t="str">
        <f>$A$8</f>
        <v>Bellevue Downtown</v>
      </c>
      <c r="X34" s="14">
        <f ref="X34:X38" si="36" t="shared">M34-B34</f>
        <v>1.0883909500292505E-4</v>
      </c>
      <c r="Y34" s="14">
        <f ref="Y34:AD38" si="37" t="shared">N34-C34</f>
        <v>-1.8329667854913162E-3</v>
      </c>
      <c r="Z34" s="14">
        <f si="37" t="shared"/>
        <v>0</v>
      </c>
      <c r="AA34" s="14">
        <f si="37" t="shared"/>
        <v>2.7209773750731262E-5</v>
      </c>
      <c r="AB34" s="14">
        <f si="37" t="shared"/>
        <v>0</v>
      </c>
      <c r="AC34" s="14">
        <f si="37" t="shared"/>
        <v>1.6901154732999754E-3</v>
      </c>
      <c r="AD34" s="14">
        <f si="37" t="shared"/>
        <v>6.8024434376828155E-6</v>
      </c>
      <c r="AE34" s="14"/>
      <c r="AF34" s="14">
        <f si="32" t="shared"/>
        <v>0</v>
      </c>
    </row>
    <row r="35" spans="1:32" x14ac:dyDescent="0.45">
      <c r="A35" t="str">
        <f>$A$9</f>
        <v>Kirkland</v>
      </c>
      <c r="B35" s="14">
        <f si="25" t="shared"/>
        <v>3.0957463145050127E-3</v>
      </c>
      <c r="C35" s="14">
        <f si="25" t="shared"/>
        <v>0</v>
      </c>
      <c r="D35" s="14">
        <f si="25" t="shared"/>
        <v>3.6815003086306558E-2</v>
      </c>
      <c r="E35" s="14">
        <f si="25" t="shared"/>
        <v>0</v>
      </c>
      <c r="F35" s="14">
        <f si="25" t="shared"/>
        <v>5.0256706246204052E-4</v>
      </c>
      <c r="G35" s="14">
        <f ref="G35:H35" si="38" t="shared">G22/$J$28</f>
        <v>0</v>
      </c>
      <c r="H35" s="14">
        <f si="38" t="shared"/>
        <v>0</v>
      </c>
      <c r="I35" s="14"/>
      <c r="J35" s="14">
        <f si="27" t="shared"/>
        <v>4.0413316463273612E-2</v>
      </c>
      <c r="K35" s="11"/>
      <c r="L35" t="str">
        <f>$A$9</f>
        <v>Kirkland</v>
      </c>
      <c r="M35" s="14">
        <f si="34" t="shared"/>
        <v>6.4351114920479435E-3</v>
      </c>
      <c r="N35" s="14">
        <f si="34" t="shared"/>
        <v>0</v>
      </c>
      <c r="O35" s="14">
        <f si="34" t="shared"/>
        <v>3.2400038093683248E-2</v>
      </c>
      <c r="P35" s="14">
        <f si="34" t="shared"/>
        <v>6.8024434376828155E-6</v>
      </c>
      <c r="Q35" s="14">
        <f si="34" t="shared"/>
        <v>1.4693277825394882E-3</v>
      </c>
      <c r="R35" s="14">
        <f si="34" t="shared"/>
        <v>2.7209773750731262E-5</v>
      </c>
      <c r="S35" s="14">
        <f ref="S35" si="39" t="shared">S22/$U$28</f>
        <v>7.4826877814510972E-5</v>
      </c>
      <c r="T35" s="14"/>
      <c r="U35" s="14">
        <f si="30" t="shared"/>
        <v>4.0413316463273605E-2</v>
      </c>
      <c r="W35" t="str">
        <f>$A$9</f>
        <v>Kirkland</v>
      </c>
      <c r="X35" s="14">
        <f si="36" t="shared"/>
        <v>3.3393651775429308E-3</v>
      </c>
      <c r="Y35" s="14">
        <f si="37" t="shared"/>
        <v>0</v>
      </c>
      <c r="Z35" s="14">
        <f si="37" t="shared"/>
        <v>-4.4149649926233103E-3</v>
      </c>
      <c r="AA35" s="14">
        <f si="37" t="shared"/>
        <v>6.8024434376828155E-6</v>
      </c>
      <c r="AB35" s="14">
        <f si="37" t="shared"/>
        <v>9.6676072007744764E-4</v>
      </c>
      <c r="AC35" s="14">
        <f si="37" t="shared"/>
        <v>2.7209773750731262E-5</v>
      </c>
      <c r="AD35" s="14">
        <f si="37" t="shared"/>
        <v>7.4826877814510972E-5</v>
      </c>
      <c r="AE35" s="14"/>
      <c r="AF35" s="14">
        <f si="32" t="shared"/>
        <v>0</v>
      </c>
    </row>
    <row r="36" spans="1:32" x14ac:dyDescent="0.45">
      <c r="A36" t="str">
        <f>$A$10</f>
        <v>Redmond</v>
      </c>
      <c r="B36" s="14">
        <f si="25" t="shared"/>
        <v>4.0173238181170469E-3</v>
      </c>
      <c r="C36" s="14">
        <f si="25" t="shared"/>
        <v>0</v>
      </c>
      <c r="D36" s="14">
        <f si="25" t="shared"/>
        <v>0</v>
      </c>
      <c r="E36" s="14">
        <f si="25" t="shared"/>
        <v>0.17134775925089155</v>
      </c>
      <c r="F36" s="14">
        <f si="25" t="shared"/>
        <v>0</v>
      </c>
      <c r="G36" s="14">
        <f ref="G36:H36" si="40" t="shared">G23/$J$28</f>
        <v>8.2450385605280369E-3</v>
      </c>
      <c r="H36" s="14">
        <f si="40" t="shared"/>
        <v>5.1841734166183681E-4</v>
      </c>
      <c r="I36" s="14"/>
      <c r="J36" s="14">
        <f si="27" t="shared"/>
        <v>0.18412853897119846</v>
      </c>
      <c r="K36" s="11"/>
      <c r="L36" t="str">
        <f>$A$10</f>
        <v>Redmond</v>
      </c>
      <c r="M36" s="14">
        <f si="34" t="shared"/>
        <v>3.6325047957226236E-3</v>
      </c>
      <c r="N36" s="14">
        <f si="34" t="shared"/>
        <v>2.7209773750731262E-5</v>
      </c>
      <c r="O36" s="14">
        <f si="34" t="shared"/>
        <v>0</v>
      </c>
      <c r="P36" s="14">
        <f si="34" t="shared"/>
        <v>0.17887705263730733</v>
      </c>
      <c r="Q36" s="14">
        <f si="34" t="shared"/>
        <v>6.8024434376828155E-6</v>
      </c>
      <c r="R36" s="14">
        <f si="34" t="shared"/>
        <v>9.1832986408718013E-4</v>
      </c>
      <c r="S36" s="14">
        <f ref="S36" si="41" t="shared">S23/$U$28</f>
        <v>6.6663945689291598E-4</v>
      </c>
      <c r="T36" s="14"/>
      <c r="U36" s="14">
        <f si="30" t="shared"/>
        <v>0.18412853897119846</v>
      </c>
      <c r="W36" t="str">
        <f>$A$10</f>
        <v>Redmond</v>
      </c>
      <c r="X36" s="14">
        <f si="36" t="shared"/>
        <v>-3.8481902239442334E-4</v>
      </c>
      <c r="Y36" s="14">
        <f si="37" t="shared"/>
        <v>2.7209773750731262E-5</v>
      </c>
      <c r="Z36" s="14">
        <f si="37" t="shared"/>
        <v>0</v>
      </c>
      <c r="AA36" s="14">
        <f si="37" t="shared"/>
        <v>7.5292933864157807E-3</v>
      </c>
      <c r="AB36" s="14">
        <f si="37" t="shared"/>
        <v>6.8024434376828155E-6</v>
      </c>
      <c r="AC36" s="14">
        <f si="37" t="shared"/>
        <v>-7.3267086964408567E-3</v>
      </c>
      <c r="AD36" s="14">
        <f si="37" t="shared"/>
        <v>1.4822211523107917E-4</v>
      </c>
      <c r="AE36" s="14"/>
      <c r="AF36" s="14">
        <f si="32" t="shared"/>
        <v>0</v>
      </c>
    </row>
    <row r="37" spans="1:32" x14ac:dyDescent="0.45">
      <c r="A37" t="str">
        <f>$A$11</f>
        <v>Seattle</v>
      </c>
      <c r="B37" s="14">
        <f si="25" t="shared"/>
        <v>4.3175520886750939E-3</v>
      </c>
      <c r="C37" s="14">
        <f si="25" t="shared"/>
        <v>0</v>
      </c>
      <c r="D37" s="14">
        <f si="25" t="shared"/>
        <v>5.707685616975028E-3</v>
      </c>
      <c r="E37" s="14">
        <f si="25" t="shared"/>
        <v>0</v>
      </c>
      <c r="F37" s="14">
        <f si="25" t="shared"/>
        <v>0.10323899459425406</v>
      </c>
      <c r="G37" s="14">
        <f ref="G37:H37" si="42" t="shared">G24/$J$28</f>
        <v>2.5494378814665708E-4</v>
      </c>
      <c r="H37" s="14">
        <f si="42" t="shared"/>
        <v>0</v>
      </c>
      <c r="I37" s="14"/>
      <c r="J37" s="14">
        <f si="27" t="shared"/>
        <v>0.11351917608805083</v>
      </c>
      <c r="K37" s="11"/>
      <c r="L37" t="str">
        <f>$A$11</f>
        <v>Seattle</v>
      </c>
      <c r="M37" s="14">
        <f si="34" t="shared"/>
        <v>1.3591281988490266E-2</v>
      </c>
      <c r="N37" s="14">
        <f si="34" t="shared"/>
        <v>0</v>
      </c>
      <c r="O37" s="14">
        <f si="34" t="shared"/>
        <v>5.5916085057752746E-3</v>
      </c>
      <c r="P37" s="14">
        <f si="34" t="shared"/>
        <v>3.4012217188414076E-5</v>
      </c>
      <c r="Q37" s="14">
        <f si="34" t="shared"/>
        <v>9.2846550480932752E-2</v>
      </c>
      <c r="R37" s="14">
        <f si="34" t="shared"/>
        <v>4.0814660626096896E-5</v>
      </c>
      <c r="S37" s="14">
        <f ref="S37" si="43" t="shared">S24/$U$28</f>
        <v>1.4149082350380256E-3</v>
      </c>
      <c r="T37" s="14"/>
      <c r="U37" s="14">
        <f si="30" t="shared"/>
        <v>0.11351917608805083</v>
      </c>
      <c r="W37" t="str">
        <f>$A$11</f>
        <v>Seattle</v>
      </c>
      <c r="X37" s="14">
        <f si="36" t="shared"/>
        <v>9.2737298998151717E-3</v>
      </c>
      <c r="Y37" s="14">
        <f si="37" t="shared"/>
        <v>0</v>
      </c>
      <c r="Z37" s="14">
        <f si="37" t="shared"/>
        <v>-1.1607711119975342E-4</v>
      </c>
      <c r="AA37" s="14">
        <f si="37" t="shared"/>
        <v>3.4012217188414076E-5</v>
      </c>
      <c r="AB37" s="14">
        <f si="37" t="shared"/>
        <v>-1.0392444113321311E-2</v>
      </c>
      <c r="AC37" s="14">
        <f si="37" t="shared"/>
        <v>-2.1412912752056019E-4</v>
      </c>
      <c r="AD37" s="14">
        <f si="37" t="shared"/>
        <v>1.4149082350380256E-3</v>
      </c>
      <c r="AE37" s="14"/>
      <c r="AF37" s="14">
        <f si="32" t="shared"/>
        <v>0</v>
      </c>
    </row>
    <row r="38" spans="1:32" x14ac:dyDescent="0.45">
      <c r="A38" t="str">
        <f>$A$12</f>
        <v>Seattle Downtown</v>
      </c>
      <c r="B38" s="14">
        <f si="25" t="shared"/>
        <v>2.0649818690540278E-2</v>
      </c>
      <c r="C38" s="14">
        <f si="25" t="shared"/>
        <v>0</v>
      </c>
      <c r="D38" s="14">
        <f si="25" t="shared"/>
        <v>0</v>
      </c>
      <c r="E38" s="14">
        <f si="25" t="shared"/>
        <v>1.5477666206751726E-2</v>
      </c>
      <c r="F38" s="14">
        <f si="25" t="shared"/>
        <v>0</v>
      </c>
      <c r="G38" s="14">
        <f ref="G38:H39" si="44" t="shared">G25/$J$28</f>
        <v>0.10509804331244094</v>
      </c>
      <c r="H38" s="14">
        <f si="44" t="shared"/>
        <v>0</v>
      </c>
      <c r="I38" s="14"/>
      <c r="J38" s="14">
        <f si="27" t="shared"/>
        <v>0.14122552820973294</v>
      </c>
      <c r="K38" s="11"/>
      <c r="L38" t="str">
        <f>$A$12</f>
        <v>Seattle Downtown</v>
      </c>
      <c r="M38" s="14">
        <f si="34" t="shared"/>
        <v>1.186346135531883E-2</v>
      </c>
      <c r="N38" s="14">
        <f si="34" t="shared"/>
        <v>8.7479422608601008E-3</v>
      </c>
      <c r="O38" s="14">
        <f si="34" t="shared"/>
        <v>0</v>
      </c>
      <c r="P38" s="14">
        <f si="34" t="shared"/>
        <v>3.5236657007196985E-3</v>
      </c>
      <c r="Q38" s="14">
        <f si="34" t="shared"/>
        <v>0</v>
      </c>
      <c r="R38" s="14">
        <f si="34" t="shared"/>
        <v>0.11704964423220821</v>
      </c>
      <c r="S38" s="14">
        <f ref="S38:S39" si="45" t="shared">S25/$U$28</f>
        <v>4.0814660626096896E-5</v>
      </c>
      <c r="T38" s="14"/>
      <c r="U38" s="14">
        <f si="30" t="shared"/>
        <v>0.14122552820973294</v>
      </c>
      <c r="W38" t="str">
        <f>$A$12</f>
        <v>Seattle Downtown</v>
      </c>
      <c r="X38" s="14">
        <f si="36" t="shared"/>
        <v>-8.7863573352214477E-3</v>
      </c>
      <c r="Y38" s="14">
        <f si="37" t="shared"/>
        <v>8.7479422608601008E-3</v>
      </c>
      <c r="Z38" s="14">
        <f si="37" t="shared"/>
        <v>0</v>
      </c>
      <c r="AA38" s="14">
        <f si="37" t="shared"/>
        <v>-1.1954000506032028E-2</v>
      </c>
      <c r="AB38" s="14">
        <f si="37" t="shared"/>
        <v>0</v>
      </c>
      <c r="AC38" s="14">
        <f si="37" t="shared"/>
        <v>1.1951600919767269E-2</v>
      </c>
      <c r="AD38" s="14">
        <f si="37" t="shared"/>
        <v>4.0814660626096896E-5</v>
      </c>
      <c r="AE38" s="14"/>
      <c r="AF38" s="14">
        <f si="32" t="shared"/>
        <v>0</v>
      </c>
    </row>
    <row r="39" spans="1:32" x14ac:dyDescent="0.45">
      <c r="A39" t="str">
        <f>$A$13</f>
        <v>Rest</v>
      </c>
      <c r="B39" s="14">
        <f si="25" t="shared"/>
        <v>2.4067353258817197E-2</v>
      </c>
      <c r="C39" s="14">
        <f si="25" t="shared"/>
        <v>0</v>
      </c>
      <c r="D39" s="14">
        <f si="25" t="shared"/>
        <v>0</v>
      </c>
      <c r="E39" s="14">
        <f si="25" t="shared"/>
        <v>7.9414502767614827E-4</v>
      </c>
      <c r="F39" s="14">
        <f si="25" t="shared"/>
        <v>5.3750982314498851E-4</v>
      </c>
      <c r="G39" s="14">
        <f si="44" t="shared"/>
        <v>4.341704317340283E-4</v>
      </c>
      <c r="H39" s="14">
        <f si="44" t="shared"/>
        <v>6.1680256284417055E-2</v>
      </c>
      <c r="I39" s="14"/>
      <c r="J39" s="14">
        <f si="25" t="shared"/>
        <v>8.7513434825789424E-2</v>
      </c>
      <c r="K39" s="11"/>
      <c r="L39" t="str">
        <f>$A$13</f>
        <v>Rest</v>
      </c>
      <c r="M39" s="14">
        <f si="34" t="shared"/>
        <v>6.4351114920479435E-3</v>
      </c>
      <c r="N39" s="14">
        <f si="34" t="shared"/>
        <v>0</v>
      </c>
      <c r="O39" s="14">
        <f si="34" t="shared"/>
        <v>0</v>
      </c>
      <c r="P39" s="14">
        <f si="34" t="shared"/>
        <v>2.8094091397630029E-3</v>
      </c>
      <c r="Q39" s="14">
        <f si="34" t="shared"/>
        <v>5.5780036188999085E-4</v>
      </c>
      <c r="R39" s="14">
        <f si="34" t="shared"/>
        <v>4.0814660626096896E-5</v>
      </c>
      <c r="S39" s="14">
        <f si="45" t="shared"/>
        <v>7.7670299171462384E-2</v>
      </c>
      <c r="T39" s="14"/>
      <c r="U39" s="14">
        <f si="30" t="shared"/>
        <v>8.7513434825789424E-2</v>
      </c>
      <c r="W39" t="str">
        <f>$A$13</f>
        <v>Rest</v>
      </c>
      <c r="X39" s="14">
        <f ref="X39" si="46" t="shared">M39-B39</f>
        <v>-1.7632241766769252E-2</v>
      </c>
      <c r="Y39" s="14">
        <f ref="Y39" si="47" t="shared">N39-C39</f>
        <v>0</v>
      </c>
      <c r="Z39" s="14">
        <f ref="Z39" si="48" t="shared">O39-D39</f>
        <v>0</v>
      </c>
      <c r="AA39" s="14">
        <f ref="AA39" si="49" t="shared">P39-E39</f>
        <v>2.0152641120868547E-3</v>
      </c>
      <c r="AB39" s="14">
        <f ref="AB39" si="50" t="shared">Q39-F39</f>
        <v>2.0290538745002342E-5</v>
      </c>
      <c r="AC39" s="14">
        <f ref="AC39" si="51" t="shared">R39-G39</f>
        <v>-3.9335577110793138E-4</v>
      </c>
      <c r="AD39" s="14">
        <f ref="AD39" si="52" t="shared">S39-H39</f>
        <v>1.5990042887045329E-2</v>
      </c>
      <c r="AE39" s="14"/>
      <c r="AF39" s="14">
        <f si="32" t="shared"/>
        <v>0</v>
      </c>
    </row>
    <row r="40" spans="1:32" x14ac:dyDescent="0.45">
      <c r="A40" s="6" t="s">
        <v>13</v>
      </c>
      <c r="B40" s="15"/>
      <c r="C40" s="15"/>
      <c r="D40" s="15"/>
      <c r="E40" s="15"/>
      <c r="F40" s="15"/>
      <c r="G40" s="15"/>
      <c r="H40" s="14"/>
      <c r="I40" s="15"/>
      <c r="J40" s="15">
        <f>J27/$J$28</f>
        <v>0</v>
      </c>
      <c r="K40" s="11"/>
      <c r="L40" s="12" t="s">
        <v>13</v>
      </c>
      <c r="M40" s="15"/>
      <c r="N40" s="15"/>
      <c r="O40" s="15"/>
      <c r="P40" s="15"/>
      <c r="Q40" s="15"/>
      <c r="R40" s="15"/>
      <c r="S40" s="15"/>
      <c r="T40" s="15"/>
      <c r="U40" s="15"/>
      <c r="W40" s="12" t="s">
        <v>13</v>
      </c>
      <c r="X40" s="15"/>
      <c r="Y40" s="15"/>
      <c r="Z40" s="15"/>
      <c r="AA40" s="15"/>
      <c r="AB40" s="15"/>
      <c r="AC40" s="15"/>
      <c r="AD40" s="15"/>
      <c r="AE40" s="15"/>
      <c r="AF40" s="15"/>
    </row>
    <row ht="14.65" r="41" spans="1:32" thickBot="1" x14ac:dyDescent="0.5">
      <c r="A41" s="1" t="s">
        <v>4</v>
      </c>
      <c r="B41" s="16">
        <f ref="B41:H41" si="53" t="shared">B28/$J$28</f>
        <v>0.40444182568674469</v>
      </c>
      <c r="C41" s="16">
        <f si="53" t="shared"/>
        <v>5.5089296459110079E-2</v>
      </c>
      <c r="D41" s="16">
        <f si="53" t="shared"/>
        <v>4.2522688703281589E-2</v>
      </c>
      <c r="E41" s="16">
        <f si="53" t="shared"/>
        <v>0.18970706881772401</v>
      </c>
      <c r="F41" s="16">
        <f si="53" t="shared"/>
        <v>0.1141150908291388</v>
      </c>
      <c r="G41" s="16">
        <f si="53" t="shared"/>
        <v>0.13027194363132735</v>
      </c>
      <c r="H41" s="16">
        <f si="53" t="shared"/>
        <v>6.385208587267345E-2</v>
      </c>
      <c r="I41" s="16">
        <f>I28/$J$28</f>
        <v>0</v>
      </c>
      <c r="J41" s="16">
        <f>J28/$J$28</f>
        <v>1</v>
      </c>
      <c r="K41" s="11"/>
      <c r="L41" s="13" t="s">
        <v>4</v>
      </c>
      <c r="M41" s="16">
        <f>M28/$U$28</f>
        <v>0.38240616029277719</v>
      </c>
      <c r="N41" s="16">
        <f>N28/$U$28</f>
        <v>6.2031481708229599E-2</v>
      </c>
      <c r="O41" s="16">
        <f>O28/$U$28</f>
        <v>3.8168510128838276E-2</v>
      </c>
      <c r="P41" s="16">
        <f>P28/$U$28</f>
        <v>0.19081534087044066</v>
      </c>
      <c r="Q41" s="16">
        <f ref="Q41:S41" si="54" t="shared">Q28/$U$28</f>
        <v>9.6009686679455267E-2</v>
      </c>
      <c r="R41" s="16">
        <f si="54" t="shared"/>
        <v>0.14336829789260302</v>
      </c>
      <c r="S41" s="16">
        <f si="54" t="shared"/>
        <v>8.720052242765601E-2</v>
      </c>
      <c r="T41" s="16">
        <f>T28/$U$28</f>
        <v>0</v>
      </c>
      <c r="U41" s="16">
        <f>U28/$U$28</f>
        <v>1</v>
      </c>
      <c r="W41" s="13" t="s">
        <v>4</v>
      </c>
      <c r="X41" s="16">
        <f ref="X41:AF41" si="55" t="shared">M41-B41</f>
        <v>-2.2035665393967507E-2</v>
      </c>
      <c r="Y41" s="16">
        <f si="55" t="shared"/>
        <v>6.9421852491195202E-3</v>
      </c>
      <c r="Z41" s="16">
        <f si="55" t="shared"/>
        <v>-4.3541785744433126E-3</v>
      </c>
      <c r="AA41" s="16">
        <f si="55" t="shared"/>
        <v>1.1082720527166579E-3</v>
      </c>
      <c r="AB41" s="16">
        <f si="55" t="shared"/>
        <v>-1.8105404149683535E-2</v>
      </c>
      <c r="AC41" s="16">
        <f si="55" t="shared"/>
        <v>1.3096354261275672E-2</v>
      </c>
      <c r="AD41" s="16">
        <f si="55" t="shared"/>
        <v>2.334843655498256E-2</v>
      </c>
      <c r="AE41" s="16">
        <f si="55" t="shared"/>
        <v>0</v>
      </c>
      <c r="AF41" s="16">
        <f si="5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9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5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1" t="s">
        <v>43</v>
      </c>
    </row>
    <row r="2" spans="1:4" x14ac:dyDescent="0.45">
      <c r="A2" t="s">
        <v>255</v>
      </c>
      <c r="B2" t="s">
        <v>262</v>
      </c>
      <c r="C2" t="s">
        <v>92</v>
      </c>
      <c r="D2" t="s">
        <v>278</v>
      </c>
    </row>
    <row r="3" spans="1:4" x14ac:dyDescent="0.45">
      <c r="A3">
        <v>1</v>
      </c>
      <c r="B3" t="s">
        <v>46</v>
      </c>
      <c r="C3" t="s">
        <v>279</v>
      </c>
      <c r="D3" t="s">
        <v>47</v>
      </c>
    </row>
    <row r="4" spans="1:4" x14ac:dyDescent="0.45">
      <c r="A4">
        <v>2</v>
      </c>
      <c r="B4" t="s">
        <v>49</v>
      </c>
      <c r="C4" t="s">
        <v>279</v>
      </c>
      <c r="D4" t="s">
        <v>50</v>
      </c>
    </row>
    <row r="5" spans="1:4" x14ac:dyDescent="0.45">
      <c r="A5">
        <v>3</v>
      </c>
      <c r="B5" t="s">
        <v>52</v>
      </c>
      <c r="C5" t="s">
        <v>279</v>
      </c>
      <c r="D5" t="s">
        <v>53</v>
      </c>
    </row>
    <row r="6" spans="1:4" x14ac:dyDescent="0.45">
      <c r="A6">
        <v>4</v>
      </c>
      <c r="B6" t="s">
        <v>55</v>
      </c>
      <c r="C6" t="s">
        <v>279</v>
      </c>
      <c r="D6" t="s">
        <v>56</v>
      </c>
    </row>
    <row r="7" spans="1:4" x14ac:dyDescent="0.45">
      <c r="A7">
        <v>5</v>
      </c>
      <c r="B7" t="s">
        <v>58</v>
      </c>
      <c r="C7" t="s">
        <v>279</v>
      </c>
      <c r="D7" t="s">
        <v>59</v>
      </c>
    </row>
    <row r="8" spans="1:4" x14ac:dyDescent="0.45">
      <c r="A8">
        <v>6</v>
      </c>
      <c r="B8" t="s">
        <v>60</v>
      </c>
      <c r="C8" t="s">
        <v>279</v>
      </c>
      <c r="D8" t="s">
        <v>61</v>
      </c>
    </row>
    <row r="9" spans="1:4" x14ac:dyDescent="0.45">
      <c r="A9">
        <v>7</v>
      </c>
      <c r="B9" t="s">
        <v>62</v>
      </c>
      <c r="C9" t="s">
        <v>279</v>
      </c>
      <c r="D9" t="s">
        <v>63</v>
      </c>
    </row>
    <row r="10" spans="1:4" x14ac:dyDescent="0.45">
      <c r="A10">
        <v>8</v>
      </c>
      <c r="B10" t="s">
        <v>65</v>
      </c>
      <c r="C10" t="s">
        <v>279</v>
      </c>
      <c r="D10" t="s">
        <v>66</v>
      </c>
    </row>
    <row r="11" spans="1:4" x14ac:dyDescent="0.45">
      <c r="A11">
        <v>9</v>
      </c>
      <c r="B11" t="s">
        <v>67</v>
      </c>
      <c r="C11" t="s">
        <v>279</v>
      </c>
      <c r="D11" t="s">
        <v>68</v>
      </c>
    </row>
    <row r="12" spans="1:4" x14ac:dyDescent="0.45">
      <c r="A12">
        <v>10</v>
      </c>
      <c r="B12" t="s">
        <v>69</v>
      </c>
      <c r="C12" t="s">
        <v>279</v>
      </c>
      <c r="D12" t="s">
        <v>70</v>
      </c>
    </row>
    <row r="13" spans="1:4" x14ac:dyDescent="0.45">
      <c r="A13">
        <v>11</v>
      </c>
      <c r="B13" t="s">
        <v>71</v>
      </c>
      <c r="C13" t="s">
        <v>279</v>
      </c>
      <c r="D13" t="s">
        <v>72</v>
      </c>
    </row>
    <row r="14" spans="1:4" x14ac:dyDescent="0.45">
      <c r="A14">
        <v>12</v>
      </c>
      <c r="B14" t="s">
        <v>73</v>
      </c>
      <c r="C14" t="s">
        <v>279</v>
      </c>
      <c r="D14" t="s">
        <v>74</v>
      </c>
    </row>
    <row r="15" spans="1:4" x14ac:dyDescent="0.45">
      <c r="A15">
        <v>13</v>
      </c>
      <c r="B15" t="s">
        <v>75</v>
      </c>
      <c r="C15" t="s">
        <v>279</v>
      </c>
      <c r="D15" t="s">
        <v>76</v>
      </c>
    </row>
    <row r="16" spans="1:4" x14ac:dyDescent="0.45">
      <c r="A16">
        <v>14</v>
      </c>
      <c r="B16" t="s">
        <v>77</v>
      </c>
      <c r="C16" t="s">
        <v>279</v>
      </c>
      <c r="D16" t="s">
        <v>78</v>
      </c>
    </row>
    <row r="17" spans="1:4" x14ac:dyDescent="0.45">
      <c r="A17">
        <v>15</v>
      </c>
      <c r="B17" t="s">
        <v>79</v>
      </c>
      <c r="C17" t="s">
        <v>279</v>
      </c>
      <c r="D17" t="s">
        <v>80</v>
      </c>
    </row>
    <row r="18" spans="1:4" x14ac:dyDescent="0.45">
      <c r="A18">
        <v>16</v>
      </c>
      <c r="B18" t="s">
        <v>81</v>
      </c>
      <c r="C18" t="s">
        <v>279</v>
      </c>
      <c r="D18" t="s">
        <v>82</v>
      </c>
    </row>
    <row r="19" spans="1:4" x14ac:dyDescent="0.45">
      <c r="A19">
        <v>17</v>
      </c>
      <c r="B19" t="s">
        <v>84</v>
      </c>
      <c r="C19" t="s">
        <v>279</v>
      </c>
      <c r="D19" t="s">
        <v>85</v>
      </c>
    </row>
    <row r="20" spans="1:4" x14ac:dyDescent="0.45">
      <c r="A20">
        <v>18</v>
      </c>
      <c r="B20" t="s">
        <v>87</v>
      </c>
      <c r="C20" t="s">
        <v>279</v>
      </c>
      <c r="D20" t="s">
        <v>88</v>
      </c>
    </row>
    <row r="21" spans="1:4" x14ac:dyDescent="0.45">
      <c r="A21">
        <v>19</v>
      </c>
      <c r="B21" t="s">
        <v>90</v>
      </c>
      <c r="C21" t="s">
        <v>279</v>
      </c>
      <c r="D21" t="s">
        <v>91</v>
      </c>
    </row>
    <row r="22" spans="1:4" x14ac:dyDescent="0.45">
      <c r="A22">
        <v>20</v>
      </c>
      <c r="B22" t="s">
        <v>93</v>
      </c>
      <c r="C22" t="s">
        <v>89</v>
      </c>
      <c r="D22" t="s">
        <v>94</v>
      </c>
    </row>
    <row r="23" spans="1:4" x14ac:dyDescent="0.45">
      <c r="A23">
        <v>21</v>
      </c>
      <c r="B23" t="s">
        <v>95</v>
      </c>
      <c r="C23" t="s">
        <v>89</v>
      </c>
      <c r="D23" t="s">
        <v>96</v>
      </c>
    </row>
    <row r="24" spans="1:4" x14ac:dyDescent="0.45">
      <c r="A24">
        <v>22</v>
      </c>
      <c r="B24" t="s">
        <v>97</v>
      </c>
      <c r="C24" t="s">
        <v>89</v>
      </c>
      <c r="D24" t="s">
        <v>98</v>
      </c>
    </row>
    <row r="25" spans="1:4" x14ac:dyDescent="0.45">
      <c r="A25">
        <v>23</v>
      </c>
      <c r="B25" t="s">
        <v>99</v>
      </c>
      <c r="C25" t="s">
        <v>89</v>
      </c>
      <c r="D25" t="s">
        <v>100</v>
      </c>
    </row>
    <row r="26" spans="1:4" x14ac:dyDescent="0.45">
      <c r="A26">
        <v>24</v>
      </c>
      <c r="B26" t="s">
        <v>101</v>
      </c>
      <c r="C26" t="s">
        <v>89</v>
      </c>
      <c r="D26" t="s">
        <v>102</v>
      </c>
    </row>
    <row r="27" spans="1:4" x14ac:dyDescent="0.45">
      <c r="A27">
        <v>25</v>
      </c>
      <c r="B27" t="s">
        <v>104</v>
      </c>
      <c r="C27" t="s">
        <v>89</v>
      </c>
      <c r="D27" t="s">
        <v>105</v>
      </c>
    </row>
    <row r="28" spans="1:4" x14ac:dyDescent="0.45">
      <c r="A28">
        <v>26</v>
      </c>
      <c r="B28" t="s">
        <v>106</v>
      </c>
      <c r="C28" t="s">
        <v>103</v>
      </c>
      <c r="D28" t="s">
        <v>94</v>
      </c>
    </row>
    <row r="29" spans="1:4" x14ac:dyDescent="0.45">
      <c r="A29">
        <v>27</v>
      </c>
      <c r="B29" t="s">
        <v>107</v>
      </c>
      <c r="C29" t="s">
        <v>103</v>
      </c>
      <c r="D29" t="s">
        <v>96</v>
      </c>
    </row>
    <row r="30" spans="1:4" x14ac:dyDescent="0.45">
      <c r="A30">
        <v>28</v>
      </c>
      <c r="B30" t="s">
        <v>109</v>
      </c>
      <c r="C30" t="s">
        <v>103</v>
      </c>
      <c r="D30" t="s">
        <v>98</v>
      </c>
    </row>
    <row r="31" spans="1:4" x14ac:dyDescent="0.45">
      <c r="A31">
        <v>29</v>
      </c>
      <c r="B31" t="s">
        <v>110</v>
      </c>
      <c r="C31" t="s">
        <v>103</v>
      </c>
      <c r="D31" t="s">
        <v>100</v>
      </c>
    </row>
    <row r="32" spans="1:4" x14ac:dyDescent="0.45">
      <c r="A32">
        <v>30</v>
      </c>
      <c r="B32" t="s">
        <v>111</v>
      </c>
      <c r="C32" t="s">
        <v>103</v>
      </c>
      <c r="D32" t="s">
        <v>112</v>
      </c>
    </row>
    <row r="33" spans="1:4" x14ac:dyDescent="0.45">
      <c r="A33">
        <v>31</v>
      </c>
      <c r="B33" t="s">
        <v>113</v>
      </c>
      <c r="C33" t="s">
        <v>103</v>
      </c>
      <c r="D33" t="s">
        <v>114</v>
      </c>
    </row>
    <row r="34" spans="1:4" x14ac:dyDescent="0.45">
      <c r="A34">
        <v>32</v>
      </c>
      <c r="B34" t="s">
        <v>115</v>
      </c>
      <c r="C34" t="s">
        <v>103</v>
      </c>
      <c r="D34" t="s">
        <v>116</v>
      </c>
    </row>
    <row r="35" spans="1:4" x14ac:dyDescent="0.45">
      <c r="A35">
        <v>33</v>
      </c>
      <c r="B35" t="s">
        <v>117</v>
      </c>
      <c r="C35" t="s">
        <v>103</v>
      </c>
      <c r="D35" t="s">
        <v>118</v>
      </c>
    </row>
    <row r="36" spans="1:4" x14ac:dyDescent="0.45">
      <c r="A36">
        <v>34</v>
      </c>
      <c r="B36" t="s">
        <v>119</v>
      </c>
      <c r="C36" t="s">
        <v>103</v>
      </c>
      <c r="D36" t="s">
        <v>120</v>
      </c>
    </row>
    <row r="37" spans="1:4" x14ac:dyDescent="0.45">
      <c r="A37">
        <v>35</v>
      </c>
      <c r="B37" t="s">
        <v>122</v>
      </c>
      <c r="C37" t="s">
        <v>103</v>
      </c>
      <c r="D37" t="s">
        <v>123</v>
      </c>
    </row>
    <row r="38" spans="1:4" x14ac:dyDescent="0.45">
      <c r="A38">
        <v>36</v>
      </c>
      <c r="B38" t="s">
        <v>124</v>
      </c>
      <c r="C38" t="s">
        <v>121</v>
      </c>
      <c r="D38" t="s">
        <v>94</v>
      </c>
    </row>
    <row r="39" spans="1:4" x14ac:dyDescent="0.45">
      <c r="A39">
        <v>37</v>
      </c>
      <c r="B39" t="s">
        <v>125</v>
      </c>
      <c r="C39" t="s">
        <v>121</v>
      </c>
      <c r="D39" t="s">
        <v>96</v>
      </c>
    </row>
    <row r="40" spans="1:4" x14ac:dyDescent="0.45">
      <c r="A40">
        <v>38</v>
      </c>
      <c r="B40" t="s">
        <v>127</v>
      </c>
      <c r="C40" t="s">
        <v>121</v>
      </c>
      <c r="D40" t="s">
        <v>98</v>
      </c>
    </row>
    <row r="41" spans="1:4" x14ac:dyDescent="0.45">
      <c r="A41">
        <v>39</v>
      </c>
      <c r="B41" t="s">
        <v>128</v>
      </c>
      <c r="C41" t="s">
        <v>121</v>
      </c>
      <c r="D41" t="s">
        <v>100</v>
      </c>
    </row>
    <row r="42" spans="1:4" x14ac:dyDescent="0.45">
      <c r="A42">
        <v>40</v>
      </c>
      <c r="B42" t="s">
        <v>129</v>
      </c>
      <c r="C42" t="s">
        <v>121</v>
      </c>
      <c r="D42" t="s">
        <v>112</v>
      </c>
    </row>
    <row r="43" spans="1:4" x14ac:dyDescent="0.45">
      <c r="A43">
        <v>41</v>
      </c>
      <c r="B43" t="s">
        <v>130</v>
      </c>
      <c r="C43" t="s">
        <v>121</v>
      </c>
      <c r="D43" t="s">
        <v>114</v>
      </c>
    </row>
    <row r="44" spans="1:4" x14ac:dyDescent="0.45">
      <c r="A44">
        <v>42</v>
      </c>
      <c r="B44" t="s">
        <v>132</v>
      </c>
      <c r="C44" t="s">
        <v>121</v>
      </c>
      <c r="D44" t="s">
        <v>133</v>
      </c>
    </row>
    <row r="45" spans="1:4" x14ac:dyDescent="0.45">
      <c r="A45">
        <v>43</v>
      </c>
      <c r="B45" t="s">
        <v>134</v>
      </c>
      <c r="C45" t="s">
        <v>131</v>
      </c>
      <c r="D45" t="s">
        <v>94</v>
      </c>
    </row>
    <row r="46" spans="1:4" x14ac:dyDescent="0.45">
      <c r="A46">
        <v>44</v>
      </c>
      <c r="B46" t="s">
        <v>135</v>
      </c>
      <c r="C46" t="s">
        <v>131</v>
      </c>
      <c r="D46" t="s">
        <v>136</v>
      </c>
    </row>
    <row r="47" spans="1:4" x14ac:dyDescent="0.45">
      <c r="A47">
        <v>45</v>
      </c>
      <c r="B47" t="s">
        <v>137</v>
      </c>
      <c r="C47" t="s">
        <v>131</v>
      </c>
      <c r="D47" t="s">
        <v>138</v>
      </c>
    </row>
    <row r="48" spans="1:4" x14ac:dyDescent="0.45">
      <c r="A48">
        <v>46</v>
      </c>
      <c r="B48" t="s">
        <v>139</v>
      </c>
      <c r="C48" t="s">
        <v>131</v>
      </c>
      <c r="D48" t="s">
        <v>140</v>
      </c>
    </row>
    <row r="49" spans="1:4" x14ac:dyDescent="0.45">
      <c r="A49">
        <v>47</v>
      </c>
      <c r="B49" t="s">
        <v>141</v>
      </c>
      <c r="C49" t="s">
        <v>131</v>
      </c>
      <c r="D49" t="s">
        <v>142</v>
      </c>
    </row>
    <row r="50" spans="1:4" x14ac:dyDescent="0.45">
      <c r="A50">
        <v>48</v>
      </c>
      <c r="B50" t="s">
        <v>144</v>
      </c>
      <c r="C50" t="s">
        <v>131</v>
      </c>
      <c r="D50" t="s">
        <v>145</v>
      </c>
    </row>
    <row r="51" spans="1:4" x14ac:dyDescent="0.45">
      <c r="A51">
        <v>49</v>
      </c>
      <c r="B51" t="s">
        <v>146</v>
      </c>
      <c r="C51" t="s">
        <v>143</v>
      </c>
      <c r="D51" t="s">
        <v>94</v>
      </c>
    </row>
    <row r="52" spans="1:4" x14ac:dyDescent="0.45">
      <c r="A52">
        <v>50</v>
      </c>
      <c r="B52" t="s">
        <v>147</v>
      </c>
      <c r="C52" t="s">
        <v>143</v>
      </c>
      <c r="D52" t="s">
        <v>96</v>
      </c>
    </row>
    <row r="53" spans="1:4" x14ac:dyDescent="0.45">
      <c r="A53">
        <v>51</v>
      </c>
      <c r="B53" t="s">
        <v>148</v>
      </c>
      <c r="C53" t="s">
        <v>143</v>
      </c>
      <c r="D53" t="s">
        <v>98</v>
      </c>
    </row>
    <row r="54" spans="1:4" x14ac:dyDescent="0.45">
      <c r="A54">
        <v>52</v>
      </c>
      <c r="B54" t="s">
        <v>149</v>
      </c>
      <c r="C54" t="s">
        <v>143</v>
      </c>
      <c r="D54" t="s">
        <v>100</v>
      </c>
    </row>
    <row r="55" spans="1:4" x14ac:dyDescent="0.45">
      <c r="A55">
        <v>53</v>
      </c>
      <c r="B55" t="s">
        <v>150</v>
      </c>
      <c r="C55" t="s">
        <v>143</v>
      </c>
      <c r="D55" t="s">
        <v>112</v>
      </c>
    </row>
    <row r="56" spans="1:4" x14ac:dyDescent="0.45">
      <c r="A56">
        <v>54</v>
      </c>
      <c r="B56" t="s">
        <v>151</v>
      </c>
      <c r="C56" t="s">
        <v>143</v>
      </c>
      <c r="D56" t="s">
        <v>152</v>
      </c>
    </row>
    <row r="57" spans="1:4" x14ac:dyDescent="0.45">
      <c r="A57">
        <v>55</v>
      </c>
      <c r="B57" t="s">
        <v>153</v>
      </c>
      <c r="C57" t="s">
        <v>143</v>
      </c>
      <c r="D57" t="s">
        <v>116</v>
      </c>
    </row>
    <row r="58" spans="1:4" x14ac:dyDescent="0.45">
      <c r="A58">
        <v>56</v>
      </c>
      <c r="B58" t="s">
        <v>154</v>
      </c>
      <c r="C58" t="s">
        <v>143</v>
      </c>
      <c r="D58" t="s">
        <v>120</v>
      </c>
    </row>
    <row r="59" spans="1:4" x14ac:dyDescent="0.45">
      <c r="A59">
        <v>57</v>
      </c>
      <c r="B59" t="s">
        <v>155</v>
      </c>
      <c r="C59" t="s">
        <v>143</v>
      </c>
      <c r="D59" t="s">
        <v>123</v>
      </c>
    </row>
    <row r="60" spans="1:4" x14ac:dyDescent="0.45">
      <c r="A60">
        <v>118</v>
      </c>
      <c r="B60" t="s">
        <v>280</v>
      </c>
    </row>
    <row r="61" spans="1:4" x14ac:dyDescent="0.45">
      <c r="A61">
        <v>70</v>
      </c>
      <c r="B61" t="s">
        <v>156</v>
      </c>
      <c r="C61" t="s">
        <v>89</v>
      </c>
    </row>
    <row r="62" spans="1:4" x14ac:dyDescent="0.45">
      <c r="A62">
        <v>71</v>
      </c>
      <c r="B62" t="s">
        <v>157</v>
      </c>
      <c r="C62" t="s">
        <v>89</v>
      </c>
      <c r="D62" t="s">
        <v>158</v>
      </c>
    </row>
    <row r="63" spans="1:4" x14ac:dyDescent="0.45">
      <c r="A63">
        <v>72</v>
      </c>
      <c r="B63" t="s">
        <v>159</v>
      </c>
      <c r="C63" t="s">
        <v>89</v>
      </c>
      <c r="D63" t="s">
        <v>160</v>
      </c>
    </row>
    <row r="64" spans="1:4" x14ac:dyDescent="0.45">
      <c r="A64">
        <v>73</v>
      </c>
      <c r="B64" t="s">
        <v>161</v>
      </c>
      <c r="C64" t="s">
        <v>89</v>
      </c>
      <c r="D64" t="s">
        <v>162</v>
      </c>
    </row>
    <row r="65" spans="1:4" x14ac:dyDescent="0.45">
      <c r="A65">
        <v>74</v>
      </c>
      <c r="B65" t="s">
        <v>163</v>
      </c>
      <c r="C65" t="s">
        <v>89</v>
      </c>
      <c r="D65" t="s">
        <v>164</v>
      </c>
    </row>
    <row r="66" spans="1:4" x14ac:dyDescent="0.45">
      <c r="A66">
        <v>75</v>
      </c>
      <c r="B66" t="s">
        <v>165</v>
      </c>
      <c r="C66" t="s">
        <v>89</v>
      </c>
      <c r="D66" t="s">
        <v>166</v>
      </c>
    </row>
    <row r="67" spans="1:4" x14ac:dyDescent="0.45">
      <c r="A67">
        <v>76</v>
      </c>
      <c r="B67" t="s">
        <v>167</v>
      </c>
      <c r="C67" t="s">
        <v>89</v>
      </c>
      <c r="D67" t="s">
        <v>168</v>
      </c>
    </row>
    <row r="68" spans="1:4" x14ac:dyDescent="0.45">
      <c r="A68">
        <v>77</v>
      </c>
      <c r="B68" t="s">
        <v>169</v>
      </c>
      <c r="C68" t="s">
        <v>89</v>
      </c>
      <c r="D68" t="s">
        <v>170</v>
      </c>
    </row>
    <row r="69" spans="1:4" x14ac:dyDescent="0.45">
      <c r="A69">
        <v>78</v>
      </c>
      <c r="B69" t="s">
        <v>171</v>
      </c>
      <c r="C69" t="s">
        <v>89</v>
      </c>
      <c r="D69" t="s">
        <v>172</v>
      </c>
    </row>
    <row r="70" spans="1:4" x14ac:dyDescent="0.45">
      <c r="A70">
        <v>79</v>
      </c>
      <c r="B70" t="s">
        <v>173</v>
      </c>
      <c r="C70" t="s">
        <v>89</v>
      </c>
      <c r="D70" t="s">
        <v>174</v>
      </c>
    </row>
    <row r="71" spans="1:4" x14ac:dyDescent="0.45">
      <c r="A71">
        <v>80</v>
      </c>
      <c r="B71" t="s">
        <v>175</v>
      </c>
      <c r="C71" t="s">
        <v>89</v>
      </c>
      <c r="D71" t="s">
        <v>176</v>
      </c>
    </row>
    <row r="72" spans="1:4" x14ac:dyDescent="0.45">
      <c r="A72">
        <v>81</v>
      </c>
      <c r="B72" t="s">
        <v>177</v>
      </c>
      <c r="C72" t="s">
        <v>89</v>
      </c>
      <c r="D72" t="s">
        <v>178</v>
      </c>
    </row>
    <row r="73" spans="1:4" x14ac:dyDescent="0.45">
      <c r="A73">
        <v>82</v>
      </c>
      <c r="B73" t="s">
        <v>179</v>
      </c>
      <c r="C73" t="s">
        <v>89</v>
      </c>
      <c r="D73" t="s">
        <v>178</v>
      </c>
    </row>
    <row r="74" spans="1:4" x14ac:dyDescent="0.45">
      <c r="A74">
        <v>83</v>
      </c>
      <c r="B74" t="s">
        <v>180</v>
      </c>
      <c r="C74" t="s">
        <v>89</v>
      </c>
      <c r="D74" t="s">
        <v>181</v>
      </c>
    </row>
    <row r="75" spans="1:4" x14ac:dyDescent="0.45">
      <c r="A75">
        <v>84</v>
      </c>
      <c r="B75" t="s">
        <v>182</v>
      </c>
      <c r="C75" t="s">
        <v>89</v>
      </c>
      <c r="D75" t="s">
        <v>183</v>
      </c>
    </row>
    <row r="76" spans="1:4" x14ac:dyDescent="0.45">
      <c r="A76">
        <v>85</v>
      </c>
      <c r="B76" t="s">
        <v>184</v>
      </c>
      <c r="C76" t="s">
        <v>89</v>
      </c>
      <c r="D76" t="s">
        <v>185</v>
      </c>
    </row>
    <row r="77" spans="1:4" x14ac:dyDescent="0.45">
      <c r="A77">
        <v>86</v>
      </c>
      <c r="B77" t="s">
        <v>186</v>
      </c>
      <c r="C77" t="s">
        <v>89</v>
      </c>
      <c r="D77" t="s">
        <v>187</v>
      </c>
    </row>
    <row r="78" spans="1:4" x14ac:dyDescent="0.45">
      <c r="A78">
        <v>87</v>
      </c>
      <c r="B78" t="s">
        <v>188</v>
      </c>
      <c r="C78" t="s">
        <v>89</v>
      </c>
      <c r="D78" t="s">
        <v>189</v>
      </c>
    </row>
    <row r="79" spans="1:4" x14ac:dyDescent="0.45">
      <c r="A79">
        <v>88</v>
      </c>
      <c r="B79" t="s">
        <v>190</v>
      </c>
      <c r="C79" t="s">
        <v>89</v>
      </c>
      <c r="D79" t="s">
        <v>191</v>
      </c>
    </row>
    <row r="80" spans="1:4" x14ac:dyDescent="0.45">
      <c r="A80">
        <v>89</v>
      </c>
      <c r="B80" t="s">
        <v>192</v>
      </c>
      <c r="C80" t="s">
        <v>103</v>
      </c>
      <c r="D80" t="s">
        <v>193</v>
      </c>
    </row>
    <row r="81" spans="1:4" x14ac:dyDescent="0.45">
      <c r="A81">
        <v>90</v>
      </c>
      <c r="B81" t="s">
        <v>194</v>
      </c>
      <c r="C81" t="s">
        <v>103</v>
      </c>
      <c r="D81" t="s">
        <v>195</v>
      </c>
    </row>
    <row r="82" spans="1:4" x14ac:dyDescent="0.45">
      <c r="A82">
        <v>91</v>
      </c>
      <c r="B82" t="s">
        <v>196</v>
      </c>
      <c r="C82" t="s">
        <v>103</v>
      </c>
      <c r="D82" t="s">
        <v>197</v>
      </c>
    </row>
    <row r="83" spans="1:4" x14ac:dyDescent="0.45">
      <c r="A83">
        <v>92</v>
      </c>
      <c r="B83" t="s">
        <v>198</v>
      </c>
      <c r="C83" t="s">
        <v>103</v>
      </c>
      <c r="D83" t="s">
        <v>199</v>
      </c>
    </row>
    <row r="84" spans="1:4" x14ac:dyDescent="0.45">
      <c r="A84">
        <v>93</v>
      </c>
      <c r="B84" t="s">
        <v>200</v>
      </c>
      <c r="C84" t="s">
        <v>103</v>
      </c>
      <c r="D84" t="s">
        <v>201</v>
      </c>
    </row>
    <row r="85" spans="1:4" x14ac:dyDescent="0.45">
      <c r="A85">
        <v>94</v>
      </c>
      <c r="B85" t="s">
        <v>202</v>
      </c>
      <c r="C85" t="s">
        <v>103</v>
      </c>
      <c r="D85" t="s">
        <v>203</v>
      </c>
    </row>
    <row r="86" spans="1:4" x14ac:dyDescent="0.45">
      <c r="A86">
        <v>95</v>
      </c>
      <c r="B86" t="s">
        <v>204</v>
      </c>
      <c r="C86" t="s">
        <v>103</v>
      </c>
      <c r="D86" t="s">
        <v>205</v>
      </c>
    </row>
    <row r="87" spans="1:4" x14ac:dyDescent="0.45">
      <c r="A87">
        <v>96</v>
      </c>
      <c r="B87" t="s">
        <v>206</v>
      </c>
      <c r="C87" t="s">
        <v>103</v>
      </c>
      <c r="D87" t="s">
        <v>207</v>
      </c>
    </row>
    <row r="88" spans="1:4" x14ac:dyDescent="0.45">
      <c r="A88">
        <v>97</v>
      </c>
      <c r="B88" t="s">
        <v>208</v>
      </c>
      <c r="C88" t="s">
        <v>103</v>
      </c>
      <c r="D88" t="s">
        <v>209</v>
      </c>
    </row>
    <row r="89" spans="1:4" x14ac:dyDescent="0.45">
      <c r="A89">
        <v>98</v>
      </c>
      <c r="B89" t="s">
        <v>210</v>
      </c>
      <c r="C89" t="s">
        <v>121</v>
      </c>
      <c r="D89" t="s">
        <v>195</v>
      </c>
    </row>
    <row r="90" spans="1:4" x14ac:dyDescent="0.45">
      <c r="A90">
        <v>99</v>
      </c>
      <c r="B90" t="s">
        <v>211</v>
      </c>
      <c r="C90" t="s">
        <v>121</v>
      </c>
      <c r="D90" t="s">
        <v>197</v>
      </c>
    </row>
    <row r="91" spans="1:4" x14ac:dyDescent="0.45">
      <c r="A91">
        <v>100</v>
      </c>
      <c r="B91" t="s">
        <v>212</v>
      </c>
      <c r="C91" t="s">
        <v>121</v>
      </c>
      <c r="D91" t="s">
        <v>199</v>
      </c>
    </row>
    <row r="92" spans="1:4" x14ac:dyDescent="0.45">
      <c r="A92">
        <v>101</v>
      </c>
      <c r="B92" t="s">
        <v>213</v>
      </c>
      <c r="C92" t="s">
        <v>121</v>
      </c>
      <c r="D92" t="s">
        <v>201</v>
      </c>
    </row>
    <row r="93" spans="1:4" x14ac:dyDescent="0.45">
      <c r="A93">
        <v>102</v>
      </c>
      <c r="B93" t="s">
        <v>214</v>
      </c>
      <c r="C93" t="s">
        <v>131</v>
      </c>
      <c r="D93" t="s">
        <v>195</v>
      </c>
    </row>
    <row r="94" spans="1:4" x14ac:dyDescent="0.45">
      <c r="A94">
        <v>103</v>
      </c>
      <c r="B94" t="s">
        <v>215</v>
      </c>
      <c r="C94" t="s">
        <v>131</v>
      </c>
      <c r="D94" t="s">
        <v>197</v>
      </c>
    </row>
    <row r="95" spans="1:4" x14ac:dyDescent="0.45">
      <c r="A95">
        <v>104</v>
      </c>
      <c r="B95" t="s">
        <v>216</v>
      </c>
      <c r="C95" t="s">
        <v>131</v>
      </c>
      <c r="D95" t="s">
        <v>199</v>
      </c>
    </row>
    <row r="96" spans="1:4" x14ac:dyDescent="0.45">
      <c r="A96">
        <v>105</v>
      </c>
      <c r="B96" t="s">
        <v>217</v>
      </c>
      <c r="C96" t="s">
        <v>131</v>
      </c>
      <c r="D96" t="s">
        <v>201</v>
      </c>
    </row>
    <row r="97" spans="1:4" x14ac:dyDescent="0.45">
      <c r="A97">
        <v>106</v>
      </c>
      <c r="B97" t="s">
        <v>218</v>
      </c>
      <c r="C97" t="s">
        <v>143</v>
      </c>
      <c r="D97" t="s">
        <v>195</v>
      </c>
    </row>
    <row r="98" spans="1:4" x14ac:dyDescent="0.45">
      <c r="A98">
        <v>107</v>
      </c>
      <c r="B98" t="s">
        <v>219</v>
      </c>
      <c r="C98" t="s">
        <v>143</v>
      </c>
      <c r="D98" t="s">
        <v>220</v>
      </c>
    </row>
    <row r="99" spans="1:4" x14ac:dyDescent="0.45">
      <c r="A99">
        <v>108</v>
      </c>
      <c r="B99" t="s">
        <v>221</v>
      </c>
      <c r="C99" t="s">
        <v>143</v>
      </c>
      <c r="D99" t="s">
        <v>197</v>
      </c>
    </row>
    <row r="100" spans="1:4" x14ac:dyDescent="0.45">
      <c r="A100">
        <v>109</v>
      </c>
      <c r="B100" t="s">
        <v>222</v>
      </c>
      <c r="C100" t="s">
        <v>143</v>
      </c>
      <c r="D100" t="s">
        <v>199</v>
      </c>
    </row>
    <row r="101" spans="1:4" x14ac:dyDescent="0.45">
      <c r="A101">
        <v>110</v>
      </c>
      <c r="B101" t="s">
        <v>223</v>
      </c>
      <c r="C101" t="s">
        <v>143</v>
      </c>
      <c r="D101" t="s">
        <v>201</v>
      </c>
    </row>
    <row r="102" spans="1:4" x14ac:dyDescent="0.45">
      <c r="A102">
        <v>111</v>
      </c>
      <c r="B102" t="s">
        <v>224</v>
      </c>
      <c r="C102" t="s">
        <v>143</v>
      </c>
      <c r="D102" t="s">
        <v>207</v>
      </c>
    </row>
    <row r="103" spans="1:4" x14ac:dyDescent="0.45">
      <c r="A103">
        <v>112</v>
      </c>
      <c r="B103" t="s">
        <v>225</v>
      </c>
      <c r="C103" t="s">
        <v>143</v>
      </c>
      <c r="D103" t="s">
        <v>226</v>
      </c>
    </row>
    <row r="104" spans="1:4" x14ac:dyDescent="0.4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A8" sqref="A8:K619"/>
    </sheetView>
  </sheetViews>
  <sheetFormatPr defaultRowHeight="14.25" x14ac:dyDescent="0.45"/>
  <sheetData>
    <row r="1" spans="1:11" x14ac:dyDescent="0.45">
      <c r="A1" s="77" t="s">
        <v>228</v>
      </c>
      <c r="B1" s="78"/>
      <c r="C1" s="78"/>
      <c r="D1" s="78"/>
      <c r="E1" s="78"/>
      <c r="F1" s="78"/>
      <c r="G1" s="78"/>
      <c r="H1" s="78" t="s">
        <v>229</v>
      </c>
      <c r="I1" s="78"/>
      <c r="J1" s="78"/>
      <c r="K1" s="79"/>
    </row>
    <row r="2" spans="1:11" x14ac:dyDescent="0.45">
      <c r="A2" s="80">
        <v>1</v>
      </c>
      <c r="B2" s="81" t="s">
        <v>281</v>
      </c>
      <c r="C2" s="81"/>
      <c r="D2" s="81"/>
      <c r="E2" s="81"/>
      <c r="F2" s="81"/>
      <c r="G2" s="81"/>
      <c r="H2" s="81"/>
      <c r="I2" s="81"/>
      <c r="J2" s="81"/>
      <c r="K2" s="82"/>
    </row>
    <row r="3" spans="1:11" x14ac:dyDescent="0.45">
      <c r="A3" s="80">
        <v>2</v>
      </c>
      <c r="B3" s="81" t="s">
        <v>230</v>
      </c>
      <c r="C3" s="81"/>
      <c r="D3" s="81"/>
      <c r="E3" s="81"/>
      <c r="F3" s="81"/>
      <c r="G3" s="81"/>
      <c r="H3" s="81"/>
      <c r="I3" s="81"/>
      <c r="J3" s="81"/>
      <c r="K3" s="82"/>
    </row>
    <row r="4" spans="1:11" x14ac:dyDescent="0.45">
      <c r="A4" s="80">
        <v>3</v>
      </c>
      <c r="B4" s="81" t="s">
        <v>231</v>
      </c>
      <c r="C4" s="81"/>
      <c r="D4" s="81"/>
      <c r="E4" s="81"/>
      <c r="F4" s="81"/>
      <c r="G4" s="81"/>
      <c r="H4" s="81"/>
      <c r="I4" s="81"/>
      <c r="J4" s="81"/>
      <c r="K4" s="82"/>
    </row>
    <row r="5" spans="1:11" x14ac:dyDescent="0.45">
      <c r="A5" s="83">
        <v>4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5"/>
    </row>
    <row r="8" spans="1:11" x14ac:dyDescent="0.45">
      <c r="A8" t="s">
        <v>233</v>
      </c>
      <c r="B8" t="s">
        <v>234</v>
      </c>
      <c r="C8" t="s">
        <v>235</v>
      </c>
      <c r="D8" t="s">
        <v>282</v>
      </c>
      <c r="E8" t="s">
        <v>283</v>
      </c>
      <c r="F8" t="s">
        <v>284</v>
      </c>
      <c r="G8" t="s">
        <v>285</v>
      </c>
    </row>
    <row r="9" spans="1:11" x14ac:dyDescent="0.4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50">
        <v>0.91831018518518526</v>
      </c>
      <c r="G9" t="s">
        <v>240</v>
      </c>
      <c r="H9">
        <v>30</v>
      </c>
      <c r="I9" t="s">
        <v>286</v>
      </c>
      <c r="J9">
        <v>20</v>
      </c>
    </row>
    <row r="10" spans="1:11" x14ac:dyDescent="0.45">
      <c r="A10" t="s">
        <v>241</v>
      </c>
    </row>
    <row r="11" spans="1:11" x14ac:dyDescent="0.45">
      <c r="B11">
        <v>1</v>
      </c>
      <c r="C11" t="s">
        <v>287</v>
      </c>
      <c r="D11" t="s">
        <v>242</v>
      </c>
      <c r="E11">
        <v>1</v>
      </c>
      <c r="F11">
        <v>1</v>
      </c>
    </row>
    <row r="12" spans="1:11" x14ac:dyDescent="0.45">
      <c r="B12">
        <v>2</v>
      </c>
      <c r="C12" t="s">
        <v>288</v>
      </c>
      <c r="D12" t="s">
        <v>243</v>
      </c>
      <c r="E12">
        <v>14.842474747500001</v>
      </c>
      <c r="F12">
        <v>1.83835803238</v>
      </c>
    </row>
    <row r="13" spans="1:11" x14ac:dyDescent="0.45">
      <c r="B13">
        <v>3</v>
      </c>
      <c r="C13" t="s">
        <v>289</v>
      </c>
      <c r="D13" t="s">
        <v>243</v>
      </c>
      <c r="E13" s="51">
        <v>5.2231850982500001E-2</v>
      </c>
      <c r="F13">
        <v>0.20210412377100001</v>
      </c>
    </row>
    <row r="14" spans="1:11" x14ac:dyDescent="0.45">
      <c r="B14">
        <v>4</v>
      </c>
      <c r="C14" t="s">
        <v>290</v>
      </c>
      <c r="D14" t="s">
        <v>243</v>
      </c>
      <c r="E14" s="51">
        <v>-0.28042629390099999</v>
      </c>
      <c r="F14">
        <v>0.214012249288</v>
      </c>
    </row>
    <row r="15" spans="1:11" x14ac:dyDescent="0.45">
      <c r="B15">
        <v>5</v>
      </c>
      <c r="C15" t="s">
        <v>291</v>
      </c>
      <c r="D15" t="s">
        <v>243</v>
      </c>
      <c r="E15" s="51">
        <v>3.8864252169499999E-2</v>
      </c>
      <c r="F15">
        <v>0.22261163226899999</v>
      </c>
    </row>
    <row r="16" spans="1:11" x14ac:dyDescent="0.45">
      <c r="B16">
        <v>6</v>
      </c>
      <c r="C16" t="s">
        <v>292</v>
      </c>
      <c r="D16" t="s">
        <v>243</v>
      </c>
      <c r="E16" s="51">
        <v>-5.4105027761100002E-2</v>
      </c>
      <c r="F16" s="51">
        <v>9.1881732487999995E-2</v>
      </c>
    </row>
    <row r="17" spans="2:6" x14ac:dyDescent="0.45">
      <c r="B17">
        <v>7</v>
      </c>
      <c r="C17" t="s">
        <v>293</v>
      </c>
      <c r="D17" t="s">
        <v>243</v>
      </c>
      <c r="E17">
        <v>-1.2443107654000001</v>
      </c>
      <c r="F17">
        <v>0.19943151784099999</v>
      </c>
    </row>
    <row r="18" spans="2:6" x14ac:dyDescent="0.45">
      <c r="B18">
        <v>8</v>
      </c>
      <c r="C18" t="s">
        <v>294</v>
      </c>
      <c r="D18" t="s">
        <v>243</v>
      </c>
      <c r="E18" s="51">
        <v>0.41298170440800003</v>
      </c>
      <c r="F18">
        <v>0.14496922102199999</v>
      </c>
    </row>
    <row r="19" spans="2:6" x14ac:dyDescent="0.45">
      <c r="B19">
        <v>9</v>
      </c>
      <c r="C19" t="s">
        <v>295</v>
      </c>
      <c r="D19" t="s">
        <v>243</v>
      </c>
      <c r="E19" s="51">
        <v>-0.26420630814700002</v>
      </c>
      <c r="F19">
        <v>0.19387529082999999</v>
      </c>
    </row>
    <row r="20" spans="2:6" x14ac:dyDescent="0.45">
      <c r="B20">
        <v>10</v>
      </c>
      <c r="C20" t="s">
        <v>296</v>
      </c>
      <c r="D20" t="s">
        <v>243</v>
      </c>
      <c r="E20">
        <v>-0.35872692861799998</v>
      </c>
      <c r="F20">
        <v>0.100051515259</v>
      </c>
    </row>
    <row r="21" spans="2:6" x14ac:dyDescent="0.45">
      <c r="B21">
        <v>11</v>
      </c>
      <c r="C21" t="s">
        <v>297</v>
      </c>
      <c r="D21" t="s">
        <v>243</v>
      </c>
      <c r="E21">
        <v>0.20317681554899999</v>
      </c>
      <c r="F21">
        <v>0.247232349657</v>
      </c>
    </row>
    <row r="22" spans="2:6" x14ac:dyDescent="0.45">
      <c r="B22">
        <v>12</v>
      </c>
      <c r="C22" t="s">
        <v>298</v>
      </c>
      <c r="D22" t="s">
        <v>243</v>
      </c>
      <c r="E22">
        <v>-0.25772334575</v>
      </c>
      <c r="F22">
        <v>0.170336028034</v>
      </c>
    </row>
    <row r="23" spans="2:6" x14ac:dyDescent="0.45">
      <c r="B23">
        <v>13</v>
      </c>
      <c r="C23" t="s">
        <v>299</v>
      </c>
      <c r="D23" t="s">
        <v>243</v>
      </c>
      <c r="E23">
        <v>-1.51291507531</v>
      </c>
      <c r="F23">
        <v>0.20916747597900001</v>
      </c>
    </row>
    <row r="24" spans="2:6" x14ac:dyDescent="0.45">
      <c r="B24">
        <v>14</v>
      </c>
      <c r="C24" t="s">
        <v>300</v>
      </c>
      <c r="D24" t="s">
        <v>243</v>
      </c>
      <c r="E24">
        <v>-0.21776561918199999</v>
      </c>
      <c r="F24" s="51">
        <v>7.7382027445400001E-2</v>
      </c>
    </row>
    <row r="25" spans="2:6" x14ac:dyDescent="0.45">
      <c r="B25">
        <v>15</v>
      </c>
      <c r="C25" t="s">
        <v>301</v>
      </c>
      <c r="D25" t="s">
        <v>243</v>
      </c>
      <c r="E25">
        <v>-1.27163179208</v>
      </c>
      <c r="F25">
        <v>0.50605159824699997</v>
      </c>
    </row>
    <row r="26" spans="2:6" x14ac:dyDescent="0.45">
      <c r="B26">
        <v>16</v>
      </c>
      <c r="C26" t="s">
        <v>302</v>
      </c>
      <c r="D26" t="s">
        <v>243</v>
      </c>
      <c r="E26">
        <v>-0.54089688480800002</v>
      </c>
      <c r="F26">
        <v>0.15561651788600001</v>
      </c>
    </row>
    <row r="27" spans="2:6" x14ac:dyDescent="0.45">
      <c r="B27">
        <v>17</v>
      </c>
      <c r="C27" t="s">
        <v>303</v>
      </c>
      <c r="D27" t="s">
        <v>242</v>
      </c>
      <c r="E27">
        <v>0</v>
      </c>
      <c r="F27">
        <v>1</v>
      </c>
    </row>
    <row r="28" spans="2:6" x14ac:dyDescent="0.45">
      <c r="B28">
        <v>18</v>
      </c>
      <c r="C28" t="s">
        <v>304</v>
      </c>
      <c r="D28" t="s">
        <v>242</v>
      </c>
      <c r="E28">
        <v>0</v>
      </c>
      <c r="F28">
        <v>1</v>
      </c>
    </row>
    <row r="29" spans="2:6" x14ac:dyDescent="0.45">
      <c r="B29">
        <v>19</v>
      </c>
      <c r="C29" t="s">
        <v>305</v>
      </c>
      <c r="D29" t="s">
        <v>242</v>
      </c>
      <c r="E29">
        <v>0</v>
      </c>
      <c r="F29">
        <v>1</v>
      </c>
    </row>
    <row r="30" spans="2:6" x14ac:dyDescent="0.45">
      <c r="B30">
        <v>20</v>
      </c>
      <c r="C30" t="s">
        <v>306</v>
      </c>
      <c r="D30" t="s">
        <v>243</v>
      </c>
      <c r="E30">
        <v>0.43763139961699998</v>
      </c>
      <c r="F30" s="51">
        <v>4.8429506021399997E-2</v>
      </c>
    </row>
    <row r="31" spans="2:6" x14ac:dyDescent="0.45">
      <c r="B31">
        <v>21</v>
      </c>
      <c r="C31" t="s">
        <v>307</v>
      </c>
      <c r="D31" t="s">
        <v>243</v>
      </c>
      <c r="E31">
        <v>-5.1729505125899999</v>
      </c>
      <c r="F31">
        <v>1.47237352721</v>
      </c>
    </row>
    <row r="32" spans="2:6" x14ac:dyDescent="0.45">
      <c r="B32">
        <v>22</v>
      </c>
      <c r="C32" t="s">
        <v>308</v>
      </c>
      <c r="D32" t="s">
        <v>243</v>
      </c>
      <c r="E32">
        <v>-5.9112646193599998</v>
      </c>
      <c r="F32">
        <v>0.31220814773599997</v>
      </c>
    </row>
    <row r="33" spans="2:6" x14ac:dyDescent="0.45">
      <c r="B33">
        <v>23</v>
      </c>
      <c r="C33" t="s">
        <v>309</v>
      </c>
      <c r="D33" t="s">
        <v>243</v>
      </c>
      <c r="E33">
        <v>-4.3510480079200002</v>
      </c>
      <c r="F33">
        <v>0.18576143123800001</v>
      </c>
    </row>
    <row r="34" spans="2:6" x14ac:dyDescent="0.45">
      <c r="B34">
        <v>24</v>
      </c>
      <c r="C34" t="s">
        <v>310</v>
      </c>
      <c r="D34" t="s">
        <v>243</v>
      </c>
      <c r="E34">
        <v>0.219929989326</v>
      </c>
      <c r="F34" s="51">
        <v>1.3645721239299999E-2</v>
      </c>
    </row>
    <row r="35" spans="2:6" x14ac:dyDescent="0.45">
      <c r="B35">
        <v>25</v>
      </c>
      <c r="C35" t="s">
        <v>311</v>
      </c>
      <c r="D35" t="s">
        <v>243</v>
      </c>
      <c r="E35">
        <v>-0.19965371290799999</v>
      </c>
      <c r="F35" s="51">
        <v>1.5268311706199999E-2</v>
      </c>
    </row>
    <row r="36" spans="2:6" x14ac:dyDescent="0.45">
      <c r="B36">
        <v>26</v>
      </c>
      <c r="C36" t="s">
        <v>312</v>
      </c>
      <c r="D36" t="s">
        <v>243</v>
      </c>
      <c r="E36">
        <v>0.456947594269</v>
      </c>
      <c r="F36" s="51">
        <v>8.45315868922E-2</v>
      </c>
    </row>
    <row r="37" spans="2:6" x14ac:dyDescent="0.45">
      <c r="B37">
        <v>27</v>
      </c>
      <c r="C37" t="s">
        <v>313</v>
      </c>
      <c r="D37" t="s">
        <v>243</v>
      </c>
      <c r="E37">
        <v>-16.041405463699999</v>
      </c>
      <c r="F37">
        <v>1.44425336446</v>
      </c>
    </row>
    <row r="38" spans="2:6" x14ac:dyDescent="0.45">
      <c r="B38">
        <v>28</v>
      </c>
      <c r="C38" t="s">
        <v>314</v>
      </c>
      <c r="D38" t="s">
        <v>243</v>
      </c>
      <c r="E38">
        <v>-4.0058838759500004</v>
      </c>
      <c r="F38">
        <v>0.35273062120999998</v>
      </c>
    </row>
    <row r="39" spans="2:6" x14ac:dyDescent="0.45">
      <c r="B39">
        <v>29</v>
      </c>
      <c r="C39" t="s">
        <v>315</v>
      </c>
      <c r="D39" t="s">
        <v>243</v>
      </c>
      <c r="E39">
        <v>-2.2602358254700001</v>
      </c>
      <c r="F39">
        <v>0.146992342355</v>
      </c>
    </row>
    <row r="40" spans="2:6" x14ac:dyDescent="0.45">
      <c r="B40">
        <v>30</v>
      </c>
      <c r="C40" t="s">
        <v>316</v>
      </c>
      <c r="D40" t="s">
        <v>243</v>
      </c>
      <c r="E40">
        <v>-0.57131171698200001</v>
      </c>
      <c r="F40" s="51">
        <v>8.1640985937999996E-2</v>
      </c>
    </row>
    <row r="41" spans="2:6" x14ac:dyDescent="0.45">
      <c r="B41">
        <v>31</v>
      </c>
      <c r="C41" t="s">
        <v>317</v>
      </c>
      <c r="D41" t="s">
        <v>243</v>
      </c>
      <c r="E41" s="51">
        <v>-9.1432405138999993E-3</v>
      </c>
      <c r="F41" s="51">
        <v>1.8681010178100001E-2</v>
      </c>
    </row>
    <row r="42" spans="2:6" x14ac:dyDescent="0.45">
      <c r="B42">
        <v>32</v>
      </c>
      <c r="C42" t="s">
        <v>318</v>
      </c>
      <c r="D42" t="s">
        <v>243</v>
      </c>
      <c r="E42">
        <v>-0.11638214876</v>
      </c>
      <c r="F42" s="51">
        <v>2.0027350623800001E-2</v>
      </c>
    </row>
    <row r="43" spans="2:6" x14ac:dyDescent="0.45">
      <c r="B43">
        <v>33</v>
      </c>
      <c r="C43" t="s">
        <v>319</v>
      </c>
      <c r="D43" t="s">
        <v>243</v>
      </c>
      <c r="E43" s="51">
        <v>5.6920874310099998E-2</v>
      </c>
      <c r="F43" s="51">
        <v>1.00062712342E-2</v>
      </c>
    </row>
    <row r="44" spans="2:6" x14ac:dyDescent="0.45">
      <c r="B44">
        <v>34</v>
      </c>
      <c r="C44" t="s">
        <v>320</v>
      </c>
      <c r="D44" t="s">
        <v>243</v>
      </c>
      <c r="E44" s="51">
        <v>-1.9362324458399999E-2</v>
      </c>
      <c r="F44" s="51">
        <v>1.63018501781E-2</v>
      </c>
    </row>
    <row r="45" spans="2:6" x14ac:dyDescent="0.45">
      <c r="B45">
        <v>35</v>
      </c>
      <c r="C45" t="s">
        <v>321</v>
      </c>
      <c r="D45" t="s">
        <v>243</v>
      </c>
      <c r="E45" s="51">
        <v>1.8323476485999999E-2</v>
      </c>
      <c r="F45" s="51">
        <v>1.2148526885499999E-2</v>
      </c>
    </row>
    <row r="46" spans="2:6" x14ac:dyDescent="0.45">
      <c r="B46">
        <v>36</v>
      </c>
      <c r="C46" t="s">
        <v>322</v>
      </c>
      <c r="D46" t="s">
        <v>243</v>
      </c>
      <c r="E46" s="51">
        <v>2.3040582229000002</v>
      </c>
      <c r="F46" s="51">
        <v>0.22055425229699999</v>
      </c>
    </row>
    <row r="47" spans="2:6" x14ac:dyDescent="0.45">
      <c r="B47">
        <v>37</v>
      </c>
      <c r="C47" t="s">
        <v>323</v>
      </c>
      <c r="D47" t="s">
        <v>243</v>
      </c>
      <c r="E47">
        <v>-7.2225250615199998</v>
      </c>
      <c r="F47">
        <v>1.6810961957599999</v>
      </c>
    </row>
    <row r="48" spans="2:6" x14ac:dyDescent="0.45">
      <c r="B48">
        <v>38</v>
      </c>
      <c r="C48" t="s">
        <v>324</v>
      </c>
      <c r="D48" t="s">
        <v>243</v>
      </c>
      <c r="E48">
        <v>-5.4693439766900003</v>
      </c>
      <c r="F48">
        <v>0.390672154306</v>
      </c>
    </row>
    <row r="49" spans="2:6" x14ac:dyDescent="0.45">
      <c r="B49">
        <v>39</v>
      </c>
      <c r="C49" t="s">
        <v>325</v>
      </c>
      <c r="D49" t="s">
        <v>243</v>
      </c>
      <c r="E49">
        <v>-2.4179033783600001</v>
      </c>
      <c r="F49">
        <v>0.223286996333</v>
      </c>
    </row>
    <row r="50" spans="2:6" x14ac:dyDescent="0.45">
      <c r="B50">
        <v>40</v>
      </c>
      <c r="C50" t="s">
        <v>326</v>
      </c>
      <c r="D50" t="s">
        <v>243</v>
      </c>
      <c r="E50">
        <v>-0.24529497763800001</v>
      </c>
      <c r="F50">
        <v>0.173792333986</v>
      </c>
    </row>
    <row r="51" spans="2:6" x14ac:dyDescent="0.45">
      <c r="B51">
        <v>41</v>
      </c>
      <c r="C51" t="s">
        <v>327</v>
      </c>
      <c r="D51" t="s">
        <v>243</v>
      </c>
      <c r="E51">
        <v>-0.100545011408</v>
      </c>
      <c r="F51" s="51">
        <v>1.7103318696699999E-2</v>
      </c>
    </row>
    <row r="52" spans="2:6" x14ac:dyDescent="0.45">
      <c r="B52">
        <v>42</v>
      </c>
      <c r="C52" t="s">
        <v>328</v>
      </c>
      <c r="D52" t="s">
        <v>243</v>
      </c>
      <c r="E52">
        <v>0.10049185695100001</v>
      </c>
      <c r="F52" s="51">
        <v>2.1833904078799999E-2</v>
      </c>
    </row>
    <row r="53" spans="2:6" x14ac:dyDescent="0.45">
      <c r="B53">
        <v>43</v>
      </c>
      <c r="C53" t="s">
        <v>329</v>
      </c>
      <c r="D53" t="s">
        <v>243</v>
      </c>
      <c r="E53">
        <v>1.7655971612000001</v>
      </c>
      <c r="F53" s="51">
        <v>0.154891246998</v>
      </c>
    </row>
    <row r="54" spans="2:6" x14ac:dyDescent="0.45">
      <c r="B54">
        <v>44</v>
      </c>
      <c r="C54" t="s">
        <v>330</v>
      </c>
      <c r="D54" t="s">
        <v>243</v>
      </c>
      <c r="E54">
        <v>-13.482142205440001</v>
      </c>
      <c r="F54">
        <v>1.7238420080500001</v>
      </c>
    </row>
    <row r="55" spans="2:6" x14ac:dyDescent="0.45">
      <c r="B55">
        <v>45</v>
      </c>
      <c r="C55" t="s">
        <v>331</v>
      </c>
      <c r="D55" t="s">
        <v>243</v>
      </c>
      <c r="E55">
        <v>-5.7740636752999999</v>
      </c>
      <c r="F55">
        <v>0.44296383007700002</v>
      </c>
    </row>
    <row r="56" spans="2:6" x14ac:dyDescent="0.45">
      <c r="B56">
        <v>46</v>
      </c>
      <c r="C56" t="s">
        <v>332</v>
      </c>
      <c r="D56" t="s">
        <v>243</v>
      </c>
      <c r="E56">
        <v>-3.2513620839500001</v>
      </c>
      <c r="F56">
        <v>0.22459177151199999</v>
      </c>
    </row>
    <row r="57" spans="2:6" x14ac:dyDescent="0.45">
      <c r="B57">
        <v>47</v>
      </c>
      <c r="C57" t="s">
        <v>333</v>
      </c>
      <c r="D57" t="s">
        <v>243</v>
      </c>
      <c r="E57">
        <v>-0.81757689945000001</v>
      </c>
      <c r="F57">
        <v>0.14989642806799999</v>
      </c>
    </row>
    <row r="58" spans="2:6" x14ac:dyDescent="0.45">
      <c r="B58">
        <v>48</v>
      </c>
      <c r="C58" t="s">
        <v>334</v>
      </c>
      <c r="D58" t="s">
        <v>243</v>
      </c>
      <c r="E58">
        <v>0.63335958983999996</v>
      </c>
      <c r="F58" s="51">
        <v>2.38840174789E-2</v>
      </c>
    </row>
    <row r="59" spans="2:6" x14ac:dyDescent="0.45">
      <c r="B59">
        <v>49</v>
      </c>
      <c r="C59" t="s">
        <v>335</v>
      </c>
      <c r="D59" t="s">
        <v>243</v>
      </c>
      <c r="E59">
        <v>0.54194850979700004</v>
      </c>
      <c r="F59" s="51">
        <v>0.13589969408700001</v>
      </c>
    </row>
    <row r="60" spans="2:6" x14ac:dyDescent="0.45">
      <c r="B60">
        <v>50</v>
      </c>
      <c r="C60" t="s">
        <v>336</v>
      </c>
      <c r="D60" t="s">
        <v>243</v>
      </c>
      <c r="E60">
        <v>-26.641935956609998</v>
      </c>
      <c r="F60">
        <v>1.5214646814199999</v>
      </c>
    </row>
    <row r="61" spans="2:6" x14ac:dyDescent="0.45">
      <c r="B61">
        <v>51</v>
      </c>
      <c r="C61" t="s">
        <v>337</v>
      </c>
      <c r="D61" t="s">
        <v>243</v>
      </c>
      <c r="E61">
        <v>-5.8569921168899999</v>
      </c>
      <c r="F61">
        <v>0.46611202703900001</v>
      </c>
    </row>
    <row r="62" spans="2:6" x14ac:dyDescent="0.45">
      <c r="B62">
        <v>52</v>
      </c>
      <c r="C62" t="s">
        <v>338</v>
      </c>
      <c r="D62" t="s">
        <v>243</v>
      </c>
      <c r="E62">
        <v>-3.0622160410500001</v>
      </c>
      <c r="F62">
        <v>0.205947789785</v>
      </c>
    </row>
    <row r="63" spans="2:6" x14ac:dyDescent="0.45">
      <c r="B63">
        <v>53</v>
      </c>
      <c r="C63" t="s">
        <v>339</v>
      </c>
      <c r="D63" t="s">
        <v>243</v>
      </c>
      <c r="E63">
        <v>-1.4592147580599999</v>
      </c>
      <c r="F63">
        <v>0.12706460553599999</v>
      </c>
    </row>
    <row r="64" spans="2:6" x14ac:dyDescent="0.45">
      <c r="B64">
        <v>54</v>
      </c>
      <c r="C64" t="s">
        <v>340</v>
      </c>
      <c r="D64" t="s">
        <v>243</v>
      </c>
      <c r="E64">
        <v>-0.160744421114</v>
      </c>
      <c r="F64" s="51">
        <v>3.1643512928099998E-2</v>
      </c>
    </row>
    <row r="65" spans="2:6" x14ac:dyDescent="0.45">
      <c r="B65">
        <v>55</v>
      </c>
      <c r="C65" t="s">
        <v>341</v>
      </c>
      <c r="D65" t="s">
        <v>243</v>
      </c>
      <c r="E65">
        <v>0.101769944302</v>
      </c>
      <c r="F65" s="51">
        <v>4.0472600922499997E-2</v>
      </c>
    </row>
    <row r="66" spans="2:6" x14ac:dyDescent="0.45">
      <c r="B66">
        <v>56</v>
      </c>
      <c r="C66" t="s">
        <v>342</v>
      </c>
      <c r="D66" t="s">
        <v>243</v>
      </c>
      <c r="E66" s="51">
        <v>-7.3004796389399995E-2</v>
      </c>
      <c r="F66" s="51">
        <v>2.7878888340600001E-2</v>
      </c>
    </row>
    <row r="67" spans="2:6" x14ac:dyDescent="0.45">
      <c r="B67">
        <v>57</v>
      </c>
      <c r="C67" t="s">
        <v>343</v>
      </c>
      <c r="D67" t="s">
        <v>243</v>
      </c>
      <c r="E67" s="51">
        <v>4.7664283443500002E-2</v>
      </c>
      <c r="F67" s="51">
        <v>1.5452195556500001E-2</v>
      </c>
    </row>
    <row r="68" spans="2:6" x14ac:dyDescent="0.45">
      <c r="B68">
        <v>70</v>
      </c>
      <c r="C68" t="s">
        <v>156</v>
      </c>
      <c r="D68" t="s">
        <v>243</v>
      </c>
      <c r="E68" s="51">
        <v>0.70165957865100004</v>
      </c>
      <c r="F68" s="51">
        <v>8.1041561582700008E-3</v>
      </c>
    </row>
    <row r="69" spans="2:6" x14ac:dyDescent="0.45">
      <c r="B69">
        <v>71</v>
      </c>
      <c r="C69" t="s">
        <v>157</v>
      </c>
      <c r="D69" t="s">
        <v>242</v>
      </c>
      <c r="E69">
        <v>0</v>
      </c>
      <c r="F69" s="51">
        <v>1</v>
      </c>
    </row>
    <row r="70" spans="2:6" x14ac:dyDescent="0.45">
      <c r="B70">
        <v>72</v>
      </c>
      <c r="C70" t="s">
        <v>159</v>
      </c>
      <c r="D70" t="s">
        <v>242</v>
      </c>
      <c r="E70">
        <v>0</v>
      </c>
      <c r="F70">
        <v>1</v>
      </c>
    </row>
    <row r="71" spans="2:6" x14ac:dyDescent="0.45">
      <c r="B71">
        <v>73</v>
      </c>
      <c r="C71" t="s">
        <v>161</v>
      </c>
      <c r="D71" t="s">
        <v>243</v>
      </c>
      <c r="E71">
        <v>-1.0451393946200001</v>
      </c>
      <c r="F71">
        <v>0.334189851298</v>
      </c>
    </row>
    <row r="72" spans="2:6" x14ac:dyDescent="0.45">
      <c r="B72">
        <v>74</v>
      </c>
      <c r="C72" t="s">
        <v>163</v>
      </c>
      <c r="D72" t="s">
        <v>242</v>
      </c>
      <c r="E72">
        <v>0</v>
      </c>
      <c r="F72">
        <v>1</v>
      </c>
    </row>
    <row r="73" spans="2:6" x14ac:dyDescent="0.45">
      <c r="B73">
        <v>75</v>
      </c>
      <c r="C73" t="s">
        <v>165</v>
      </c>
      <c r="D73" t="s">
        <v>243</v>
      </c>
      <c r="E73">
        <v>-0.200987204384</v>
      </c>
      <c r="F73">
        <v>0.32860050755699999</v>
      </c>
    </row>
    <row r="74" spans="2:6" x14ac:dyDescent="0.45">
      <c r="B74">
        <v>76</v>
      </c>
      <c r="C74" t="s">
        <v>167</v>
      </c>
      <c r="D74" t="s">
        <v>243</v>
      </c>
      <c r="E74">
        <v>-0.24680877359100001</v>
      </c>
      <c r="F74">
        <v>0.218776351024</v>
      </c>
    </row>
    <row r="75" spans="2:6" x14ac:dyDescent="0.45">
      <c r="B75">
        <v>77</v>
      </c>
      <c r="C75" t="s">
        <v>169</v>
      </c>
      <c r="D75" t="s">
        <v>243</v>
      </c>
      <c r="E75">
        <v>0.105207287565</v>
      </c>
      <c r="F75">
        <v>0.33160558063000001</v>
      </c>
    </row>
    <row r="76" spans="2:6" x14ac:dyDescent="0.45">
      <c r="B76">
        <v>78</v>
      </c>
      <c r="C76" t="s">
        <v>171</v>
      </c>
      <c r="D76" t="s">
        <v>243</v>
      </c>
      <c r="E76">
        <v>-3.0261765923500001</v>
      </c>
      <c r="F76">
        <v>0.63791961209799997</v>
      </c>
    </row>
    <row r="77" spans="2:6" x14ac:dyDescent="0.45">
      <c r="B77">
        <v>79</v>
      </c>
      <c r="C77" t="s">
        <v>173</v>
      </c>
      <c r="D77" t="s">
        <v>243</v>
      </c>
      <c r="E77">
        <v>-3.16760127533</v>
      </c>
      <c r="F77">
        <v>0.17589358259900001</v>
      </c>
    </row>
    <row r="78" spans="2:6" x14ac:dyDescent="0.45">
      <c r="B78">
        <v>80</v>
      </c>
      <c r="C78" t="s">
        <v>175</v>
      </c>
      <c r="D78" t="s">
        <v>243</v>
      </c>
      <c r="E78">
        <v>3.88384299801</v>
      </c>
      <c r="F78">
        <v>0.36343710851900002</v>
      </c>
    </row>
    <row r="79" spans="2:6" x14ac:dyDescent="0.45">
      <c r="B79">
        <v>81</v>
      </c>
      <c r="C79" t="s">
        <v>177</v>
      </c>
      <c r="D79" t="s">
        <v>243</v>
      </c>
      <c r="E79">
        <v>1.2853400619999999</v>
      </c>
      <c r="F79">
        <v>0.33194844094699999</v>
      </c>
    </row>
    <row r="80" spans="2:6" x14ac:dyDescent="0.45">
      <c r="B80">
        <v>82</v>
      </c>
      <c r="C80" t="s">
        <v>179</v>
      </c>
      <c r="D80" t="s">
        <v>242</v>
      </c>
      <c r="E80">
        <v>0</v>
      </c>
      <c r="F80">
        <v>1</v>
      </c>
    </row>
    <row r="81" spans="2:6" x14ac:dyDescent="0.45">
      <c r="B81">
        <v>83</v>
      </c>
      <c r="C81" t="s">
        <v>180</v>
      </c>
      <c r="D81" t="s">
        <v>243</v>
      </c>
      <c r="E81">
        <v>1.5962822273599999</v>
      </c>
      <c r="F81">
        <v>0.31630410811600002</v>
      </c>
    </row>
    <row r="82" spans="2:6" x14ac:dyDescent="0.45">
      <c r="B82">
        <v>84</v>
      </c>
      <c r="C82" t="s">
        <v>182</v>
      </c>
      <c r="D82" t="s">
        <v>243</v>
      </c>
      <c r="E82">
        <v>1.8203743806399999</v>
      </c>
      <c r="F82">
        <v>0.32723912579699999</v>
      </c>
    </row>
    <row r="83" spans="2:6" x14ac:dyDescent="0.45">
      <c r="B83">
        <v>85</v>
      </c>
      <c r="C83" t="s">
        <v>184</v>
      </c>
      <c r="D83" t="s">
        <v>243</v>
      </c>
      <c r="E83">
        <v>0.36845448573400003</v>
      </c>
      <c r="F83">
        <v>0.41451090741399998</v>
      </c>
    </row>
    <row r="84" spans="2:6" x14ac:dyDescent="0.45">
      <c r="B84">
        <v>86</v>
      </c>
      <c r="C84" t="s">
        <v>186</v>
      </c>
      <c r="D84" t="s">
        <v>243</v>
      </c>
      <c r="E84">
        <v>-0.89988004259099996</v>
      </c>
      <c r="F84">
        <v>0.58455068333600002</v>
      </c>
    </row>
    <row r="85" spans="2:6" x14ac:dyDescent="0.45">
      <c r="B85">
        <v>87</v>
      </c>
      <c r="C85" t="s">
        <v>188</v>
      </c>
      <c r="D85" t="s">
        <v>243</v>
      </c>
      <c r="E85">
        <v>-1.54651800243</v>
      </c>
      <c r="F85">
        <v>0.28922210484799998</v>
      </c>
    </row>
    <row r="86" spans="2:6" x14ac:dyDescent="0.45">
      <c r="B86">
        <v>88</v>
      </c>
      <c r="C86" t="s">
        <v>190</v>
      </c>
      <c r="D86" t="s">
        <v>242</v>
      </c>
      <c r="E86">
        <v>0</v>
      </c>
      <c r="F86">
        <v>1</v>
      </c>
    </row>
    <row r="87" spans="2:6" x14ac:dyDescent="0.45">
      <c r="B87">
        <v>89</v>
      </c>
      <c r="C87" t="s">
        <v>192</v>
      </c>
      <c r="D87" t="s">
        <v>243</v>
      </c>
      <c r="E87">
        <v>-1.3661763944</v>
      </c>
      <c r="F87">
        <v>0.21083771707000001</v>
      </c>
    </row>
    <row r="88" spans="2:6" x14ac:dyDescent="0.45">
      <c r="B88">
        <v>90</v>
      </c>
      <c r="C88" t="s">
        <v>194</v>
      </c>
      <c r="D88" t="s">
        <v>242</v>
      </c>
      <c r="E88">
        <v>0</v>
      </c>
      <c r="F88">
        <v>1</v>
      </c>
    </row>
    <row r="89" spans="2:6" x14ac:dyDescent="0.45">
      <c r="B89">
        <v>91</v>
      </c>
      <c r="C89" t="s">
        <v>196</v>
      </c>
      <c r="D89" t="s">
        <v>243</v>
      </c>
      <c r="E89">
        <v>-0.69659049737500001</v>
      </c>
      <c r="F89">
        <v>0.118317298537</v>
      </c>
    </row>
    <row r="90" spans="2:6" x14ac:dyDescent="0.45">
      <c r="B90">
        <v>92</v>
      </c>
      <c r="C90" t="s">
        <v>198</v>
      </c>
      <c r="D90" t="s">
        <v>243</v>
      </c>
      <c r="E90">
        <v>-1.8309142732699999</v>
      </c>
      <c r="F90">
        <v>0.55098538730699997</v>
      </c>
    </row>
    <row r="91" spans="2:6" x14ac:dyDescent="0.45">
      <c r="B91">
        <v>93</v>
      </c>
      <c r="C91" t="s">
        <v>200</v>
      </c>
      <c r="D91" t="s">
        <v>243</v>
      </c>
      <c r="E91">
        <v>-1.59616837557</v>
      </c>
      <c r="F91">
        <v>0.19643171679400001</v>
      </c>
    </row>
    <row r="92" spans="2:6" x14ac:dyDescent="0.45">
      <c r="B92">
        <v>94</v>
      </c>
      <c r="C92" t="s">
        <v>202</v>
      </c>
      <c r="D92" t="s">
        <v>242</v>
      </c>
      <c r="E92">
        <v>0</v>
      </c>
      <c r="F92">
        <v>1</v>
      </c>
    </row>
    <row r="93" spans="2:6" x14ac:dyDescent="0.45">
      <c r="B93">
        <v>95</v>
      </c>
      <c r="C93" t="s">
        <v>204</v>
      </c>
      <c r="D93" t="s">
        <v>243</v>
      </c>
      <c r="E93">
        <v>-3.7524312125899999</v>
      </c>
      <c r="F93">
        <v>0.30709606176900001</v>
      </c>
    </row>
    <row r="94" spans="2:6" x14ac:dyDescent="0.45">
      <c r="B94">
        <v>96</v>
      </c>
      <c r="C94" t="s">
        <v>206</v>
      </c>
      <c r="D94" t="s">
        <v>243</v>
      </c>
      <c r="E94">
        <v>-5.15903380474</v>
      </c>
      <c r="F94">
        <v>0.17390909328599999</v>
      </c>
    </row>
    <row r="95" spans="2:6" x14ac:dyDescent="0.45">
      <c r="B95">
        <v>97</v>
      </c>
      <c r="C95" t="s">
        <v>208</v>
      </c>
      <c r="D95" t="s">
        <v>243</v>
      </c>
      <c r="E95">
        <v>-4.5752497230499998</v>
      </c>
      <c r="F95">
        <v>0.48893954592400002</v>
      </c>
    </row>
    <row r="96" spans="2:6" x14ac:dyDescent="0.45">
      <c r="B96">
        <v>98</v>
      </c>
      <c r="C96" t="s">
        <v>210</v>
      </c>
      <c r="D96" t="s">
        <v>243</v>
      </c>
      <c r="E96">
        <v>-1.55830930615</v>
      </c>
      <c r="F96">
        <v>0.29568339221599999</v>
      </c>
    </row>
    <row r="97" spans="2:6" x14ac:dyDescent="0.45">
      <c r="B97">
        <v>99</v>
      </c>
      <c r="C97" t="s">
        <v>211</v>
      </c>
      <c r="D97" t="s">
        <v>243</v>
      </c>
      <c r="E97">
        <v>-6.7687936642300004</v>
      </c>
      <c r="F97">
        <v>0.63961427466800003</v>
      </c>
    </row>
    <row r="98" spans="2:6" x14ac:dyDescent="0.45">
      <c r="B98">
        <v>100</v>
      </c>
      <c r="C98" t="s">
        <v>212</v>
      </c>
      <c r="D98" t="s">
        <v>242</v>
      </c>
      <c r="E98">
        <v>0</v>
      </c>
      <c r="F98">
        <v>1</v>
      </c>
    </row>
    <row r="99" spans="2:6" x14ac:dyDescent="0.45">
      <c r="B99">
        <v>101</v>
      </c>
      <c r="C99" t="s">
        <v>213</v>
      </c>
      <c r="D99" t="s">
        <v>243</v>
      </c>
      <c r="E99">
        <v>-4.6092008435</v>
      </c>
      <c r="F99">
        <v>0.35687158855500001</v>
      </c>
    </row>
    <row r="100" spans="2:6" x14ac:dyDescent="0.45">
      <c r="B100">
        <v>102</v>
      </c>
      <c r="C100" t="s">
        <v>214</v>
      </c>
      <c r="D100" t="s">
        <v>242</v>
      </c>
      <c r="E100">
        <v>0</v>
      </c>
      <c r="F100">
        <v>1</v>
      </c>
    </row>
    <row r="101" spans="2:6" x14ac:dyDescent="0.45">
      <c r="B101">
        <v>103</v>
      </c>
      <c r="C101" t="s">
        <v>215</v>
      </c>
      <c r="D101" t="s">
        <v>242</v>
      </c>
      <c r="E101">
        <v>0</v>
      </c>
      <c r="F101">
        <v>1</v>
      </c>
    </row>
    <row r="102" spans="2:6" x14ac:dyDescent="0.45">
      <c r="B102">
        <v>104</v>
      </c>
      <c r="C102" t="s">
        <v>216</v>
      </c>
      <c r="D102" t="s">
        <v>242</v>
      </c>
      <c r="E102">
        <v>5</v>
      </c>
      <c r="F102">
        <v>1</v>
      </c>
    </row>
    <row r="103" spans="2:6" x14ac:dyDescent="0.45">
      <c r="B103">
        <v>105</v>
      </c>
      <c r="C103" t="s">
        <v>217</v>
      </c>
      <c r="D103" t="s">
        <v>242</v>
      </c>
      <c r="E103">
        <v>5</v>
      </c>
      <c r="F103">
        <v>1</v>
      </c>
    </row>
    <row r="104" spans="2:6" x14ac:dyDescent="0.45">
      <c r="B104">
        <v>106</v>
      </c>
      <c r="C104" t="s">
        <v>218</v>
      </c>
      <c r="D104" t="s">
        <v>242</v>
      </c>
      <c r="E104">
        <v>0</v>
      </c>
      <c r="F104">
        <v>1</v>
      </c>
    </row>
    <row r="105" spans="2:6" x14ac:dyDescent="0.45">
      <c r="B105">
        <v>107</v>
      </c>
      <c r="C105" t="s">
        <v>219</v>
      </c>
      <c r="D105" t="s">
        <v>243</v>
      </c>
      <c r="E105">
        <v>3.2721559987400002</v>
      </c>
      <c r="F105">
        <v>0.189098453</v>
      </c>
    </row>
    <row r="106" spans="2:6" x14ac:dyDescent="0.45">
      <c r="B106">
        <v>108</v>
      </c>
      <c r="C106" t="s">
        <v>221</v>
      </c>
      <c r="D106" t="s">
        <v>242</v>
      </c>
      <c r="E106">
        <v>0</v>
      </c>
      <c r="F106">
        <v>1</v>
      </c>
    </row>
    <row r="107" spans="2:6" x14ac:dyDescent="0.45">
      <c r="B107">
        <v>109</v>
      </c>
      <c r="C107" t="s">
        <v>222</v>
      </c>
      <c r="D107" t="s">
        <v>243</v>
      </c>
      <c r="E107">
        <v>3.7780647491999999</v>
      </c>
      <c r="F107">
        <v>0.16415128970699999</v>
      </c>
    </row>
    <row r="108" spans="2:6" x14ac:dyDescent="0.45">
      <c r="B108">
        <v>110</v>
      </c>
      <c r="C108" t="s">
        <v>223</v>
      </c>
      <c r="D108" t="s">
        <v>243</v>
      </c>
      <c r="E108">
        <v>3.6698694381700001</v>
      </c>
      <c r="F108">
        <v>0.17265670632899999</v>
      </c>
    </row>
    <row r="109" spans="2:6" x14ac:dyDescent="0.45">
      <c r="B109">
        <v>111</v>
      </c>
      <c r="C109" t="s">
        <v>224</v>
      </c>
      <c r="D109" t="s">
        <v>242</v>
      </c>
      <c r="E109">
        <v>0</v>
      </c>
      <c r="F109">
        <v>1</v>
      </c>
    </row>
    <row r="110" spans="2:6" x14ac:dyDescent="0.45">
      <c r="B110">
        <v>112</v>
      </c>
      <c r="C110" t="s">
        <v>225</v>
      </c>
      <c r="D110" t="s">
        <v>242</v>
      </c>
      <c r="E110">
        <v>0</v>
      </c>
      <c r="F110">
        <v>1</v>
      </c>
    </row>
    <row r="111" spans="2:6" x14ac:dyDescent="0.45">
      <c r="B111">
        <v>113</v>
      </c>
      <c r="C111" t="s">
        <v>227</v>
      </c>
      <c r="D111" t="s">
        <v>243</v>
      </c>
      <c r="E111">
        <v>1.3908719595400001</v>
      </c>
      <c r="F111">
        <v>0.25447036975100001</v>
      </c>
    </row>
    <row r="112" spans="2:6" x14ac:dyDescent="0.45">
      <c r="B112">
        <v>-1</v>
      </c>
    </row>
    <row r="113" spans="2:11" x14ac:dyDescent="0.45">
      <c r="B113">
        <v>13796</v>
      </c>
      <c r="C113" s="51">
        <v>-14054.777031400001</v>
      </c>
      <c r="D113" s="51">
        <v>-53772.333307300003</v>
      </c>
      <c r="E113" s="51">
        <v>-38222.555653299998</v>
      </c>
    </row>
    <row r="114" spans="2:11" x14ac:dyDescent="0.45">
      <c r="B114">
        <v>6</v>
      </c>
      <c r="C114" s="51" t="s">
        <v>344</v>
      </c>
      <c r="D114" s="51" t="s">
        <v>240</v>
      </c>
      <c r="E114" s="51">
        <v>30</v>
      </c>
      <c r="F114" t="s">
        <v>286</v>
      </c>
      <c r="G114">
        <v>20</v>
      </c>
    </row>
    <row r="115" spans="2:11" x14ac:dyDescent="0.4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4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4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4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4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4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4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4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4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4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4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4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4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4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4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4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4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4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4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4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4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4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4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4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4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4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4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4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4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4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4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4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4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4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4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4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4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4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4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4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4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4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4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4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4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4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4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4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4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4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4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4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4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4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4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4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4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4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4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4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4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4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4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4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4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4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4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4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4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4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4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4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4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4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4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4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4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4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4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4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4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4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4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4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4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4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4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4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4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4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4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4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4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4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4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4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4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4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4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4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4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4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4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4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4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4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4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4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4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4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4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4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4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4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4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4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4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4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4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4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4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4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4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4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4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4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4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4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4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4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4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4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4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4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4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4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4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4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4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4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4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4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4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4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4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4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4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4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4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4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4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4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4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4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4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4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4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4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4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4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4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4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4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4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4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4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4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4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4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4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4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4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4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4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4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4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4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4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4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4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4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4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4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4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4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4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4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4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4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4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4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4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4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4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4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4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4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4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4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4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4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4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4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4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4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4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4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4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4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4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4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4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4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4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4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4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4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4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4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4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4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4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4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4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4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4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4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4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4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4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4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4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4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4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4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4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4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4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4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4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4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4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4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4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4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4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4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4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4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4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4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4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4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4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4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4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4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4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4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4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4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4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4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4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4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4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4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4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4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4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4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4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4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4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4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4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4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4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4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4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4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4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4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4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4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4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4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4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4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4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4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4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4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4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4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4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4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4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4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4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4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4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4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4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4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4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4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4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4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4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4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4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4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4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4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4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4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4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4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4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4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4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4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4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4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4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4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4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4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4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4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4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4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4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4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4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4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4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4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4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4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4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4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4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4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4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4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4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4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4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4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4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4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4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4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4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4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4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4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4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4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4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4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4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4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4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4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4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4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4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4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4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4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4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4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4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4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4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4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4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4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4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4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4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4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4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4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4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4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4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4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4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4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4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4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4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4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4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4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4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4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4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4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4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4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4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4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4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4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4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4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4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4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4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4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4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4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4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A1:Y142"/>
  <sheetViews>
    <sheetView workbookViewId="0">
      <selection activeCell="Q104" sqref="M104:Q104"/>
    </sheetView>
  </sheetViews>
  <sheetFormatPr defaultColWidth="9.1328125" defaultRowHeight="14.25" x14ac:dyDescent="0.45"/>
  <cols>
    <col min="1" max="2" width="9.1328125" collapsed="true"/>
    <col min="3" max="3" bestFit="true" customWidth="true" width="12.73046875" collapsed="true"/>
    <col min="4" max="4" customWidth="true" style="20" width="18.86328125" collapsed="true"/>
    <col min="5" max="5" customWidth="true" width="6.73046875" collapsed="true"/>
    <col min="6" max="6" customWidth="true" width="12.73046875" collapsed="true"/>
    <col min="7" max="8" customWidth="true" style="20" width="18.86328125" collapsed="true"/>
    <col min="9" max="9" customWidth="true" style="20" width="6.59765625" collapsed="true"/>
    <col min="10" max="10" customWidth="true" style="20" width="10.1328125" collapsed="true"/>
    <col min="11" max="11" customWidth="true" style="20" width="9.86328125" collapsed="true"/>
    <col min="12" max="14" width="9.1328125" collapsed="true"/>
    <col min="15" max="15" customWidth="true" width="13.0" collapsed="true"/>
    <col min="16" max="16" customWidth="true" style="22" width="19.59765625" collapsed="true"/>
    <col min="17" max="17" customWidth="true" style="49" width="19.59765625" collapsed="true"/>
    <col min="18" max="18" width="9.1328125" collapsed="true"/>
    <col min="19" max="19" customWidth="true" width="9.1328125" collapsed="true"/>
    <col min="20" max="16384" width="9.1328125" collapsed="true"/>
  </cols>
  <sheetData>
    <row r="1" spans="3:24" x14ac:dyDescent="0.45">
      <c r="C1" s="9" t="s">
        <v>41</v>
      </c>
      <c r="F1" s="9" t="s">
        <v>42</v>
      </c>
      <c r="N1" s="21" t="s">
        <v>261</v>
      </c>
      <c r="S1" s="21"/>
      <c r="T1" s="21" t="s">
        <v>261</v>
      </c>
      <c r="U1" s="38"/>
      <c r="V1" s="38"/>
      <c r="W1" s="38"/>
      <c r="X1" s="38"/>
    </row>
    <row ht="14.65" r="2" spans="3:24" thickBot="1" x14ac:dyDescent="0.5">
      <c r="C2" s="21" t="s">
        <v>44</v>
      </c>
      <c r="M2" s="9" t="s">
        <v>92</v>
      </c>
      <c r="N2" s="9" t="s">
        <v>255</v>
      </c>
      <c r="O2" s="9" t="s">
        <v>262</v>
      </c>
      <c r="P2" s="74" t="s">
        <v>263</v>
      </c>
      <c r="Q2" s="75" t="s">
        <v>264</v>
      </c>
      <c r="T2" s="38"/>
      <c r="U2" s="21" t="s">
        <v>265</v>
      </c>
      <c r="W2" s="38"/>
      <c r="X2" s="38"/>
    </row>
    <row r="3" spans="3:24" x14ac:dyDescent="0.45">
      <c r="C3" s="5" t="s">
        <v>3</v>
      </c>
      <c r="D3" s="23" t="s">
        <v>45</v>
      </c>
      <c r="F3" s="5" t="s">
        <v>3</v>
      </c>
      <c r="G3" s="23" t="s">
        <v>45</v>
      </c>
      <c r="H3" s="64"/>
      <c r="I3" s="64"/>
      <c r="J3" s="64"/>
      <c r="K3" s="64"/>
      <c r="L3" s="24"/>
      <c r="M3" t="str">
        <f>VLOOKUP(N3,Coeff_Descr!$A:$D,3,FALSE)</f>
        <v>ALL</v>
      </c>
      <c r="N3">
        <f>OtherTourDestination!B11</f>
        <v>1</v>
      </c>
      <c r="O3" t="str">
        <f>OtherTourDestination!C11</f>
        <v>Beta000001</v>
      </c>
      <c r="P3" s="22">
        <f>OtherTourDestination!E11</f>
        <v>1</v>
      </c>
      <c r="Q3" s="52">
        <f>_xlfn.IFNA(VLOOKUP(N3,$B$43:$D$46,3,FALSE),P3)</f>
        <v>1</v>
      </c>
      <c r="T3">
        <v>1</v>
      </c>
      <c r="U3" s="19" t="s">
        <v>266</v>
      </c>
      <c r="W3" s="38"/>
      <c r="X3" s="38"/>
    </row>
    <row r="4" spans="3:24" x14ac:dyDescent="0.45">
      <c r="C4" s="25" t="s">
        <v>48</v>
      </c>
      <c r="D4" s="26">
        <f>TLFD!B11</f>
        <v>11673.500390895673</v>
      </c>
      <c r="F4" s="25" t="s">
        <v>48</v>
      </c>
      <c r="G4" s="26">
        <f>TLFD!F11</f>
        <v>13270</v>
      </c>
      <c r="H4" s="26"/>
      <c r="I4" s="26"/>
      <c r="J4" s="26"/>
      <c r="K4" s="26"/>
      <c r="L4" s="27"/>
      <c r="M4" t="str">
        <f>VLOOKUP(N4,Coeff_Descr!$A:$D,3,FALSE)</f>
        <v>ALL</v>
      </c>
      <c r="N4">
        <f>OtherTourDestination!B12</f>
        <v>2</v>
      </c>
      <c r="O4" t="str">
        <f>OtherTourDestination!C12</f>
        <v>Beta000002</v>
      </c>
      <c r="P4" s="22">
        <f>OtherTourDestination!E12</f>
        <v>14.842474747500001</v>
      </c>
      <c r="Q4" s="52">
        <f>_xlfn.IFNA(VLOOKUP(N4,$B$43:$D$46,3,FALSE),P4)</f>
        <v>14.842474747500001</v>
      </c>
      <c r="T4">
        <v>2</v>
      </c>
      <c r="U4" s="19" t="s">
        <v>267</v>
      </c>
      <c r="W4" s="38"/>
      <c r="X4" s="38"/>
    </row>
    <row r="5" spans="3:24" x14ac:dyDescent="0.45">
      <c r="C5" s="11" t="s">
        <v>51</v>
      </c>
      <c r="D5" s="28">
        <f>TLFD!B12+TLFD!B13+(TLFD!B14/2)</f>
        <v>73309.800431938347</v>
      </c>
      <c r="F5" s="11" t="s">
        <v>51</v>
      </c>
      <c r="G5" s="28">
        <f>TLFD!F12+TLFD!F13+(TLFD!F14/2)</f>
        <v>52934.5</v>
      </c>
      <c r="H5" s="28"/>
      <c r="I5" s="28"/>
      <c r="J5" s="28"/>
      <c r="K5" s="28"/>
      <c r="L5" s="27"/>
      <c r="M5" t="str">
        <f>VLOOKUP(N5,Coeff_Descr!$A:$D,3,FALSE)</f>
        <v>ALL</v>
      </c>
      <c r="N5">
        <f>OtherTourDestination!B13</f>
        <v>3</v>
      </c>
      <c r="O5" t="str">
        <f>OtherTourDestination!C13</f>
        <v>Beta000003</v>
      </c>
      <c r="P5" s="22">
        <f>OtherTourDestination!E13</f>
        <v>5.2231850982500001E-2</v>
      </c>
      <c r="Q5" s="52">
        <f ref="Q5:Q68" si="0" t="shared">_xlfn.IFNA(VLOOKUP(N5,$B$43:$D$46,3,FALSE),P5)</f>
        <v>5.2231850982500001E-2</v>
      </c>
      <c r="T5">
        <v>3</v>
      </c>
      <c r="U5" s="38" t="s">
        <v>268</v>
      </c>
      <c r="V5" s="38"/>
      <c r="W5" s="38"/>
      <c r="X5" s="38"/>
    </row>
    <row r="6" spans="3:24" x14ac:dyDescent="0.45">
      <c r="C6" s="11" t="s">
        <v>54</v>
      </c>
      <c r="D6" s="28">
        <f>(TLFD!B14/2)+SUM(TLFD!B15:B20)</f>
        <v>65753.893678578301</v>
      </c>
      <c r="F6" s="11" t="s">
        <v>54</v>
      </c>
      <c r="G6" s="28">
        <f>(TLFD!F14/2)+SUM(TLFD!F15:F20)</f>
        <v>63447.5</v>
      </c>
      <c r="H6" s="28"/>
      <c r="I6" s="28"/>
      <c r="J6" s="28"/>
      <c r="K6" s="28"/>
      <c r="L6" s="27"/>
      <c r="M6" t="str">
        <f>VLOOKUP(N6,Coeff_Descr!$A:$D,3,FALSE)</f>
        <v>ALL</v>
      </c>
      <c r="N6">
        <f>OtherTourDestination!B14</f>
        <v>4</v>
      </c>
      <c r="O6" t="str">
        <f>OtherTourDestination!C14</f>
        <v>Beta000004</v>
      </c>
      <c r="P6" s="22">
        <f>OtherTourDestination!E14</f>
        <v>-0.28042629390099999</v>
      </c>
      <c r="Q6" s="52">
        <f si="0" t="shared"/>
        <v>-0.28042629390099999</v>
      </c>
      <c r="T6">
        <v>4</v>
      </c>
      <c r="U6" s="38" t="s">
        <v>269</v>
      </c>
      <c r="V6" s="38"/>
      <c r="W6" s="38"/>
      <c r="X6" s="38"/>
    </row>
    <row r="7" spans="3:24" x14ac:dyDescent="0.45">
      <c r="C7" s="12" t="s">
        <v>57</v>
      </c>
      <c r="D7" s="29">
        <f>SUM(TLFD!B21:B101)</f>
        <v>23014.685444005503</v>
      </c>
      <c r="F7" s="12" t="s">
        <v>57</v>
      </c>
      <c r="G7" s="29">
        <f>SUM(TLFD!F21:F101)</f>
        <v>17354</v>
      </c>
      <c r="H7" s="28"/>
      <c r="I7" s="28"/>
      <c r="J7" s="28"/>
      <c r="K7" s="28"/>
      <c r="L7" s="27"/>
      <c r="M7" t="str">
        <f>VLOOKUP(N7,Coeff_Descr!$A:$D,3,FALSE)</f>
        <v>ALL</v>
      </c>
      <c r="N7">
        <f>OtherTourDestination!B15</f>
        <v>5</v>
      </c>
      <c r="O7" t="str">
        <f>OtherTourDestination!C15</f>
        <v>Beta000005</v>
      </c>
      <c r="P7" s="22">
        <f>OtherTourDestination!E15</f>
        <v>3.8864252169499999E-2</v>
      </c>
      <c r="Q7" s="52">
        <f si="0" t="shared"/>
        <v>3.8864252169499999E-2</v>
      </c>
      <c r="T7" s="38">
        <v>5</v>
      </c>
      <c r="U7" s="38" t="s">
        <v>270</v>
      </c>
      <c r="V7" s="38"/>
      <c r="W7" s="38"/>
      <c r="X7" s="38"/>
    </row>
    <row ht="14.65" r="8" spans="3:24" thickBot="1" x14ac:dyDescent="0.5">
      <c r="C8" s="30" t="s">
        <v>4</v>
      </c>
      <c r="D8" s="31">
        <f>SUM(D4:D7)</f>
        <v>173751.87994541784</v>
      </c>
      <c r="F8" s="30" t="s">
        <v>4</v>
      </c>
      <c r="G8" s="31">
        <f>SUM(G4:G7)</f>
        <v>147006</v>
      </c>
      <c r="H8" s="28"/>
      <c r="I8" s="28"/>
      <c r="J8" s="28" t="s">
        <v>260</v>
      </c>
      <c r="K8" s="71">
        <v>1</v>
      </c>
      <c r="M8" t="str">
        <f>VLOOKUP(N8,Coeff_Descr!$A:$D,3,FALSE)</f>
        <v>ALL</v>
      </c>
      <c r="N8">
        <f>OtherTourDestination!B16</f>
        <v>6</v>
      </c>
      <c r="O8" t="str">
        <f>OtherTourDestination!C16</f>
        <v>Beta000006</v>
      </c>
      <c r="P8" s="22">
        <f>OtherTourDestination!E16</f>
        <v>-5.4105027761100002E-2</v>
      </c>
      <c r="Q8" s="52">
        <f si="0" t="shared"/>
        <v>-5.4105027761100002E-2</v>
      </c>
      <c r="T8" s="38"/>
      <c r="U8" s="38"/>
      <c r="V8" s="38"/>
      <c r="W8" s="38"/>
      <c r="X8" s="38"/>
    </row>
    <row r="9" spans="3:24" x14ac:dyDescent="0.45">
      <c r="M9" t="str">
        <f>VLOOKUP(N9,Coeff_Descr!$A:$D,3,FALSE)</f>
        <v>ALL</v>
      </c>
      <c r="N9">
        <f>OtherTourDestination!B17</f>
        <v>7</v>
      </c>
      <c r="O9" t="str">
        <f>OtherTourDestination!C17</f>
        <v>Beta000007</v>
      </c>
      <c r="P9" s="22">
        <f>OtherTourDestination!E17</f>
        <v>-1.2443107654000001</v>
      </c>
      <c r="Q9" s="52">
        <f si="0" t="shared"/>
        <v>-1.2443107654000001</v>
      </c>
      <c r="T9" s="38"/>
      <c r="U9" s="76" t="s">
        <v>271</v>
      </c>
      <c r="V9" s="38"/>
      <c r="W9" s="38"/>
      <c r="X9" s="38"/>
    </row>
    <row ht="14.65" r="10" spans="3:24" thickBot="1" x14ac:dyDescent="0.5">
      <c r="C10" s="32" t="s">
        <v>64</v>
      </c>
      <c r="I10" s="65" t="s">
        <v>256</v>
      </c>
      <c r="J10" s="66"/>
      <c r="K10" s="66"/>
      <c r="L10" s="24"/>
      <c r="M10" t="str">
        <f>VLOOKUP(N10,Coeff_Descr!$A:$D,3,FALSE)</f>
        <v>ALL</v>
      </c>
      <c r="N10">
        <f>OtherTourDestination!B18</f>
        <v>8</v>
      </c>
      <c r="O10" t="str">
        <f>OtherTourDestination!C18</f>
        <v>Beta000008</v>
      </c>
      <c r="P10" s="22">
        <f>OtherTourDestination!E18</f>
        <v>0.41298170440800003</v>
      </c>
      <c r="Q10" s="52">
        <f si="0" t="shared"/>
        <v>0.41298170440800003</v>
      </c>
      <c r="T10" s="38">
        <v>1</v>
      </c>
      <c r="U10" s="19" t="s">
        <v>266</v>
      </c>
      <c r="V10" s="38"/>
      <c r="W10" s="38"/>
      <c r="X10" s="38"/>
    </row>
    <row r="11" spans="3:24" x14ac:dyDescent="0.45">
      <c r="C11" s="5" t="s">
        <v>3</v>
      </c>
      <c r="D11" s="23" t="s">
        <v>45</v>
      </c>
      <c r="F11" s="5" t="s">
        <v>3</v>
      </c>
      <c r="G11" s="23" t="s">
        <v>45</v>
      </c>
      <c r="H11" s="64"/>
      <c r="I11" s="23" t="s">
        <v>257</v>
      </c>
      <c r="J11" s="23" t="s">
        <v>258</v>
      </c>
      <c r="K11" s="23" t="s">
        <v>259</v>
      </c>
      <c r="L11" s="33"/>
      <c r="M11" t="str">
        <f>VLOOKUP(N11,Coeff_Descr!$A:$D,3,FALSE)</f>
        <v>ALL</v>
      </c>
      <c r="N11">
        <f>OtherTourDestination!B19</f>
        <v>9</v>
      </c>
      <c r="O11" t="str">
        <f>OtherTourDestination!C19</f>
        <v>Beta000009</v>
      </c>
      <c r="P11" s="22">
        <f>OtherTourDestination!E19</f>
        <v>-0.26420630814700002</v>
      </c>
      <c r="Q11" s="52">
        <f si="0" t="shared"/>
        <v>-0.26420630814700002</v>
      </c>
      <c r="T11" s="38">
        <v>2</v>
      </c>
      <c r="U11" s="38" t="s">
        <v>272</v>
      </c>
      <c r="V11" s="38"/>
      <c r="W11" s="38"/>
      <c r="X11" s="38"/>
    </row>
    <row r="12" spans="3:24" x14ac:dyDescent="0.45">
      <c r="C12" s="25" t="s">
        <v>48</v>
      </c>
      <c r="D12" s="34">
        <f>D4/D$8</f>
        <v>6.7184886831513815E-2</v>
      </c>
      <c r="F12" s="25" t="s">
        <v>48</v>
      </c>
      <c r="G12" s="34">
        <f>G4/G$8</f>
        <v>9.0268424418050969E-2</v>
      </c>
      <c r="H12" s="34"/>
      <c r="I12" s="67">
        <f>D12/G12</f>
        <v>0.74427893545994872</v>
      </c>
      <c r="J12" s="68">
        <f>LN(I12)</f>
        <v>-0.29533940115883844</v>
      </c>
      <c r="K12" s="68">
        <f>K8*J12</f>
        <v>-0.29533940115883844</v>
      </c>
      <c r="L12" s="33"/>
      <c r="M12" t="str">
        <f>VLOOKUP(N12,Coeff_Descr!$A:$D,3,FALSE)</f>
        <v>ALL</v>
      </c>
      <c r="N12">
        <f>OtherTourDestination!B20</f>
        <v>10</v>
      </c>
      <c r="O12" t="str">
        <f>OtherTourDestination!C20</f>
        <v>Beta000010</v>
      </c>
      <c r="P12" s="22">
        <f>OtherTourDestination!E20</f>
        <v>-0.35872692861799998</v>
      </c>
      <c r="Q12" s="52">
        <f si="0" t="shared"/>
        <v>-0.35872692861799998</v>
      </c>
      <c r="T12" s="38">
        <v>3</v>
      </c>
      <c r="U12" s="38" t="s">
        <v>273</v>
      </c>
      <c r="V12" s="38"/>
      <c r="W12" s="38"/>
      <c r="X12" s="38"/>
    </row>
    <row r="13" spans="3:24" x14ac:dyDescent="0.45">
      <c r="C13" s="11" t="s">
        <v>51</v>
      </c>
      <c r="D13" s="35">
        <f ref="D13:D16" si="1" t="shared">D5/D$8</f>
        <v>0.42192234383287125</v>
      </c>
      <c r="F13" s="11" t="s">
        <v>51</v>
      </c>
      <c r="G13" s="35">
        <f ref="G13:G16" si="2" t="shared">G5/G$8</f>
        <v>0.360083942152021</v>
      </c>
      <c r="H13" s="35"/>
      <c r="I13" s="67">
        <f ref="I13:I15" si="3" t="shared">D13/G13</f>
        <v>1.1717332944959351</v>
      </c>
      <c r="J13" s="68">
        <f ref="J13:J15" si="4" t="shared">LN(I13)</f>
        <v>0.1584841008348451</v>
      </c>
      <c r="K13" s="68">
        <f>K8*(J13-J12)</f>
        <v>0.45382350199368354</v>
      </c>
      <c r="L13" s="33"/>
      <c r="M13" t="str">
        <f>VLOOKUP(N13,Coeff_Descr!$A:$D,3,FALSE)</f>
        <v>ALL</v>
      </c>
      <c r="N13">
        <f>OtherTourDestination!B21</f>
        <v>11</v>
      </c>
      <c r="O13" t="str">
        <f>OtherTourDestination!C21</f>
        <v>Beta000011</v>
      </c>
      <c r="P13" s="22">
        <f>OtherTourDestination!E21</f>
        <v>0.20317681554899999</v>
      </c>
      <c r="Q13" s="52">
        <f si="0" t="shared"/>
        <v>0.20317681554899999</v>
      </c>
      <c r="T13" s="38">
        <v>4</v>
      </c>
      <c r="U13" s="38" t="s">
        <v>274</v>
      </c>
      <c r="V13" s="38"/>
      <c r="W13" s="38"/>
      <c r="X13" s="38"/>
    </row>
    <row r="14" spans="3:24" x14ac:dyDescent="0.45">
      <c r="C14" s="11" t="s">
        <v>54</v>
      </c>
      <c r="D14" s="35">
        <f si="1" t="shared"/>
        <v>0.37843558123937499</v>
      </c>
      <c r="F14" s="11" t="s">
        <v>54</v>
      </c>
      <c r="G14" s="35">
        <f si="2" t="shared"/>
        <v>0.43159803001238045</v>
      </c>
      <c r="H14" s="35"/>
      <c r="I14" s="67">
        <f si="3" t="shared"/>
        <v>0.87682416258600515</v>
      </c>
      <c r="J14" s="68">
        <f si="4" t="shared"/>
        <v>-0.13144880547419949</v>
      </c>
      <c r="K14" s="68">
        <f>K8*(J14-J13-J12)</f>
        <v>5.4064948497938858E-3</v>
      </c>
      <c r="L14" s="33"/>
      <c r="M14" t="str">
        <f>VLOOKUP(N14,Coeff_Descr!$A:$D,3,FALSE)</f>
        <v>ALL</v>
      </c>
      <c r="N14">
        <f>OtherTourDestination!B22</f>
        <v>12</v>
      </c>
      <c r="O14" t="str">
        <f>OtherTourDestination!C22</f>
        <v>Beta000012</v>
      </c>
      <c r="P14" s="22">
        <f>OtherTourDestination!E22</f>
        <v>-0.25772334575</v>
      </c>
      <c r="Q14" s="52">
        <f si="0" t="shared"/>
        <v>-0.25772334575</v>
      </c>
      <c r="T14" s="38">
        <v>5</v>
      </c>
      <c r="U14" s="19" t="s">
        <v>275</v>
      </c>
      <c r="V14" s="38"/>
      <c r="W14" s="38"/>
      <c r="X14" s="38"/>
    </row>
    <row ht="14.65" r="15" spans="3:24" thickBot="1" x14ac:dyDescent="0.5">
      <c r="C15" s="12" t="s">
        <v>57</v>
      </c>
      <c r="D15" s="35">
        <f si="1" t="shared"/>
        <v>0.13245718809623991</v>
      </c>
      <c r="F15" s="12" t="s">
        <v>57</v>
      </c>
      <c r="G15" s="35">
        <f si="2" t="shared"/>
        <v>0.11804960341754758</v>
      </c>
      <c r="H15" s="35"/>
      <c r="I15" s="69">
        <f si="3" t="shared"/>
        <v>1.1220468706509072</v>
      </c>
      <c r="J15" s="70">
        <f si="4" t="shared"/>
        <v>0.11515458042665659</v>
      </c>
      <c r="K15" s="70">
        <f>K8*(J15-J14-J13-J12)</f>
        <v>0.38345868622484941</v>
      </c>
      <c r="M15" t="str">
        <f>VLOOKUP(N15,Coeff_Descr!$A:$D,3,FALSE)</f>
        <v>ALL</v>
      </c>
      <c r="N15">
        <f>OtherTourDestination!B23</f>
        <v>13</v>
      </c>
      <c r="O15" t="str">
        <f>OtherTourDestination!C23</f>
        <v>Beta000013</v>
      </c>
      <c r="P15" s="22">
        <f>OtherTourDestination!E23</f>
        <v>-1.51291507531</v>
      </c>
      <c r="Q15" s="52">
        <f si="0" t="shared"/>
        <v>-1.51291507531</v>
      </c>
      <c r="T15" s="38">
        <v>6</v>
      </c>
      <c r="U15" s="38" t="s">
        <v>276</v>
      </c>
      <c r="V15" s="38"/>
      <c r="W15" s="38"/>
      <c r="X15" s="38"/>
    </row>
    <row ht="14.65" r="16" spans="3:24" thickBot="1" x14ac:dyDescent="0.5">
      <c r="C16" s="30" t="s">
        <v>4</v>
      </c>
      <c r="D16" s="36">
        <f si="1" t="shared"/>
        <v>1</v>
      </c>
      <c r="F16" s="30" t="s">
        <v>4</v>
      </c>
      <c r="G16" s="36">
        <f si="2" t="shared"/>
        <v>1</v>
      </c>
      <c r="H16" s="35"/>
      <c r="I16" s="67"/>
      <c r="J16" s="67"/>
      <c r="K16" s="67"/>
      <c r="M16" t="str">
        <f>VLOOKUP(N16,Coeff_Descr!$A:$D,3,FALSE)</f>
        <v>ALL</v>
      </c>
      <c r="N16">
        <f>OtherTourDestination!B24</f>
        <v>14</v>
      </c>
      <c r="O16" t="str">
        <f>OtherTourDestination!C24</f>
        <v>Beta000014</v>
      </c>
      <c r="P16" s="22">
        <f>OtherTourDestination!E24</f>
        <v>-0.21776561918199999</v>
      </c>
      <c r="Q16" s="52">
        <f si="0" t="shared"/>
        <v>-0.21776561918199999</v>
      </c>
      <c r="T16" s="38">
        <v>7</v>
      </c>
      <c r="U16" s="38" t="s">
        <v>269</v>
      </c>
      <c r="V16" s="38"/>
      <c r="W16" s="38"/>
      <c r="X16" s="38"/>
    </row>
    <row r="17" spans="2:24" x14ac:dyDescent="0.45">
      <c r="M17" t="str">
        <f>VLOOKUP(N17,Coeff_Descr!$A:$D,3,FALSE)</f>
        <v>ALL</v>
      </c>
      <c r="N17">
        <f>OtherTourDestination!B25</f>
        <v>15</v>
      </c>
      <c r="O17" t="str">
        <f>OtherTourDestination!C25</f>
        <v>Beta000015</v>
      </c>
      <c r="P17" s="22">
        <f>OtherTourDestination!E25</f>
        <v>-1.27163179208</v>
      </c>
      <c r="Q17" s="52">
        <f si="0" t="shared"/>
        <v>-1.27163179208</v>
      </c>
      <c r="T17" s="38">
        <v>8</v>
      </c>
      <c r="U17" s="38" t="s">
        <v>277</v>
      </c>
      <c r="V17" s="38"/>
      <c r="W17" s="38"/>
      <c r="X17" s="38"/>
    </row>
    <row r="18" spans="2:24" x14ac:dyDescent="0.45">
      <c r="I18" s="72"/>
      <c r="J18" s="72"/>
      <c r="K18" s="68"/>
      <c r="M18" t="str">
        <f>VLOOKUP(N18,Coeff_Descr!$A:$D,3,FALSE)</f>
        <v>ALL</v>
      </c>
      <c r="N18">
        <f>OtherTourDestination!B26</f>
        <v>16</v>
      </c>
      <c r="O18" t="str">
        <f>OtherTourDestination!C26</f>
        <v>Beta000016</v>
      </c>
      <c r="P18" s="22">
        <f>OtherTourDestination!E26</f>
        <v>-0.54089688480800002</v>
      </c>
      <c r="Q18" s="52">
        <f si="0" t="shared"/>
        <v>-0.54089688480800002</v>
      </c>
    </row>
    <row r="19" spans="2:24" x14ac:dyDescent="0.45">
      <c r="C19" s="37" t="s">
        <v>83</v>
      </c>
      <c r="I19" s="72"/>
      <c r="J19" s="72"/>
      <c r="K19" s="68"/>
      <c r="M19" t="str">
        <f>VLOOKUP(N19,Coeff_Descr!$A:$D,3,FALSE)</f>
        <v>ALL</v>
      </c>
      <c r="N19">
        <f>OtherTourDestination!B27</f>
        <v>17</v>
      </c>
      <c r="O19" t="str">
        <f>OtherTourDestination!C27</f>
        <v>Beta000017</v>
      </c>
      <c r="P19" s="22">
        <f>OtherTourDestination!E27</f>
        <v>0</v>
      </c>
      <c r="Q19" s="52">
        <f si="0" t="shared"/>
        <v>0</v>
      </c>
    </row>
    <row r="20" spans="2:24" x14ac:dyDescent="0.45">
      <c r="C20" s="37" t="s">
        <v>86</v>
      </c>
      <c r="I20" s="72"/>
      <c r="J20" s="72"/>
      <c r="K20" s="68"/>
      <c r="M20" t="str">
        <f>VLOOKUP(N20,Coeff_Descr!$A:$D,3,FALSE)</f>
        <v>ALL</v>
      </c>
      <c r="N20">
        <f>OtherTourDestination!B28</f>
        <v>18</v>
      </c>
      <c r="O20" t="str">
        <f>OtherTourDestination!C28</f>
        <v>Beta000018</v>
      </c>
      <c r="P20" s="22">
        <f>OtherTourDestination!E28</f>
        <v>0</v>
      </c>
      <c r="Q20" s="52">
        <f si="0" t="shared"/>
        <v>0</v>
      </c>
    </row>
    <row ht="14.65" r="21" spans="2:24" thickBot="1" x14ac:dyDescent="0.5">
      <c r="C21" s="38"/>
      <c r="I21" s="72"/>
      <c r="J21" s="72"/>
      <c r="K21" s="68"/>
      <c r="M21" t="str">
        <f>VLOOKUP(N21,Coeff_Descr!$A:$D,3,FALSE)</f>
        <v>ALL</v>
      </c>
      <c r="N21">
        <f>OtherTourDestination!B29</f>
        <v>19</v>
      </c>
      <c r="O21" t="str">
        <f>OtherTourDestination!C29</f>
        <v>Beta000019</v>
      </c>
      <c r="P21" s="22">
        <f>OtherTourDestination!E29</f>
        <v>0</v>
      </c>
      <c r="Q21" s="52">
        <f si="0" t="shared"/>
        <v>0</v>
      </c>
    </row>
    <row r="22" spans="2:24" x14ac:dyDescent="0.45">
      <c r="B22" s="60" t="s">
        <v>255</v>
      </c>
      <c r="C22" s="39" t="s">
        <v>92</v>
      </c>
      <c r="D22" s="40"/>
      <c r="M22" t="str">
        <f>VLOOKUP(N22,Coeff_Descr!$A:$D,3,FALSE)</f>
        <v>ESCORT</v>
      </c>
      <c r="N22">
        <f>OtherTourDestination!B30</f>
        <v>20</v>
      </c>
      <c r="O22" t="str">
        <f>OtherTourDestination!C30</f>
        <v>Beta000020</v>
      </c>
      <c r="P22" s="22">
        <f>OtherTourDestination!E30</f>
        <v>0.43763139961699998</v>
      </c>
      <c r="Q22" s="52">
        <f si="0" t="shared"/>
        <v>0.43763139961699998</v>
      </c>
    </row>
    <row r="23" spans="2:24" x14ac:dyDescent="0.45">
      <c r="B23" s="61">
        <v>37</v>
      </c>
      <c r="C23" s="25" t="s">
        <v>48</v>
      </c>
      <c r="D23" s="86">
        <f>VLOOKUP($B23,$N:$P,3,FALSE)</f>
        <v>-7.2225250615199998</v>
      </c>
      <c r="I23" s="73"/>
      <c r="J23" s="73"/>
      <c r="K23" s="73"/>
      <c r="M23" t="str">
        <f>VLOOKUP(N23,Coeff_Descr!$A:$D,3,FALSE)</f>
        <v>ESCORT</v>
      </c>
      <c r="N23">
        <f>OtherTourDestination!B31</f>
        <v>21</v>
      </c>
      <c r="O23" t="str">
        <f>OtherTourDestination!C31</f>
        <v>Beta000021</v>
      </c>
      <c r="P23" s="22">
        <f>OtherTourDestination!E31</f>
        <v>-5.1729505125899999</v>
      </c>
      <c r="Q23" s="52">
        <f si="0" t="shared"/>
        <v>-5.1729505125899999</v>
      </c>
    </row>
    <row r="24" spans="2:24" x14ac:dyDescent="0.45">
      <c r="B24" s="61">
        <v>38</v>
      </c>
      <c r="C24" s="11" t="s">
        <v>51</v>
      </c>
      <c r="D24" s="86">
        <f ref="D24:D26" si="5" t="shared">VLOOKUP($B24,$N:$P,3,FALSE)</f>
        <v>-5.4693439766900003</v>
      </c>
      <c r="M24" t="str">
        <f>VLOOKUP(N24,Coeff_Descr!$A:$D,3,FALSE)</f>
        <v>ESCORT</v>
      </c>
      <c r="N24">
        <f>OtherTourDestination!B32</f>
        <v>22</v>
      </c>
      <c r="O24" t="str">
        <f>OtherTourDestination!C32</f>
        <v>Beta000022</v>
      </c>
      <c r="P24" s="22">
        <f>OtherTourDestination!E32</f>
        <v>-5.9112646193599998</v>
      </c>
      <c r="Q24" s="52">
        <f si="0" t="shared"/>
        <v>-5.9112646193599998</v>
      </c>
    </row>
    <row r="25" spans="2:24" x14ac:dyDescent="0.45">
      <c r="B25" s="61">
        <v>39</v>
      </c>
      <c r="C25" s="11" t="s">
        <v>54</v>
      </c>
      <c r="D25" s="86">
        <f si="5" t="shared"/>
        <v>-2.4179033783600001</v>
      </c>
      <c r="M25" t="str">
        <f>VLOOKUP(N25,Coeff_Descr!$A:$D,3,FALSE)</f>
        <v>ESCORT</v>
      </c>
      <c r="N25">
        <f>OtherTourDestination!B33</f>
        <v>23</v>
      </c>
      <c r="O25" t="str">
        <f>OtherTourDestination!C33</f>
        <v>Beta000023</v>
      </c>
      <c r="P25" s="22">
        <f>OtherTourDestination!E33</f>
        <v>-4.3510480079200002</v>
      </c>
      <c r="Q25" s="52">
        <f si="0" t="shared"/>
        <v>-4.3510480079200002</v>
      </c>
    </row>
    <row ht="14.65" r="26" spans="2:24" thickBot="1" x14ac:dyDescent="0.5">
      <c r="B26" s="62">
        <v>40</v>
      </c>
      <c r="C26" s="13" t="s">
        <v>57</v>
      </c>
      <c r="D26" s="87">
        <f si="5" t="shared"/>
        <v>-0.24529497763800001</v>
      </c>
      <c r="M26" t="str">
        <f>VLOOKUP(N26,Coeff_Descr!$A:$D,3,FALSE)</f>
        <v>ESCORT</v>
      </c>
      <c r="N26">
        <f>OtherTourDestination!B34</f>
        <v>24</v>
      </c>
      <c r="O26" t="str">
        <f>OtherTourDestination!C34</f>
        <v>Beta000024</v>
      </c>
      <c r="P26" s="22">
        <f>OtherTourDestination!E34</f>
        <v>0.219929989326</v>
      </c>
      <c r="Q26" s="52">
        <f si="0" t="shared"/>
        <v>0.219929989326</v>
      </c>
    </row>
    <row r="27" spans="2:24" x14ac:dyDescent="0.45">
      <c r="C27" s="38"/>
      <c r="D27" s="43"/>
      <c r="M27" t="str">
        <f>VLOOKUP(N27,Coeff_Descr!$A:$D,3,FALSE)</f>
        <v>ESCORT</v>
      </c>
      <c r="N27">
        <f>OtherTourDestination!B35</f>
        <v>25</v>
      </c>
      <c r="O27" t="str">
        <f>OtherTourDestination!C35</f>
        <v>Beta000025</v>
      </c>
      <c r="P27" s="22">
        <f>OtherTourDestination!E35</f>
        <v>-0.19965371290799999</v>
      </c>
      <c r="Q27" s="52">
        <f si="0" t="shared"/>
        <v>-0.19965371290799999</v>
      </c>
    </row>
    <row r="28" spans="2:24" x14ac:dyDescent="0.45">
      <c r="C28" s="38"/>
      <c r="D28" s="43"/>
      <c r="M28" t="str">
        <f>VLOOKUP(N28,Coeff_Descr!$A:$D,3,FALSE)</f>
        <v>PERSBUS/MED</v>
      </c>
      <c r="N28">
        <f>OtherTourDestination!B36</f>
        <v>26</v>
      </c>
      <c r="O28" t="str">
        <f>OtherTourDestination!C36</f>
        <v>Beta000026</v>
      </c>
      <c r="P28" s="22">
        <f>OtherTourDestination!E36</f>
        <v>0.456947594269</v>
      </c>
      <c r="Q28" s="52">
        <f si="0" t="shared"/>
        <v>0.456947594269</v>
      </c>
    </row>
    <row r="29" spans="2:24" x14ac:dyDescent="0.45">
      <c r="C29" s="37" t="s">
        <v>83</v>
      </c>
      <c r="D29" s="44"/>
      <c r="M29" t="str">
        <f>VLOOKUP(N29,Coeff_Descr!$A:$D,3,FALSE)</f>
        <v>PERSBUS/MED</v>
      </c>
      <c r="N29">
        <f>OtherTourDestination!B37</f>
        <v>27</v>
      </c>
      <c r="O29" t="str">
        <f>OtherTourDestination!C37</f>
        <v>Beta000027</v>
      </c>
      <c r="P29" s="22">
        <f>OtherTourDestination!E37</f>
        <v>-16.041405463699999</v>
      </c>
      <c r="Q29" s="52">
        <f si="0" t="shared"/>
        <v>-16.041405463699999</v>
      </c>
    </row>
    <row r="30" spans="2:24" x14ac:dyDescent="0.45">
      <c r="C30" s="37" t="s">
        <v>108</v>
      </c>
      <c r="D30" s="44"/>
      <c r="M30" t="str">
        <f>VLOOKUP(N30,Coeff_Descr!$A:$D,3,FALSE)</f>
        <v>PERSBUS/MED</v>
      </c>
      <c r="N30">
        <f>OtherTourDestination!B38</f>
        <v>28</v>
      </c>
      <c r="O30" t="str">
        <f>OtherTourDestination!C38</f>
        <v>Beta000028</v>
      </c>
      <c r="P30" s="22">
        <f>OtherTourDestination!E38</f>
        <v>-4.0058838759500004</v>
      </c>
      <c r="Q30" s="52">
        <f si="0" t="shared"/>
        <v>-4.0058838759500004</v>
      </c>
    </row>
    <row ht="14.65" r="31" spans="2:24" thickBot="1" x14ac:dyDescent="0.5">
      <c r="C31" s="38"/>
      <c r="D31" s="43"/>
      <c r="M31" t="str">
        <f>VLOOKUP(N31,Coeff_Descr!$A:$D,3,FALSE)</f>
        <v>PERSBUS/MED</v>
      </c>
      <c r="N31">
        <f>OtherTourDestination!B39</f>
        <v>29</v>
      </c>
      <c r="O31" t="str">
        <f>OtherTourDestination!C39</f>
        <v>Beta000029</v>
      </c>
      <c r="P31" s="22">
        <f>OtherTourDestination!E39</f>
        <v>-2.2602358254700001</v>
      </c>
      <c r="Q31" s="52">
        <f si="0" t="shared"/>
        <v>-2.2602358254700001</v>
      </c>
    </row>
    <row r="32" spans="2:24" x14ac:dyDescent="0.45">
      <c r="B32" s="60" t="s">
        <v>255</v>
      </c>
      <c r="C32" s="39" t="s">
        <v>92</v>
      </c>
      <c r="D32" s="40"/>
      <c r="M32" t="str">
        <f>VLOOKUP(N32,Coeff_Descr!$A:$D,3,FALSE)</f>
        <v>PERSBUS/MED</v>
      </c>
      <c r="N32">
        <f>OtherTourDestination!B40</f>
        <v>30</v>
      </c>
      <c r="O32" t="str">
        <f>OtherTourDestination!C40</f>
        <v>Beta000030</v>
      </c>
      <c r="P32" s="22">
        <f>OtherTourDestination!E40</f>
        <v>-0.57131171698200001</v>
      </c>
      <c r="Q32" s="52">
        <f si="0" t="shared"/>
        <v>-0.57131171698200001</v>
      </c>
    </row>
    <row r="33" spans="2:18" x14ac:dyDescent="0.45">
      <c r="B33" s="61">
        <f>B23</f>
        <v>37</v>
      </c>
      <c r="C33" s="25" t="s">
        <v>48</v>
      </c>
      <c r="D33" s="88">
        <f>K12</f>
        <v>-0.29533940115883844</v>
      </c>
      <c r="M33" t="str">
        <f>VLOOKUP(N33,Coeff_Descr!$A:$D,3,FALSE)</f>
        <v>PERSBUS/MED</v>
      </c>
      <c r="N33">
        <f>OtherTourDestination!B41</f>
        <v>31</v>
      </c>
      <c r="O33" t="str">
        <f>OtherTourDestination!C41</f>
        <v>Beta000031</v>
      </c>
      <c r="P33" s="22">
        <f>OtherTourDestination!E41</f>
        <v>-9.1432405138999993E-3</v>
      </c>
      <c r="Q33" s="52">
        <f si="0" t="shared"/>
        <v>-9.1432405138999993E-3</v>
      </c>
    </row>
    <row r="34" spans="2:18" x14ac:dyDescent="0.45">
      <c r="B34" s="61">
        <f ref="B34:B36" si="6" t="shared">B24</f>
        <v>38</v>
      </c>
      <c r="C34" s="11" t="s">
        <v>51</v>
      </c>
      <c r="D34" s="41">
        <f ref="D34:D36" si="7" t="shared">K13</f>
        <v>0.45382350199368354</v>
      </c>
      <c r="M34" t="str">
        <f>VLOOKUP(N34,Coeff_Descr!$A:$D,3,FALSE)</f>
        <v>PERSBUS/MED</v>
      </c>
      <c r="N34">
        <f>OtherTourDestination!B42</f>
        <v>32</v>
      </c>
      <c r="O34" t="str">
        <f>OtherTourDestination!C42</f>
        <v>Beta000032</v>
      </c>
      <c r="P34" s="22">
        <f>OtherTourDestination!E42</f>
        <v>-0.11638214876</v>
      </c>
      <c r="Q34" s="52">
        <f si="0" t="shared"/>
        <v>-0.11638214876</v>
      </c>
    </row>
    <row r="35" spans="2:18" x14ac:dyDescent="0.45">
      <c r="B35" s="61">
        <f si="6" t="shared"/>
        <v>39</v>
      </c>
      <c r="C35" s="11" t="s">
        <v>54</v>
      </c>
      <c r="D35" s="41">
        <f si="7" t="shared"/>
        <v>5.4064948497938858E-3</v>
      </c>
      <c r="G35" s="45"/>
      <c r="H35" s="45"/>
      <c r="I35" s="45"/>
      <c r="J35" s="45"/>
      <c r="K35" s="45"/>
      <c r="M35" t="str">
        <f>VLOOKUP(N35,Coeff_Descr!$A:$D,3,FALSE)</f>
        <v>PERSBUS/MED</v>
      </c>
      <c r="N35">
        <f>OtherTourDestination!B43</f>
        <v>33</v>
      </c>
      <c r="O35" t="str">
        <f>OtherTourDestination!C43</f>
        <v>Beta000033</v>
      </c>
      <c r="P35" s="22">
        <f>OtherTourDestination!E43</f>
        <v>5.6920874310099998E-2</v>
      </c>
      <c r="Q35" s="52">
        <f si="0" t="shared"/>
        <v>5.6920874310099998E-2</v>
      </c>
    </row>
    <row ht="14.65" r="36" spans="2:18" thickBot="1" x14ac:dyDescent="0.5">
      <c r="B36" s="63">
        <f si="6" t="shared"/>
        <v>40</v>
      </c>
      <c r="C36" s="13" t="s">
        <v>57</v>
      </c>
      <c r="D36" s="42">
        <f si="7" t="shared"/>
        <v>0.38345868622484941</v>
      </c>
      <c r="G36" s="46"/>
      <c r="H36" s="46"/>
      <c r="I36" s="46"/>
      <c r="J36" s="46"/>
      <c r="K36" s="46"/>
      <c r="M36" t="str">
        <f>VLOOKUP(N36,Coeff_Descr!$A:$D,3,FALSE)</f>
        <v>PERSBUS/MED</v>
      </c>
      <c r="N36">
        <f>OtherTourDestination!B44</f>
        <v>34</v>
      </c>
      <c r="O36" t="str">
        <f>OtherTourDestination!C44</f>
        <v>Beta000034</v>
      </c>
      <c r="P36" s="22">
        <f>OtherTourDestination!E44</f>
        <v>-1.9362324458399999E-2</v>
      </c>
      <c r="Q36" s="52">
        <f si="0" t="shared"/>
        <v>-1.9362324458399999E-2</v>
      </c>
    </row>
    <row ht="14.65" r="37" spans="2:18" thickTop="1" x14ac:dyDescent="0.45">
      <c r="C37" s="38"/>
      <c r="D37" s="41"/>
      <c r="M37" t="str">
        <f>VLOOKUP(N37,Coeff_Descr!$A:$D,3,FALSE)</f>
        <v>PERSBUS/MED</v>
      </c>
      <c r="N37">
        <f>OtherTourDestination!B45</f>
        <v>35</v>
      </c>
      <c r="O37" t="str">
        <f>OtherTourDestination!C45</f>
        <v>Beta000035</v>
      </c>
      <c r="P37" s="22">
        <f>OtherTourDestination!E45</f>
        <v>1.8323476485999999E-2</v>
      </c>
      <c r="Q37" s="52">
        <f si="0" t="shared"/>
        <v>1.8323476485999999E-2</v>
      </c>
    </row>
    <row r="38" spans="2:18" x14ac:dyDescent="0.45">
      <c r="C38" s="38"/>
      <c r="D38" s="41"/>
      <c r="M38" t="str">
        <f>VLOOKUP(N38,Coeff_Descr!$A:$D,3,FALSE)</f>
        <v>SHOP</v>
      </c>
      <c r="N38">
        <f>OtherTourDestination!B46</f>
        <v>36</v>
      </c>
      <c r="O38" t="str">
        <f>OtherTourDestination!C46</f>
        <v>Beta000036</v>
      </c>
      <c r="P38" s="22">
        <f>OtherTourDestination!E46</f>
        <v>2.3040582229000002</v>
      </c>
      <c r="Q38" s="52">
        <f si="0" t="shared"/>
        <v>2.3040582229000002</v>
      </c>
    </row>
    <row r="39" spans="2:18" x14ac:dyDescent="0.45">
      <c r="C39" s="37" t="s">
        <v>83</v>
      </c>
      <c r="D39" s="47"/>
      <c r="M39" t="str">
        <f>VLOOKUP(N39,Coeff_Descr!$A:$D,3,FALSE)</f>
        <v>SHOP</v>
      </c>
      <c r="N39" s="53">
        <f>OtherTourDestination!B47</f>
        <v>37</v>
      </c>
      <c r="O39" s="53" t="str">
        <f>OtherTourDestination!C47</f>
        <v>Beta000037</v>
      </c>
      <c r="P39" s="54">
        <f>OtherTourDestination!E47</f>
        <v>-7.2225250615199998</v>
      </c>
      <c r="Q39" s="55">
        <f si="0" t="shared"/>
        <v>-7.5178644626788387</v>
      </c>
      <c r="R39" t="str">
        <f>VLOOKUP(N39,Coeff_Descr!$A$2:$E$104,4,FALSE)</f>
        <v>distanceFromOrigin4</v>
      </c>
    </row>
    <row r="40" spans="2:18" x14ac:dyDescent="0.45">
      <c r="C40" s="37" t="s">
        <v>126</v>
      </c>
      <c r="D40" s="47"/>
      <c r="M40" t="str">
        <f>VLOOKUP(N40,Coeff_Descr!$A:$D,3,FALSE)</f>
        <v>SHOP</v>
      </c>
      <c r="N40" s="53">
        <f>OtherTourDestination!B48</f>
        <v>38</v>
      </c>
      <c r="O40" s="53" t="str">
        <f>OtherTourDestination!C48</f>
        <v>Beta000038</v>
      </c>
      <c r="P40" s="54">
        <f>OtherTourDestination!E48</f>
        <v>-5.4693439766900003</v>
      </c>
      <c r="Q40" s="55">
        <f si="0" t="shared"/>
        <v>-5.0155204746963165</v>
      </c>
      <c r="R40" t="str">
        <f>VLOOKUP(N40,Coeff_Descr!$A$2:$E$104,4,FALSE)</f>
        <v>distanceFromOrigin8</v>
      </c>
    </row>
    <row ht="14.65" r="41" spans="2:18" thickBot="1" x14ac:dyDescent="0.5">
      <c r="B41" s="1"/>
      <c r="C41" s="38"/>
      <c r="D41" s="41"/>
      <c r="M41" t="str">
        <f>VLOOKUP(N41,Coeff_Descr!$A:$D,3,FALSE)</f>
        <v>SHOP</v>
      </c>
      <c r="N41" s="53">
        <f>OtherTourDestination!B49</f>
        <v>39</v>
      </c>
      <c r="O41" s="53" t="str">
        <f>OtherTourDestination!C49</f>
        <v>Beta000039</v>
      </c>
      <c r="P41" s="54">
        <f>OtherTourDestination!E49</f>
        <v>-2.4179033783600001</v>
      </c>
      <c r="Q41" s="55">
        <f si="0" t="shared"/>
        <v>-2.4124968835102063</v>
      </c>
      <c r="R41" t="str">
        <f>VLOOKUP(N41,Coeff_Descr!$A$2:$E$104,4,FALSE)</f>
        <v>distanceFromOrigin9</v>
      </c>
    </row>
    <row r="42" spans="2:18" x14ac:dyDescent="0.45">
      <c r="B42" s="60" t="s">
        <v>255</v>
      </c>
      <c r="C42" s="39" t="s">
        <v>92</v>
      </c>
      <c r="D42" s="48"/>
      <c r="M42" t="str">
        <f>VLOOKUP(N42,Coeff_Descr!$A:$D,3,FALSE)</f>
        <v>SHOP</v>
      </c>
      <c r="N42" s="53">
        <f>OtherTourDestination!B50</f>
        <v>40</v>
      </c>
      <c r="O42" s="53" t="str">
        <f>OtherTourDestination!C50</f>
        <v>Beta000040</v>
      </c>
      <c r="P42" s="54">
        <f>OtherTourDestination!E50</f>
        <v>-0.24529497763800001</v>
      </c>
      <c r="Q42" s="55">
        <f si="0" t="shared"/>
        <v>0.1381637085868494</v>
      </c>
      <c r="R42" t="str">
        <f>VLOOKUP(N42,Coeff_Descr!$A$2:$E$104,4,FALSE)</f>
        <v>distanceFromOrigin3</v>
      </c>
    </row>
    <row r="43" spans="2:18" x14ac:dyDescent="0.45">
      <c r="B43" s="61">
        <f>B33</f>
        <v>37</v>
      </c>
      <c r="C43" s="25" t="s">
        <v>48</v>
      </c>
      <c r="D43" s="89">
        <f>D23+D33</f>
        <v>-7.5178644626788387</v>
      </c>
      <c r="M43" t="str">
        <f>VLOOKUP(N43,Coeff_Descr!$A:$D,3,FALSE)</f>
        <v>SHOP</v>
      </c>
      <c r="N43">
        <f>OtherTourDestination!B51</f>
        <v>41</v>
      </c>
      <c r="O43" t="str">
        <f>OtherTourDestination!C51</f>
        <v>Beta000041</v>
      </c>
      <c r="P43" s="22">
        <f>OtherTourDestination!E51</f>
        <v>-0.100545011408</v>
      </c>
      <c r="Q43" s="52">
        <f si="0" t="shared"/>
        <v>-0.100545011408</v>
      </c>
    </row>
    <row r="44" spans="2:18" x14ac:dyDescent="0.45">
      <c r="B44" s="61">
        <f ref="B44:B46" si="8" t="shared">B34</f>
        <v>38</v>
      </c>
      <c r="C44" s="11" t="s">
        <v>51</v>
      </c>
      <c r="D44" s="89">
        <f ref="D44:D46" si="9" t="shared">D24+D34</f>
        <v>-5.0155204746963165</v>
      </c>
      <c r="M44" t="str">
        <f>VLOOKUP(N44,Coeff_Descr!$A:$D,3,FALSE)</f>
        <v>SHOP</v>
      </c>
      <c r="N44">
        <f>OtherTourDestination!B52</f>
        <v>42</v>
      </c>
      <c r="O44" t="str">
        <f>OtherTourDestination!C52</f>
        <v>Beta000042</v>
      </c>
      <c r="P44" s="22">
        <f>OtherTourDestination!E52</f>
        <v>0.10049185695100001</v>
      </c>
      <c r="Q44" s="52">
        <f si="0" t="shared"/>
        <v>0.10049185695100001</v>
      </c>
    </row>
    <row r="45" spans="2:18" x14ac:dyDescent="0.45">
      <c r="B45" s="61">
        <f si="8" t="shared"/>
        <v>39</v>
      </c>
      <c r="C45" s="11" t="s">
        <v>54</v>
      </c>
      <c r="D45" s="89">
        <f si="9" t="shared"/>
        <v>-2.4124968835102063</v>
      </c>
      <c r="M45" t="str">
        <f>VLOOKUP(N45,Coeff_Descr!$A:$D,3,FALSE)</f>
        <v>MEAL</v>
      </c>
      <c r="N45">
        <f>OtherTourDestination!B53</f>
        <v>43</v>
      </c>
      <c r="O45" t="str">
        <f>OtherTourDestination!C53</f>
        <v>Beta000043</v>
      </c>
      <c r="P45" s="22">
        <f>OtherTourDestination!E53</f>
        <v>1.7655971612000001</v>
      </c>
      <c r="Q45" s="52">
        <f si="0" t="shared"/>
        <v>1.7655971612000001</v>
      </c>
    </row>
    <row ht="14.65" r="46" spans="2:18" thickBot="1" x14ac:dyDescent="0.5">
      <c r="B46" s="63">
        <f si="8" t="shared"/>
        <v>40</v>
      </c>
      <c r="C46" s="13" t="s">
        <v>57</v>
      </c>
      <c r="D46" s="90">
        <f si="9" t="shared"/>
        <v>0.1381637085868494</v>
      </c>
      <c r="M46" t="str">
        <f>VLOOKUP(N46,Coeff_Descr!$A:$D,3,FALSE)</f>
        <v>MEAL</v>
      </c>
      <c r="N46">
        <f>OtherTourDestination!B54</f>
        <v>44</v>
      </c>
      <c r="O46" t="str">
        <f>OtherTourDestination!C54</f>
        <v>Beta000044</v>
      </c>
      <c r="P46" s="22">
        <f>OtherTourDestination!E54</f>
        <v>-13.482142205440001</v>
      </c>
      <c r="Q46" s="52">
        <f si="0" t="shared"/>
        <v>-13.482142205440001</v>
      </c>
    </row>
    <row ht="14.65" r="47" spans="2:18" thickTop="1" x14ac:dyDescent="0.45">
      <c r="M47" t="str">
        <f>VLOOKUP(N47,Coeff_Descr!$A:$D,3,FALSE)</f>
        <v>MEAL</v>
      </c>
      <c r="N47">
        <f>OtherTourDestination!B55</f>
        <v>45</v>
      </c>
      <c r="O47" t="str">
        <f>OtherTourDestination!C55</f>
        <v>Beta000045</v>
      </c>
      <c r="P47" s="22">
        <f>OtherTourDestination!E55</f>
        <v>-5.7740636752999999</v>
      </c>
      <c r="Q47" s="52">
        <f si="0" t="shared"/>
        <v>-5.7740636752999999</v>
      </c>
    </row>
    <row r="48" spans="2:18" x14ac:dyDescent="0.45">
      <c r="M48" t="str">
        <f>VLOOKUP(N48,Coeff_Descr!$A:$D,3,FALSE)</f>
        <v>MEAL</v>
      </c>
      <c r="N48">
        <f>OtherTourDestination!B56</f>
        <v>46</v>
      </c>
      <c r="O48" t="str">
        <f>OtherTourDestination!C56</f>
        <v>Beta000046</v>
      </c>
      <c r="P48" s="22">
        <f>OtherTourDestination!E56</f>
        <v>-3.2513620839500001</v>
      </c>
      <c r="Q48" s="52">
        <f si="0" t="shared"/>
        <v>-3.2513620839500001</v>
      </c>
    </row>
    <row r="49" spans="1:17" x14ac:dyDescent="0.45">
      <c r="M49" t="str">
        <f>VLOOKUP(N49,Coeff_Descr!$A:$D,3,FALSE)</f>
        <v>MEAL</v>
      </c>
      <c r="N49">
        <f>OtherTourDestination!B57</f>
        <v>47</v>
      </c>
      <c r="O49" t="str">
        <f>OtherTourDestination!C57</f>
        <v>Beta000047</v>
      </c>
      <c r="P49" s="22">
        <f>OtherTourDestination!E57</f>
        <v>-0.81757689945000001</v>
      </c>
      <c r="Q49" s="52">
        <f si="0" t="shared"/>
        <v>-0.81757689945000001</v>
      </c>
    </row>
    <row ht="14.65" r="50" spans="1:17" thickBot="1" x14ac:dyDescent="0.5">
      <c r="M50" t="str">
        <f>VLOOKUP(N50,Coeff_Descr!$A:$D,3,FALSE)</f>
        <v>MEAL</v>
      </c>
      <c r="N50">
        <f>OtherTourDestination!B58</f>
        <v>48</v>
      </c>
      <c r="O50" t="str">
        <f>OtherTourDestination!C58</f>
        <v>Beta000048</v>
      </c>
      <c r="P50" s="22">
        <f>OtherTourDestination!E58</f>
        <v>0.63335958983999996</v>
      </c>
      <c r="Q50" s="52">
        <f si="0" t="shared"/>
        <v>0.63335958983999996</v>
      </c>
    </row>
    <row r="51" spans="1:17" x14ac:dyDescent="0.45">
      <c r="C51" s="5"/>
      <c r="D51" s="5"/>
      <c r="E51" s="3" t="s">
        <v>345</v>
      </c>
      <c r="F51" s="24"/>
      <c r="H51" s="94"/>
      <c r="M51" t="str">
        <f>VLOOKUP(N51,Coeff_Descr!$A:$D,3,FALSE)</f>
        <v>SOCREC</v>
      </c>
      <c r="N51">
        <f>OtherTourDestination!B59</f>
        <v>49</v>
      </c>
      <c r="O51" t="str">
        <f>OtherTourDestination!C59</f>
        <v>Beta000049</v>
      </c>
      <c r="P51" s="22">
        <f>OtherTourDestination!E59</f>
        <v>0.54194850979700004</v>
      </c>
      <c r="Q51" s="52">
        <f si="0" t="shared"/>
        <v>0.54194850979700004</v>
      </c>
    </row>
    <row r="52" spans="1:17" x14ac:dyDescent="0.45">
      <c r="A52" s="6" t="s">
        <v>346</v>
      </c>
      <c r="B52" s="6" t="s">
        <v>347</v>
      </c>
      <c r="C52" s="6" t="s">
        <v>36</v>
      </c>
      <c r="D52" s="6" t="s">
        <v>348</v>
      </c>
      <c r="E52" s="91"/>
      <c r="H52" s="24"/>
      <c r="M52" t="str">
        <f>VLOOKUP(N52,Coeff_Descr!$A:$D,3,FALSE)</f>
        <v>SOCREC</v>
      </c>
      <c r="N52">
        <f>OtherTourDestination!B60</f>
        <v>50</v>
      </c>
      <c r="O52" t="str">
        <f>OtherTourDestination!C60</f>
        <v>Beta000050</v>
      </c>
      <c r="P52" s="22">
        <f>OtherTourDestination!E60</f>
        <v>-26.641935956609998</v>
      </c>
      <c r="Q52" s="52">
        <f si="0" t="shared"/>
        <v>-26.641935956609998</v>
      </c>
    </row>
    <row r="53" spans="1:17" x14ac:dyDescent="0.45">
      <c r="A53">
        <f>TLFD!A11+0.5</f>
        <v>0.5</v>
      </c>
      <c r="B53" s="92">
        <f>LN(1+A53)</f>
        <v>0.40546510810816438</v>
      </c>
      <c r="C53" s="93">
        <f>TLFD!B11/SUM(TLFD!$B$11:$B$100)</f>
        <v>6.7184886831513815E-2</v>
      </c>
      <c r="D53" s="93">
        <f>TLFD!F11/SUM(TLFD!$F$11:FI$100)</f>
        <v>9.0284091502760191E-2</v>
      </c>
      <c r="E53">
        <f ref="E53:E84" si="10" t="shared">IF(AND(C53&gt;0, D53&gt;0),LN(C53/D53),0)</f>
        <v>-0.29551294717306753</v>
      </c>
      <c r="F53" s="95"/>
      <c r="H53"/>
      <c r="M53" t="str">
        <f>VLOOKUP(N53,Coeff_Descr!$A:$D,3,FALSE)</f>
        <v>SOCREC</v>
      </c>
      <c r="N53">
        <f>OtherTourDestination!B61</f>
        <v>51</v>
      </c>
      <c r="O53" t="str">
        <f>OtherTourDestination!C61</f>
        <v>Beta000051</v>
      </c>
      <c r="P53" s="22">
        <f>OtherTourDestination!E61</f>
        <v>-5.8569921168899999</v>
      </c>
      <c r="Q53" s="52">
        <f si="0" t="shared"/>
        <v>-5.8569921168899999</v>
      </c>
    </row>
    <row r="54" spans="1:17" x14ac:dyDescent="0.45">
      <c r="A54">
        <f>TLFD!A12+0.5</f>
        <v>1.5</v>
      </c>
      <c r="B54" s="92">
        <f ref="B54:B117" si="11" t="shared">LN(1+A54)</f>
        <v>0.91629073187415511</v>
      </c>
      <c r="C54" s="93">
        <f>TLFD!B12/SUM(TLFD!$B$11:$B$100)</f>
        <v>0.19762847145123955</v>
      </c>
      <c r="D54" s="93">
        <f>TLFD!F12/SUM(TLFD!$F$11:FI$100)</f>
        <v>0.13552138799121929</v>
      </c>
      <c r="E54">
        <f si="10" t="shared"/>
        <v>0.37725938840883316</v>
      </c>
      <c r="F54" s="95"/>
      <c r="H54"/>
      <c r="M54" t="str">
        <f>VLOOKUP(N54,Coeff_Descr!$A:$D,3,FALSE)</f>
        <v>SOCREC</v>
      </c>
      <c r="N54">
        <f>OtherTourDestination!B62</f>
        <v>52</v>
      </c>
      <c r="O54" t="str">
        <f>OtherTourDestination!C62</f>
        <v>Beta000052</v>
      </c>
      <c r="P54" s="22">
        <f>OtherTourDestination!E62</f>
        <v>-3.0622160410500001</v>
      </c>
      <c r="Q54" s="52">
        <f si="0" t="shared"/>
        <v>-3.0622160410500001</v>
      </c>
    </row>
    <row r="55" spans="1:17" x14ac:dyDescent="0.45">
      <c r="A55">
        <f>TLFD!A13+0.5</f>
        <v>2.5</v>
      </c>
      <c r="B55" s="92">
        <f si="11" t="shared"/>
        <v>1.2527629684953681</v>
      </c>
      <c r="C55" s="93">
        <f>TLFD!B13/SUM(TLFD!$B$11:$B$100)</f>
        <v>0.16175148722175997</v>
      </c>
      <c r="D55" s="93">
        <f>TLFD!F13/SUM(TLFD!$F$11:FI$100)</f>
        <v>0.15035328847923868</v>
      </c>
      <c r="E55">
        <f si="10" t="shared"/>
        <v>7.3073346553895774E-2</v>
      </c>
      <c r="F55" s="93"/>
      <c r="H55"/>
      <c r="M55" t="str">
        <f>VLOOKUP(N55,Coeff_Descr!$A:$D,3,FALSE)</f>
        <v>SOCREC</v>
      </c>
      <c r="N55">
        <f>OtherTourDestination!B63</f>
        <v>53</v>
      </c>
      <c r="O55" t="str">
        <f>OtherTourDestination!C63</f>
        <v>Beta000053</v>
      </c>
      <c r="P55" s="22">
        <f>OtherTourDestination!E63</f>
        <v>-1.4592147580599999</v>
      </c>
      <c r="Q55" s="52">
        <f si="0" t="shared"/>
        <v>-1.4592147580599999</v>
      </c>
    </row>
    <row r="56" spans="1:17" x14ac:dyDescent="0.45">
      <c r="A56">
        <f>TLFD!A14+0.5</f>
        <v>3.5</v>
      </c>
      <c r="B56" s="92">
        <f si="11" t="shared"/>
        <v>1.5040773967762742</v>
      </c>
      <c r="C56" s="93">
        <f>TLFD!B14/SUM(TLFD!$B$11:$B$100)</f>
        <v>0.12508477031974322</v>
      </c>
      <c r="D56" s="93">
        <f>TLFD!F14/SUM(TLFD!$F$11:FI$100)</f>
        <v>0.14854352447473723</v>
      </c>
      <c r="E56">
        <f si="10" t="shared"/>
        <v>-0.17188633939311249</v>
      </c>
      <c r="F56" s="93"/>
      <c r="H56"/>
      <c r="M56" t="str">
        <f>VLOOKUP(N56,Coeff_Descr!$A:$D,3,FALSE)</f>
        <v>SOCREC</v>
      </c>
      <c r="N56">
        <f>OtherTourDestination!B64</f>
        <v>54</v>
      </c>
      <c r="O56" t="str">
        <f>OtherTourDestination!C64</f>
        <v>Beta000054</v>
      </c>
      <c r="P56" s="22">
        <f>OtherTourDestination!E64</f>
        <v>-0.160744421114</v>
      </c>
      <c r="Q56" s="52">
        <f si="0" t="shared"/>
        <v>-0.160744421114</v>
      </c>
    </row>
    <row r="57" spans="1:17" x14ac:dyDescent="0.45">
      <c r="A57">
        <f>TLFD!A15+0.5</f>
        <v>4.5</v>
      </c>
      <c r="B57" s="92">
        <f si="11" t="shared"/>
        <v>1.7047480922384253</v>
      </c>
      <c r="C57" s="93">
        <f>TLFD!B15/SUM(TLFD!$B$11:$B$100)</f>
        <v>0.1062499788276698</v>
      </c>
      <c r="D57" s="93">
        <f>TLFD!F15/SUM(TLFD!$F$11:FI$100)</f>
        <v>0.10949752589641465</v>
      </c>
      <c r="E57">
        <f si="10" t="shared"/>
        <v>-3.0107345912487583E-2</v>
      </c>
      <c r="F57" s="93"/>
      <c r="H57"/>
      <c r="M57" t="str">
        <f>VLOOKUP(N57,Coeff_Descr!$A:$D,3,FALSE)</f>
        <v>SOCREC</v>
      </c>
      <c r="N57">
        <f>OtherTourDestination!B65</f>
        <v>55</v>
      </c>
      <c r="O57" t="str">
        <f>OtherTourDestination!C65</f>
        <v>Beta000055</v>
      </c>
      <c r="P57" s="22">
        <f>OtherTourDestination!E65</f>
        <v>0.101769944302</v>
      </c>
      <c r="Q57" s="52">
        <f si="0" t="shared"/>
        <v>0.101769944302</v>
      </c>
    </row>
    <row r="58" spans="1:17" x14ac:dyDescent="0.45">
      <c r="A58">
        <f>TLFD!A16+0.5</f>
        <v>5.5</v>
      </c>
      <c r="B58" s="92">
        <f si="11" t="shared"/>
        <v>1.8718021769015913</v>
      </c>
      <c r="C58" s="93">
        <f>TLFD!B16/SUM(TLFD!$B$11:$B$100)</f>
        <v>7.5014968722230124E-2</v>
      </c>
      <c r="D58" s="93">
        <f>TLFD!F16/SUM(TLFD!$F$11:FI$100)</f>
        <v>8.492963935410365E-2</v>
      </c>
      <c r="E58">
        <f si="10" t="shared"/>
        <v>-0.12413546480762792</v>
      </c>
      <c r="F58" s="93"/>
      <c r="H58"/>
      <c r="M58" t="str">
        <f>VLOOKUP(N58,Coeff_Descr!$A:$D,3,FALSE)</f>
        <v>SOCREC</v>
      </c>
      <c r="N58">
        <f>OtherTourDestination!B66</f>
        <v>56</v>
      </c>
      <c r="O58" t="str">
        <f>OtherTourDestination!C66</f>
        <v>Beta000056</v>
      </c>
      <c r="P58" s="22">
        <f>OtherTourDestination!E66</f>
        <v>-7.3004796389399995E-2</v>
      </c>
      <c r="Q58" s="52">
        <f si="0" t="shared"/>
        <v>-7.3004796389399995E-2</v>
      </c>
    </row>
    <row r="59" spans="1:17" x14ac:dyDescent="0.45">
      <c r="A59">
        <f>TLFD!A17+0.5</f>
        <v>6.5</v>
      </c>
      <c r="B59" s="92">
        <f si="11" t="shared"/>
        <v>2.0149030205422647</v>
      </c>
      <c r="C59" s="93">
        <f>TLFD!B17/SUM(TLFD!$B$11:$B$100)</f>
        <v>4.6707948351331754E-2</v>
      </c>
      <c r="D59" s="93">
        <f>TLFD!F17/SUM(TLFD!$F$11:FI$100)</f>
        <v>6.2538912516456033E-2</v>
      </c>
      <c r="E59">
        <f si="10" t="shared"/>
        <v>-0.2918746128354337</v>
      </c>
      <c r="F59" s="93"/>
      <c r="H59"/>
      <c r="M59" t="str">
        <f>VLOOKUP(N59,Coeff_Descr!$A:$D,3,FALSE)</f>
        <v>SOCREC</v>
      </c>
      <c r="N59">
        <f>OtherTourDestination!B67</f>
        <v>57</v>
      </c>
      <c r="O59" t="str">
        <f>OtherTourDestination!C67</f>
        <v>Beta000057</v>
      </c>
      <c r="P59" s="22">
        <f>OtherTourDestination!E67</f>
        <v>4.7664283443500002E-2</v>
      </c>
      <c r="Q59" s="52">
        <f si="0" t="shared"/>
        <v>4.7664283443500002E-2</v>
      </c>
    </row>
    <row r="60" spans="1:17" x14ac:dyDescent="0.45">
      <c r="A60">
        <f>TLFD!A18+0.5</f>
        <v>7.5</v>
      </c>
      <c r="B60" s="92">
        <f si="11" t="shared"/>
        <v>2.1400661634962708</v>
      </c>
      <c r="C60" s="93">
        <f>TLFD!B18/SUM(TLFD!$B$11:$B$100)</f>
        <v>4.4542332208028203E-2</v>
      </c>
      <c r="D60" s="93">
        <f>TLFD!F18/SUM(TLFD!$F$11:FI$100)</f>
        <v>4.3917393417506931E-2</v>
      </c>
      <c r="E60">
        <f si="10" t="shared"/>
        <v>1.4129575537821038E-2</v>
      </c>
      <c r="F60" s="93"/>
      <c r="H60"/>
      <c r="M60" t="str">
        <f>VLOOKUP(N60,Coeff_Descr!$A:$D,3,FALSE)</f>
        <v>ESCORT</v>
      </c>
      <c r="N60">
        <f>OtherTourDestination!B68</f>
        <v>70</v>
      </c>
      <c r="O60" t="str">
        <f>OtherTourDestination!C68</f>
        <v>LSM_0070</v>
      </c>
      <c r="P60" s="22">
        <f>OtherTourDestination!E68</f>
        <v>0.70165957865100004</v>
      </c>
      <c r="Q60" s="52">
        <f si="0" t="shared"/>
        <v>0.70165957865100004</v>
      </c>
    </row>
    <row r="61" spans="1:17" x14ac:dyDescent="0.45">
      <c r="A61">
        <f>TLFD!A19+0.5</f>
        <v>8.5</v>
      </c>
      <c r="B61" s="92">
        <f si="11" t="shared"/>
        <v>2.2512917986064953</v>
      </c>
      <c r="C61" s="93">
        <f>TLFD!B19/SUM(TLFD!$B$11:$B$100)</f>
        <v>2.8986685019464206E-2</v>
      </c>
      <c r="D61" s="93">
        <f>TLFD!F19/SUM(TLFD!$F$11:FI$100)</f>
        <v>3.0881649685834851E-2</v>
      </c>
      <c r="E61">
        <f si="10" t="shared"/>
        <v>-6.3325558907558158E-2</v>
      </c>
      <c r="F61" s="93"/>
      <c r="H61"/>
      <c r="M61" t="str">
        <f>VLOOKUP(N61,Coeff_Descr!$A:$D,3,FALSE)</f>
        <v>ESCORT</v>
      </c>
      <c r="N61">
        <f>OtherTourDestination!B69</f>
        <v>71</v>
      </c>
      <c r="O61" t="str">
        <f>OtherTourDestination!C69</f>
        <v>Gamma071</v>
      </c>
      <c r="P61" s="22">
        <f>OtherTourDestination!E69</f>
        <v>0</v>
      </c>
      <c r="Q61" s="52">
        <f si="0" t="shared"/>
        <v>0</v>
      </c>
    </row>
    <row r="62" spans="1:17" x14ac:dyDescent="0.45">
      <c r="A62">
        <f>TLFD!A20+0.5</f>
        <v>9.5</v>
      </c>
      <c r="B62" s="92">
        <f si="11" t="shared"/>
        <v>2.3513752571634776</v>
      </c>
      <c r="C62" s="93">
        <f>TLFD!B20/SUM(TLFD!$B$11:$B$100)</f>
        <v>1.4391282950779228E-2</v>
      </c>
      <c r="D62" s="93">
        <f>TLFD!F20/SUM(TLFD!$F$11:FI$100)</f>
        <v>2.5636055522411483E-2</v>
      </c>
      <c r="E62">
        <f si="10" t="shared"/>
        <v>-0.5773771067952318</v>
      </c>
      <c r="F62" s="93"/>
      <c r="H62"/>
      <c r="M62" t="str">
        <f>VLOOKUP(N62,Coeff_Descr!$A:$D,3,FALSE)</f>
        <v>ESCORT</v>
      </c>
      <c r="N62">
        <f>OtherTourDestination!B70</f>
        <v>72</v>
      </c>
      <c r="O62" t="str">
        <f>OtherTourDestination!C70</f>
        <v>Gamma072</v>
      </c>
      <c r="P62" s="22">
        <f>OtherTourDestination!E70</f>
        <v>0</v>
      </c>
      <c r="Q62" s="52">
        <f si="0" t="shared"/>
        <v>0</v>
      </c>
    </row>
    <row r="63" spans="1:17" x14ac:dyDescent="0.45">
      <c r="A63">
        <f>TLFD!A21+0.5</f>
        <v>10.5</v>
      </c>
      <c r="B63" s="92">
        <f si="11" t="shared"/>
        <v>2.4423470353692043</v>
      </c>
      <c r="C63" s="93">
        <f>TLFD!B21/SUM(TLFD!$B$11:$B$100)</f>
        <v>2.0090189466773673E-2</v>
      </c>
      <c r="D63" s="93">
        <f>TLFD!F21/SUM(TLFD!$F$11:FI$100)</f>
        <v>1.7900334946779357E-2</v>
      </c>
      <c r="E63">
        <f si="10" t="shared"/>
        <v>0.11541218489978906</v>
      </c>
      <c r="F63" s="93"/>
      <c r="H63"/>
      <c r="M63" t="str">
        <f>VLOOKUP(N63,Coeff_Descr!$A:$D,3,FALSE)</f>
        <v>ESCORT</v>
      </c>
      <c r="N63">
        <f>OtherTourDestination!B71</f>
        <v>73</v>
      </c>
      <c r="O63" t="str">
        <f>OtherTourDestination!C71</f>
        <v>Gamma073</v>
      </c>
      <c r="P63" s="22">
        <f>OtherTourDestination!E71</f>
        <v>-1.0451393946200001</v>
      </c>
      <c r="Q63" s="52">
        <f si="0" t="shared"/>
        <v>-1.0451393946200001</v>
      </c>
    </row>
    <row r="64" spans="1:17" x14ac:dyDescent="0.45">
      <c r="A64">
        <f>TLFD!A22+0.5</f>
        <v>11.5</v>
      </c>
      <c r="B64" s="92">
        <f si="11" t="shared"/>
        <v>2.5257286443082556</v>
      </c>
      <c r="C64" s="93">
        <f>TLFD!B22/SUM(TLFD!$B$11:$B$100)</f>
        <v>2.5713082955308671E-2</v>
      </c>
      <c r="D64" s="93">
        <f>TLFD!F22/SUM(TLFD!$F$11:FI$100)</f>
        <v>1.5872854971811567E-2</v>
      </c>
      <c r="E64">
        <f si="10" t="shared"/>
        <v>0.48238951101738731</v>
      </c>
      <c r="F64" s="93"/>
      <c r="H64"/>
      <c r="M64" t="str">
        <f>VLOOKUP(N64,Coeff_Descr!$A:$D,3,FALSE)</f>
        <v>ESCORT</v>
      </c>
      <c r="N64">
        <f>OtherTourDestination!B72</f>
        <v>74</v>
      </c>
      <c r="O64" t="str">
        <f>OtherTourDestination!C72</f>
        <v>Gamma074</v>
      </c>
      <c r="P64" s="22">
        <f>OtherTourDestination!E72</f>
        <v>0</v>
      </c>
      <c r="Q64" s="52">
        <f si="0" t="shared"/>
        <v>0</v>
      </c>
    </row>
    <row r="65" spans="1:17" x14ac:dyDescent="0.45">
      <c r="A65">
        <f>TLFD!A23+0.5</f>
        <v>12.5</v>
      </c>
      <c r="B65" s="92">
        <f si="11" t="shared"/>
        <v>2.6026896854443837</v>
      </c>
      <c r="C65" s="93">
        <f>TLFD!B23/SUM(TLFD!$B$11:$B$100)</f>
        <v>1.4954693448436808E-2</v>
      </c>
      <c r="D65" s="93">
        <f>TLFD!F23/SUM(TLFD!$F$11:FI$100)</f>
        <v>1.5294546925260354E-2</v>
      </c>
      <c r="E65">
        <f si="10" t="shared"/>
        <v>-2.2471161149364881E-2</v>
      </c>
      <c r="F65" s="93"/>
      <c r="H65"/>
      <c r="M65" t="str">
        <f>VLOOKUP(N65,Coeff_Descr!$A:$D,3,FALSE)</f>
        <v>ESCORT</v>
      </c>
      <c r="N65">
        <f>OtherTourDestination!B73</f>
        <v>75</v>
      </c>
      <c r="O65" t="str">
        <f>OtherTourDestination!C73</f>
        <v>Gamma075</v>
      </c>
      <c r="P65" s="22">
        <f>OtherTourDestination!E73</f>
        <v>-0.200987204384</v>
      </c>
      <c r="Q65" s="52">
        <f si="0" t="shared"/>
        <v>-0.200987204384</v>
      </c>
    </row>
    <row r="66" spans="1:17" x14ac:dyDescent="0.45">
      <c r="A66">
        <f>TLFD!A24+0.5</f>
        <v>13.5</v>
      </c>
      <c r="B66" s="92">
        <f si="11" t="shared"/>
        <v>2.6741486494265287</v>
      </c>
      <c r="C66" s="93">
        <f>TLFD!B24/SUM(TLFD!$B$11:$B$100)</f>
        <v>1.1321871223232407E-2</v>
      </c>
      <c r="D66" s="93">
        <f>TLFD!F24/SUM(TLFD!$F$11:FI$100)</f>
        <v>9.783611422831134E-3</v>
      </c>
      <c r="E66">
        <f si="10" t="shared"/>
        <v>0.14602767949687159</v>
      </c>
      <c r="F66" s="93"/>
      <c r="H66"/>
      <c r="M66" t="str">
        <f>VLOOKUP(N66,Coeff_Descr!$A:$D,3,FALSE)</f>
        <v>ESCORT</v>
      </c>
      <c r="N66">
        <f>OtherTourDestination!B74</f>
        <v>76</v>
      </c>
      <c r="O66" t="str">
        <f>OtherTourDestination!C74</f>
        <v>Gamma076</v>
      </c>
      <c r="P66" s="22">
        <f>OtherTourDestination!E74</f>
        <v>-0.24680877359100001</v>
      </c>
      <c r="Q66" s="52">
        <f si="0" t="shared"/>
        <v>-0.24680877359100001</v>
      </c>
    </row>
    <row r="67" spans="1:17" x14ac:dyDescent="0.45">
      <c r="A67">
        <f>TLFD!A25+0.5</f>
        <v>14.5</v>
      </c>
      <c r="B67" s="92">
        <f si="11" t="shared"/>
        <v>2.7408400239252009</v>
      </c>
      <c r="C67" s="93">
        <f>TLFD!B25/SUM(TLFD!$B$11:$B$100)</f>
        <v>1.1155915950950293E-2</v>
      </c>
      <c r="D67" s="93">
        <f>TLFD!F25/SUM(TLFD!$F$11:FI$100)</f>
        <v>8.4160829833394395E-3</v>
      </c>
      <c r="E67">
        <f si="10" t="shared"/>
        <v>0.28182541962524243</v>
      </c>
      <c r="F67" s="93"/>
      <c r="H67"/>
      <c r="M67" t="str">
        <f>VLOOKUP(N67,Coeff_Descr!$A:$D,3,FALSE)</f>
        <v>ESCORT</v>
      </c>
      <c r="N67">
        <f>OtherTourDestination!B75</f>
        <v>77</v>
      </c>
      <c r="O67" t="str">
        <f>OtherTourDestination!C75</f>
        <v>Gamma077</v>
      </c>
      <c r="P67" s="22">
        <f>OtherTourDestination!E75</f>
        <v>0.105207287565</v>
      </c>
      <c r="Q67" s="52">
        <f si="0" t="shared"/>
        <v>0.105207287565</v>
      </c>
    </row>
    <row r="68" spans="1:17" x14ac:dyDescent="0.45">
      <c r="A68">
        <f>TLFD!A26+0.5</f>
        <v>15.5</v>
      </c>
      <c r="B68" s="92">
        <f si="11" t="shared"/>
        <v>2.8033603809065348</v>
      </c>
      <c r="C68" s="93">
        <f>TLFD!B26/SUM(TLFD!$B$11:$B$100)</f>
        <v>4.2256451428442261E-3</v>
      </c>
      <c r="D68" s="93">
        <f>TLFD!F26/SUM(TLFD!$F$11:FI$100)</f>
        <v>6.8512494456126234E-3</v>
      </c>
      <c r="E68">
        <f si="10" t="shared"/>
        <v>-0.48325909077710194</v>
      </c>
      <c r="F68" s="93"/>
      <c r="H68"/>
      <c r="M68" t="str">
        <f>VLOOKUP(N68,Coeff_Descr!$A:$D,3,FALSE)</f>
        <v>ESCORT</v>
      </c>
      <c r="N68">
        <f>OtherTourDestination!B76</f>
        <v>78</v>
      </c>
      <c r="O68" t="str">
        <f>OtherTourDestination!C76</f>
        <v>Gamma078</v>
      </c>
      <c r="P68" s="22">
        <f>OtherTourDestination!E76</f>
        <v>-3.0261765923500001</v>
      </c>
      <c r="Q68" s="52">
        <f si="0" t="shared"/>
        <v>-3.0261765923500001</v>
      </c>
    </row>
    <row r="69" spans="1:17" x14ac:dyDescent="0.45">
      <c r="A69">
        <f>TLFD!A27+0.5</f>
        <v>16.5</v>
      </c>
      <c r="B69" s="92">
        <f si="11" t="shared"/>
        <v>2.8622008809294686</v>
      </c>
      <c r="C69" s="93">
        <f>TLFD!B27/SUM(TLFD!$B$11:$B$100)</f>
        <v>1.01540096433785E-2</v>
      </c>
      <c r="D69" s="93">
        <f>TLFD!F27/SUM(TLFD!$F$11:FI$100)</f>
        <v>6.2729413990614087E-3</v>
      </c>
      <c r="E69">
        <f si="10" t="shared"/>
        <v>0.48162329893851291</v>
      </c>
      <c r="F69" s="93"/>
      <c r="H69"/>
      <c r="M69" t="str">
        <f>VLOOKUP(N69,Coeff_Descr!$A:$D,3,FALSE)</f>
        <v>ESCORT</v>
      </c>
      <c r="N69">
        <f>OtherTourDestination!B77</f>
        <v>79</v>
      </c>
      <c r="O69" t="str">
        <f>OtherTourDestination!C77</f>
        <v>Gamma079</v>
      </c>
      <c r="P69" s="22">
        <f>OtherTourDestination!E77</f>
        <v>-3.16760127533</v>
      </c>
      <c r="Q69" s="52">
        <f ref="Q69:Q103" si="12" t="shared">_xlfn.IFNA(VLOOKUP(N69,$B$43:$D$46,3,FALSE),P69)</f>
        <v>-3.16760127533</v>
      </c>
    </row>
    <row r="70" spans="1:17" x14ac:dyDescent="0.45">
      <c r="A70">
        <f>TLFD!A28+0.5</f>
        <v>17.5</v>
      </c>
      <c r="B70" s="92">
        <f si="11" t="shared"/>
        <v>2.917770732084279</v>
      </c>
      <c r="C70" s="93">
        <f>TLFD!B28/SUM(TLFD!$B$11:$B$100)</f>
        <v>2.141375413237021E-3</v>
      </c>
      <c r="D70" s="93">
        <f>TLFD!F28/SUM(TLFD!$F$11:FI$100)</f>
        <v>4.2386578000165485E-3</v>
      </c>
      <c r="E70">
        <f si="10" t="shared"/>
        <v>-0.6827983234834929</v>
      </c>
      <c r="F70" s="93"/>
      <c r="H70"/>
      <c r="M70" t="str">
        <f>VLOOKUP(N70,Coeff_Descr!$A:$D,3,FALSE)</f>
        <v>ESCORT</v>
      </c>
      <c r="N70">
        <f>OtherTourDestination!B78</f>
        <v>80</v>
      </c>
      <c r="O70" t="str">
        <f>OtherTourDestination!C78</f>
        <v>Gamma080</v>
      </c>
      <c r="P70" s="22">
        <f>OtherTourDestination!E78</f>
        <v>3.88384299801</v>
      </c>
      <c r="Q70" s="52">
        <f si="12" t="shared"/>
        <v>3.88384299801</v>
      </c>
    </row>
    <row r="71" spans="1:17" x14ac:dyDescent="0.45">
      <c r="A71">
        <f>TLFD!A29+0.5</f>
        <v>18.5</v>
      </c>
      <c r="B71" s="92">
        <f si="11" t="shared"/>
        <v>2.9704144655697009</v>
      </c>
      <c r="C71" s="93">
        <f>TLFD!B29/SUM(TLFD!$B$11:$B$100)</f>
        <v>5.6644802125774179E-3</v>
      </c>
      <c r="D71" s="93">
        <f>TLFD!F29/SUM(TLFD!$F$11:FI$100)</f>
        <v>3.7896186109297228E-3</v>
      </c>
      <c r="E71">
        <f si="10" t="shared"/>
        <v>0.4019497524223441</v>
      </c>
      <c r="F71" s="93"/>
      <c r="H71"/>
      <c r="M71" t="str">
        <f>VLOOKUP(N71,Coeff_Descr!$A:$D,3,FALSE)</f>
        <v>ESCORT</v>
      </c>
      <c r="N71">
        <f>OtherTourDestination!B79</f>
        <v>81</v>
      </c>
      <c r="O71" t="str">
        <f>OtherTourDestination!C79</f>
        <v>Gamma081</v>
      </c>
      <c r="P71" s="22">
        <f>OtherTourDestination!E79</f>
        <v>1.2853400619999999</v>
      </c>
      <c r="Q71" s="52">
        <f si="12" t="shared"/>
        <v>1.2853400619999999</v>
      </c>
    </row>
    <row r="72" spans="1:17" x14ac:dyDescent="0.45">
      <c r="A72">
        <f>TLFD!A30+0.5</f>
        <v>19.5</v>
      </c>
      <c r="B72" s="92">
        <f si="11" t="shared"/>
        <v>3.0204248861443626</v>
      </c>
      <c r="C72" s="93">
        <f>TLFD!B30/SUM(TLFD!$B$11:$B$100)</f>
        <v>1.9056497501626667E-3</v>
      </c>
      <c r="D72" s="93">
        <f>TLFD!F30/SUM(TLFD!$F$11:FI$100)</f>
        <v>3.7487968664672842E-3</v>
      </c>
      <c r="E72">
        <f si="10" t="shared"/>
        <v>-0.67661192626856559</v>
      </c>
      <c r="F72" s="93"/>
      <c r="H72"/>
      <c r="M72" t="str">
        <f>VLOOKUP(N72,Coeff_Descr!$A:$D,3,FALSE)</f>
        <v>ESCORT</v>
      </c>
      <c r="N72">
        <f>OtherTourDestination!B80</f>
        <v>82</v>
      </c>
      <c r="O72" t="str">
        <f>OtherTourDestination!C80</f>
        <v>Gamma082</v>
      </c>
      <c r="P72" s="22">
        <f>OtherTourDestination!E80</f>
        <v>0</v>
      </c>
      <c r="Q72" s="52">
        <f si="12" t="shared"/>
        <v>0</v>
      </c>
    </row>
    <row r="73" spans="1:17" x14ac:dyDescent="0.45">
      <c r="A73">
        <f>TLFD!A31+0.5</f>
        <v>20.5</v>
      </c>
      <c r="B73" s="92">
        <f si="11" t="shared"/>
        <v>3.068052935133617</v>
      </c>
      <c r="C73" s="93">
        <f>TLFD!B31/SUM(TLFD!$B$11:$B$100)</f>
        <v>0</v>
      </c>
      <c r="D73" s="93">
        <f>TLFD!F31/SUM(TLFD!$F$11:FI$100)</f>
        <v>2.9459692253726573E-3</v>
      </c>
      <c r="E73">
        <f si="10" t="shared"/>
        <v>0</v>
      </c>
      <c r="F73" s="93"/>
      <c r="H73"/>
      <c r="M73" t="str">
        <f>VLOOKUP(N73,Coeff_Descr!$A:$D,3,FALSE)</f>
        <v>ESCORT</v>
      </c>
      <c r="N73">
        <f>OtherTourDestination!B81</f>
        <v>83</v>
      </c>
      <c r="O73" t="str">
        <f>OtherTourDestination!C81</f>
        <v>Gamma083</v>
      </c>
      <c r="P73" s="22">
        <f>OtherTourDestination!E81</f>
        <v>1.5962822273599999</v>
      </c>
      <c r="Q73" s="52">
        <f si="12" t="shared"/>
        <v>1.5962822273599999</v>
      </c>
    </row>
    <row r="74" spans="1:17" x14ac:dyDescent="0.45">
      <c r="A74">
        <f>TLFD!A32+0.5</f>
        <v>21.5</v>
      </c>
      <c r="B74" s="92">
        <f si="11" t="shared"/>
        <v>3.1135153092103742</v>
      </c>
      <c r="C74" s="93">
        <f>TLFD!B32/SUM(TLFD!$B$11:$B$100)</f>
        <v>8.9845610120883948E-3</v>
      </c>
      <c r="D74" s="93">
        <f>TLFD!F32/SUM(TLFD!$F$11:FI$100)</f>
        <v>2.8779329846019262E-3</v>
      </c>
      <c r="E74">
        <f si="10" t="shared"/>
        <v>1.1384353383893375</v>
      </c>
      <c r="F74" s="93"/>
      <c r="H74"/>
      <c r="M74" t="str">
        <f>VLOOKUP(N74,Coeff_Descr!$A:$D,3,FALSE)</f>
        <v>ESCORT</v>
      </c>
      <c r="N74">
        <f>OtherTourDestination!B82</f>
        <v>84</v>
      </c>
      <c r="O74" t="str">
        <f>OtherTourDestination!C82</f>
        <v>Gamma084</v>
      </c>
      <c r="P74" s="22">
        <f>OtherTourDestination!E82</f>
        <v>1.8203743806399999</v>
      </c>
      <c r="Q74" s="52">
        <f si="12" t="shared"/>
        <v>1.8203743806399999</v>
      </c>
    </row>
    <row r="75" spans="1:17" x14ac:dyDescent="0.45">
      <c r="A75">
        <f>TLFD!A33+0.5</f>
        <v>22.5</v>
      </c>
      <c r="B75" s="92">
        <f si="11" t="shared"/>
        <v>3.1570004211501135</v>
      </c>
      <c r="C75" s="93">
        <f>TLFD!B33/SUM(TLFD!$B$11:$B$100)</f>
        <v>5.3490232364795021E-4</v>
      </c>
      <c r="D75" s="93">
        <f>TLFD!F33/SUM(TLFD!$F$11:FI$100)</f>
        <v>2.4697155399775396E-3</v>
      </c>
      <c r="E75">
        <f si="10" t="shared"/>
        <v>-1.5297740993819706</v>
      </c>
      <c r="F75" s="93"/>
      <c r="H75"/>
      <c r="M75" t="str">
        <f>VLOOKUP(N75,Coeff_Descr!$A:$D,3,FALSE)</f>
        <v>ESCORT</v>
      </c>
      <c r="N75">
        <f>OtherTourDestination!B83</f>
        <v>85</v>
      </c>
      <c r="O75" t="str">
        <f>OtherTourDestination!C83</f>
        <v>Gamma085</v>
      </c>
      <c r="P75" s="22">
        <f>OtherTourDestination!E83</f>
        <v>0.36845448573400003</v>
      </c>
      <c r="Q75" s="52">
        <f si="12" t="shared"/>
        <v>0.36845448573400003</v>
      </c>
    </row>
    <row r="76" spans="1:17" x14ac:dyDescent="0.45">
      <c r="A76">
        <f>TLFD!A34+0.5</f>
        <v>23.5</v>
      </c>
      <c r="B76" s="92">
        <f si="11" t="shared"/>
        <v>3.1986731175506815</v>
      </c>
      <c r="C76" s="93">
        <f>TLFD!B34/SUM(TLFD!$B$11:$B$100)</f>
        <v>4.8310121391866717E-3</v>
      </c>
      <c r="D76" s="93">
        <f>TLFD!F34/SUM(TLFD!$F$11:FI$100)</f>
        <v>2.3676611788214425E-3</v>
      </c>
      <c r="E76">
        <f si="10" t="shared"/>
        <v>0.71315337482163654</v>
      </c>
      <c r="F76" s="93"/>
      <c r="H76"/>
      <c r="M76" t="str">
        <f>VLOOKUP(N76,Coeff_Descr!$A:$D,3,FALSE)</f>
        <v>ESCORT</v>
      </c>
      <c r="N76">
        <f>OtherTourDestination!B84</f>
        <v>86</v>
      </c>
      <c r="O76" t="str">
        <f>OtherTourDestination!C84</f>
        <v>Gamma086</v>
      </c>
      <c r="P76" s="22">
        <f>OtherTourDestination!E84</f>
        <v>-0.89988004259099996</v>
      </c>
      <c r="Q76" s="52">
        <f si="12" t="shared"/>
        <v>-0.89988004259099996</v>
      </c>
    </row>
    <row r="77" spans="1:17" x14ac:dyDescent="0.45">
      <c r="A77">
        <f>TLFD!A35+0.5</f>
        <v>24.5</v>
      </c>
      <c r="B77" s="92">
        <f si="11" t="shared"/>
        <v>3.2386784521643803</v>
      </c>
      <c r="C77" s="93">
        <f>TLFD!B35/SUM(TLFD!$B$11:$B$100)</f>
        <v>1.8630959231669968E-3</v>
      </c>
      <c r="D77" s="93">
        <f>TLFD!F35/SUM(TLFD!$F$11:FI$100)</f>
        <v>1.6668878988829123E-3</v>
      </c>
      <c r="E77">
        <f si="10" t="shared"/>
        <v>0.11128122455642148</v>
      </c>
      <c r="F77" s="93"/>
      <c r="H77"/>
      <c r="M77" t="str">
        <f>VLOOKUP(N77,Coeff_Descr!$A:$D,3,FALSE)</f>
        <v>ESCORT</v>
      </c>
      <c r="N77">
        <f>OtherTourDestination!B85</f>
        <v>87</v>
      </c>
      <c r="O77" t="str">
        <f>OtherTourDestination!C85</f>
        <v>Gamma087</v>
      </c>
      <c r="P77" s="22">
        <f>OtherTourDestination!E85</f>
        <v>-1.54651800243</v>
      </c>
      <c r="Q77" s="52">
        <f si="12" t="shared"/>
        <v>-1.54651800243</v>
      </c>
    </row>
    <row r="78" spans="1:17" x14ac:dyDescent="0.45">
      <c r="A78">
        <f>TLFD!A36+0.5</f>
        <v>25.5</v>
      </c>
      <c r="B78" s="92">
        <f si="11" t="shared"/>
        <v>3.2771447329921766</v>
      </c>
      <c r="C78" s="93">
        <f>TLFD!B36/SUM(TLFD!$B$11:$B$100)</f>
        <v>0</v>
      </c>
      <c r="D78" s="93">
        <f>TLFD!F36/SUM(TLFD!$F$11:FI$100)</f>
        <v>1.9050147415804711E-3</v>
      </c>
      <c r="E78">
        <f si="10" t="shared"/>
        <v>0</v>
      </c>
      <c r="F78" s="93"/>
      <c r="H78"/>
      <c r="M78" t="str">
        <f>VLOOKUP(N78,Coeff_Descr!$A:$D,3,FALSE)</f>
        <v>ESCORT</v>
      </c>
      <c r="N78">
        <f>OtherTourDestination!B86</f>
        <v>88</v>
      </c>
      <c r="O78" t="str">
        <f>OtherTourDestination!C86</f>
        <v>Gamma088</v>
      </c>
      <c r="P78" s="22">
        <f>OtherTourDestination!E86</f>
        <v>0</v>
      </c>
      <c r="Q78" s="52">
        <f si="12" t="shared"/>
        <v>0</v>
      </c>
    </row>
    <row r="79" spans="1:17" x14ac:dyDescent="0.45">
      <c r="A79">
        <f>TLFD!A37+0.5</f>
        <v>26.5</v>
      </c>
      <c r="B79" s="92">
        <f si="11" t="shared"/>
        <v>3.3141860046725258</v>
      </c>
      <c r="C79" s="93">
        <f>TLFD!B37/SUM(TLFD!$B$11:$B$100)</f>
        <v>1.3162399961718065E-4</v>
      </c>
      <c r="D79" s="93">
        <f>TLFD!F37/SUM(TLFD!$F$11:FI$100)</f>
        <v>1.2654740783355988E-3</v>
      </c>
      <c r="E79">
        <f si="10" t="shared"/>
        <v>-2.2632527262613462</v>
      </c>
      <c r="F79" s="93"/>
      <c r="H79"/>
      <c r="M79" t="str">
        <f>VLOOKUP(N79,Coeff_Descr!$A:$D,3,FALSE)</f>
        <v>PERSBUS/MED</v>
      </c>
      <c r="N79">
        <f>OtherTourDestination!B87</f>
        <v>89</v>
      </c>
      <c r="O79" t="str">
        <f>OtherTourDestination!C87</f>
        <v>Gamma089</v>
      </c>
      <c r="P79" s="22">
        <f>OtherTourDestination!E87</f>
        <v>-1.3661763944</v>
      </c>
      <c r="Q79" s="52">
        <f si="12" t="shared"/>
        <v>-1.3661763944</v>
      </c>
    </row>
    <row r="80" spans="1:17" x14ac:dyDescent="0.45">
      <c r="A80">
        <f>TLFD!A38+0.5</f>
        <v>27.5</v>
      </c>
      <c r="B80" s="92">
        <f si="11" t="shared"/>
        <v>3.3499040872746049</v>
      </c>
      <c r="C80" s="93">
        <f>TLFD!B38/SUM(TLFD!$B$11:$B$100)</f>
        <v>2.1132191319365697E-3</v>
      </c>
      <c r="D80" s="93">
        <f>TLFD!F38/SUM(TLFD!$F$11:FI$100)</f>
        <v>1.0953834764087708E-3</v>
      </c>
      <c r="E80">
        <f si="10" t="shared"/>
        <v>0.65710793107868415</v>
      </c>
      <c r="F80" s="93"/>
      <c r="H80"/>
      <c r="M80" t="str">
        <f>VLOOKUP(N80,Coeff_Descr!$A:$D,3,FALSE)</f>
        <v>PERSBUS/MED</v>
      </c>
      <c r="N80">
        <f>OtherTourDestination!B88</f>
        <v>90</v>
      </c>
      <c r="O80" t="str">
        <f>OtherTourDestination!C88</f>
        <v>Gamma090</v>
      </c>
      <c r="P80" s="22">
        <f>OtherTourDestination!E88</f>
        <v>0</v>
      </c>
      <c r="Q80" s="52">
        <f si="12" t="shared"/>
        <v>0</v>
      </c>
    </row>
    <row r="81" spans="1:17" x14ac:dyDescent="0.45">
      <c r="A81">
        <f>TLFD!A39+0.5</f>
        <v>28.5</v>
      </c>
      <c r="B81" s="92">
        <f si="11" t="shared"/>
        <v>3.3843902633457743</v>
      </c>
      <c r="C81" s="93">
        <f>TLFD!B39/SUM(TLFD!$B$11:$B$100)</f>
        <v>8.3805913014125687E-4</v>
      </c>
      <c r="D81" s="93">
        <f>TLFD!F39/SUM(TLFD!$F$11:FI$100)</f>
        <v>1.0681689801004784E-3</v>
      </c>
      <c r="E81">
        <f si="10" t="shared"/>
        <v>-0.24261256905184714</v>
      </c>
      <c r="F81" s="93"/>
      <c r="H81"/>
      <c r="M81" t="str">
        <f>VLOOKUP(N81,Coeff_Descr!$A:$D,3,FALSE)</f>
        <v>PERSBUS/MED</v>
      </c>
      <c r="N81">
        <f>OtherTourDestination!B89</f>
        <v>91</v>
      </c>
      <c r="O81" t="str">
        <f>OtherTourDestination!C89</f>
        <v>Gamma091</v>
      </c>
      <c r="P81" s="22">
        <f>OtherTourDestination!E89</f>
        <v>-0.69659049737500001</v>
      </c>
      <c r="Q81" s="52">
        <f si="12" t="shared"/>
        <v>-0.69659049737500001</v>
      </c>
    </row>
    <row r="82" spans="1:17" x14ac:dyDescent="0.45">
      <c r="A82">
        <f>TLFD!A40+0.5</f>
        <v>29.5</v>
      </c>
      <c r="B82" s="92">
        <f si="11" t="shared"/>
        <v>3.417726683613366</v>
      </c>
      <c r="C82" s="93">
        <f>TLFD!B40/SUM(TLFD!$B$11:$B$100)</f>
        <v>7.4253895395511678E-4</v>
      </c>
      <c r="D82" s="93">
        <f>TLFD!F40/SUM(TLFD!$F$11:FI$100)</f>
        <v>9.3209649855901622E-4</v>
      </c>
      <c r="E82">
        <f si="10" t="shared"/>
        <v>-0.22736101601226616</v>
      </c>
      <c r="F82" s="93"/>
      <c r="H82"/>
      <c r="M82" t="str">
        <f>VLOOKUP(N82,Coeff_Descr!$A:$D,3,FALSE)</f>
        <v>PERSBUS/MED</v>
      </c>
      <c r="N82">
        <f>OtherTourDestination!B90</f>
        <v>92</v>
      </c>
      <c r="O82" t="str">
        <f>OtherTourDestination!C90</f>
        <v>Gamma092</v>
      </c>
      <c r="P82" s="22">
        <f>OtherTourDestination!E90</f>
        <v>-1.8309142732699999</v>
      </c>
      <c r="Q82" s="52">
        <f si="12" t="shared"/>
        <v>-1.8309142732699999</v>
      </c>
    </row>
    <row r="83" spans="1:17" x14ac:dyDescent="0.45">
      <c r="A83">
        <f>TLFD!A41+0.5</f>
        <v>30.5</v>
      </c>
      <c r="B83" s="92">
        <f si="11" t="shared"/>
        <v>3.4499875458315872</v>
      </c>
      <c r="C83" s="93">
        <f>TLFD!B41/SUM(TLFD!$B$11:$B$100)</f>
        <v>3.5357757463850017E-3</v>
      </c>
      <c r="D83" s="93">
        <f>TLFD!F41/SUM(TLFD!$F$11:FI$100)</f>
        <v>6.9396965586145738E-4</v>
      </c>
      <c r="E83">
        <f si="10" t="shared"/>
        <v>1.6282597655980697</v>
      </c>
      <c r="F83" s="93"/>
      <c r="H83"/>
      <c r="M83" t="str">
        <f>VLOOKUP(N83,Coeff_Descr!$A:$D,3,FALSE)</f>
        <v>PERSBUS/MED</v>
      </c>
      <c r="N83">
        <f>OtherTourDestination!B91</f>
        <v>93</v>
      </c>
      <c r="O83" t="str">
        <f>OtherTourDestination!C91</f>
        <v>Gamma093</v>
      </c>
      <c r="P83" s="22">
        <f>OtherTourDestination!E91</f>
        <v>-1.59616837557</v>
      </c>
      <c r="Q83" s="52">
        <f si="12" t="shared"/>
        <v>-1.59616837557</v>
      </c>
    </row>
    <row r="84" spans="1:17" x14ac:dyDescent="0.45">
      <c r="A84">
        <f>TLFD!A42+0.5</f>
        <v>31.5</v>
      </c>
      <c r="B84" s="92">
        <f si="11" t="shared"/>
        <v>3.4812400893356918</v>
      </c>
      <c r="C84" s="93">
        <f>TLFD!B42/SUM(TLFD!$B$11:$B$100)</f>
        <v>7.2425663681626221E-4</v>
      </c>
      <c r="D84" s="93">
        <f>TLFD!F42/SUM(TLFD!$F$11:FI$100)</f>
        <v>6.5995153547609184E-4</v>
      </c>
      <c r="E84">
        <f si="10" t="shared"/>
        <v>9.2979399089053699E-2</v>
      </c>
      <c r="F84" s="93"/>
      <c r="H84"/>
      <c r="M84" t="str">
        <f>VLOOKUP(N84,Coeff_Descr!$A:$D,3,FALSE)</f>
        <v>PERSBUS/MED</v>
      </c>
      <c r="N84">
        <f>OtherTourDestination!B92</f>
        <v>94</v>
      </c>
      <c r="O84" t="str">
        <f>OtherTourDestination!C92</f>
        <v>Gamma094</v>
      </c>
      <c r="P84" s="22">
        <f>OtherTourDestination!E92</f>
        <v>0</v>
      </c>
      <c r="Q84" s="52">
        <f si="12" t="shared"/>
        <v>0</v>
      </c>
    </row>
    <row r="85" spans="1:17" x14ac:dyDescent="0.45">
      <c r="A85">
        <f>TLFD!A43+0.5</f>
        <v>32.5</v>
      </c>
      <c r="B85" s="92">
        <f si="11" t="shared"/>
        <v>3.5115454388310208</v>
      </c>
      <c r="C85" s="93">
        <f>TLFD!B43/SUM(TLFD!$B$11:$B$100)</f>
        <v>0</v>
      </c>
      <c r="D85" s="93">
        <f>TLFD!F43/SUM(TLFD!$F$11:FI$100)</f>
        <v>3.8780657239316735E-4</v>
      </c>
      <c r="E85">
        <f ref="E85:E116" si="13" t="shared">IF(AND(C85&gt;0, D85&gt;0),LN(C85/D85),0)</f>
        <v>0</v>
      </c>
      <c r="F85" s="93"/>
      <c r="H85"/>
      <c r="M85" t="str">
        <f>VLOOKUP(N85,Coeff_Descr!$A:$D,3,FALSE)</f>
        <v>PERSBUS/MED</v>
      </c>
      <c r="N85">
        <f>OtherTourDestination!B93</f>
        <v>95</v>
      </c>
      <c r="O85" t="str">
        <f>OtherTourDestination!C93</f>
        <v>Gamma095</v>
      </c>
      <c r="P85" s="22">
        <f>OtherTourDestination!E93</f>
        <v>-3.7524312125899999</v>
      </c>
      <c r="Q85" s="52">
        <f si="12" t="shared"/>
        <v>-3.7524312125899999</v>
      </c>
    </row>
    <row r="86" spans="1:17" x14ac:dyDescent="0.45">
      <c r="A86">
        <f>TLFD!A44+0.5</f>
        <v>33.5</v>
      </c>
      <c r="B86" s="92">
        <f si="11" t="shared"/>
        <v>3.5409593240373143</v>
      </c>
      <c r="C86" s="93">
        <f>TLFD!B44/SUM(TLFD!$B$11:$B$100)</f>
        <v>6.782199528436089E-4</v>
      </c>
      <c r="D86" s="93">
        <f>TLFD!F44/SUM(TLFD!$F$11:FI$100)</f>
        <v>3.537884520078018E-4</v>
      </c>
      <c r="E86">
        <f si="13" t="shared"/>
        <v>0.65077250824760124</v>
      </c>
      <c r="F86" s="93"/>
      <c r="H86"/>
      <c r="M86" t="str">
        <f>VLOOKUP(N86,Coeff_Descr!$A:$D,3,FALSE)</f>
        <v>PERSBUS/MED</v>
      </c>
      <c r="N86">
        <f>OtherTourDestination!B94</f>
        <v>96</v>
      </c>
      <c r="O86" t="str">
        <f>OtherTourDestination!C94</f>
        <v>Gamma096</v>
      </c>
      <c r="P86" s="22">
        <f>OtherTourDestination!E94</f>
        <v>-5.15903380474</v>
      </c>
      <c r="Q86" s="52">
        <f si="12" t="shared"/>
        <v>-5.15903380474</v>
      </c>
    </row>
    <row r="87" spans="1:17" x14ac:dyDescent="0.45">
      <c r="A87">
        <f>TLFD!A45+0.5</f>
        <v>34.5</v>
      </c>
      <c r="B87" s="92">
        <f si="11" t="shared"/>
        <v>3.5695326964813701</v>
      </c>
      <c r="C87" s="93">
        <f>TLFD!B45/SUM(TLFD!$B$11:$B$100)</f>
        <v>1.5300993955321871E-4</v>
      </c>
      <c r="D87" s="93">
        <f>TLFD!F45/SUM(TLFD!$F$11:FI$100)</f>
        <v>3.537884520078018E-4</v>
      </c>
      <c r="E87">
        <f si="13" t="shared"/>
        <v>-0.83819625762302774</v>
      </c>
      <c r="F87" s="93"/>
      <c r="H87"/>
      <c r="M87" t="str">
        <f>VLOOKUP(N87,Coeff_Descr!$A:$D,3,FALSE)</f>
        <v>PERSBUS/MED</v>
      </c>
      <c r="N87">
        <f>OtherTourDestination!B95</f>
        <v>97</v>
      </c>
      <c r="O87" t="str">
        <f>OtherTourDestination!C95</f>
        <v>Gamma097</v>
      </c>
      <c r="P87" s="22">
        <f>OtherTourDestination!E95</f>
        <v>-4.5752497230499998</v>
      </c>
      <c r="Q87" s="52">
        <f si="12" t="shared"/>
        <v>-4.5752497230499998</v>
      </c>
    </row>
    <row r="88" spans="1:17" x14ac:dyDescent="0.45">
      <c r="A88">
        <f>TLFD!A46+0.5</f>
        <v>35.5</v>
      </c>
      <c r="B88" s="92">
        <f si="11" t="shared"/>
        <v>3.597312260588446</v>
      </c>
      <c r="C88" s="93">
        <f>TLFD!B46/SUM(TLFD!$B$11:$B$100)</f>
        <v>0</v>
      </c>
      <c r="D88" s="93">
        <f>TLFD!F46/SUM(TLFD!$F$11:FI$100)</f>
        <v>2.7894858715999754E-4</v>
      </c>
      <c r="E88">
        <f si="13" t="shared"/>
        <v>0</v>
      </c>
      <c r="F88" s="93"/>
      <c r="H88"/>
      <c r="M88" t="str">
        <f>VLOOKUP(N88,Coeff_Descr!$A:$D,3,FALSE)</f>
        <v>SHOP</v>
      </c>
      <c r="N88">
        <f>OtherTourDestination!B96</f>
        <v>98</v>
      </c>
      <c r="O88" t="str">
        <f>OtherTourDestination!C96</f>
        <v>Gamma098</v>
      </c>
      <c r="P88" s="22">
        <f>OtherTourDestination!E96</f>
        <v>-1.55830930615</v>
      </c>
      <c r="Q88" s="52">
        <f si="12" t="shared"/>
        <v>-1.55830930615</v>
      </c>
    </row>
    <row r="89" spans="1:17" x14ac:dyDescent="0.45">
      <c r="A89">
        <f>TLFD!A47+0.5</f>
        <v>36.5</v>
      </c>
      <c r="B89" s="92">
        <f si="11" t="shared"/>
        <v>3.6243409329763652</v>
      </c>
      <c r="C89" s="93">
        <f>TLFD!B47/SUM(TLFD!$B$11:$B$100)</f>
        <v>0</v>
      </c>
      <c r="D89" s="93">
        <f>TLFD!F47/SUM(TLFD!$F$11:FI$100)</f>
        <v>3.1977033162243625E-4</v>
      </c>
      <c r="E89">
        <f si="13" t="shared"/>
        <v>0</v>
      </c>
      <c r="F89" s="93"/>
      <c r="H89"/>
      <c r="M89" t="str">
        <f>VLOOKUP(N89,Coeff_Descr!$A:$D,3,FALSE)</f>
        <v>SHOP</v>
      </c>
      <c r="N89">
        <f>OtherTourDestination!B97</f>
        <v>99</v>
      </c>
      <c r="O89" t="str">
        <f>OtherTourDestination!C97</f>
        <v>Gamma099</v>
      </c>
      <c r="P89" s="22">
        <f>OtherTourDestination!E97</f>
        <v>-6.7687936642300004</v>
      </c>
      <c r="Q89" s="52">
        <f si="12" t="shared"/>
        <v>-6.7687936642300004</v>
      </c>
    </row>
    <row r="90" spans="1:17" x14ac:dyDescent="0.45">
      <c r="A90">
        <f>TLFD!A48+0.5</f>
        <v>37.5</v>
      </c>
      <c r="B90" s="92">
        <f si="11" t="shared"/>
        <v>3.6506582412937387</v>
      </c>
      <c r="C90" s="93">
        <f>TLFD!B48/SUM(TLFD!$B$11:$B$100)</f>
        <v>0</v>
      </c>
      <c r="D90" s="93">
        <f>TLFD!F48/SUM(TLFD!$F$11:FI$100)</f>
        <v>2.8575221123707065E-4</v>
      </c>
      <c r="E90">
        <f si="13" t="shared"/>
        <v>0</v>
      </c>
      <c r="F90" s="93"/>
      <c r="H90"/>
      <c r="M90" t="str">
        <f>VLOOKUP(N90,Coeff_Descr!$A:$D,3,FALSE)</f>
        <v>SHOP</v>
      </c>
      <c r="N90">
        <f>OtherTourDestination!B98</f>
        <v>100</v>
      </c>
      <c r="O90" t="str">
        <f>OtherTourDestination!C98</f>
        <v>Gamma100</v>
      </c>
      <c r="P90" s="22">
        <f>OtherTourDestination!E98</f>
        <v>0</v>
      </c>
      <c r="Q90" s="52">
        <f si="12" t="shared"/>
        <v>0</v>
      </c>
    </row>
    <row r="91" spans="1:17" x14ac:dyDescent="0.45">
      <c r="A91">
        <f>TLFD!A49+0.5</f>
        <v>38.5</v>
      </c>
      <c r="B91" s="92">
        <f si="11" t="shared"/>
        <v>3.6763006719070761</v>
      </c>
      <c r="C91" s="93">
        <f>TLFD!B49/SUM(TLFD!$B$11:$B$100)</f>
        <v>0</v>
      </c>
      <c r="D91" s="93">
        <f>TLFD!F49/SUM(TLFD!$F$11:FI$100)</f>
        <v>5.0346818170341021E-4</v>
      </c>
      <c r="E91">
        <f si="13" t="shared"/>
        <v>0</v>
      </c>
      <c r="F91" s="93"/>
      <c r="H91"/>
      <c r="M91" t="str">
        <f>VLOOKUP(N91,Coeff_Descr!$A:$D,3,FALSE)</f>
        <v>SHOP</v>
      </c>
      <c r="N91">
        <f>OtherTourDestination!B99</f>
        <v>101</v>
      </c>
      <c r="O91" t="str">
        <f>OtherTourDestination!C99</f>
        <v>Gamma101</v>
      </c>
      <c r="P91" s="22">
        <f>OtherTourDestination!E99</f>
        <v>-4.6092008435</v>
      </c>
      <c r="Q91" s="52">
        <f si="12" t="shared"/>
        <v>-4.6092008435</v>
      </c>
    </row>
    <row r="92" spans="1:17" x14ac:dyDescent="0.45">
      <c r="A92">
        <f>TLFD!A50+0.5</f>
        <v>39.5</v>
      </c>
      <c r="B92" s="92">
        <f si="11" t="shared"/>
        <v>3.7013019741124933</v>
      </c>
      <c r="C92" s="93">
        <f>TLFD!B50/SUM(TLFD!$B$11:$B$100)</f>
        <v>0</v>
      </c>
      <c r="D92" s="93">
        <f>TLFD!F50/SUM(TLFD!$F$11:FI$100)</f>
        <v>8.1643488924877341E-5</v>
      </c>
      <c r="E92">
        <f si="13" t="shared"/>
        <v>0</v>
      </c>
      <c r="F92" s="93"/>
      <c r="H92"/>
      <c r="M92" t="str">
        <f>VLOOKUP(N92,Coeff_Descr!$A:$D,3,FALSE)</f>
        <v>MEAL</v>
      </c>
      <c r="N92">
        <f>OtherTourDestination!B100</f>
        <v>102</v>
      </c>
      <c r="O92" t="str">
        <f>OtherTourDestination!C100</f>
        <v>Gamma102</v>
      </c>
      <c r="P92" s="22">
        <f>OtherTourDestination!E100</f>
        <v>0</v>
      </c>
      <c r="Q92" s="52">
        <f si="12" t="shared"/>
        <v>0</v>
      </c>
    </row>
    <row r="93" spans="1:17" x14ac:dyDescent="0.45">
      <c r="A93">
        <f>TLFD!A51+0.5</f>
        <v>40.5</v>
      </c>
      <c r="B93" s="92">
        <f si="11" t="shared"/>
        <v>3.7256934272366524</v>
      </c>
      <c r="C93" s="93">
        <f>TLFD!B51/SUM(TLFD!$B$11:$B$100)</f>
        <v>0</v>
      </c>
      <c r="D93" s="93">
        <f>TLFD!F51/SUM(TLFD!$F$11:FI$100)</f>
        <v>1.3607248154146222E-4</v>
      </c>
      <c r="E93">
        <f si="13" t="shared"/>
        <v>0</v>
      </c>
      <c r="F93" s="93"/>
      <c r="H93"/>
      <c r="M93" t="str">
        <f>VLOOKUP(N93,Coeff_Descr!$A:$D,3,FALSE)</f>
        <v>MEAL</v>
      </c>
      <c r="N93">
        <f>OtherTourDestination!B101</f>
        <v>103</v>
      </c>
      <c r="O93" t="str">
        <f>OtherTourDestination!C101</f>
        <v>Gamma103</v>
      </c>
      <c r="P93" s="22">
        <f>OtherTourDestination!E101</f>
        <v>0</v>
      </c>
      <c r="Q93" s="52">
        <f si="12" t="shared"/>
        <v>0</v>
      </c>
    </row>
    <row r="94" spans="1:17" x14ac:dyDescent="0.45">
      <c r="A94">
        <f>TLFD!A52+0.5</f>
        <v>41.5</v>
      </c>
      <c r="B94" s="92">
        <f si="11" t="shared"/>
        <v>3.7495040759303713</v>
      </c>
      <c r="C94" s="93">
        <f>TLFD!B52/SUM(TLFD!$B$11:$B$100)</f>
        <v>0</v>
      </c>
      <c r="D94" s="93">
        <f>TLFD!F52/SUM(TLFD!$F$11:FI$100)</f>
        <v>4.1502106870145979E-4</v>
      </c>
      <c r="E94">
        <f si="13" t="shared"/>
        <v>0</v>
      </c>
      <c r="F94" s="93"/>
      <c r="H94"/>
      <c r="M94" t="str">
        <f>VLOOKUP(N94,Coeff_Descr!$A:$D,3,FALSE)</f>
        <v>MEAL</v>
      </c>
      <c r="N94">
        <f>OtherTourDestination!B102</f>
        <v>104</v>
      </c>
      <c r="O94" t="str">
        <f>OtherTourDestination!C102</f>
        <v>Gamma104</v>
      </c>
      <c r="P94" s="22">
        <f>OtherTourDestination!E102</f>
        <v>5</v>
      </c>
      <c r="Q94" s="52">
        <f si="12" t="shared"/>
        <v>5</v>
      </c>
    </row>
    <row r="95" spans="1:17" x14ac:dyDescent="0.45">
      <c r="A95">
        <f>TLFD!A53+0.5</f>
        <v>42.5</v>
      </c>
      <c r="B95" s="92">
        <f si="11" t="shared"/>
        <v>3.7727609380946383</v>
      </c>
      <c r="C95" s="93">
        <f>TLFD!B53/SUM(TLFD!$B$11:$B$100)</f>
        <v>0</v>
      </c>
      <c r="D95" s="93">
        <f>TLFD!F53/SUM(TLFD!$F$11:FI$100)</f>
        <v>8.1643488924877341E-5</v>
      </c>
      <c r="E95">
        <f si="13" t="shared"/>
        <v>0</v>
      </c>
      <c r="F95" s="93"/>
      <c r="H95"/>
      <c r="M95" t="str">
        <f>VLOOKUP(N95,Coeff_Descr!$A:$D,3,FALSE)</f>
        <v>MEAL</v>
      </c>
      <c r="N95">
        <f>OtherTourDestination!B103</f>
        <v>105</v>
      </c>
      <c r="O95" t="str">
        <f>OtherTourDestination!C103</f>
        <v>Gamma105</v>
      </c>
      <c r="P95" s="22">
        <f>OtherTourDestination!E103</f>
        <v>5</v>
      </c>
      <c r="Q95" s="52">
        <f si="12" t="shared"/>
        <v>5</v>
      </c>
    </row>
    <row r="96" spans="1:17" x14ac:dyDescent="0.45">
      <c r="A96">
        <f>TLFD!A54+0.5</f>
        <v>43.5</v>
      </c>
      <c r="B96" s="92">
        <f si="11" t="shared"/>
        <v>3.7954891891721947</v>
      </c>
      <c r="C96" s="93">
        <f>TLFD!B54/SUM(TLFD!$B$11:$B$100)</f>
        <v>0</v>
      </c>
      <c r="D96" s="93">
        <f>TLFD!F54/SUM(TLFD!$F$11:FI$100)</f>
        <v>7.4839864847804231E-5</v>
      </c>
      <c r="E96">
        <f si="13" t="shared"/>
        <v>0</v>
      </c>
      <c r="F96" s="93"/>
      <c r="H96"/>
      <c r="M96" t="str">
        <f>VLOOKUP(N96,Coeff_Descr!$A:$D,3,FALSE)</f>
        <v>SOCREC</v>
      </c>
      <c r="N96">
        <f>OtherTourDestination!B104</f>
        <v>106</v>
      </c>
      <c r="O96" t="str">
        <f>OtherTourDestination!C104</f>
        <v>Gamma106</v>
      </c>
      <c r="P96" s="22">
        <f>OtherTourDestination!E104</f>
        <v>0</v>
      </c>
      <c r="Q96" s="52">
        <f si="12" t="shared"/>
        <v>0</v>
      </c>
    </row>
    <row r="97" spans="1:17" x14ac:dyDescent="0.45">
      <c r="A97">
        <f>TLFD!A55+0.5</f>
        <v>44.5</v>
      </c>
      <c r="B97" s="92">
        <f si="11" t="shared"/>
        <v>3.8177123259569048</v>
      </c>
      <c r="C97" s="93">
        <f>TLFD!B55/SUM(TLFD!$B$11:$B$100)</f>
        <v>0</v>
      </c>
      <c r="D97" s="93">
        <f>TLFD!F55/SUM(TLFD!$F$11:FI$100)</f>
        <v>1.4967972969560846E-4</v>
      </c>
      <c r="E97">
        <f si="13" t="shared"/>
        <v>0</v>
      </c>
      <c r="F97" s="93"/>
      <c r="H97"/>
      <c r="M97" t="str">
        <f>VLOOKUP(N97,Coeff_Descr!$A:$D,3,FALSE)</f>
        <v>SOCREC</v>
      </c>
      <c r="N97">
        <f>OtherTourDestination!B105</f>
        <v>107</v>
      </c>
      <c r="O97" t="str">
        <f>OtherTourDestination!C105</f>
        <v>Gamma107</v>
      </c>
      <c r="P97" s="22">
        <f>OtherTourDestination!E105</f>
        <v>3.2721559987400002</v>
      </c>
      <c r="Q97" s="52">
        <f si="12" t="shared"/>
        <v>3.2721559987400002</v>
      </c>
    </row>
    <row r="98" spans="1:17" x14ac:dyDescent="0.45">
      <c r="A98">
        <f>TLFD!A56+0.5</f>
        <v>45.5</v>
      </c>
      <c r="B98" s="92">
        <f si="11" t="shared"/>
        <v>3.8394523125933104</v>
      </c>
      <c r="C98" s="93">
        <f>TLFD!B56/SUM(TLFD!$B$11:$B$100)</f>
        <v>0</v>
      </c>
      <c r="D98" s="93">
        <f>TLFD!F56/SUM(TLFD!$F$11:FI$100)</f>
        <v>2.1091234638926645E-4</v>
      </c>
      <c r="E98">
        <f si="13" t="shared"/>
        <v>0</v>
      </c>
      <c r="F98" s="93"/>
      <c r="H98"/>
      <c r="M98" t="str">
        <f>VLOOKUP(N98,Coeff_Descr!$A:$D,3,FALSE)</f>
        <v>SOCREC</v>
      </c>
      <c r="N98">
        <f>OtherTourDestination!B106</f>
        <v>108</v>
      </c>
      <c r="O98" t="str">
        <f>OtherTourDestination!C106</f>
        <v>Gamma108</v>
      </c>
      <c r="P98" s="22">
        <f>OtherTourDestination!E106</f>
        <v>0</v>
      </c>
      <c r="Q98" s="52">
        <f si="12" t="shared"/>
        <v>0</v>
      </c>
    </row>
    <row r="99" spans="1:17" x14ac:dyDescent="0.45">
      <c r="A99">
        <f>TLFD!A57+0.5</f>
        <v>46.5</v>
      </c>
      <c r="B99" s="92">
        <f si="11" t="shared"/>
        <v>3.8607297110405954</v>
      </c>
      <c r="C99" s="93">
        <f>TLFD!B57/SUM(TLFD!$B$11:$B$100)</f>
        <v>0</v>
      </c>
      <c r="D99" s="93">
        <f>TLFD!F57/SUM(TLFD!$F$11:FI$100)</f>
        <v>3.7419932423902113E-4</v>
      </c>
      <c r="E99">
        <f si="13" t="shared"/>
        <v>0</v>
      </c>
      <c r="F99" s="93"/>
      <c r="H99"/>
      <c r="M99" t="str">
        <f>VLOOKUP(N99,Coeff_Descr!$A:$D,3,FALSE)</f>
        <v>SOCREC</v>
      </c>
      <c r="N99">
        <f>OtherTourDestination!B107</f>
        <v>109</v>
      </c>
      <c r="O99" t="str">
        <f>OtherTourDestination!C107</f>
        <v>Gamma109</v>
      </c>
      <c r="P99" s="22">
        <f>OtherTourDestination!E107</f>
        <v>3.7780647491999999</v>
      </c>
      <c r="Q99" s="52">
        <f si="12" t="shared"/>
        <v>3.7780647491999999</v>
      </c>
    </row>
    <row r="100" spans="1:17" x14ac:dyDescent="0.45">
      <c r="A100">
        <f>TLFD!A58+0.5</f>
        <v>47.5</v>
      </c>
      <c r="B100" s="92">
        <f si="11" t="shared"/>
        <v>3.8815637979434374</v>
      </c>
      <c r="C100" s="93">
        <f>TLFD!B58/SUM(TLFD!$B$11:$B$100)</f>
        <v>0</v>
      </c>
      <c r="D100" s="93">
        <f>TLFD!F58/SUM(TLFD!$F$11:FI$100)</f>
        <v>2.0410872231219335E-5</v>
      </c>
      <c r="E100">
        <f si="13" t="shared"/>
        <v>0</v>
      </c>
      <c r="F100" s="93"/>
      <c r="H100"/>
      <c r="M100" t="str">
        <f>VLOOKUP(N100,Coeff_Descr!$A:$D,3,FALSE)</f>
        <v>SOCREC</v>
      </c>
      <c r="N100">
        <f>OtherTourDestination!B108</f>
        <v>110</v>
      </c>
      <c r="O100" t="str">
        <f>OtherTourDestination!C108</f>
        <v>Gamma110</v>
      </c>
      <c r="P100" s="22">
        <f>OtherTourDestination!E108</f>
        <v>3.6698694381700001</v>
      </c>
      <c r="Q100" s="52">
        <f si="12" t="shared"/>
        <v>3.6698694381700001</v>
      </c>
    </row>
    <row r="101" spans="1:17" x14ac:dyDescent="0.45">
      <c r="A101">
        <f>TLFD!A59+0.5</f>
        <v>48.5</v>
      </c>
      <c r="B101" s="92">
        <f si="11" t="shared"/>
        <v>3.9019726695746448</v>
      </c>
      <c r="C101" s="93">
        <f>TLFD!B59/SUM(TLFD!$B$11:$B$100)</f>
        <v>0</v>
      </c>
      <c r="D101" s="93">
        <f>TLFD!F59/SUM(TLFD!$F$11:FI$100)</f>
        <v>6.1232616693657999E-5</v>
      </c>
      <c r="E101">
        <f si="13" t="shared"/>
        <v>0</v>
      </c>
      <c r="F101" s="93"/>
      <c r="H101"/>
      <c r="M101" t="str">
        <f>VLOOKUP(N101,Coeff_Descr!$A:$D,3,FALSE)</f>
        <v>SOCREC</v>
      </c>
      <c r="N101">
        <f>OtherTourDestination!B109</f>
        <v>111</v>
      </c>
      <c r="O101" t="str">
        <f>OtherTourDestination!C109</f>
        <v>Gamma111</v>
      </c>
      <c r="P101" s="22">
        <f>OtherTourDestination!E109</f>
        <v>0</v>
      </c>
      <c r="Q101" s="52">
        <f si="12" t="shared"/>
        <v>0</v>
      </c>
    </row>
    <row r="102" spans="1:17" x14ac:dyDescent="0.45">
      <c r="A102">
        <f>TLFD!A60+0.5</f>
        <v>49.5</v>
      </c>
      <c r="B102" s="92">
        <f si="11" t="shared"/>
        <v>3.9219733362813143</v>
      </c>
      <c r="C102" s="93">
        <f>TLFD!B60/SUM(TLFD!$B$11:$B$100)</f>
        <v>0</v>
      </c>
      <c r="D102" s="93">
        <f>TLFD!F60/SUM(TLFD!$F$11:FI$100)</f>
        <v>6.8036240770731112E-6</v>
      </c>
      <c r="E102">
        <f si="13" t="shared"/>
        <v>0</v>
      </c>
      <c r="F102" s="93"/>
      <c r="H102"/>
      <c r="M102" t="str">
        <f>VLOOKUP(N102,Coeff_Descr!$A:$D,3,FALSE)</f>
        <v>SOCREC</v>
      </c>
      <c r="N102">
        <f>OtherTourDestination!B110</f>
        <v>112</v>
      </c>
      <c r="O102" t="str">
        <f>OtherTourDestination!C110</f>
        <v>Gamma112</v>
      </c>
      <c r="P102" s="22">
        <f>OtherTourDestination!E110</f>
        <v>0</v>
      </c>
      <c r="Q102" s="52">
        <f si="12" t="shared"/>
        <v>0</v>
      </c>
    </row>
    <row r="103" spans="1:17" x14ac:dyDescent="0.45">
      <c r="A103">
        <f>TLFD!A61+0.5</f>
        <v>50.5</v>
      </c>
      <c r="B103" s="92">
        <f si="11" t="shared"/>
        <v>3.9415818076696905</v>
      </c>
      <c r="C103" s="93">
        <f>TLFD!B61/SUM(TLFD!$B$11:$B$100)</f>
        <v>0</v>
      </c>
      <c r="D103" s="93">
        <f>TLFD!F61/SUM(TLFD!$F$11:FI$100)</f>
        <v>1.3607248154146222E-5</v>
      </c>
      <c r="E103">
        <f si="13" t="shared"/>
        <v>0</v>
      </c>
      <c r="F103" s="93"/>
      <c r="H103"/>
      <c r="M103" t="str">
        <f>VLOOKUP(N103,Coeff_Descr!$A:$D,3,FALSE)</f>
        <v>SOCREC</v>
      </c>
      <c r="N103">
        <f>OtherTourDestination!B111</f>
        <v>113</v>
      </c>
      <c r="O103" t="str">
        <f>OtherTourDestination!C111</f>
        <v>Gamma113</v>
      </c>
      <c r="P103" s="22">
        <f>OtherTourDestination!E111</f>
        <v>1.3908719595400001</v>
      </c>
      <c r="Q103" s="52">
        <f si="12" t="shared"/>
        <v>1.3908719595400001</v>
      </c>
    </row>
    <row r="104" spans="1:17" x14ac:dyDescent="0.45">
      <c r="A104">
        <f>TLFD!A62+0.5</f>
        <v>51.5</v>
      </c>
      <c r="B104" s="92">
        <f si="11" t="shared"/>
        <v>3.9608131695975781</v>
      </c>
      <c r="C104" s="93">
        <f>TLFD!B62/SUM(TLFD!$B$11:$B$100)</f>
        <v>0</v>
      </c>
      <c r="D104" s="93">
        <f>TLFD!F62/SUM(TLFD!$F$11:FI$100)</f>
        <v>6.8036240770731112E-6</v>
      </c>
      <c r="E104">
        <f si="13" t="shared"/>
        <v>0</v>
      </c>
      <c r="F104" s="93"/>
      <c r="H104"/>
      <c r="Q104" s="52"/>
    </row>
    <row r="105" spans="1:17" x14ac:dyDescent="0.45">
      <c r="A105">
        <f>TLFD!A63+0.5</f>
        <v>52.5</v>
      </c>
      <c r="B105" s="92">
        <f si="11" t="shared"/>
        <v>3.9796816539019608</v>
      </c>
      <c r="C105" s="93">
        <f>TLFD!B63/SUM(TLFD!$B$11:$B$100)</f>
        <v>0</v>
      </c>
      <c r="D105" s="93">
        <f>TLFD!F63/SUM(TLFD!$F$11:FI$100)</f>
        <v>1.9730509823512023E-4</v>
      </c>
      <c r="E105">
        <f si="13" t="shared"/>
        <v>0</v>
      </c>
      <c r="F105" s="93"/>
      <c r="H105"/>
    </row>
    <row r="106" spans="1:17" x14ac:dyDescent="0.45">
      <c r="A106">
        <f>TLFD!A64+0.5</f>
        <v>53.5</v>
      </c>
      <c r="B106" s="92">
        <f si="11" t="shared"/>
        <v>3.9982007016691985</v>
      </c>
      <c r="C106" s="93">
        <f>TLFD!B64/SUM(TLFD!$B$11:$B$100)</f>
        <v>0</v>
      </c>
      <c r="D106" s="93">
        <f>TLFD!F64/SUM(TLFD!$F$11:FI$100)</f>
        <v>1.768942260039009E-4</v>
      </c>
      <c r="E106">
        <f si="13" t="shared"/>
        <v>0</v>
      </c>
      <c r="F106" s="93"/>
      <c r="H106"/>
    </row>
    <row r="107" spans="1:17" x14ac:dyDescent="0.45">
      <c r="A107">
        <f>TLFD!A65+0.5</f>
        <v>54.5</v>
      </c>
      <c r="B107" s="92">
        <f si="11" t="shared"/>
        <v>4.0163830207523885</v>
      </c>
      <c r="C107" s="93">
        <f>TLFD!B65/SUM(TLFD!$B$11:$B$100)</f>
        <v>0</v>
      </c>
      <c r="D107" s="93">
        <f>TLFD!F65/SUM(TLFD!$F$11:FI$100)</f>
        <v>0</v>
      </c>
      <c r="E107">
        <f si="13" t="shared"/>
        <v>0</v>
      </c>
      <c r="F107" s="93"/>
      <c r="H107"/>
    </row>
    <row r="108" spans="1:17" x14ac:dyDescent="0.45">
      <c r="A108">
        <f>TLFD!A66+0.5</f>
        <v>55.5</v>
      </c>
      <c r="B108" s="92">
        <f si="11" t="shared"/>
        <v>4.0342406381523954</v>
      </c>
      <c r="C108" s="93">
        <f>TLFD!B66/SUM(TLFD!$B$11:$B$100)</f>
        <v>0</v>
      </c>
      <c r="D108" s="93">
        <f>TLFD!F66/SUM(TLFD!$F$11:FI$100)</f>
        <v>2.0410872231219335E-5</v>
      </c>
      <c r="E108">
        <f si="13" t="shared"/>
        <v>0</v>
      </c>
      <c r="F108" s="93"/>
      <c r="H108"/>
    </row>
    <row r="109" spans="1:17" x14ac:dyDescent="0.45">
      <c r="A109">
        <f>TLFD!A67+0.5</f>
        <v>56.5</v>
      </c>
      <c r="B109" s="92">
        <f si="11" t="shared"/>
        <v>4.0517849478033048</v>
      </c>
      <c r="C109" s="93">
        <f>TLFD!B67/SUM(TLFD!$B$11:$B$100)</f>
        <v>0</v>
      </c>
      <c r="D109" s="93">
        <f>TLFD!F67/SUM(TLFD!$F$11:FI$100)</f>
        <v>2.0410872231219335E-5</v>
      </c>
      <c r="E109">
        <f si="13" t="shared"/>
        <v>0</v>
      </c>
      <c r="F109" s="93"/>
      <c r="H109"/>
    </row>
    <row r="110" spans="1:17" x14ac:dyDescent="0.45">
      <c r="A110">
        <f>TLFD!A68+0.5</f>
        <v>57.5</v>
      </c>
      <c r="B110" s="92">
        <f si="11" t="shared"/>
        <v>4.0690267542378109</v>
      </c>
      <c r="C110" s="93">
        <f>TLFD!B68/SUM(TLFD!$B$11:$B$100)</f>
        <v>0</v>
      </c>
      <c r="D110" s="93">
        <f>TLFD!F68/SUM(TLFD!$F$11:FI$100)</f>
        <v>1.7009060192682779E-4</v>
      </c>
      <c r="E110">
        <f si="13" t="shared"/>
        <v>0</v>
      </c>
      <c r="F110" s="93"/>
      <c r="H110"/>
    </row>
    <row r="111" spans="1:17" x14ac:dyDescent="0.45">
      <c r="A111">
        <f>TLFD!A69+0.5</f>
        <v>58.5</v>
      </c>
      <c r="B111" s="92">
        <f si="11" t="shared"/>
        <v>4.0859763125515842</v>
      </c>
      <c r="C111" s="93">
        <f>TLFD!B69/SUM(TLFD!$B$11:$B$100)</f>
        <v>0</v>
      </c>
      <c r="D111" s="93">
        <f>TLFD!F69/SUM(TLFD!$F$11:FI$100)</f>
        <v>2.6534133900585132E-4</v>
      </c>
      <c r="E111">
        <f si="13" t="shared"/>
        <v>0</v>
      </c>
      <c r="F111" s="93"/>
      <c r="H111"/>
    </row>
    <row r="112" spans="1:17" x14ac:dyDescent="0.45">
      <c r="A112">
        <f>TLFD!A70+0.5</f>
        <v>59.5</v>
      </c>
      <c r="B112" s="92">
        <f si="11" t="shared"/>
        <v>4.1026433650367959</v>
      </c>
      <c r="C112" s="93">
        <f>TLFD!B70/SUM(TLFD!$B$11:$B$100)</f>
        <v>0</v>
      </c>
      <c r="D112" s="93">
        <f>TLFD!F70/SUM(TLFD!$F$11:FI$100)</f>
        <v>1.3607248154146222E-5</v>
      </c>
      <c r="E112">
        <f si="13" t="shared"/>
        <v>0</v>
      </c>
      <c r="F112" s="93"/>
      <c r="H112"/>
    </row>
    <row r="113" spans="1:8" x14ac:dyDescent="0.45">
      <c r="A113">
        <f>TLFD!A71+0.5</f>
        <v>60.5</v>
      </c>
      <c r="B113" s="92">
        <f si="11" t="shared"/>
        <v>4.1190371748124726</v>
      </c>
      <c r="C113" s="93">
        <f>TLFD!B71/SUM(TLFD!$B$11:$B$100)</f>
        <v>0</v>
      </c>
      <c r="D113" s="93">
        <f>TLFD!F71/SUM(TLFD!$F$11:FI$100)</f>
        <v>3.4018120385365554E-5</v>
      </c>
      <c r="E113">
        <f si="13" t="shared"/>
        <v>0</v>
      </c>
      <c r="F113" s="93"/>
      <c r="H113"/>
    </row>
    <row r="114" spans="1:8" x14ac:dyDescent="0.45">
      <c r="A114">
        <f>TLFD!A72+0.5</f>
        <v>61.5</v>
      </c>
      <c r="B114" s="92">
        <f si="11" t="shared"/>
        <v>4.1351665567423561</v>
      </c>
      <c r="C114" s="93">
        <f>TLFD!B72/SUM(TLFD!$B$11:$B$100)</f>
        <v>0</v>
      </c>
      <c r="D114" s="93">
        <f>TLFD!F72/SUM(TLFD!$F$11:FI$100)</f>
        <v>8.1643488924877341E-5</v>
      </c>
      <c r="E114">
        <f si="13" t="shared"/>
        <v>0</v>
      </c>
      <c r="F114" s="93"/>
      <c r="H114"/>
    </row>
    <row r="115" spans="1:8" x14ac:dyDescent="0.45">
      <c r="A115">
        <f>TLFD!A73+0.5</f>
        <v>62.5</v>
      </c>
      <c r="B115" s="92">
        <f si="11" t="shared"/>
        <v>4.1510399058986458</v>
      </c>
      <c r="C115" s="93">
        <f>TLFD!B73/SUM(TLFD!$B$11:$B$100)</f>
        <v>0</v>
      </c>
      <c r="D115" s="93">
        <f>TLFD!F73/SUM(TLFD!$F$11:FI$100)</f>
        <v>6.8036240770731112E-6</v>
      </c>
      <c r="E115">
        <f si="13" t="shared"/>
        <v>0</v>
      </c>
      <c r="F115" s="93"/>
      <c r="H115"/>
    </row>
    <row r="116" spans="1:8" x14ac:dyDescent="0.45">
      <c r="A116">
        <f>TLFD!A74+0.5</f>
        <v>63.5</v>
      </c>
      <c r="B116" s="92">
        <f si="11" t="shared"/>
        <v>4.1666652238017265</v>
      </c>
      <c r="C116" s="93">
        <f>TLFD!B74/SUM(TLFD!$B$11:$B$100)</f>
        <v>0</v>
      </c>
      <c r="D116" s="93">
        <f>TLFD!F74/SUM(TLFD!$F$11:FI$100)</f>
        <v>0</v>
      </c>
      <c r="E116">
        <f si="13" t="shared"/>
        <v>0</v>
      </c>
      <c r="F116" s="93"/>
      <c r="H116"/>
    </row>
    <row r="117" spans="1:8" x14ac:dyDescent="0.45">
      <c r="A117">
        <f>TLFD!A75+0.5</f>
        <v>64.5</v>
      </c>
      <c r="B117" s="92">
        <f si="11" t="shared"/>
        <v>4.1820501426412067</v>
      </c>
      <c r="C117" s="93">
        <f>TLFD!B75/SUM(TLFD!$B$11:$B$100)</f>
        <v>0</v>
      </c>
      <c r="D117" s="93">
        <f>TLFD!F75/SUM(TLFD!$F$11:FI$100)</f>
        <v>0</v>
      </c>
      <c r="E117">
        <f ref="E117:E142" si="14" t="shared">IF(AND(C117&gt;0, D117&gt;0),LN(C117/D117),0)</f>
        <v>0</v>
      </c>
      <c r="F117" s="93"/>
      <c r="H117"/>
    </row>
    <row r="118" spans="1:8" x14ac:dyDescent="0.45">
      <c r="A118">
        <f>TLFD!A76+0.5</f>
        <v>65.5</v>
      </c>
      <c r="B118" s="92">
        <f ref="B118:B142" si="15" t="shared">LN(1+A118)</f>
        <v>4.1972019476618083</v>
      </c>
      <c r="C118" s="93">
        <f>TLFD!B76/SUM(TLFD!$B$11:$B$100)</f>
        <v>0</v>
      </c>
      <c r="D118" s="93">
        <f>TLFD!F76/SUM(TLFD!$F$11:FI$100)</f>
        <v>4.762536853951178E-5</v>
      </c>
      <c r="E118">
        <f si="14" t="shared"/>
        <v>0</v>
      </c>
      <c r="F118" s="93"/>
      <c r="H118"/>
    </row>
    <row r="119" spans="1:8" x14ac:dyDescent="0.45">
      <c r="A119">
        <f>TLFD!A77+0.5</f>
        <v>66.5</v>
      </c>
      <c r="B119" s="92">
        <f si="15" t="shared"/>
        <v>4.2121275978784842</v>
      </c>
      <c r="C119" s="93">
        <f>TLFD!B77/SUM(TLFD!$B$11:$B$100)</f>
        <v>0</v>
      </c>
      <c r="D119" s="93">
        <f>TLFD!F77/SUM(TLFD!$F$11:FI$100)</f>
        <v>1.3607248154146222E-5</v>
      </c>
      <c r="E119">
        <f si="14" t="shared"/>
        <v>0</v>
      </c>
      <c r="F119" s="93"/>
      <c r="H119"/>
    </row>
    <row r="120" spans="1:8" x14ac:dyDescent="0.45">
      <c r="A120">
        <f>TLFD!A78+0.5</f>
        <v>67.5</v>
      </c>
      <c r="B120" s="92">
        <f si="15" t="shared"/>
        <v>4.2268337452681797</v>
      </c>
      <c r="C120" s="93">
        <f>TLFD!B78/SUM(TLFD!$B$11:$B$100)</f>
        <v>0</v>
      </c>
      <c r="D120" s="93">
        <f>TLFD!F78/SUM(TLFD!$F$11:FI$100)</f>
        <v>1.7009060192682779E-4</v>
      </c>
      <c r="E120">
        <f si="14" t="shared"/>
        <v>0</v>
      </c>
      <c r="F120" s="93"/>
      <c r="H120"/>
    </row>
    <row r="121" spans="1:8" x14ac:dyDescent="0.45">
      <c r="A121">
        <f>TLFD!A79+0.5</f>
        <v>68.5</v>
      </c>
      <c r="B121" s="92">
        <f si="15" t="shared"/>
        <v>4.2413267525707461</v>
      </c>
      <c r="C121" s="93">
        <f>TLFD!B79/SUM(TLFD!$B$11:$B$100)</f>
        <v>0</v>
      </c>
      <c r="D121" s="93">
        <f>TLFD!F79/SUM(TLFD!$F$11:FI$100)</f>
        <v>1.22465233387316E-4</v>
      </c>
      <c r="E121">
        <f si="14" t="shared"/>
        <v>0</v>
      </c>
      <c r="F121" s="93"/>
      <c r="H121"/>
    </row>
    <row r="122" spans="1:8" x14ac:dyDescent="0.45">
      <c r="A122">
        <f>TLFD!A80+0.5</f>
        <v>69.5</v>
      </c>
      <c r="B122" s="92">
        <f si="15" t="shared"/>
        <v>4.255612709818223</v>
      </c>
      <c r="C122" s="93">
        <f>TLFD!B80/SUM(TLFD!$B$11:$B$100)</f>
        <v>0</v>
      </c>
      <c r="D122" s="93">
        <f>TLFD!F80/SUM(TLFD!$F$11:FI$100)</f>
        <v>0</v>
      </c>
      <c r="E122">
        <f si="14" t="shared"/>
        <v>0</v>
      </c>
      <c r="F122" s="93"/>
      <c r="H122"/>
    </row>
    <row r="123" spans="1:8" x14ac:dyDescent="0.45">
      <c r="A123">
        <f>TLFD!A81+0.5</f>
        <v>70.5</v>
      </c>
      <c r="B123" s="92">
        <f si="15" t="shared"/>
        <v>4.2696974496999616</v>
      </c>
      <c r="C123" s="93">
        <f>TLFD!B81/SUM(TLFD!$B$11:$B$100)</f>
        <v>0</v>
      </c>
      <c r="D123" s="93">
        <f>TLFD!F81/SUM(TLFD!$F$11:FI$100)</f>
        <v>1.3607248154146222E-5</v>
      </c>
      <c r="E123">
        <f si="14" t="shared"/>
        <v>0</v>
      </c>
      <c r="F123" s="93"/>
      <c r="H123"/>
    </row>
    <row r="124" spans="1:8" x14ac:dyDescent="0.45">
      <c r="A124">
        <f>TLFD!A82+0.5</f>
        <v>71.5</v>
      </c>
      <c r="B124" s="92">
        <f si="15" t="shared"/>
        <v>4.2835865618606288</v>
      </c>
      <c r="C124" s="93">
        <f>TLFD!B82/SUM(TLFD!$B$11:$B$100)</f>
        <v>0</v>
      </c>
      <c r="D124" s="93">
        <f>TLFD!F82/SUM(TLFD!$F$11:FI$100)</f>
        <v>6.8036240770731112E-6</v>
      </c>
      <c r="E124">
        <f si="14" t="shared"/>
        <v>0</v>
      </c>
      <c r="F124" s="93"/>
      <c r="H124"/>
    </row>
    <row r="125" spans="1:8" x14ac:dyDescent="0.45">
      <c r="A125">
        <f>TLFD!A83+0.5</f>
        <v>72.5</v>
      </c>
      <c r="B125" s="92">
        <f si="15" t="shared"/>
        <v>4.2972854062187906</v>
      </c>
      <c r="C125" s="93">
        <f>TLFD!B83/SUM(TLFD!$B$11:$B$100)</f>
        <v>0</v>
      </c>
      <c r="D125" s="93">
        <f>TLFD!F83/SUM(TLFD!$F$11:FI$100)</f>
        <v>6.8036240770731112E-6</v>
      </c>
      <c r="E125">
        <f si="14" t="shared"/>
        <v>0</v>
      </c>
      <c r="F125" s="93"/>
      <c r="H125"/>
    </row>
    <row r="126" spans="1:8" x14ac:dyDescent="0.45">
      <c r="A126">
        <f>TLFD!A84+0.5</f>
        <v>73.5</v>
      </c>
      <c r="B126" s="92">
        <f si="15" t="shared"/>
        <v>4.3107991253855138</v>
      </c>
      <c r="C126" s="93">
        <f>TLFD!B84/SUM(TLFD!$B$11:$B$100)</f>
        <v>0</v>
      </c>
      <c r="D126" s="93">
        <f>TLFD!F84/SUM(TLFD!$F$11:FI$100)</f>
        <v>6.8036240770731112E-6</v>
      </c>
      <c r="E126">
        <f si="14" t="shared"/>
        <v>0</v>
      </c>
      <c r="F126" s="93"/>
      <c r="H126"/>
    </row>
    <row r="127" spans="1:8" x14ac:dyDescent="0.45">
      <c r="A127">
        <f>TLFD!A85+0.5</f>
        <v>74.5</v>
      </c>
      <c r="B127" s="92">
        <f si="15" t="shared"/>
        <v>4.3241326562549789</v>
      </c>
      <c r="C127" s="93">
        <f>TLFD!B85/SUM(TLFD!$B$11:$B$100)</f>
        <v>0</v>
      </c>
      <c r="D127" s="93">
        <f>TLFD!F85/SUM(TLFD!$F$11:FI$100)</f>
        <v>4.762536853951178E-5</v>
      </c>
      <c r="E127">
        <f si="14" t="shared"/>
        <v>0</v>
      </c>
      <c r="F127" s="93"/>
      <c r="H127"/>
    </row>
    <row r="128" spans="1:8" x14ac:dyDescent="0.45">
      <c r="A128">
        <f>TLFD!A86+0.5</f>
        <v>75.5</v>
      </c>
      <c r="B128" s="92">
        <f si="15" t="shared"/>
        <v>4.3372907408324899</v>
      </c>
      <c r="C128" s="93">
        <f>TLFD!B86/SUM(TLFD!$B$11:$B$100)</f>
        <v>0</v>
      </c>
      <c r="D128" s="93">
        <f>TLFD!F86/SUM(TLFD!$F$11:FI$100)</f>
        <v>3.4018120385365554E-5</v>
      </c>
      <c r="E128">
        <f si="14" t="shared"/>
        <v>0</v>
      </c>
      <c r="F128" s="93"/>
      <c r="H128"/>
    </row>
    <row r="129" spans="1:8" x14ac:dyDescent="0.45">
      <c r="A129">
        <f>TLFD!A87+0.5</f>
        <v>76.5</v>
      </c>
      <c r="B129" s="92">
        <f si="15" t="shared"/>
        <v>4.3502779363593014</v>
      </c>
      <c r="C129" s="93">
        <f>TLFD!B87/SUM(TLFD!$B$11:$B$100)</f>
        <v>0</v>
      </c>
      <c r="D129" s="93">
        <f>TLFD!F87/SUM(TLFD!$F$11:FI$100)</f>
        <v>0</v>
      </c>
      <c r="E129">
        <f si="14" t="shared"/>
        <v>0</v>
      </c>
      <c r="F129" s="93"/>
      <c r="H129"/>
    </row>
    <row r="130" spans="1:8" x14ac:dyDescent="0.45">
      <c r="A130">
        <f>TLFD!A88+0.5</f>
        <v>77.5</v>
      </c>
      <c r="B130" s="92">
        <f si="15" t="shared"/>
        <v>4.3630986247883632</v>
      </c>
      <c r="C130" s="93">
        <f>TLFD!B88/SUM(TLFD!$B$11:$B$100)</f>
        <v>0</v>
      </c>
      <c r="D130" s="93">
        <f>TLFD!F88/SUM(TLFD!$F$11:FI$100)</f>
        <v>2.7214496308292445E-5</v>
      </c>
      <c r="E130">
        <f si="14" t="shared"/>
        <v>0</v>
      </c>
      <c r="F130" s="93"/>
      <c r="H130"/>
    </row>
    <row r="131" spans="1:8" x14ac:dyDescent="0.45">
      <c r="A131">
        <f>TLFD!A89+0.5</f>
        <v>78.5</v>
      </c>
      <c r="B131" s="92">
        <f si="15" t="shared"/>
        <v>4.3757570216602861</v>
      </c>
      <c r="C131" s="93">
        <f>TLFD!B89/SUM(TLFD!$B$11:$B$100)</f>
        <v>0</v>
      </c>
      <c r="D131" s="93">
        <f>TLFD!F89/SUM(TLFD!$F$11:FI$100)</f>
        <v>6.8036240770731112E-6</v>
      </c>
      <c r="E131">
        <f si="14" t="shared"/>
        <v>0</v>
      </c>
      <c r="F131" s="93"/>
      <c r="H131"/>
    </row>
    <row r="132" spans="1:8" x14ac:dyDescent="0.45">
      <c r="A132">
        <f>TLFD!A90+0.5</f>
        <v>79.5</v>
      </c>
      <c r="B132" s="92">
        <f si="15" t="shared"/>
        <v>4.3882571844245177</v>
      </c>
      <c r="C132" s="93">
        <f>TLFD!B90/SUM(TLFD!$B$11:$B$100)</f>
        <v>0</v>
      </c>
      <c r="D132" s="93">
        <f>TLFD!F90/SUM(TLFD!$F$11:FI$100)</f>
        <v>6.8036240770731112E-6</v>
      </c>
      <c r="E132">
        <f si="14" t="shared"/>
        <v>0</v>
      </c>
      <c r="F132" s="93"/>
      <c r="H132"/>
    </row>
    <row r="133" spans="1:8" x14ac:dyDescent="0.45">
      <c r="A133">
        <f>TLFD!A91+0.5</f>
        <v>80.5</v>
      </c>
      <c r="B133" s="92">
        <f si="15" t="shared"/>
        <v>4.4006030202468169</v>
      </c>
      <c r="C133" s="93">
        <f>TLFD!B91/SUM(TLFD!$B$11:$B$100)</f>
        <v>0</v>
      </c>
      <c r="D133" s="93">
        <f>TLFD!F91/SUM(TLFD!$F$11:FI$100)</f>
        <v>0</v>
      </c>
      <c r="E133">
        <f si="14" t="shared"/>
        <v>0</v>
      </c>
      <c r="F133" s="93"/>
      <c r="H133"/>
    </row>
    <row r="134" spans="1:8" x14ac:dyDescent="0.45">
      <c r="A134">
        <f>TLFD!A92+0.5</f>
        <v>81.5</v>
      </c>
      <c r="B134" s="92">
        <f si="15" t="shared"/>
        <v>4.4127982933406349</v>
      </c>
      <c r="C134" s="93">
        <f>TLFD!B92/SUM(TLFD!$B$11:$B$100)</f>
        <v>0</v>
      </c>
      <c r="D134" s="93">
        <f>TLFD!F92/SUM(TLFD!$F$11:FI$100)</f>
        <v>6.8036240770731112E-6</v>
      </c>
      <c r="E134">
        <f si="14" t="shared"/>
        <v>0</v>
      </c>
      <c r="F134" s="93"/>
      <c r="H134"/>
    </row>
    <row r="135" spans="1:8" x14ac:dyDescent="0.45">
      <c r="A135">
        <f>TLFD!A93+0.5</f>
        <v>82.5</v>
      </c>
      <c r="B135" s="92">
        <f si="15" t="shared"/>
        <v>4.42484663185681</v>
      </c>
      <c r="C135" s="93">
        <f>TLFD!B93/SUM(TLFD!$B$11:$B$100)</f>
        <v>0</v>
      </c>
      <c r="D135" s="93">
        <f>TLFD!F93/SUM(TLFD!$F$11:FI$100)</f>
        <v>6.8036240770731112E-6</v>
      </c>
      <c r="E135">
        <f si="14" t="shared"/>
        <v>0</v>
      </c>
      <c r="F135" s="93"/>
      <c r="H135"/>
    </row>
    <row r="136" spans="1:8" x14ac:dyDescent="0.45">
      <c r="A136">
        <f>TLFD!A94+0.5</f>
        <v>83.5</v>
      </c>
      <c r="B136" s="92">
        <f si="15" t="shared"/>
        <v>4.4367515343631281</v>
      </c>
      <c r="C136" s="93">
        <f>TLFD!B94/SUM(TLFD!$B$11:$B$100)</f>
        <v>0</v>
      </c>
      <c r="D136" s="93">
        <f>TLFD!F94/SUM(TLFD!$F$11:FI$100)</f>
        <v>0</v>
      </c>
      <c r="E136">
        <f si="14" t="shared"/>
        <v>0</v>
      </c>
      <c r="F136" s="93"/>
      <c r="H136"/>
    </row>
    <row r="137" spans="1:8" x14ac:dyDescent="0.45">
      <c r="A137">
        <f>TLFD!A95+0.5</f>
        <v>84.5</v>
      </c>
      <c r="B137" s="92">
        <f si="15" t="shared"/>
        <v>4.4485163759427149</v>
      </c>
      <c r="C137" s="93">
        <f>TLFD!B95/SUM(TLFD!$B$11:$B$100)</f>
        <v>0</v>
      </c>
      <c r="D137" s="93">
        <f>TLFD!F95/SUM(TLFD!$F$11:FI$100)</f>
        <v>6.8036240770731112E-6</v>
      </c>
      <c r="E137">
        <f si="14" t="shared"/>
        <v>0</v>
      </c>
      <c r="F137" s="93"/>
      <c r="H137"/>
    </row>
    <row r="138" spans="1:8" x14ac:dyDescent="0.45">
      <c r="A138">
        <f>TLFD!A96+0.5</f>
        <v>85.5</v>
      </c>
      <c r="B138" s="92">
        <f si="15" t="shared"/>
        <v>4.4601444139378339</v>
      </c>
      <c r="C138" s="93">
        <f>TLFD!B96/SUM(TLFD!$B$11:$B$100)</f>
        <v>0</v>
      </c>
      <c r="D138" s="93">
        <f>TLFD!F96/SUM(TLFD!$F$11:FI$100)</f>
        <v>2.0410872231219335E-5</v>
      </c>
      <c r="E138">
        <f si="14" t="shared"/>
        <v>0</v>
      </c>
      <c r="F138" s="93"/>
      <c r="H138"/>
    </row>
    <row r="139" spans="1:8" x14ac:dyDescent="0.45">
      <c r="A139">
        <f>TLFD!A97+0.5</f>
        <v>86.5</v>
      </c>
      <c r="B139" s="92">
        <f si="15" t="shared"/>
        <v>4.4716387933635691</v>
      </c>
      <c r="C139" s="93">
        <f>TLFD!B97/SUM(TLFD!$B$11:$B$100)</f>
        <v>0</v>
      </c>
      <c r="D139" s="93">
        <f>TLFD!F97/SUM(TLFD!$F$11:FI$100)</f>
        <v>3.4018120385365554E-5</v>
      </c>
      <c r="E139">
        <f si="14" t="shared"/>
        <v>0</v>
      </c>
      <c r="F139" s="93"/>
      <c r="H139"/>
    </row>
    <row r="140" spans="1:8" x14ac:dyDescent="0.45">
      <c r="A140">
        <f>TLFD!A98+0.5</f>
        <v>87.5</v>
      </c>
      <c r="B140" s="92">
        <f si="15" t="shared"/>
        <v>4.4830025520138834</v>
      </c>
      <c r="C140" s="93">
        <f>TLFD!B98/SUM(TLFD!$B$11:$B$100)</f>
        <v>0</v>
      </c>
      <c r="D140" s="93">
        <f>TLFD!F98/SUM(TLFD!$F$11:FI$100)</f>
        <v>0</v>
      </c>
      <c r="E140">
        <f si="14" t="shared"/>
        <v>0</v>
      </c>
      <c r="F140" s="93"/>
      <c r="H140"/>
    </row>
    <row r="141" spans="1:8" x14ac:dyDescent="0.45">
      <c r="A141">
        <f>TLFD!A99+0.5</f>
        <v>88.5</v>
      </c>
      <c r="B141" s="92">
        <f si="15" t="shared"/>
        <v>4.4942386252808095</v>
      </c>
      <c r="C141" s="93">
        <f>TLFD!B99/SUM(TLFD!$B$11:$B$100)</f>
        <v>0</v>
      </c>
      <c r="D141" s="93">
        <f>TLFD!F99/SUM(TLFD!$F$11:FI$100)</f>
        <v>1.3607248154146222E-5</v>
      </c>
      <c r="E141">
        <f si="14" t="shared"/>
        <v>0</v>
      </c>
      <c r="F141" s="93"/>
      <c r="H141"/>
    </row>
    <row r="142" spans="1:8" x14ac:dyDescent="0.45">
      <c r="A142">
        <f>TLFD!A100+0.5</f>
        <v>89.5</v>
      </c>
      <c r="B142" s="92">
        <f si="15" t="shared"/>
        <v>4.5053498507058807</v>
      </c>
      <c r="C142" s="93">
        <f>TLFD!B100/SUM(TLFD!$B$11:$B$100)</f>
        <v>0</v>
      </c>
      <c r="D142" s="93">
        <f>TLFD!F100/SUM(TLFD!$F$11:FI$100)</f>
        <v>0</v>
      </c>
      <c r="E142">
        <f si="14" t="shared"/>
        <v>0</v>
      </c>
      <c r="F142" s="93"/>
      <c r="H142"/>
    </row>
  </sheetData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9B412E-8947-4BF7-9BF8-E457520E25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0F4B1F-E583-454B-836F-3E487A9E17FE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3.xml><?xml version="1.0" encoding="utf-8"?>
<ds:datastoreItem xmlns:ds="http://schemas.openxmlformats.org/officeDocument/2006/customXml" ds:itemID="{9AAE09DB-44C6-41EF-A970-04A5F9199C2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2025-03-20T13:13:11Z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